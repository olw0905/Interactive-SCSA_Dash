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E67D1F47-81B2-4E77-B602-8B2B2F956D11}" xr6:coauthVersionLast="47" xr6:coauthVersionMax="47" xr10:uidLastSave="{00000000-0000-0000-0000-000000000000}"/>
  <bookViews>
    <workbookView xWindow="-110" yWindow="-110" windowWidth="22780" windowHeight="14660" activeTab="3"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3"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<sst xmlns="http://schemas.openxmlformats.org/spreadsheetml/2006/main" count="575" uniqueCount="265">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</sst>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2">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0" fillId="0" borderId="0" xfId="0" applyBorder="1"/>
  </cellXfs>
  <cellStyles count="3">
    <cellStyle name="Comma" xfId="1" builtinId="3"/>
    <cellStyle name="Normal" xfId="0" builtinId="0"/>
    <cellStyle name="Percent" xfId="2" builtinId="5"/>
  </cellStyles>
  <dxfs count="47">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Use'!$B$2:$B$49,'SI - End Use'!$C$2:$C$49, "")="", "", _xlfn.XLOOKUP($C5,'SI - End Use'!$B$2:$B$49,'SI - End Use'!$C$2:$C$49,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Units'!$B$24:$B$70,'SI - Units'!$C$24:$C$70, ""),'SI - Units'!$A$2:$A$8,'SI - Units'!$B$2:$B$8, ""))</calculatedColumnFormula>
    </tableColumn>
    <tableColumn id="7" xr3:uid="{515C4DB0-B187-40B1-8F47-45FF3483AEC1}" name="Moisture" dataDxfId="37" dataCellStyle="Percent"/>
    <tableColumn id="8" xr3:uid="{294BC856-42BB-4049-BD49-6A865E88E771}" name="Previous Process"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Payload'!$A$10:$A$33,'SI - Payload'!$B$10:$B$33,"",0),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Use'!$B$2:$B$49,'SI - End Use'!$C$2:$C$49, "")="", "", _xlfn.XLOOKUP($C5,'SI - End Use'!$B$2:$B$49,'SI - End Use'!$C$2:$C$49, ""))</calculatedColumnFormula>
    </tableColumn>
    <tableColumn id="18" xr3:uid="{1AFBF91D-E45D-442D-BA06-D58B0AE7953E}" name="Subprocess" dataDxfId="27"/>
    <tableColumn id="11" xr3:uid="{34D8D993-53F9-46B7-8FE9-32F1A6F2DFD2}" name="Note"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7" totalsRowShown="0" headerRowDxfId="25">
  <autoFilter ref="A1:H27" xr:uid="{BF352F56-F627-4A8D-9B22-DA497E2644FC}"/>
  <tableColumns count="8">
    <tableColumn id="1" xr3:uid="{B4C1BEA4-EC08-4542-9BC0-5CAC3303F1DE}" name="Biomass"/>
    <tableColumn id="8" xr3:uid="{CA09F49F-4D37-4D57-9F64-66042BBFCAF3}" name="Waste"/>
    <tableColumn id="2" xr3:uid="{16936180-7E0F-4E08-BEC7-75346859C647}" name="Fuel"/>
    <tableColumn id="6" xr3:uid="{8ABA29FD-C6B0-4B51-8840-E17193E077EC}" name="Electricity"/>
    <tableColumn id="3" xr3:uid="{C1A34163-30E4-47F2-BE75-A919CC80E9BF}" name="Chemicals and catalysts" dataDxfId="24"/>
    <tableColumn id="4" xr3:uid="{CA7E12F4-CA42-4C30-8167-75EC0AE0646A}" name="Water"/>
    <tableColumn id="7" xr3:uid="{C235CCC4-A94E-464B-AE35-96309F90FA7A}" name="Transportation"/>
    <tableColumn id="5" xr3:uid="{FBD24046-BCD6-418A-8FDF-2918685E10CE}" name="Oth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49" totalsRowShown="0">
  <autoFilter ref="A1:N49" xr:uid="{A2520818-4902-482A-9E88-A7A4D5A1D5DD}"/>
  <tableColumns count="14">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0" totalsRowShown="0" dataDxfId="11">
  <autoFilter ref="B23:C70"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9" t="s">
        <v>142</v>
      </c>
      <c r="B2" s="69"/>
    </row>
    <row r="3" spans="1:3" ht="28" customHeight="1" x14ac:dyDescent="0.35">
      <c r="A3" s="33"/>
      <c r="B3" s="33"/>
    </row>
    <row r="4" spans="1:3" ht="28" customHeight="1" x14ac:dyDescent="0.35">
      <c r="A4" s="70" t="s">
        <v>137</v>
      </c>
      <c r="B4" s="70"/>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Units'!$B$24:$B$70,'SI - Units'!$C$24:$C$70),'SI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E15" sqref="E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Resources'!$A$1:$H$1,'SI - Resources'!$A$2:$H$2, "")</f>
        <v/>
      </c>
      <c r="D5" s="27" t="str">
        <f>IF(_xlfn.XLOOKUP($C5,'SI - End Use'!$B$2:$B$49,'SI - End Use'!$C$2:$C$49, "")="", "", _xlfn.XLOOKUP($C5,'SI - End Use'!$B$2:$B$49,'SI - End Use'!$C$2:$C$49, ""))</f>
        <v/>
      </c>
      <c r="E5" s="23"/>
      <c r="F5" s="27" t="str" cm="1">
        <f t="array" ref="F5">IF($B5="Transportation",  'SI - Units'!$B$9:$B$9, _xlfn.XLOOKUP(_xlfn.XLOOKUP($C5,'SI - Units'!$B$24:$B$70,'SI - Units'!$C$24:$C$70, ""),'SI - Units'!$A$2:$A$8,'SI - Units'!$B$2:$B$8, ""))</f>
        <v/>
      </c>
      <c r="G5" s="39"/>
      <c r="H5" s="39"/>
      <c r="I5" s="43" t="str">
        <f>IF(Table1[[#This Row],[Type]]="Co-product", "No", "")</f>
        <v/>
      </c>
      <c r="J5" s="10"/>
      <c r="K5" s="10" t="str">
        <f>IF(Table1[[#This Row],[Type]]="Transportation", _xlfn.XLOOKUP(Table1[[#This Row],[Resource]], 'SI - Payload'!$A$10:$A$33,'SI - Payload'!$B$10:$B$33,"",0), "")</f>
        <v/>
      </c>
      <c r="L5" s="10" t="str">
        <f>IF(Table1[[#This Row],[Type]]="Transportation", "ton", "")</f>
        <v/>
      </c>
      <c r="M5" s="10"/>
      <c r="N5" s="10"/>
      <c r="O5" s="10" t="str">
        <f>Table1[[#This Row],[Resource]]</f>
        <v/>
      </c>
      <c r="P5" s="10" t="str">
        <f>IF(_xlfn.XLOOKUP($O5,'SI - End Use'!$B$2:$B$49,'SI - End Use'!$C$2:$C$49, "")="", "", _xlfn.XLOOKUP($C5,'SI - End Use'!$B$2:$B$49,'SI - End Use'!$C$2:$C$49, ""))</f>
        <v/>
      </c>
      <c r="Q5" s="10"/>
      <c r="R5" s="10"/>
    </row>
    <row r="6" spans="1:18" x14ac:dyDescent="0.35">
      <c r="A6" s="10"/>
      <c r="B6" s="10"/>
      <c r="C6" s="10" t="str">
        <f>_xlfn.XLOOKUP($B6,'SI - Resources'!$A$1:$H$1,'SI - Resources'!$A$2:$H$2, "")</f>
        <v/>
      </c>
      <c r="D6" s="27" t="str">
        <f>IF(_xlfn.XLOOKUP($C6,'SI - End Use'!$B$2:$B$49,'SI - End Use'!$C$2:$C$49, "")="", "", _xlfn.XLOOKUP($C6,'SI - End Use'!$B$2:$B$49,'SI - End Use'!$C$2:$C$49, ""))</f>
        <v/>
      </c>
      <c r="E6" s="23"/>
      <c r="F6" s="27" t="str" cm="1">
        <f t="array" ref="F6">IF($B6="Transportation",  'SI - Units'!$B$9:$B$9, _xlfn.XLOOKUP(_xlfn.XLOOKUP($C6,'SI - Units'!$B$24:$B$70,'SI - Units'!$C$24:$C$70, ""),'SI - Units'!$A$2:$A$8,'SI - Units'!$B$2:$B$8, ""))</f>
        <v/>
      </c>
      <c r="G6" s="39"/>
      <c r="H6" s="39"/>
      <c r="I6" s="43" t="str">
        <f>IF(Table1[[#This Row],[Type]]="Co-product", "No", "")</f>
        <v/>
      </c>
      <c r="J6" s="10"/>
      <c r="K6" s="10" t="str">
        <f>IF(Table1[[#This Row],[Type]]="Transportation", _xlfn.XLOOKUP(Table1[[#This Row],[Resource]], 'SI - Payload'!$A$10:$A$33,'SI - Payload'!$B$10:$B$33,"",0), "")</f>
        <v/>
      </c>
      <c r="L6" s="10" t="str">
        <f>IF(Table1[[#This Row],[Type]]="Transportation", "ton", "")</f>
        <v/>
      </c>
      <c r="M6" s="10"/>
      <c r="N6" s="10"/>
      <c r="O6" s="10" t="str">
        <f>Table1[[#This Row],[Resource]]</f>
        <v/>
      </c>
      <c r="P6" s="10" t="str">
        <f>IF(_xlfn.XLOOKUP($O6,'SI - End Use'!$B$2:$B$49,'SI - End Use'!$C$2:$C$49, "")="", "", _xlfn.XLOOKUP($C6,'SI - End Use'!$B$2:$B$49,'SI - End Use'!$C$2:$C$49, ""))</f>
        <v/>
      </c>
      <c r="Q6" s="10"/>
      <c r="R6" s="10"/>
    </row>
    <row r="7" spans="1:18" x14ac:dyDescent="0.35">
      <c r="A7" s="10"/>
      <c r="B7" s="10"/>
      <c r="C7" s="10" t="str">
        <f>_xlfn.XLOOKUP($B7,'SI - Resources'!$A$1:$H$1,'SI - Resources'!$A$2:$H$2, "")</f>
        <v/>
      </c>
      <c r="D7" s="27" t="str">
        <f>IF(_xlfn.XLOOKUP($C7,'SI - End Use'!$B$2:$B$49,'SI - End Use'!$C$2:$C$49, "")="", "", _xlfn.XLOOKUP($C7,'SI - End Use'!$B$2:$B$49,'SI - End Use'!$C$2:$C$49, ""))</f>
        <v/>
      </c>
      <c r="E7" s="23"/>
      <c r="F7" s="27" t="str" cm="1">
        <f t="array" ref="F7">IF($B7="Transportation",  'SI - Units'!$B$9:$B$9, _xlfn.XLOOKUP(_xlfn.XLOOKUP($C7,'SI - Units'!$B$24:$B$70,'SI - Units'!$C$24:$C$70, ""),'SI - Units'!$A$2:$A$8,'SI - Units'!$B$2:$B$8, ""))</f>
        <v/>
      </c>
      <c r="G7" s="39"/>
      <c r="H7" s="39"/>
      <c r="I7" s="43" t="str">
        <f>IF(Table1[[#This Row],[Type]]="Co-product", "No", "")</f>
        <v/>
      </c>
      <c r="J7" s="10"/>
      <c r="K7" s="10" t="str">
        <f>IF(Table1[[#This Row],[Type]]="Transportation", _xlfn.XLOOKUP(Table1[[#This Row],[Resource]], 'SI - Payload'!$A$10:$A$33,'SI - Payload'!$B$10:$B$33,"",0), "")</f>
        <v/>
      </c>
      <c r="L7" s="10" t="str">
        <f>IF(Table1[[#This Row],[Type]]="Transportation", "ton", "")</f>
        <v/>
      </c>
      <c r="M7" s="10"/>
      <c r="N7" s="10"/>
      <c r="O7" s="10" t="str">
        <f>Table1[[#This Row],[Resource]]</f>
        <v/>
      </c>
      <c r="P7" s="10" t="str">
        <f>IF(_xlfn.XLOOKUP($O7,'SI - End Use'!$B$2:$B$49,'SI - End Use'!$C$2:$C$49, "")="", "", _xlfn.XLOOKUP($C7,'SI - End Use'!$B$2:$B$49,'SI - End Use'!$C$2:$C$49, ""))</f>
        <v/>
      </c>
      <c r="Q7" s="10"/>
      <c r="R7" s="10"/>
    </row>
    <row r="8" spans="1:18" x14ac:dyDescent="0.35">
      <c r="A8" s="10"/>
      <c r="B8" s="10"/>
      <c r="C8" s="10" t="str">
        <f>_xlfn.XLOOKUP($B8,'SI - Resources'!$A$1:$H$1,'SI - Resources'!$A$2:$H$2, "")</f>
        <v/>
      </c>
      <c r="D8" s="27" t="str">
        <f>IF(_xlfn.XLOOKUP($C8,'SI - End Use'!$B$2:$B$49,'SI - End Use'!$C$2:$C$49, "")="", "", _xlfn.XLOOKUP($C8,'SI - End Use'!$B$2:$B$49,'SI - End Use'!$C$2:$C$49, ""))</f>
        <v/>
      </c>
      <c r="E8" s="23"/>
      <c r="F8" s="27" t="str" cm="1">
        <f t="array" ref="F8">IF($B8="Transportation",  'SI - Units'!$B$9:$B$9, _xlfn.XLOOKUP(_xlfn.XLOOKUP($C8,'SI - Units'!$B$24:$B$70,'SI - Units'!$C$24:$C$70, ""),'SI - Units'!$A$2:$A$8,'SI - Units'!$B$2:$B$8, ""))</f>
        <v/>
      </c>
      <c r="G8" s="39"/>
      <c r="H8" s="39"/>
      <c r="I8" s="43" t="str">
        <f>IF(Table1[[#This Row],[Type]]="Co-product", "No", "")</f>
        <v/>
      </c>
      <c r="J8" s="10"/>
      <c r="K8" s="10" t="str">
        <f>IF(Table1[[#This Row],[Type]]="Transportation", _xlfn.XLOOKUP(Table1[[#This Row],[Resource]], 'SI - Payload'!$A$10:$A$33,'SI - Payload'!$B$10:$B$33,"",0), "")</f>
        <v/>
      </c>
      <c r="L8" s="10" t="str">
        <f>IF(Table1[[#This Row],[Type]]="Transportation", "ton", "")</f>
        <v/>
      </c>
      <c r="M8" s="10"/>
      <c r="N8" s="10"/>
      <c r="O8" s="10" t="str">
        <f>Table1[[#This Row],[Resource]]</f>
        <v/>
      </c>
      <c r="P8" s="10" t="str">
        <f>IF(_xlfn.XLOOKUP($O8,'SI - End Use'!$B$2:$B$49,'SI - End Use'!$C$2:$C$49, "")="", "", _xlfn.XLOOKUP($C8,'SI - End Use'!$B$2:$B$49,'SI - End Use'!$C$2:$C$49, ""))</f>
        <v/>
      </c>
      <c r="Q8" s="10"/>
      <c r="R8" s="10"/>
    </row>
    <row r="9" spans="1:18" x14ac:dyDescent="0.35">
      <c r="A9" s="10"/>
      <c r="B9" s="10"/>
      <c r="C9" s="10" t="str">
        <f>_xlfn.XLOOKUP($B9,'SI - Resources'!$A$1:$H$1,'SI - Resources'!$A$2:$H$2, "")</f>
        <v/>
      </c>
      <c r="D9" s="27" t="str">
        <f>IF(_xlfn.XLOOKUP($C9,'SI - End Use'!$B$2:$B$49,'SI - End Use'!$C$2:$C$49, "")="", "", _xlfn.XLOOKUP($C9,'SI - End Use'!$B$2:$B$49,'SI - End Use'!$C$2:$C$49, ""))</f>
        <v/>
      </c>
      <c r="E9" s="23"/>
      <c r="F9" s="27" t="str" cm="1">
        <f t="array" ref="F9">IF($B9="Transportation",  'SI - Units'!$B$9:$B$9, _xlfn.XLOOKUP(_xlfn.XLOOKUP($C9,'SI - Units'!$B$24:$B$70,'SI - Units'!$C$24:$C$70, ""),'SI - Units'!$A$2:$A$8,'SI - Units'!$B$2:$B$8, ""))</f>
        <v/>
      </c>
      <c r="G9" s="39"/>
      <c r="H9" s="39"/>
      <c r="I9" s="43" t="str">
        <f>IF(Table1[[#This Row],[Type]]="Co-product", "No", "")</f>
        <v/>
      </c>
      <c r="J9" s="10"/>
      <c r="K9" s="10" t="str">
        <f>IF(Table1[[#This Row],[Type]]="Transportation", _xlfn.XLOOKUP(Table1[[#This Row],[Resource]], 'SI - Payload'!$A$10:$A$33,'SI - Payload'!$B$10:$B$33,"",0), "")</f>
        <v/>
      </c>
      <c r="L9" s="10" t="str">
        <f>IF(Table1[[#This Row],[Type]]="Transportation", "ton", "")</f>
        <v/>
      </c>
      <c r="M9" s="10"/>
      <c r="N9" s="10"/>
      <c r="O9" s="10" t="str">
        <f>Table1[[#This Row],[Resource]]</f>
        <v/>
      </c>
      <c r="P9" s="10" t="str">
        <f>IF(_xlfn.XLOOKUP($O9,'SI - End Use'!$B$2:$B$49,'SI - End Use'!$C$2:$C$49, "")="", "", _xlfn.XLOOKUP($C9,'SI - End Use'!$B$2:$B$49,'SI - End Use'!$C$2:$C$49, ""))</f>
        <v/>
      </c>
      <c r="Q9" s="10"/>
      <c r="R9" s="10"/>
    </row>
    <row r="10" spans="1:18" x14ac:dyDescent="0.35">
      <c r="A10" s="10"/>
      <c r="B10" s="10"/>
      <c r="C10" s="10" t="str">
        <f>_xlfn.XLOOKUP($B10,'SI - Resources'!$A$1:$H$1,'SI - Resources'!$A$2:$H$2, "")</f>
        <v/>
      </c>
      <c r="D10" s="27" t="str">
        <f>IF(_xlfn.XLOOKUP($C10,'SI - End Use'!$B$2:$B$49,'SI - End Use'!$C$2:$C$49, "")="", "", _xlfn.XLOOKUP($C10,'SI - End Use'!$B$2:$B$49,'SI - End Use'!$C$2:$C$49, ""))</f>
        <v/>
      </c>
      <c r="E10" s="23"/>
      <c r="F10" s="27" t="str" cm="1">
        <f t="array" ref="F10">IF($B10="Transportation",  'SI - Units'!$B$9:$B$9, _xlfn.XLOOKUP(_xlfn.XLOOKUP($C10,'SI - Units'!$B$24:$B$70,'SI - Units'!$C$24:$C$70, ""),'SI - Units'!$A$2:$A$8,'SI - Units'!$B$2:$B$8, ""))</f>
        <v/>
      </c>
      <c r="G10" s="39"/>
      <c r="H10" s="39"/>
      <c r="I10" s="43" t="str">
        <f>IF(Table1[[#This Row],[Type]]="Co-product", "No", "")</f>
        <v/>
      </c>
      <c r="J10" s="10"/>
      <c r="K10" s="10" t="str">
        <f>IF(Table1[[#This Row],[Type]]="Transportation", _xlfn.XLOOKUP(Table1[[#This Row],[Resource]], 'SI - Payload'!$A$10:$A$33,'SI - Payload'!$B$10:$B$33,"",0), "")</f>
        <v/>
      </c>
      <c r="L10" s="10" t="str">
        <f>IF(Table1[[#This Row],[Type]]="Transportation", "ton", "")</f>
        <v/>
      </c>
      <c r="M10" s="10"/>
      <c r="N10" s="10"/>
      <c r="O10" s="10" t="str">
        <f>Table1[[#This Row],[Resource]]</f>
        <v/>
      </c>
      <c r="P10" s="10" t="str">
        <f>IF(_xlfn.XLOOKUP($O10,'SI - End Use'!$B$2:$B$49,'SI - End Use'!$C$2:$C$49, "")="", "", _xlfn.XLOOKUP($C10,'SI - End Use'!$B$2:$B$49,'SI - End Use'!$C$2:$C$49, ""))</f>
        <v/>
      </c>
      <c r="Q10" s="10"/>
      <c r="R10" s="10"/>
    </row>
    <row r="11" spans="1:18" x14ac:dyDescent="0.35">
      <c r="A11" s="10"/>
      <c r="B11" s="10"/>
      <c r="C11" s="10" t="str">
        <f>_xlfn.XLOOKUP($B11,'SI - Resources'!$A$1:$H$1,'SI - Resources'!$A$2:$H$2, "")</f>
        <v/>
      </c>
      <c r="D11" s="27" t="str">
        <f>IF(_xlfn.XLOOKUP($C11,'SI - End Use'!$B$2:$B$49,'SI - End Use'!$C$2:$C$49, "")="", "", _xlfn.XLOOKUP($C11,'SI - End Use'!$B$2:$B$49,'SI - End Use'!$C$2:$C$49, ""))</f>
        <v/>
      </c>
      <c r="E11" s="23"/>
      <c r="F11" s="27" t="str" cm="1">
        <f t="array" ref="F11">IF($B11="Transportation",  'SI - Units'!$B$9:$B$9, _xlfn.XLOOKUP(_xlfn.XLOOKUP($C11,'SI - Units'!$B$24:$B$70,'SI - Units'!$C$24:$C$70, ""),'SI - Units'!$A$2:$A$8,'SI - Units'!$B$2:$B$8, ""))</f>
        <v/>
      </c>
      <c r="G11" s="39"/>
      <c r="H11" s="39"/>
      <c r="I11" s="43" t="str">
        <f>IF(Table1[[#This Row],[Type]]="Co-product", "No", "")</f>
        <v/>
      </c>
      <c r="J11" s="10"/>
      <c r="K11" s="10" t="str">
        <f>IF(Table1[[#This Row],[Type]]="Transportation", _xlfn.XLOOKUP(Table1[[#This Row],[Resource]], 'SI - Payload'!$A$10:$A$33,'SI - Payload'!$B$10:$B$33,"",0), "")</f>
        <v/>
      </c>
      <c r="L11" s="10" t="str">
        <f>IF(Table1[[#This Row],[Type]]="Transportation", "ton", "")</f>
        <v/>
      </c>
      <c r="M11" s="10"/>
      <c r="N11" s="10"/>
      <c r="O11" s="10" t="str">
        <f>Table1[[#This Row],[Resource]]</f>
        <v/>
      </c>
      <c r="P11" s="10" t="str">
        <f>IF(_xlfn.XLOOKUP($O11,'SI - End Use'!$B$2:$B$49,'SI - End Use'!$C$2:$C$49, "")="", "", _xlfn.XLOOKUP($C11,'SI - End Use'!$B$2:$B$49,'SI - End Use'!$C$2:$C$49, ""))</f>
        <v/>
      </c>
      <c r="Q11" s="10"/>
      <c r="R11" s="10"/>
    </row>
    <row r="12" spans="1:18" x14ac:dyDescent="0.35">
      <c r="A12" s="10"/>
      <c r="B12" s="10"/>
      <c r="C12" s="10" t="str">
        <f>_xlfn.XLOOKUP($B12,'SI - Resources'!$A$1:$H$1,'SI - Resources'!$A$2:$H$2, "")</f>
        <v/>
      </c>
      <c r="D12" s="27" t="str">
        <f>IF(_xlfn.XLOOKUP($C12,'SI - End Use'!$B$2:$B$49,'SI - End Use'!$C$2:$C$49, "")="", "", _xlfn.XLOOKUP($C12,'SI - End Use'!$B$2:$B$49,'SI - End Use'!$C$2:$C$49, ""))</f>
        <v/>
      </c>
      <c r="E12" s="23"/>
      <c r="F12" s="27" t="str" cm="1">
        <f t="array" ref="F12">IF($B12="Transportation",  'SI - Units'!$B$9:$B$9, _xlfn.XLOOKUP(_xlfn.XLOOKUP($C12,'SI - Units'!$B$24:$B$70,'SI - Units'!$C$24:$C$70, ""),'SI - Units'!$A$2:$A$8,'SI - Units'!$B$2:$B$8, ""))</f>
        <v/>
      </c>
      <c r="G12" s="39"/>
      <c r="H12" s="39"/>
      <c r="I12" s="43" t="str">
        <f>IF(Table1[[#This Row],[Type]]="Co-product", "No", "")</f>
        <v/>
      </c>
      <c r="J12" s="10"/>
      <c r="K12" s="10" t="str">
        <f>IF(Table1[[#This Row],[Type]]="Transportation", _xlfn.XLOOKUP(Table1[[#This Row],[Resource]], 'SI - Payload'!$A$10:$A$33,'SI - Payload'!$B$10:$B$33,"",0), "")</f>
        <v/>
      </c>
      <c r="L12" s="10" t="str">
        <f>IF(Table1[[#This Row],[Type]]="Transportation", "ton", "")</f>
        <v/>
      </c>
      <c r="M12" s="10"/>
      <c r="N12" s="10"/>
      <c r="O12" s="10" t="str">
        <f>Table1[[#This Row],[Resource]]</f>
        <v/>
      </c>
      <c r="P12" s="10" t="str">
        <f>IF(_xlfn.XLOOKUP($O12,'SI - End Use'!$B$2:$B$49,'SI - End Use'!$C$2:$C$49, "")="", "", _xlfn.XLOOKUP($C12,'SI - End Use'!$B$2:$B$49,'SI - End Use'!$C$2:$C$49, ""))</f>
        <v/>
      </c>
      <c r="Q12" s="10"/>
      <c r="R12" s="10"/>
    </row>
    <row r="13" spans="1:18" x14ac:dyDescent="0.35">
      <c r="A13" s="10"/>
      <c r="B13" s="10"/>
      <c r="C13" s="10" t="str">
        <f>_xlfn.XLOOKUP($B13,'SI - Resources'!$A$1:$H$1,'SI - Resources'!$A$2:$H$2, "")</f>
        <v/>
      </c>
      <c r="D13" s="27" t="str">
        <f>IF(_xlfn.XLOOKUP($C13,'SI - End Use'!$B$2:$B$49,'SI - End Use'!$C$2:$C$49, "")="", "", _xlfn.XLOOKUP($C13,'SI - End Use'!$B$2:$B$49,'SI - End Use'!$C$2:$C$49, ""))</f>
        <v/>
      </c>
      <c r="E13" s="23"/>
      <c r="F13" s="27" t="str" cm="1">
        <f t="array" ref="F13">IF($B13="Transportation",  'SI - Units'!$B$9:$B$9, _xlfn.XLOOKUP(_xlfn.XLOOKUP($C13,'SI - Units'!$B$24:$B$70,'SI - Units'!$C$24:$C$70, ""),'SI - Units'!$A$2:$A$8,'SI - Units'!$B$2:$B$8, ""))</f>
        <v/>
      </c>
      <c r="G13" s="39"/>
      <c r="H13" s="39"/>
      <c r="I13" s="43" t="str">
        <f>IF(Table1[[#This Row],[Type]]="Co-product", "No", "")</f>
        <v/>
      </c>
      <c r="J13" s="10"/>
      <c r="K13" s="10" t="str">
        <f>IF(Table1[[#This Row],[Type]]="Transportation", _xlfn.XLOOKUP(Table1[[#This Row],[Resource]], 'SI - Payload'!$A$10:$A$33,'SI - Payload'!$B$10:$B$33,"",0), "")</f>
        <v/>
      </c>
      <c r="L13" s="10" t="str">
        <f>IF(Table1[[#This Row],[Type]]="Transportation", "ton", "")</f>
        <v/>
      </c>
      <c r="M13" s="10"/>
      <c r="N13" s="10"/>
      <c r="O13" s="10" t="str">
        <f>Table1[[#This Row],[Resource]]</f>
        <v/>
      </c>
      <c r="P13" s="10" t="str">
        <f>IF(_xlfn.XLOOKUP($O13,'SI - End Use'!$B$2:$B$49,'SI - End Use'!$C$2:$C$49, "")="", "", _xlfn.XLOOKUP($C13,'SI - End Use'!$B$2:$B$49,'SI - End Use'!$C$2:$C$49, ""))</f>
        <v/>
      </c>
      <c r="Q13" s="10"/>
      <c r="R13" s="10"/>
    </row>
    <row r="14" spans="1:18" x14ac:dyDescent="0.35">
      <c r="A14" s="10"/>
      <c r="B14" s="10"/>
      <c r="C14" s="10" t="str">
        <f>_xlfn.XLOOKUP($B14,'SI - Resources'!$A$1:$H$1,'SI - Resources'!$A$2:$H$2, "")</f>
        <v/>
      </c>
      <c r="D14" s="27" t="str">
        <f>IF(_xlfn.XLOOKUP($C14,'SI - End Use'!$B$2:$B$49,'SI - End Use'!$C$2:$C$49, "")="", "", _xlfn.XLOOKUP($C14,'SI - End Use'!$B$2:$B$49,'SI - End Use'!$C$2:$C$49, ""))</f>
        <v/>
      </c>
      <c r="E14" s="23"/>
      <c r="F14" s="27" t="str" cm="1">
        <f t="array" ref="F14">IF($B14="Transportation",  'SI - Units'!$B$9:$B$9, _xlfn.XLOOKUP(_xlfn.XLOOKUP($C14,'SI - Units'!$B$24:$B$70,'SI - Units'!$C$24:$C$70, ""),'SI - Units'!$A$2:$A$8,'SI - Units'!$B$2:$B$8, ""))</f>
        <v/>
      </c>
      <c r="G14" s="39"/>
      <c r="H14" s="39"/>
      <c r="I14" s="43" t="str">
        <f>IF(Table1[[#This Row],[Type]]="Co-product", "No", "")</f>
        <v/>
      </c>
      <c r="J14" s="10"/>
      <c r="K14" s="10" t="str">
        <f>IF(Table1[[#This Row],[Type]]="Transportation", _xlfn.XLOOKUP(Table1[[#This Row],[Resource]], 'SI - Payload'!$A$10:$A$33,'SI - Payload'!$B$10:$B$33,"",0), "")</f>
        <v/>
      </c>
      <c r="L14" s="10" t="str">
        <f>IF(Table1[[#This Row],[Type]]="Transportation", "ton", "")</f>
        <v/>
      </c>
      <c r="M14" s="10"/>
      <c r="N14" s="10"/>
      <c r="O14" s="10" t="str">
        <f>Table1[[#This Row],[Resource]]</f>
        <v/>
      </c>
      <c r="P14" s="10" t="str">
        <f>IF(_xlfn.XLOOKUP($O14,'SI - End Use'!$B$2:$B$49,'SI - End Use'!$C$2:$C$49, "")="", "", _xlfn.XLOOKUP($C14,'SI - End Use'!$B$2:$B$49,'SI - End Use'!$C$2:$C$49, ""))</f>
        <v/>
      </c>
      <c r="Q14" s="10"/>
      <c r="R14" s="10"/>
    </row>
    <row r="15" spans="1:18" x14ac:dyDescent="0.35">
      <c r="A15" s="10"/>
      <c r="B15" s="10"/>
      <c r="C15" s="10" t="str">
        <f>_xlfn.XLOOKUP($B15,'SI - Resources'!$A$1:$H$1,'SI - Resources'!$A$2:$H$2, "")</f>
        <v/>
      </c>
      <c r="D15" s="27" t="str">
        <f>IF(_xlfn.XLOOKUP($C15,'SI - End Use'!$B$2:$B$49,'SI - End Use'!$C$2:$C$49, "")="", "", _xlfn.XLOOKUP($C15,'SI - End Use'!$B$2:$B$49,'SI - End Use'!$C$2:$C$49, ""))</f>
        <v/>
      </c>
      <c r="E15" s="23"/>
      <c r="F15" s="27" t="str" cm="1">
        <f t="array" ref="F15">IF($B15="Transportation",  'SI - Units'!$B$9:$B$9, _xlfn.XLOOKUP(_xlfn.XLOOKUP($C15,'SI - Units'!$B$24:$B$70,'SI - Units'!$C$24:$C$70, ""),'SI - Units'!$A$2:$A$8,'SI - Units'!$B$2:$B$8, ""))</f>
        <v/>
      </c>
      <c r="G15" s="39"/>
      <c r="H15" s="39"/>
      <c r="I15" s="43" t="str">
        <f>IF(Table1[[#This Row],[Type]]="Co-product", "No", "")</f>
        <v/>
      </c>
      <c r="J15" s="10"/>
      <c r="K15" s="10" t="str">
        <f>IF(Table1[[#This Row],[Type]]="Transportation", _xlfn.XLOOKUP(Table1[[#This Row],[Resource]], 'SI - Payload'!$A$10:$A$33,'SI - Payload'!$B$10:$B$33,"",0), "")</f>
        <v/>
      </c>
      <c r="L15" s="10" t="str">
        <f>IF(Table1[[#This Row],[Type]]="Transportation", "ton", "")</f>
        <v/>
      </c>
      <c r="M15" s="10"/>
      <c r="N15" s="10"/>
      <c r="O15" s="10" t="str">
        <f>Table1[[#This Row],[Resource]]</f>
        <v/>
      </c>
      <c r="P15" s="10" t="str">
        <f>IF(_xlfn.XLOOKUP($O15,'SI - End Use'!$B$2:$B$49,'SI - End Use'!$C$2:$C$49, "")="", "", _xlfn.XLOOKUP($C15,'SI - End Use'!$B$2:$B$49,'SI - End Use'!$C$2:$C$49, ""))</f>
        <v/>
      </c>
      <c r="Q15" s="10"/>
      <c r="R15" s="10"/>
    </row>
    <row r="16" spans="1:18" x14ac:dyDescent="0.35">
      <c r="A16" s="10"/>
      <c r="B16" s="10"/>
      <c r="C16" s="10" t="str">
        <f>_xlfn.XLOOKUP($B16,'SI - Resources'!$A$1:$H$1,'SI - Resources'!$A$2:$H$2, "")</f>
        <v/>
      </c>
      <c r="D16" s="27" t="str">
        <f>IF(_xlfn.XLOOKUP($C16,'SI - End Use'!$B$2:$B$49,'SI - End Use'!$C$2:$C$49, "")="", "", _xlfn.XLOOKUP($C16,'SI - End Use'!$B$2:$B$49,'SI - End Use'!$C$2:$C$49, ""))</f>
        <v/>
      </c>
      <c r="E16" s="23"/>
      <c r="F16" s="27" t="str" cm="1">
        <f t="array" ref="F16">IF($B16="Transportation",  'SI - Units'!$B$9:$B$9, _xlfn.XLOOKUP(_xlfn.XLOOKUP($C16,'SI - Units'!$B$24:$B$70,'SI - Units'!$C$24:$C$70, ""),'SI - Units'!$A$2:$A$8,'SI - Units'!$B$2:$B$8, ""))</f>
        <v/>
      </c>
      <c r="G16" s="39"/>
      <c r="H16" s="39"/>
      <c r="I16" s="43" t="str">
        <f>IF(Table1[[#This Row],[Type]]="Co-product", "No", "")</f>
        <v/>
      </c>
      <c r="J16" s="10"/>
      <c r="K16" s="10" t="str">
        <f>IF(Table1[[#This Row],[Type]]="Transportation", _xlfn.XLOOKUP(Table1[[#This Row],[Resource]], 'SI - Payload'!$A$10:$A$33,'SI - Payload'!$B$10:$B$33,"",0), "")</f>
        <v/>
      </c>
      <c r="L16" s="10" t="str">
        <f>IF(Table1[[#This Row],[Type]]="Transportation", "ton", "")</f>
        <v/>
      </c>
      <c r="M16" s="10"/>
      <c r="N16" s="10"/>
      <c r="O16" s="10" t="str">
        <f>Table1[[#This Row],[Resource]]</f>
        <v/>
      </c>
      <c r="P16" s="10" t="str">
        <f>IF(_xlfn.XLOOKUP($O16,'SI - End Use'!$B$2:$B$49,'SI - End Use'!$C$2:$C$49, "")="", "", _xlfn.XLOOKUP($C16,'SI - End Use'!$B$2:$B$49,'SI - End Use'!$C$2:$C$49, ""))</f>
        <v/>
      </c>
      <c r="Q16" s="10"/>
      <c r="R16" s="10"/>
    </row>
    <row r="17" spans="1:18" x14ac:dyDescent="0.35">
      <c r="A17" s="10"/>
      <c r="B17" s="10"/>
      <c r="C17" s="10" t="str">
        <f>_xlfn.XLOOKUP($B17,'SI - Resources'!$A$1:$H$1,'SI - Resources'!$A$2:$H$2, "")</f>
        <v/>
      </c>
      <c r="D17" s="27" t="str">
        <f>IF(_xlfn.XLOOKUP($C17,'SI - End Use'!$B$2:$B$49,'SI - End Use'!$C$2:$C$49, "")="", "", _xlfn.XLOOKUP($C17,'SI - End Use'!$B$2:$B$49,'SI - End Use'!$C$2:$C$49, ""))</f>
        <v/>
      </c>
      <c r="E17" s="23"/>
      <c r="F17" s="27" t="str" cm="1">
        <f t="array" ref="F17">IF($B17="Transportation",  'SI - Units'!$B$9:$B$9, _xlfn.XLOOKUP(_xlfn.XLOOKUP($C17,'SI - Units'!$B$24:$B$70,'SI - Units'!$C$24:$C$70, ""),'SI - Units'!$A$2:$A$8,'SI - Units'!$B$2:$B$8, ""))</f>
        <v/>
      </c>
      <c r="G17" s="39"/>
      <c r="H17" s="39"/>
      <c r="I17" s="43" t="str">
        <f>IF(Table1[[#This Row],[Type]]="Co-product", "No", "")</f>
        <v/>
      </c>
      <c r="J17" s="10"/>
      <c r="K17" s="10" t="str">
        <f>IF(Table1[[#This Row],[Type]]="Transportation", _xlfn.XLOOKUP(Table1[[#This Row],[Resource]], 'SI - Payload'!$A$10:$A$33,'SI - Payload'!$B$10:$B$33,"",0), "")</f>
        <v/>
      </c>
      <c r="L17" s="10" t="str">
        <f>IF(Table1[[#This Row],[Type]]="Transportation", "ton", "")</f>
        <v/>
      </c>
      <c r="M17" s="10"/>
      <c r="N17" s="10"/>
      <c r="O17" s="10" t="str">
        <f>Table1[[#This Row],[Resource]]</f>
        <v/>
      </c>
      <c r="P17" s="10" t="str">
        <f>IF(_xlfn.XLOOKUP($O17,'SI - End Use'!$B$2:$B$49,'SI - End Use'!$C$2:$C$49, "")="", "", _xlfn.XLOOKUP($C17,'SI - End Use'!$B$2:$B$49,'SI - End Use'!$C$2:$C$49, ""))</f>
        <v/>
      </c>
      <c r="Q17" s="10"/>
      <c r="R17" s="10"/>
    </row>
    <row r="18" spans="1:18" x14ac:dyDescent="0.35">
      <c r="A18" s="10"/>
      <c r="B18" s="10"/>
      <c r="C18" s="10" t="str">
        <f>_xlfn.XLOOKUP($B18,'SI - Resources'!$A$1:$H$1,'SI - Resources'!$A$2:$H$2, "")</f>
        <v/>
      </c>
      <c r="D18" s="27" t="str">
        <f>IF(_xlfn.XLOOKUP($C18,'SI - End Use'!$B$2:$B$49,'SI - End Use'!$C$2:$C$49, "")="", "", _xlfn.XLOOKUP($C18,'SI - End Use'!$B$2:$B$49,'SI - End Use'!$C$2:$C$49, ""))</f>
        <v/>
      </c>
      <c r="E18" s="23"/>
      <c r="F18" s="27" t="str" cm="1">
        <f t="array" ref="F18">IF($B18="Transportation",  'SI - Units'!$B$9:$B$9, _xlfn.XLOOKUP(_xlfn.XLOOKUP($C18,'SI - Units'!$B$24:$B$70,'SI - Units'!$C$24:$C$70, ""),'SI - Units'!$A$2:$A$8,'SI - Units'!$B$2:$B$8, ""))</f>
        <v/>
      </c>
      <c r="G18" s="39"/>
      <c r="H18" s="39"/>
      <c r="I18" s="43" t="str">
        <f>IF(Table1[[#This Row],[Type]]="Co-product", "No", "")</f>
        <v/>
      </c>
      <c r="J18" s="10"/>
      <c r="K18" s="10" t="str">
        <f>IF(Table1[[#This Row],[Type]]="Transportation", _xlfn.XLOOKUP(Table1[[#This Row],[Resource]], 'SI - Payload'!$A$10:$A$33,'SI - Payload'!$B$10:$B$33,"",0), "")</f>
        <v/>
      </c>
      <c r="L18" s="10" t="str">
        <f>IF(Table1[[#This Row],[Type]]="Transportation", "ton", "")</f>
        <v/>
      </c>
      <c r="M18" s="10"/>
      <c r="N18" s="10"/>
      <c r="O18" s="10" t="str">
        <f>Table1[[#This Row],[Resource]]</f>
        <v/>
      </c>
      <c r="P18" s="10" t="str">
        <f>IF(_xlfn.XLOOKUP($O18,'SI - End Use'!$B$2:$B$49,'SI - End Use'!$C$2:$C$49, "")="", "", _xlfn.XLOOKUP($C18,'SI - End Use'!$B$2:$B$49,'SI - End Use'!$C$2:$C$49, ""))</f>
        <v/>
      </c>
      <c r="Q18" s="10"/>
      <c r="R18" s="10"/>
    </row>
    <row r="19" spans="1:18" x14ac:dyDescent="0.35">
      <c r="A19" s="10"/>
      <c r="B19" s="10"/>
      <c r="C19" s="10" t="str">
        <f>_xlfn.XLOOKUP($B19,'SI - Resources'!$A$1:$H$1,'SI - Resources'!$A$2:$H$2, "")</f>
        <v/>
      </c>
      <c r="D19" s="27" t="str">
        <f>IF(_xlfn.XLOOKUP($C19,'SI - End Use'!$B$2:$B$49,'SI - End Use'!$C$2:$C$49, "")="", "", _xlfn.XLOOKUP($C19,'SI - End Use'!$B$2:$B$49,'SI - End Use'!$C$2:$C$49, ""))</f>
        <v/>
      </c>
      <c r="E19" s="23"/>
      <c r="F19" s="27" t="str" cm="1">
        <f t="array" ref="F19">IF($B19="Transportation",  'SI - Units'!$B$9:$B$9, _xlfn.XLOOKUP(_xlfn.XLOOKUP($C19,'SI - Units'!$B$24:$B$70,'SI - Units'!$C$24:$C$70, ""),'SI - Units'!$A$2:$A$8,'SI - Units'!$B$2:$B$8, ""))</f>
        <v/>
      </c>
      <c r="G19" s="39"/>
      <c r="H19" s="39"/>
      <c r="I19" s="43" t="str">
        <f>IF(Table1[[#This Row],[Type]]="Co-product", "No", "")</f>
        <v/>
      </c>
      <c r="J19" s="10"/>
      <c r="K19" s="10" t="str">
        <f>IF(Table1[[#This Row],[Type]]="Transportation", _xlfn.XLOOKUP(Table1[[#This Row],[Resource]], 'SI - Payload'!$A$10:$A$33,'SI - Payload'!$B$10:$B$33,"",0), "")</f>
        <v/>
      </c>
      <c r="L19" s="10" t="str">
        <f>IF(Table1[[#This Row],[Type]]="Transportation", "ton", "")</f>
        <v/>
      </c>
      <c r="M19" s="10"/>
      <c r="N19" s="10"/>
      <c r="O19" s="10" t="str">
        <f>Table1[[#This Row],[Resource]]</f>
        <v/>
      </c>
      <c r="P19" s="10" t="str">
        <f>IF(_xlfn.XLOOKUP($O19,'SI - End Use'!$B$2:$B$49,'SI - End Use'!$C$2:$C$49, "")="", "", _xlfn.XLOOKUP($C19,'SI - End Use'!$B$2:$B$49,'SI - End Use'!$C$2:$C$49, ""))</f>
        <v/>
      </c>
      <c r="Q19" s="10"/>
      <c r="R19" s="10"/>
    </row>
    <row r="20" spans="1:18" x14ac:dyDescent="0.35">
      <c r="A20" s="10"/>
      <c r="B20" s="10"/>
      <c r="C20" s="10" t="str">
        <f>_xlfn.XLOOKUP($B20,'SI - Resources'!$A$1:$H$1,'SI - Resources'!$A$2:$H$2, "")</f>
        <v/>
      </c>
      <c r="D20" s="27" t="str">
        <f>IF(_xlfn.XLOOKUP($C20,'SI - End Use'!$B$2:$B$49,'SI - End Use'!$C$2:$C$49, "")="", "", _xlfn.XLOOKUP($C20,'SI - End Use'!$B$2:$B$49,'SI - End Use'!$C$2:$C$49, ""))</f>
        <v/>
      </c>
      <c r="E20" s="23"/>
      <c r="F20" s="27" t="str" cm="1">
        <f t="array" ref="F20">IF($B20="Transportation",  'SI - Units'!$B$9:$B$9, _xlfn.XLOOKUP(_xlfn.XLOOKUP($C20,'SI - Units'!$B$24:$B$70,'SI - Units'!$C$24:$C$70, ""),'SI - Units'!$A$2:$A$8,'SI - Units'!$B$2:$B$8, ""))</f>
        <v/>
      </c>
      <c r="G20" s="39"/>
      <c r="H20" s="39"/>
      <c r="I20" s="43" t="str">
        <f>IF(Table1[[#This Row],[Type]]="Co-product", "No", "")</f>
        <v/>
      </c>
      <c r="J20" s="10"/>
      <c r="K20" s="10" t="str">
        <f>IF(Table1[[#This Row],[Type]]="Transportation", _xlfn.XLOOKUP(Table1[[#This Row],[Resource]], 'SI - Payload'!$A$10:$A$33,'SI - Payload'!$B$10:$B$33,"",0), "")</f>
        <v/>
      </c>
      <c r="L20" s="10" t="str">
        <f>IF(Table1[[#This Row],[Type]]="Transportation", "ton", "")</f>
        <v/>
      </c>
      <c r="M20" s="10"/>
      <c r="N20" s="10"/>
      <c r="O20" s="10" t="str">
        <f>Table1[[#This Row],[Resource]]</f>
        <v/>
      </c>
      <c r="P20" s="10" t="str">
        <f>IF(_xlfn.XLOOKUP($O20,'SI - End Use'!$B$2:$B$49,'SI - End Use'!$C$2:$C$49, "")="", "", _xlfn.XLOOKUP($C20,'SI - End Use'!$B$2:$B$49,'SI - End Use'!$C$2:$C$49, ""))</f>
        <v/>
      </c>
      <c r="Q20" s="10"/>
      <c r="R20" s="10"/>
    </row>
    <row r="21" spans="1:18" x14ac:dyDescent="0.35">
      <c r="A21" s="10"/>
      <c r="B21" s="10"/>
      <c r="C21" s="10" t="str">
        <f>_xlfn.XLOOKUP($B21,'SI - Resources'!$A$1:$H$1,'SI - Resources'!$A$2:$H$2, "")</f>
        <v/>
      </c>
      <c r="D21" s="27" t="str">
        <f>IF(_xlfn.XLOOKUP($C21,'SI - End Use'!$B$2:$B$49,'SI - End Use'!$C$2:$C$49, "")="", "", _xlfn.XLOOKUP($C21,'SI - End Use'!$B$2:$B$49,'SI - End Use'!$C$2:$C$49, ""))</f>
        <v/>
      </c>
      <c r="E21" s="23"/>
      <c r="F21" s="27" t="str" cm="1">
        <f t="array" ref="F21">IF($B21="Transportation",  'SI - Units'!$B$9:$B$9, _xlfn.XLOOKUP(_xlfn.XLOOKUP($C21,'SI - Units'!$B$24:$B$70,'SI - Units'!$C$24:$C$70, ""),'SI - Units'!$A$2:$A$8,'SI - Units'!$B$2:$B$8, ""))</f>
        <v/>
      </c>
      <c r="G21" s="39"/>
      <c r="H21" s="39"/>
      <c r="I21" s="43" t="str">
        <f>IF(Table1[[#This Row],[Type]]="Co-product", "No", "")</f>
        <v/>
      </c>
      <c r="J21" s="10"/>
      <c r="K21" s="10" t="str">
        <f>IF(Table1[[#This Row],[Type]]="Transportation", _xlfn.XLOOKUP(Table1[[#This Row],[Resource]], 'SI - Payload'!$A$10:$A$33,'SI - Payload'!$B$10:$B$33,"",0), "")</f>
        <v/>
      </c>
      <c r="L21" s="10" t="str">
        <f>IF(Table1[[#This Row],[Type]]="Transportation", "ton", "")</f>
        <v/>
      </c>
      <c r="M21" s="10"/>
      <c r="N21" s="10"/>
      <c r="O21" s="10" t="str">
        <f>Table1[[#This Row],[Resource]]</f>
        <v/>
      </c>
      <c r="P21" s="10" t="str">
        <f>IF(_xlfn.XLOOKUP($O21,'SI - End Use'!$B$2:$B$49,'SI - End Use'!$C$2:$C$49, "")="", "", _xlfn.XLOOKUP($C21,'SI - End Use'!$B$2:$B$49,'SI - End Use'!$C$2:$C$49, ""))</f>
        <v/>
      </c>
      <c r="Q21" s="10"/>
      <c r="R21" s="10"/>
    </row>
    <row r="22" spans="1:18" x14ac:dyDescent="0.35">
      <c r="A22" s="10"/>
      <c r="B22" s="10"/>
      <c r="C22" s="10" t="str">
        <f>_xlfn.XLOOKUP($B22,'SI - Resources'!$A$1:$H$1,'SI - Resources'!$A$2:$H$2, "")</f>
        <v/>
      </c>
      <c r="D22" s="27" t="str">
        <f>IF(_xlfn.XLOOKUP($C22,'SI - End Use'!$B$2:$B$49,'SI - End Use'!$C$2:$C$49, "")="", "", _xlfn.XLOOKUP($C22,'SI - End Use'!$B$2:$B$49,'SI - End Use'!$C$2:$C$49, ""))</f>
        <v/>
      </c>
      <c r="E22" s="23"/>
      <c r="F22" s="27" t="str" cm="1">
        <f t="array" ref="F22">IF($B22="Transportation",  'SI - Units'!$B$9:$B$9, _xlfn.XLOOKUP(_xlfn.XLOOKUP($C22,'SI - Units'!$B$24:$B$70,'SI - Units'!$C$24:$C$70, ""),'SI - Units'!$A$2:$A$8,'SI - Units'!$B$2:$B$8, ""))</f>
        <v/>
      </c>
      <c r="G22" s="39"/>
      <c r="H22" s="39"/>
      <c r="I22" s="43" t="str">
        <f>IF(Table1[[#This Row],[Type]]="Co-product", "No", "")</f>
        <v/>
      </c>
      <c r="J22" s="10"/>
      <c r="K22" s="10" t="str">
        <f>IF(Table1[[#This Row],[Type]]="Transportation", _xlfn.XLOOKUP(Table1[[#This Row],[Resource]], 'SI - Payload'!$A$10:$A$33,'SI - Payload'!$B$10:$B$33,"",0), "")</f>
        <v/>
      </c>
      <c r="L22" s="10" t="str">
        <f>IF(Table1[[#This Row],[Type]]="Transportation", "ton", "")</f>
        <v/>
      </c>
      <c r="M22" s="10"/>
      <c r="N22" s="10"/>
      <c r="O22" s="10" t="str">
        <f>Table1[[#This Row],[Resource]]</f>
        <v/>
      </c>
      <c r="P22" s="10" t="str">
        <f>IF(_xlfn.XLOOKUP($O22,'SI - End Use'!$B$2:$B$49,'SI - End Use'!$C$2:$C$49, "")="", "", _xlfn.XLOOKUP($C22,'SI - End Use'!$B$2:$B$49,'SI - End Use'!$C$2:$C$49, ""))</f>
        <v/>
      </c>
      <c r="Q22" s="10"/>
      <c r="R22" s="10"/>
    </row>
    <row r="23" spans="1:18" x14ac:dyDescent="0.35">
      <c r="A23" s="10"/>
      <c r="B23" s="10"/>
      <c r="C23" s="10" t="str">
        <f>_xlfn.XLOOKUP($B23,'SI - Resources'!$A$1:$H$1,'SI - Resources'!$A$2:$H$2, "")</f>
        <v/>
      </c>
      <c r="D23" s="27" t="str">
        <f>IF(_xlfn.XLOOKUP($C23,'SI - End Use'!$B$2:$B$49,'SI - End Use'!$C$2:$C$49, "")="", "", _xlfn.XLOOKUP($C23,'SI - End Use'!$B$2:$B$49,'SI - End Use'!$C$2:$C$49, ""))</f>
        <v/>
      </c>
      <c r="E23" s="23"/>
      <c r="F23" s="27" t="str" cm="1">
        <f t="array" ref="F23">IF($B23="Transportation",  'SI - Units'!$B$9:$B$9, _xlfn.XLOOKUP(_xlfn.XLOOKUP($C23,'SI - Units'!$B$24:$B$70,'SI - Units'!$C$24:$C$70, ""),'SI - Units'!$A$2:$A$8,'SI - Units'!$B$2:$B$8, ""))</f>
        <v/>
      </c>
      <c r="G23" s="39"/>
      <c r="H23" s="39"/>
      <c r="I23" s="43" t="str">
        <f>IF(Table1[[#This Row],[Type]]="Co-product", "No", "")</f>
        <v/>
      </c>
      <c r="J23" s="10"/>
      <c r="K23" s="10" t="str">
        <f>IF(Table1[[#This Row],[Type]]="Transportation", _xlfn.XLOOKUP(Table1[[#This Row],[Resource]], 'SI - Payload'!$A$10:$A$33,'SI - Payload'!$B$10:$B$33,"",0), "")</f>
        <v/>
      </c>
      <c r="L23" s="10" t="str">
        <f>IF(Table1[[#This Row],[Type]]="Transportation", "ton", "")</f>
        <v/>
      </c>
      <c r="M23" s="10"/>
      <c r="N23" s="10"/>
      <c r="O23" s="10" t="str">
        <f>Table1[[#This Row],[Resource]]</f>
        <v/>
      </c>
      <c r="P23" s="10" t="str">
        <f>IF(_xlfn.XLOOKUP($O23,'SI - End Use'!$B$2:$B$49,'SI - End Use'!$C$2:$C$49, "")="", "", _xlfn.XLOOKUP($C23,'SI - End Use'!$B$2:$B$49,'SI - End Use'!$C$2:$C$49, ""))</f>
        <v/>
      </c>
      <c r="Q23" s="10"/>
      <c r="R23" s="10"/>
    </row>
    <row r="24" spans="1:18" x14ac:dyDescent="0.35">
      <c r="A24" s="10"/>
      <c r="B24" s="10"/>
      <c r="C24" s="10" t="str">
        <f>_xlfn.XLOOKUP($B24,'SI - Resources'!$A$1:$H$1,'SI - Resources'!$A$2:$H$2, "")</f>
        <v/>
      </c>
      <c r="D24" s="27" t="str">
        <f>IF(_xlfn.XLOOKUP($C24,'SI - End Use'!$B$2:$B$49,'SI - End Use'!$C$2:$C$49, "")="", "", _xlfn.XLOOKUP($C24,'SI - End Use'!$B$2:$B$49,'SI - End Use'!$C$2:$C$49, ""))</f>
        <v/>
      </c>
      <c r="E24" s="23"/>
      <c r="F24" s="27" t="str" cm="1">
        <f t="array" ref="F24">IF($B24="Transportation",  'SI - Units'!$B$9:$B$9, _xlfn.XLOOKUP(_xlfn.XLOOKUP($C24,'SI - Units'!$B$24:$B$70,'SI - Units'!$C$24:$C$70, ""),'SI - Units'!$A$2:$A$8,'SI - Units'!$B$2:$B$8, ""))</f>
        <v/>
      </c>
      <c r="G24" s="39"/>
      <c r="H24" s="39"/>
      <c r="I24" s="43" t="str">
        <f>IF(Table1[[#This Row],[Type]]="Co-product", "No", "")</f>
        <v/>
      </c>
      <c r="J24" s="10"/>
      <c r="K24" s="10" t="str">
        <f>IF(Table1[[#This Row],[Type]]="Transportation", _xlfn.XLOOKUP(Table1[[#This Row],[Resource]], 'SI - Payload'!$A$10:$A$33,'SI - Payload'!$B$10:$B$33,"",0), "")</f>
        <v/>
      </c>
      <c r="L24" s="10" t="str">
        <f>IF(Table1[[#This Row],[Type]]="Transportation", "ton", "")</f>
        <v/>
      </c>
      <c r="M24" s="10"/>
      <c r="N24" s="10"/>
      <c r="O24" s="10" t="str">
        <f>Table1[[#This Row],[Resource]]</f>
        <v/>
      </c>
      <c r="P24" s="10" t="str">
        <f>IF(_xlfn.XLOOKUP($O24,'SI - End Use'!$B$2:$B$49,'SI - End Use'!$C$2:$C$49, "")="", "", _xlfn.XLOOKUP($C24,'SI - End Use'!$B$2:$B$49,'SI - End Use'!$C$2:$C$49, ""))</f>
        <v/>
      </c>
      <c r="Q24" s="10"/>
      <c r="R24" s="10"/>
    </row>
    <row r="25" spans="1:18" x14ac:dyDescent="0.35">
      <c r="A25" s="10"/>
      <c r="B25" s="10"/>
      <c r="C25" s="10" t="str">
        <f>_xlfn.XLOOKUP($B25,'SI - Resources'!$A$1:$H$1,'SI - Resources'!$A$2:$H$2, "")</f>
        <v/>
      </c>
      <c r="D25" s="27" t="str">
        <f>IF(_xlfn.XLOOKUP($C25,'SI - End Use'!$B$2:$B$49,'SI - End Use'!$C$2:$C$49, "")="", "", _xlfn.XLOOKUP($C25,'SI - End Use'!$B$2:$B$49,'SI - End Use'!$C$2:$C$49, ""))</f>
        <v/>
      </c>
      <c r="E25" s="23"/>
      <c r="F25" s="27" t="str" cm="1">
        <f t="array" ref="F25">IF($B25="Transportation",  'SI - Units'!$B$9:$B$9, _xlfn.XLOOKUP(_xlfn.XLOOKUP($C25,'SI - Units'!$B$24:$B$70,'SI - Units'!$C$24:$C$70, ""),'SI - Units'!$A$2:$A$8,'SI - Units'!$B$2:$B$8, ""))</f>
        <v/>
      </c>
      <c r="G25" s="39"/>
      <c r="H25" s="39"/>
      <c r="I25" s="43" t="str">
        <f>IF(Table1[[#This Row],[Type]]="Co-product", "No", "")</f>
        <v/>
      </c>
      <c r="J25" s="10"/>
      <c r="K25" s="10" t="str">
        <f>IF(Table1[[#This Row],[Type]]="Transportation", _xlfn.XLOOKUP(Table1[[#This Row],[Resource]], 'SI - Payload'!$A$10:$A$33,'SI - Payload'!$B$10:$B$33,"",0), "")</f>
        <v/>
      </c>
      <c r="L25" s="10" t="str">
        <f>IF(Table1[[#This Row],[Type]]="Transportation", "ton", "")</f>
        <v/>
      </c>
      <c r="M25" s="10"/>
      <c r="N25" s="10"/>
      <c r="O25" s="10" t="str">
        <f>Table1[[#This Row],[Resource]]</f>
        <v/>
      </c>
      <c r="P25" s="10" t="str">
        <f>IF(_xlfn.XLOOKUP($O25,'SI - End Use'!$B$2:$B$49,'SI - End Use'!$C$2:$C$49, "")="", "", _xlfn.XLOOKUP($C25,'SI - End Use'!$B$2:$B$49,'SI - End Use'!$C$2:$C$49, ""))</f>
        <v/>
      </c>
      <c r="Q25" s="10"/>
      <c r="R25" s="10"/>
    </row>
    <row r="26" spans="1:18" x14ac:dyDescent="0.35">
      <c r="A26" s="10"/>
      <c r="B26" s="10"/>
      <c r="C26" s="10" t="str">
        <f>_xlfn.XLOOKUP($B26,'SI - Resources'!$A$1:$H$1,'SI - Resources'!$A$2:$H$2, "")</f>
        <v/>
      </c>
      <c r="D26" s="27" t="str">
        <f>IF(_xlfn.XLOOKUP($C26,'SI - End Use'!$B$2:$B$49,'SI - End Use'!$C$2:$C$49, "")="", "", _xlfn.XLOOKUP($C26,'SI - End Use'!$B$2:$B$49,'SI - End Use'!$C$2:$C$49, ""))</f>
        <v/>
      </c>
      <c r="E26" s="23"/>
      <c r="F26" s="27" t="str" cm="1">
        <f t="array" ref="F26">IF($B26="Transportation",  'SI - Units'!$B$9:$B$9, _xlfn.XLOOKUP(_xlfn.XLOOKUP($C26,'SI - Units'!$B$24:$B$70,'SI - Units'!$C$24:$C$70, ""),'SI - Units'!$A$2:$A$8,'SI - Units'!$B$2:$B$8, ""))</f>
        <v/>
      </c>
      <c r="G26" s="39"/>
      <c r="H26" s="39"/>
      <c r="I26" s="43" t="str">
        <f>IF(Table1[[#This Row],[Type]]="Co-product", "No", "")</f>
        <v/>
      </c>
      <c r="J26" s="10"/>
      <c r="K26" s="10" t="str">
        <f>IF(Table1[[#This Row],[Type]]="Transportation", _xlfn.XLOOKUP(Table1[[#This Row],[Resource]], 'SI - Payload'!$A$10:$A$33,'SI - Payload'!$B$10:$B$33,"",0), "")</f>
        <v/>
      </c>
      <c r="L26" s="10" t="str">
        <f>IF(Table1[[#This Row],[Type]]="Transportation", "ton", "")</f>
        <v/>
      </c>
      <c r="M26" s="10"/>
      <c r="N26" s="10"/>
      <c r="O26" s="10" t="str">
        <f>Table1[[#This Row],[Resource]]</f>
        <v/>
      </c>
      <c r="P26" s="10" t="str">
        <f>IF(_xlfn.XLOOKUP($O26,'SI - End Use'!$B$2:$B$49,'SI - End Use'!$C$2:$C$49, "")="", "", _xlfn.XLOOKUP($C26,'SI - End Use'!$B$2:$B$49,'SI - End Use'!$C$2:$C$49, ""))</f>
        <v/>
      </c>
      <c r="Q26" s="10"/>
      <c r="R26" s="10"/>
    </row>
    <row r="27" spans="1:18" x14ac:dyDescent="0.35">
      <c r="A27" s="10"/>
      <c r="B27" s="10"/>
      <c r="C27" s="10" t="str">
        <f>_xlfn.XLOOKUP($B27,'SI - Resources'!$A$1:$H$1,'SI - Resources'!$A$2:$H$2, "")</f>
        <v/>
      </c>
      <c r="D27" s="27" t="str">
        <f>IF(_xlfn.XLOOKUP($C27,'SI - End Use'!$B$2:$B$49,'SI - End Use'!$C$2:$C$49, "")="", "", _xlfn.XLOOKUP($C27,'SI - End Use'!$B$2:$B$49,'SI - End Use'!$C$2:$C$49, ""))</f>
        <v/>
      </c>
      <c r="E27" s="23"/>
      <c r="F27" s="27" t="str" cm="1">
        <f t="array" ref="F27">IF($B27="Transportation",  'SI - Units'!$B$9:$B$9, _xlfn.XLOOKUP(_xlfn.XLOOKUP($C27,'SI - Units'!$B$24:$B$70,'SI - Units'!$C$24:$C$70, ""),'SI - Units'!$A$2:$A$8,'SI - Units'!$B$2:$B$8, ""))</f>
        <v/>
      </c>
      <c r="G27" s="39"/>
      <c r="H27" s="39"/>
      <c r="I27" s="43" t="str">
        <f>IF(Table1[[#This Row],[Type]]="Co-product", "No", "")</f>
        <v/>
      </c>
      <c r="J27" s="10"/>
      <c r="K27" s="10" t="str">
        <f>IF(Table1[[#This Row],[Type]]="Transportation", _xlfn.XLOOKUP(Table1[[#This Row],[Resource]], 'SI - Payload'!$A$10:$A$33,'SI - Payload'!$B$10:$B$33,"",0), "")</f>
        <v/>
      </c>
      <c r="L27" s="10" t="str">
        <f>IF(Table1[[#This Row],[Type]]="Transportation", "ton", "")</f>
        <v/>
      </c>
      <c r="M27" s="10"/>
      <c r="N27" s="10"/>
      <c r="O27" s="10" t="str">
        <f>Table1[[#This Row],[Resource]]</f>
        <v/>
      </c>
      <c r="P27" s="10" t="str">
        <f>IF(_xlfn.XLOOKUP($O27,'SI - End Use'!$B$2:$B$49,'SI - End Use'!$C$2:$C$49, "")="", "", _xlfn.XLOOKUP($C27,'SI - End Use'!$B$2:$B$49,'SI - End Use'!$C$2:$C$49, ""))</f>
        <v/>
      </c>
      <c r="Q27" s="10"/>
      <c r="R27" s="10"/>
    </row>
    <row r="28" spans="1:18" x14ac:dyDescent="0.35">
      <c r="A28" s="10"/>
      <c r="B28" s="10"/>
      <c r="C28" s="10" t="str">
        <f>_xlfn.XLOOKUP($B28,'SI - Resources'!$A$1:$H$1,'SI - Resources'!$A$2:$H$2, "")</f>
        <v/>
      </c>
      <c r="D28" s="27" t="str">
        <f>IF(_xlfn.XLOOKUP($C28,'SI - End Use'!$B$2:$B$49,'SI - End Use'!$C$2:$C$49, "")="", "", _xlfn.XLOOKUP($C28,'SI - End Use'!$B$2:$B$49,'SI - End Use'!$C$2:$C$49, ""))</f>
        <v/>
      </c>
      <c r="E28" s="23"/>
      <c r="F28" s="27" t="str" cm="1">
        <f t="array" ref="F28">IF($B28="Transportation",  'SI - Units'!$B$9:$B$9, _xlfn.XLOOKUP(_xlfn.XLOOKUP($C28,'SI - Units'!$B$24:$B$70,'SI - Units'!$C$24:$C$70, ""),'SI - Units'!$A$2:$A$8,'SI - Units'!$B$2:$B$8, ""))</f>
        <v/>
      </c>
      <c r="G28" s="39"/>
      <c r="H28" s="39"/>
      <c r="I28" s="43" t="str">
        <f>IF(Table1[[#This Row],[Type]]="Co-product", "No", "")</f>
        <v/>
      </c>
      <c r="J28" s="10"/>
      <c r="K28" s="10" t="str">
        <f>IF(Table1[[#This Row],[Type]]="Transportation", _xlfn.XLOOKUP(Table1[[#This Row],[Resource]], 'SI - Payload'!$A$10:$A$33,'SI - Payload'!$B$10:$B$33,"",0), "")</f>
        <v/>
      </c>
      <c r="L28" s="10" t="str">
        <f>IF(Table1[[#This Row],[Type]]="Transportation", "ton", "")</f>
        <v/>
      </c>
      <c r="M28" s="10"/>
      <c r="N28" s="10"/>
      <c r="O28" s="10" t="str">
        <f>Table1[[#This Row],[Resource]]</f>
        <v/>
      </c>
      <c r="P28" s="10" t="str">
        <f>IF(_xlfn.XLOOKUP($O28,'SI - End Use'!$B$2:$B$49,'SI - End Use'!$C$2:$C$49, "")="", "", _xlfn.XLOOKUP($C28,'SI - End Use'!$B$2:$B$49,'SI - End Use'!$C$2:$C$49, ""))</f>
        <v/>
      </c>
      <c r="Q28" s="10"/>
      <c r="R28" s="10"/>
    </row>
    <row r="29" spans="1:18" x14ac:dyDescent="0.35">
      <c r="A29" s="10"/>
      <c r="B29" s="10"/>
      <c r="C29" s="10" t="str">
        <f>_xlfn.XLOOKUP($B29,'SI - Resources'!$A$1:$H$1,'SI - Resources'!$A$2:$H$2, "")</f>
        <v/>
      </c>
      <c r="D29" s="27" t="str">
        <f>IF(_xlfn.XLOOKUP($C29,'SI - End Use'!$B$2:$B$49,'SI - End Use'!$C$2:$C$49, "")="", "", _xlfn.XLOOKUP($C29,'SI - End Use'!$B$2:$B$49,'SI - End Use'!$C$2:$C$49, ""))</f>
        <v/>
      </c>
      <c r="E29" s="23"/>
      <c r="F29" s="27" t="str" cm="1">
        <f t="array" ref="F29">IF($B29="Transportation",  'SI - Units'!$B$9:$B$9, _xlfn.XLOOKUP(_xlfn.XLOOKUP($C29,'SI - Units'!$B$24:$B$70,'SI - Units'!$C$24:$C$70, ""),'SI - Units'!$A$2:$A$8,'SI - Units'!$B$2:$B$8, ""))</f>
        <v/>
      </c>
      <c r="G29" s="39"/>
      <c r="H29" s="39"/>
      <c r="I29" s="43" t="str">
        <f>IF(Table1[[#This Row],[Type]]="Co-product", "No", "")</f>
        <v/>
      </c>
      <c r="J29" s="10"/>
      <c r="K29" s="10" t="str">
        <f>IF(Table1[[#This Row],[Type]]="Transportation", _xlfn.XLOOKUP(Table1[[#This Row],[Resource]], 'SI - Payload'!$A$10:$A$33,'SI - Payload'!$B$10:$B$33,"",0), "")</f>
        <v/>
      </c>
      <c r="L29" s="10" t="str">
        <f>IF(Table1[[#This Row],[Type]]="Transportation", "ton", "")</f>
        <v/>
      </c>
      <c r="M29" s="10"/>
      <c r="N29" s="10"/>
      <c r="O29" s="10" t="str">
        <f>Table1[[#This Row],[Resource]]</f>
        <v/>
      </c>
      <c r="P29" s="10" t="str">
        <f>IF(_xlfn.XLOOKUP($O29,'SI - End Use'!$B$2:$B$49,'SI - End Use'!$C$2:$C$49, "")="", "", _xlfn.XLOOKUP($C29,'SI - End Use'!$B$2:$B$49,'SI - End Use'!$C$2:$C$49, ""))</f>
        <v/>
      </c>
      <c r="Q29" s="10"/>
      <c r="R29" s="10"/>
    </row>
    <row r="30" spans="1:18" x14ac:dyDescent="0.35">
      <c r="A30" s="10"/>
      <c r="B30" s="10"/>
      <c r="C30" s="10" t="str">
        <f>_xlfn.XLOOKUP($B30,'SI - Resources'!$A$1:$H$1,'SI - Resources'!$A$2:$H$2, "")</f>
        <v/>
      </c>
      <c r="D30" s="27" t="str">
        <f>IF(_xlfn.XLOOKUP($C30,'SI - End Use'!$B$2:$B$49,'SI - End Use'!$C$2:$C$49, "")="", "", _xlfn.XLOOKUP($C30,'SI - End Use'!$B$2:$B$49,'SI - End Use'!$C$2:$C$49, ""))</f>
        <v/>
      </c>
      <c r="E30" s="23"/>
      <c r="F30" s="27" t="str" cm="1">
        <f t="array" ref="F30">IF($B30="Transportation",  'SI - Units'!$B$9:$B$9, _xlfn.XLOOKUP(_xlfn.XLOOKUP($C30,'SI - Units'!$B$24:$B$70,'SI - Units'!$C$24:$C$70, ""),'SI - Units'!$A$2:$A$8,'SI - Units'!$B$2:$B$8, ""))</f>
        <v/>
      </c>
      <c r="G30" s="39"/>
      <c r="H30" s="39"/>
      <c r="I30" s="43" t="str">
        <f>IF(Table1[[#This Row],[Type]]="Co-product", "No", "")</f>
        <v/>
      </c>
      <c r="J30" s="10"/>
      <c r="K30" s="10" t="str">
        <f>IF(Table1[[#This Row],[Type]]="Transportation", _xlfn.XLOOKUP(Table1[[#This Row],[Resource]], 'SI - Payload'!$A$10:$A$33,'SI - Payload'!$B$10:$B$33,"",0), "")</f>
        <v/>
      </c>
      <c r="L30" s="10" t="str">
        <f>IF(Table1[[#This Row],[Type]]="Transportation", "ton", "")</f>
        <v/>
      </c>
      <c r="M30" s="10"/>
      <c r="N30" s="10"/>
      <c r="O30" s="10" t="str">
        <f>Table1[[#This Row],[Resource]]</f>
        <v/>
      </c>
      <c r="P30" s="10" t="str">
        <f>IF(_xlfn.XLOOKUP($O30,'SI - End Use'!$B$2:$B$49,'SI - End Use'!$C$2:$C$49, "")="", "", _xlfn.XLOOKUP($C30,'SI - End Use'!$B$2:$B$49,'SI - End Use'!$C$2:$C$49, ""))</f>
        <v/>
      </c>
      <c r="Q30" s="10"/>
      <c r="R30" s="10"/>
    </row>
    <row r="31" spans="1:18" x14ac:dyDescent="0.35">
      <c r="A31" s="10"/>
      <c r="B31" s="10"/>
      <c r="C31" s="10" t="str">
        <f>_xlfn.XLOOKUP($B31,'SI - Resources'!$A$1:$H$1,'SI - Resources'!$A$2:$H$2, "")</f>
        <v/>
      </c>
      <c r="D31" s="27" t="str">
        <f>IF(_xlfn.XLOOKUP($C31,'SI - End Use'!$B$2:$B$49,'SI - End Use'!$C$2:$C$49, "")="", "", _xlfn.XLOOKUP($C31,'SI - End Use'!$B$2:$B$49,'SI - End Use'!$C$2:$C$49, ""))</f>
        <v/>
      </c>
      <c r="E31" s="23"/>
      <c r="F31" s="27" t="str" cm="1">
        <f t="array" ref="F31">IF($B31="Transportation",  'SI - Units'!$B$9:$B$9, _xlfn.XLOOKUP(_xlfn.XLOOKUP($C31,'SI - Units'!$B$24:$B$70,'SI - Units'!$C$24:$C$70, ""),'SI - Units'!$A$2:$A$8,'SI - Units'!$B$2:$B$8, ""))</f>
        <v/>
      </c>
      <c r="G31" s="39"/>
      <c r="H31" s="39"/>
      <c r="I31" s="43" t="str">
        <f>IF(Table1[[#This Row],[Type]]="Co-product", "No", "")</f>
        <v/>
      </c>
      <c r="J31" s="10"/>
      <c r="K31" s="10" t="str">
        <f>IF(Table1[[#This Row],[Type]]="Transportation", _xlfn.XLOOKUP(Table1[[#This Row],[Resource]], 'SI - Payload'!$A$10:$A$33,'SI - Payload'!$B$10:$B$33,"",0), "")</f>
        <v/>
      </c>
      <c r="L31" s="10" t="str">
        <f>IF(Table1[[#This Row],[Type]]="Transportation", "ton", "")</f>
        <v/>
      </c>
      <c r="M31" s="10"/>
      <c r="N31" s="10"/>
      <c r="O31" s="10" t="str">
        <f>Table1[[#This Row],[Resource]]</f>
        <v/>
      </c>
      <c r="P31" s="10" t="str">
        <f>IF(_xlfn.XLOOKUP($O31,'SI - End Use'!$B$2:$B$49,'SI - End Use'!$C$2:$C$49, "")="", "", _xlfn.XLOOKUP($C31,'SI - End Use'!$B$2:$B$49,'SI - End Use'!$C$2:$C$49, ""))</f>
        <v/>
      </c>
      <c r="Q31" s="10"/>
      <c r="R31" s="10"/>
    </row>
    <row r="32" spans="1:18" x14ac:dyDescent="0.35">
      <c r="A32" s="10"/>
      <c r="B32" s="10"/>
      <c r="C32" s="10" t="str">
        <f>_xlfn.XLOOKUP($B32,'SI - Resources'!$A$1:$H$1,'SI - Resources'!$A$2:$H$2, "")</f>
        <v/>
      </c>
      <c r="D32" s="27" t="str">
        <f>IF(_xlfn.XLOOKUP($C32,'SI - End Use'!$B$2:$B$49,'SI - End Use'!$C$2:$C$49, "")="", "", _xlfn.XLOOKUP($C32,'SI - End Use'!$B$2:$B$49,'SI - End Use'!$C$2:$C$49, ""))</f>
        <v/>
      </c>
      <c r="E32" s="23"/>
      <c r="F32" s="27" t="str" cm="1">
        <f t="array" ref="F32">IF($B32="Transportation",  'SI - Units'!$B$9:$B$9, _xlfn.XLOOKUP(_xlfn.XLOOKUP($C32,'SI - Units'!$B$24:$B$70,'SI - Units'!$C$24:$C$70, ""),'SI - Units'!$A$2:$A$8,'SI - Units'!$B$2:$B$8, ""))</f>
        <v/>
      </c>
      <c r="G32" s="39"/>
      <c r="H32" s="39"/>
      <c r="I32" s="43" t="str">
        <f>IF(Table1[[#This Row],[Type]]="Co-product", "No", "")</f>
        <v/>
      </c>
      <c r="J32" s="10"/>
      <c r="K32" s="10" t="str">
        <f>IF(Table1[[#This Row],[Type]]="Transportation", _xlfn.XLOOKUP(Table1[[#This Row],[Resource]], 'SI - Payload'!$A$10:$A$33,'SI - Payload'!$B$10:$B$33,"",0), "")</f>
        <v/>
      </c>
      <c r="L32" s="10" t="str">
        <f>IF(Table1[[#This Row],[Type]]="Transportation", "ton", "")</f>
        <v/>
      </c>
      <c r="M32" s="10"/>
      <c r="N32" s="10"/>
      <c r="O32" s="10" t="str">
        <f>Table1[[#This Row],[Resource]]</f>
        <v/>
      </c>
      <c r="P32" s="10" t="str">
        <f>IF(_xlfn.XLOOKUP($O32,'SI - End Use'!$B$2:$B$49,'SI - End Use'!$C$2:$C$49, "")="", "", _xlfn.XLOOKUP($C32,'SI - End Use'!$B$2:$B$49,'SI - End Use'!$C$2:$C$49, ""))</f>
        <v/>
      </c>
      <c r="Q32" s="10"/>
      <c r="R32" s="10"/>
    </row>
    <row r="33" spans="1:18" x14ac:dyDescent="0.35">
      <c r="A33" s="10"/>
      <c r="B33" s="10"/>
      <c r="C33" s="10" t="str">
        <f>_xlfn.XLOOKUP($B33,'SI - Resources'!$A$1:$H$1,'SI - Resources'!$A$2:$H$2, "")</f>
        <v/>
      </c>
      <c r="D33" s="27" t="str">
        <f>IF(_xlfn.XLOOKUP($C33,'SI - End Use'!$B$2:$B$49,'SI - End Use'!$C$2:$C$49, "")="", "", _xlfn.XLOOKUP($C33,'SI - End Use'!$B$2:$B$49,'SI - End Use'!$C$2:$C$49, ""))</f>
        <v/>
      </c>
      <c r="E33" s="23"/>
      <c r="F33" s="27" t="str" cm="1">
        <f t="array" ref="F33">IF($B33="Transportation",  'SI - Units'!$B$9:$B$9, _xlfn.XLOOKUP(_xlfn.XLOOKUP($C33,'SI - Units'!$B$24:$B$70,'SI - Units'!$C$24:$C$70, ""),'SI - Units'!$A$2:$A$8,'SI - Units'!$B$2:$B$8, ""))</f>
        <v/>
      </c>
      <c r="G33" s="39"/>
      <c r="H33" s="39"/>
      <c r="I33" s="43" t="str">
        <f>IF(Table1[[#This Row],[Type]]="Co-product", "No", "")</f>
        <v/>
      </c>
      <c r="J33" s="10"/>
      <c r="K33" s="10" t="str">
        <f>IF(Table1[[#This Row],[Type]]="Transportation", _xlfn.XLOOKUP(Table1[[#This Row],[Resource]], 'SI - Payload'!$A$10:$A$33,'SI - Payload'!$B$10:$B$33,"",0), "")</f>
        <v/>
      </c>
      <c r="L33" s="10" t="str">
        <f>IF(Table1[[#This Row],[Type]]="Transportation", "ton", "")</f>
        <v/>
      </c>
      <c r="M33" s="10"/>
      <c r="N33" s="10"/>
      <c r="O33" s="10" t="str">
        <f>Table1[[#This Row],[Resource]]</f>
        <v/>
      </c>
      <c r="P33" s="10" t="str">
        <f>IF(_xlfn.XLOOKUP($O33,'SI - End Use'!$B$2:$B$49,'SI - End Use'!$C$2:$C$49, "")="", "", _xlfn.XLOOKUP($C33,'SI - End Use'!$B$2:$B$49,'SI - End Use'!$C$2:$C$49, ""))</f>
        <v/>
      </c>
      <c r="Q33" s="10"/>
      <c r="R33" s="10"/>
    </row>
    <row r="34" spans="1:18" x14ac:dyDescent="0.35">
      <c r="A34" s="10"/>
      <c r="B34" s="10"/>
      <c r="C34" s="10" t="str">
        <f>_xlfn.XLOOKUP($B34,'SI - Resources'!$A$1:$H$1,'SI - Resources'!$A$2:$H$2, "")</f>
        <v/>
      </c>
      <c r="D34" s="27" t="str">
        <f>IF(_xlfn.XLOOKUP($C34,'SI - End Use'!$B$2:$B$49,'SI - End Use'!$C$2:$C$49, "")="", "", _xlfn.XLOOKUP($C34,'SI - End Use'!$B$2:$B$49,'SI - End Use'!$C$2:$C$49, ""))</f>
        <v/>
      </c>
      <c r="E34" s="23"/>
      <c r="F34" s="27" t="str" cm="1">
        <f t="array" ref="F34">IF($B34="Transportation",  'SI - Units'!$B$9:$B$9, _xlfn.XLOOKUP(_xlfn.XLOOKUP($C34,'SI - Units'!$B$24:$B$70,'SI - Units'!$C$24:$C$70, ""),'SI - Units'!$A$2:$A$8,'SI - Units'!$B$2:$B$8, ""))</f>
        <v/>
      </c>
      <c r="G34" s="39"/>
      <c r="H34" s="39"/>
      <c r="I34" s="43" t="str">
        <f>IF(Table1[[#This Row],[Type]]="Co-product", "No", "")</f>
        <v/>
      </c>
      <c r="J34" s="10"/>
      <c r="K34" s="10" t="str">
        <f>IF(Table1[[#This Row],[Type]]="Transportation", _xlfn.XLOOKUP(Table1[[#This Row],[Resource]], 'SI - Payload'!$A$10:$A$33,'SI - Payload'!$B$10:$B$33,"",0), "")</f>
        <v/>
      </c>
      <c r="L34" s="10" t="str">
        <f>IF(Table1[[#This Row],[Type]]="Transportation", "ton", "")</f>
        <v/>
      </c>
      <c r="M34" s="10"/>
      <c r="N34" s="10"/>
      <c r="O34" s="10" t="str">
        <f>Table1[[#This Row],[Resource]]</f>
        <v/>
      </c>
      <c r="P34" s="10" t="str">
        <f>IF(_xlfn.XLOOKUP($O34,'SI - End Use'!$B$2:$B$49,'SI - End Use'!$C$2:$C$49, "")="", "", _xlfn.XLOOKUP($C34,'SI - End Use'!$B$2:$B$49,'SI - End Use'!$C$2:$C$49, ""))</f>
        <v/>
      </c>
      <c r="Q34" s="10"/>
      <c r="R34" s="10"/>
    </row>
    <row r="35" spans="1:18" x14ac:dyDescent="0.35">
      <c r="A35" s="10"/>
      <c r="B35" s="10"/>
      <c r="C35" s="10" t="str">
        <f>_xlfn.XLOOKUP($B35,'SI - Resources'!$A$1:$H$1,'SI - Resources'!$A$2:$H$2, "")</f>
        <v/>
      </c>
      <c r="D35" s="27" t="str">
        <f>IF(_xlfn.XLOOKUP($C35,'SI - End Use'!$B$2:$B$49,'SI - End Use'!$C$2:$C$49, "")="", "", _xlfn.XLOOKUP($C35,'SI - End Use'!$B$2:$B$49,'SI - End Use'!$C$2:$C$49, ""))</f>
        <v/>
      </c>
      <c r="E35" s="23"/>
      <c r="F35" s="27" t="str" cm="1">
        <f t="array" ref="F35">IF($B35="Transportation",  'SI - Units'!$B$9:$B$9, _xlfn.XLOOKUP(_xlfn.XLOOKUP($C35,'SI - Units'!$B$24:$B$70,'SI - Units'!$C$24:$C$70, ""),'SI - Units'!$A$2:$A$8,'SI - Units'!$B$2:$B$8, ""))</f>
        <v/>
      </c>
      <c r="G35" s="39"/>
      <c r="H35" s="39"/>
      <c r="I35" s="43" t="str">
        <f>IF(Table1[[#This Row],[Type]]="Co-product", "No", "")</f>
        <v/>
      </c>
      <c r="J35" s="10"/>
      <c r="K35" s="10" t="str">
        <f>IF(Table1[[#This Row],[Type]]="Transportation", _xlfn.XLOOKUP(Table1[[#This Row],[Resource]], 'SI - Payload'!$A$10:$A$33,'SI - Payload'!$B$10:$B$33,"",0), "")</f>
        <v/>
      </c>
      <c r="L35" s="10" t="str">
        <f>IF(Table1[[#This Row],[Type]]="Transportation", "ton", "")</f>
        <v/>
      </c>
      <c r="M35" s="10"/>
      <c r="N35" s="10"/>
      <c r="O35" s="10" t="str">
        <f>Table1[[#This Row],[Resource]]</f>
        <v/>
      </c>
      <c r="P35" s="10" t="str">
        <f>IF(_xlfn.XLOOKUP($O35,'SI - End Use'!$B$2:$B$49,'SI - End Use'!$C$2:$C$49, "")="", "", _xlfn.XLOOKUP($C35,'SI - End Use'!$B$2:$B$49,'SI - End Use'!$C$2:$C$49, ""))</f>
        <v/>
      </c>
      <c r="Q35" s="10"/>
      <c r="R35" s="10"/>
    </row>
    <row r="36" spans="1:18" x14ac:dyDescent="0.35">
      <c r="A36" s="10"/>
      <c r="B36" s="10"/>
      <c r="C36" s="10" t="str">
        <f>_xlfn.XLOOKUP($B36,'SI - Resources'!$A$1:$H$1,'SI - Resources'!$A$2:$H$2, "")</f>
        <v/>
      </c>
      <c r="D36" s="27" t="str">
        <f>IF(_xlfn.XLOOKUP($C36,'SI - End Use'!$B$2:$B$49,'SI - End Use'!$C$2:$C$49, "")="", "", _xlfn.XLOOKUP($C36,'SI - End Use'!$B$2:$B$49,'SI - End Use'!$C$2:$C$49, ""))</f>
        <v/>
      </c>
      <c r="E36" s="23"/>
      <c r="F36" s="27" t="str" cm="1">
        <f t="array" ref="F36">IF($B36="Transportation",  'SI - Units'!$B$9:$B$9, _xlfn.XLOOKUP(_xlfn.XLOOKUP($C36,'SI - Units'!$B$24:$B$70,'SI - Units'!$C$24:$C$70, ""),'SI - Units'!$A$2:$A$8,'SI - Units'!$B$2:$B$8, ""))</f>
        <v/>
      </c>
      <c r="G36" s="39"/>
      <c r="H36" s="39"/>
      <c r="I36" s="43" t="str">
        <f>IF(Table1[[#This Row],[Type]]="Co-product", "No", "")</f>
        <v/>
      </c>
      <c r="J36" s="10"/>
      <c r="K36" s="10" t="str">
        <f>IF(Table1[[#This Row],[Type]]="Transportation", _xlfn.XLOOKUP(Table1[[#This Row],[Resource]], 'SI - Payload'!$A$10:$A$33,'SI - Payload'!$B$10:$B$33,"",0), "")</f>
        <v/>
      </c>
      <c r="L36" s="10" t="str">
        <f>IF(Table1[[#This Row],[Type]]="Transportation", "ton", "")</f>
        <v/>
      </c>
      <c r="M36" s="10"/>
      <c r="N36" s="10"/>
      <c r="O36" s="10" t="str">
        <f>Table1[[#This Row],[Resource]]</f>
        <v/>
      </c>
      <c r="P36" s="10" t="str">
        <f>IF(_xlfn.XLOOKUP($O36,'SI - End Use'!$B$2:$B$49,'SI - End Use'!$C$2:$C$49, "")="", "", _xlfn.XLOOKUP($C36,'SI - End Use'!$B$2:$B$49,'SI - End Use'!$C$2:$C$49, ""))</f>
        <v/>
      </c>
      <c r="Q36" s="10"/>
      <c r="R36" s="10"/>
    </row>
    <row r="37" spans="1:18" x14ac:dyDescent="0.35">
      <c r="A37" s="10"/>
      <c r="B37" s="10"/>
      <c r="C37" s="10" t="str">
        <f>_xlfn.XLOOKUP($B37,'SI - Resources'!$A$1:$H$1,'SI - Resources'!$A$2:$H$2, "")</f>
        <v/>
      </c>
      <c r="D37" s="27" t="str">
        <f>IF(_xlfn.XLOOKUP($C37,'SI - End Use'!$B$2:$B$49,'SI - End Use'!$C$2:$C$49, "")="", "", _xlfn.XLOOKUP($C37,'SI - End Use'!$B$2:$B$49,'SI - End Use'!$C$2:$C$49, ""))</f>
        <v/>
      </c>
      <c r="E37" s="23"/>
      <c r="F37" s="27" t="str" cm="1">
        <f t="array" ref="F37">IF($B37="Transportation",  'SI - Units'!$B$9:$B$9, _xlfn.XLOOKUP(_xlfn.XLOOKUP($C37,'SI - Units'!$B$24:$B$70,'SI - Units'!$C$24:$C$70, ""),'SI - Units'!$A$2:$A$8,'SI - Units'!$B$2:$B$8, ""))</f>
        <v/>
      </c>
      <c r="G37" s="39"/>
      <c r="H37" s="39"/>
      <c r="I37" s="43" t="str">
        <f>IF(Table1[[#This Row],[Type]]="Co-product", "No", "")</f>
        <v/>
      </c>
      <c r="J37" s="10"/>
      <c r="K37" s="10" t="str">
        <f>IF(Table1[[#This Row],[Type]]="Transportation", _xlfn.XLOOKUP(Table1[[#This Row],[Resource]], 'SI - Payload'!$A$10:$A$33,'SI - Payload'!$B$10:$B$33,"",0), "")</f>
        <v/>
      </c>
      <c r="L37" s="10" t="str">
        <f>IF(Table1[[#This Row],[Type]]="Transportation", "ton", "")</f>
        <v/>
      </c>
      <c r="M37" s="10"/>
      <c r="N37" s="10"/>
      <c r="O37" s="10" t="str">
        <f>Table1[[#This Row],[Resource]]</f>
        <v/>
      </c>
      <c r="P37" s="10" t="str">
        <f>IF(_xlfn.XLOOKUP($O37,'SI - End Use'!$B$2:$B$49,'SI - End Use'!$C$2:$C$49, "")="", "", _xlfn.XLOOKUP($C37,'SI - End Use'!$B$2:$B$49,'SI - End Use'!$C$2:$C$49, ""))</f>
        <v/>
      </c>
      <c r="Q37" s="10"/>
      <c r="R37" s="10"/>
    </row>
    <row r="38" spans="1:18" x14ac:dyDescent="0.35">
      <c r="A38" s="10"/>
      <c r="B38" s="10"/>
      <c r="C38" s="10" t="str">
        <f>_xlfn.XLOOKUP($B38,'SI - Resources'!$A$1:$H$1,'SI - Resources'!$A$2:$H$2, "")</f>
        <v/>
      </c>
      <c r="D38" s="27" t="str">
        <f>IF(_xlfn.XLOOKUP($C38,'SI - End Use'!$B$2:$B$49,'SI - End Use'!$C$2:$C$49, "")="", "", _xlfn.XLOOKUP($C38,'SI - End Use'!$B$2:$B$49,'SI - End Use'!$C$2:$C$49, ""))</f>
        <v/>
      </c>
      <c r="E38" s="23"/>
      <c r="F38" s="27" t="str" cm="1">
        <f t="array" ref="F38">IF($B38="Transportation",  'SI - Units'!$B$9:$B$9, _xlfn.XLOOKUP(_xlfn.XLOOKUP($C38,'SI - Units'!$B$24:$B$70,'SI - Units'!$C$24:$C$70, ""),'SI - Units'!$A$2:$A$8,'SI - Units'!$B$2:$B$8, ""))</f>
        <v/>
      </c>
      <c r="G38" s="39"/>
      <c r="H38" s="39"/>
      <c r="I38" s="43" t="str">
        <f>IF(Table1[[#This Row],[Type]]="Co-product", "No", "")</f>
        <v/>
      </c>
      <c r="J38" s="10"/>
      <c r="K38" s="10" t="str">
        <f>IF(Table1[[#This Row],[Type]]="Transportation", _xlfn.XLOOKUP(Table1[[#This Row],[Resource]], 'SI - Payload'!$A$10:$A$33,'SI - Payload'!$B$10:$B$33,"",0), "")</f>
        <v/>
      </c>
      <c r="L38" s="10" t="str">
        <f>IF(Table1[[#This Row],[Type]]="Transportation", "ton", "")</f>
        <v/>
      </c>
      <c r="M38" s="10"/>
      <c r="N38" s="10"/>
      <c r="O38" s="10" t="str">
        <f>Table1[[#This Row],[Resource]]</f>
        <v/>
      </c>
      <c r="P38" s="10" t="str">
        <f>IF(_xlfn.XLOOKUP($O38,'SI - End Use'!$B$2:$B$49,'SI - End Use'!$C$2:$C$49, "")="", "", _xlfn.XLOOKUP($C38,'SI - End Use'!$B$2:$B$49,'SI - End Use'!$C$2:$C$49, ""))</f>
        <v/>
      </c>
      <c r="Q38" s="10"/>
      <c r="R38" s="10"/>
    </row>
    <row r="39" spans="1:18" x14ac:dyDescent="0.35">
      <c r="A39" s="10"/>
      <c r="B39" s="10"/>
      <c r="C39" s="10" t="str">
        <f>_xlfn.XLOOKUP($B39,'SI - Resources'!$A$1:$H$1,'SI - Resources'!$A$2:$H$2, "")</f>
        <v/>
      </c>
      <c r="D39" s="27" t="str">
        <f>IF(_xlfn.XLOOKUP($C39,'SI - End Use'!$B$2:$B$49,'SI - End Use'!$C$2:$C$49, "")="", "", _xlfn.XLOOKUP($C39,'SI - End Use'!$B$2:$B$49,'SI - End Use'!$C$2:$C$49, ""))</f>
        <v/>
      </c>
      <c r="E39" s="23"/>
      <c r="F39" s="27" t="str" cm="1">
        <f t="array" ref="F39">IF($B39="Transportation",  'SI - Units'!$B$9:$B$9, _xlfn.XLOOKUP(_xlfn.XLOOKUP($C39,'SI - Units'!$B$24:$B$70,'SI - Units'!$C$24:$C$70, ""),'SI - Units'!$A$2:$A$8,'SI - Units'!$B$2:$B$8, ""))</f>
        <v/>
      </c>
      <c r="G39" s="39"/>
      <c r="H39" s="39"/>
      <c r="I39" s="43" t="str">
        <f>IF(Table1[[#This Row],[Type]]="Co-product", "No", "")</f>
        <v/>
      </c>
      <c r="J39" s="10"/>
      <c r="K39" s="10" t="str">
        <f>IF(Table1[[#This Row],[Type]]="Transportation", _xlfn.XLOOKUP(Table1[[#This Row],[Resource]], 'SI - Payload'!$A$10:$A$33,'SI - Payload'!$B$10:$B$33,"",0), "")</f>
        <v/>
      </c>
      <c r="L39" s="10" t="str">
        <f>IF(Table1[[#This Row],[Type]]="Transportation", "ton", "")</f>
        <v/>
      </c>
      <c r="M39" s="10"/>
      <c r="N39" s="10"/>
      <c r="O39" s="10" t="str">
        <f>Table1[[#This Row],[Resource]]</f>
        <v/>
      </c>
      <c r="P39" s="10" t="str">
        <f>IF(_xlfn.XLOOKUP($O39,'SI - End Use'!$B$2:$B$49,'SI - End Use'!$C$2:$C$49, "")="", "", _xlfn.XLOOKUP($C39,'SI - End Use'!$B$2:$B$49,'SI - End Use'!$C$2:$C$49, ""))</f>
        <v/>
      </c>
      <c r="Q39" s="10"/>
      <c r="R39" s="10"/>
    </row>
    <row r="40" spans="1:18" x14ac:dyDescent="0.35">
      <c r="A40" s="10"/>
      <c r="B40" s="10"/>
      <c r="C40" s="10" t="str">
        <f>_xlfn.XLOOKUP($B40,'SI - Resources'!$A$1:$H$1,'SI - Resources'!$A$2:$H$2, "")</f>
        <v/>
      </c>
      <c r="D40" s="27" t="str">
        <f>IF(_xlfn.XLOOKUP($C40,'SI - End Use'!$B$2:$B$49,'SI - End Use'!$C$2:$C$49, "")="", "", _xlfn.XLOOKUP($C40,'SI - End Use'!$B$2:$B$49,'SI - End Use'!$C$2:$C$49, ""))</f>
        <v/>
      </c>
      <c r="E40" s="23"/>
      <c r="F40" s="27" t="str" cm="1">
        <f t="array" ref="F40">IF($B40="Transportation",  'SI - Units'!$B$9:$B$9, _xlfn.XLOOKUP(_xlfn.XLOOKUP($C40,'SI - Units'!$B$24:$B$70,'SI - Units'!$C$24:$C$70, ""),'SI - Units'!$A$2:$A$8,'SI - Units'!$B$2:$B$8, ""))</f>
        <v/>
      </c>
      <c r="G40" s="39"/>
      <c r="H40" s="39"/>
      <c r="I40" s="43" t="str">
        <f>IF(Table1[[#This Row],[Type]]="Co-product", "No", "")</f>
        <v/>
      </c>
      <c r="J40" s="10"/>
      <c r="K40" s="10" t="str">
        <f>IF(Table1[[#This Row],[Type]]="Transportation", _xlfn.XLOOKUP(Table1[[#This Row],[Resource]], 'SI - Payload'!$A$10:$A$33,'SI - Payload'!$B$10:$B$33,"",0), "")</f>
        <v/>
      </c>
      <c r="L40" s="10" t="str">
        <f>IF(Table1[[#This Row],[Type]]="Transportation", "ton", "")</f>
        <v/>
      </c>
      <c r="M40" s="10"/>
      <c r="N40" s="10"/>
      <c r="O40" s="10" t="str">
        <f>Table1[[#This Row],[Resource]]</f>
        <v/>
      </c>
      <c r="P40" s="10" t="str">
        <f>IF(_xlfn.XLOOKUP($O40,'SI - End Use'!$B$2:$B$49,'SI - End Use'!$C$2:$C$49, "")="", "", _xlfn.XLOOKUP($C40,'SI - End Use'!$B$2:$B$49,'SI - End Use'!$C$2:$C$49, ""))</f>
        <v/>
      </c>
      <c r="Q40" s="10"/>
      <c r="R40" s="10"/>
    </row>
    <row r="41" spans="1:18" x14ac:dyDescent="0.35">
      <c r="A41" s="10"/>
      <c r="B41" s="10"/>
      <c r="C41" s="10" t="str">
        <f>_xlfn.XLOOKUP($B41,'SI - Resources'!$A$1:$H$1,'SI - Resources'!$A$2:$H$2, "")</f>
        <v/>
      </c>
      <c r="D41" s="27" t="str">
        <f>IF(_xlfn.XLOOKUP($C41,'SI - End Use'!$B$2:$B$49,'SI - End Use'!$C$2:$C$49, "")="", "", _xlfn.XLOOKUP($C41,'SI - End Use'!$B$2:$B$49,'SI - End Use'!$C$2:$C$49, ""))</f>
        <v/>
      </c>
      <c r="E41" s="23"/>
      <c r="F41" s="27" t="str" cm="1">
        <f t="array" ref="F41">IF($B41="Transportation",  'SI - Units'!$B$9:$B$9, _xlfn.XLOOKUP(_xlfn.XLOOKUP($C41,'SI - Units'!$B$24:$B$70,'SI - Units'!$C$24:$C$70, ""),'SI - Units'!$A$2:$A$8,'SI - Units'!$B$2:$B$8, ""))</f>
        <v/>
      </c>
      <c r="G41" s="39"/>
      <c r="H41" s="39"/>
      <c r="I41" s="43" t="str">
        <f>IF(Table1[[#This Row],[Type]]="Co-product", "No", "")</f>
        <v/>
      </c>
      <c r="J41" s="10"/>
      <c r="K41" s="10" t="str">
        <f>IF(Table1[[#This Row],[Type]]="Transportation", _xlfn.XLOOKUP(Table1[[#This Row],[Resource]], 'SI - Payload'!$A$10:$A$33,'SI - Payload'!$B$10:$B$33,"",0), "")</f>
        <v/>
      </c>
      <c r="L41" s="10" t="str">
        <f>IF(Table1[[#This Row],[Type]]="Transportation", "ton", "")</f>
        <v/>
      </c>
      <c r="M41" s="10"/>
      <c r="N41" s="10"/>
      <c r="O41" s="10" t="str">
        <f>Table1[[#This Row],[Resource]]</f>
        <v/>
      </c>
      <c r="P41" s="10" t="str">
        <f>IF(_xlfn.XLOOKUP($O41,'SI - End Use'!$B$2:$B$49,'SI - End Use'!$C$2:$C$49, "")="", "", _xlfn.XLOOKUP($C41,'SI - End Use'!$B$2:$B$49,'SI - End Use'!$C$2:$C$49, ""))</f>
        <v/>
      </c>
      <c r="Q41" s="10"/>
      <c r="R41" s="10"/>
    </row>
    <row r="42" spans="1:18" x14ac:dyDescent="0.35">
      <c r="A42" s="10"/>
      <c r="B42" s="10"/>
      <c r="C42" s="10" t="str">
        <f>_xlfn.XLOOKUP($B42,'SI - Resources'!$A$1:$H$1,'SI - Resources'!$A$2:$H$2, "")</f>
        <v/>
      </c>
      <c r="D42" s="27" t="str">
        <f>IF(_xlfn.XLOOKUP($C42,'SI - End Use'!$B$2:$B$49,'SI - End Use'!$C$2:$C$49, "")="", "", _xlfn.XLOOKUP($C42,'SI - End Use'!$B$2:$B$49,'SI - End Use'!$C$2:$C$49, ""))</f>
        <v/>
      </c>
      <c r="E42" s="23"/>
      <c r="F42" s="27" t="str" cm="1">
        <f t="array" ref="F42">IF($B42="Transportation",  'SI - Units'!$B$9:$B$9, _xlfn.XLOOKUP(_xlfn.XLOOKUP($C42,'SI - Units'!$B$24:$B$70,'SI - Units'!$C$24:$C$70, ""),'SI - Units'!$A$2:$A$8,'SI - Units'!$B$2:$B$8, ""))</f>
        <v/>
      </c>
      <c r="G42" s="39"/>
      <c r="H42" s="39"/>
      <c r="I42" s="43" t="str">
        <f>IF(Table1[[#This Row],[Type]]="Co-product", "No", "")</f>
        <v/>
      </c>
      <c r="J42" s="10"/>
      <c r="K42" s="10" t="str">
        <f>IF(Table1[[#This Row],[Type]]="Transportation", _xlfn.XLOOKUP(Table1[[#This Row],[Resource]], 'SI - Payload'!$A$10:$A$33,'SI - Payload'!$B$10:$B$33,"",0), "")</f>
        <v/>
      </c>
      <c r="L42" s="10" t="str">
        <f>IF(Table1[[#This Row],[Type]]="Transportation", "ton", "")</f>
        <v/>
      </c>
      <c r="M42" s="10"/>
      <c r="N42" s="10"/>
      <c r="O42" s="10" t="str">
        <f>Table1[[#This Row],[Resource]]</f>
        <v/>
      </c>
      <c r="P42" s="10" t="str">
        <f>IF(_xlfn.XLOOKUP($O42,'SI - End Use'!$B$2:$B$49,'SI - End Use'!$C$2:$C$49, "")="", "", _xlfn.XLOOKUP($C42,'SI - End Use'!$B$2:$B$49,'SI - End Use'!$C$2:$C$49, ""))</f>
        <v/>
      </c>
      <c r="Q42" s="10"/>
      <c r="R42" s="10"/>
    </row>
    <row r="43" spans="1:18" x14ac:dyDescent="0.35">
      <c r="A43" s="10"/>
      <c r="B43" s="10"/>
      <c r="C43" s="10" t="str">
        <f>_xlfn.XLOOKUP($B43,'SI - Resources'!$A$1:$H$1,'SI - Resources'!$A$2:$H$2, "")</f>
        <v/>
      </c>
      <c r="D43" s="27" t="str">
        <f>IF(_xlfn.XLOOKUP($C43,'SI - End Use'!$B$2:$B$49,'SI - End Use'!$C$2:$C$49, "")="", "", _xlfn.XLOOKUP($C43,'SI - End Use'!$B$2:$B$49,'SI - End Use'!$C$2:$C$49, ""))</f>
        <v/>
      </c>
      <c r="E43" s="23"/>
      <c r="F43" s="27" t="str" cm="1">
        <f t="array" ref="F43">IF($B43="Transportation",  'SI - Units'!$B$9:$B$9, _xlfn.XLOOKUP(_xlfn.XLOOKUP($C43,'SI - Units'!$B$24:$B$70,'SI - Units'!$C$24:$C$70, ""),'SI - Units'!$A$2:$A$8,'SI - Units'!$B$2:$B$8, ""))</f>
        <v/>
      </c>
      <c r="G43" s="39"/>
      <c r="H43" s="39"/>
      <c r="I43" s="43" t="str">
        <f>IF(Table1[[#This Row],[Type]]="Co-product", "No", "")</f>
        <v/>
      </c>
      <c r="J43" s="10"/>
      <c r="K43" s="10" t="str">
        <f>IF(Table1[[#This Row],[Type]]="Transportation", _xlfn.XLOOKUP(Table1[[#This Row],[Resource]], 'SI - Payload'!$A$10:$A$33,'SI - Payload'!$B$10:$B$33,"",0), "")</f>
        <v/>
      </c>
      <c r="L43" s="10" t="str">
        <f>IF(Table1[[#This Row],[Type]]="Transportation", "ton", "")</f>
        <v/>
      </c>
      <c r="M43" s="10"/>
      <c r="N43" s="10"/>
      <c r="O43" s="10" t="str">
        <f>Table1[[#This Row],[Resource]]</f>
        <v/>
      </c>
      <c r="P43" s="10" t="str">
        <f>IF(_xlfn.XLOOKUP($O43,'SI - End Use'!$B$2:$B$49,'SI - End Use'!$C$2:$C$49, "")="", "", _xlfn.XLOOKUP($C43,'SI - End Use'!$B$2:$B$49,'SI - End Use'!$C$2:$C$49, ""))</f>
        <v/>
      </c>
      <c r="Q43" s="10"/>
      <c r="R43" s="10"/>
    </row>
    <row r="44" spans="1:18" x14ac:dyDescent="0.35">
      <c r="A44" s="10"/>
      <c r="B44" s="10"/>
      <c r="C44" s="10" t="str">
        <f>_xlfn.XLOOKUP($B44,'SI - Resources'!$A$1:$H$1,'SI - Resources'!$A$2:$H$2, "")</f>
        <v/>
      </c>
      <c r="D44" s="27" t="str">
        <f>IF(_xlfn.XLOOKUP($C44,'SI - End Use'!$B$2:$B$49,'SI - End Use'!$C$2:$C$49, "")="", "", _xlfn.XLOOKUP($C44,'SI - End Use'!$B$2:$B$49,'SI - End Use'!$C$2:$C$49, ""))</f>
        <v/>
      </c>
      <c r="E44" s="23"/>
      <c r="F44" s="27" t="str" cm="1">
        <f t="array" ref="F44">IF($B44="Transportation",  'SI - Units'!$B$9:$B$9, _xlfn.XLOOKUP(_xlfn.XLOOKUP($C44,'SI - Units'!$B$24:$B$70,'SI - Units'!$C$24:$C$70, ""),'SI - Units'!$A$2:$A$8,'SI - Units'!$B$2:$B$8, ""))</f>
        <v/>
      </c>
      <c r="G44" s="39"/>
      <c r="H44" s="39"/>
      <c r="I44" s="43" t="str">
        <f>IF(Table1[[#This Row],[Type]]="Co-product", "No", "")</f>
        <v/>
      </c>
      <c r="J44" s="10"/>
      <c r="K44" s="10" t="str">
        <f>IF(Table1[[#This Row],[Type]]="Transportation", _xlfn.XLOOKUP(Table1[[#This Row],[Resource]], 'SI - Payload'!$A$10:$A$33,'SI - Payload'!$B$10:$B$33,"",0), "")</f>
        <v/>
      </c>
      <c r="L44" s="10" t="str">
        <f>IF(Table1[[#This Row],[Type]]="Transportation", "ton", "")</f>
        <v/>
      </c>
      <c r="M44" s="10"/>
      <c r="N44" s="10"/>
      <c r="O44" s="10" t="str">
        <f>Table1[[#This Row],[Resource]]</f>
        <v/>
      </c>
      <c r="P44" s="10" t="str">
        <f>IF(_xlfn.XLOOKUP($O44,'SI - End Use'!$B$2:$B$49,'SI - End Use'!$C$2:$C$49, "")="", "", _xlfn.XLOOKUP($C44,'SI - End Use'!$B$2:$B$49,'SI - End Use'!$C$2:$C$49, ""))</f>
        <v/>
      </c>
      <c r="Q44" s="10"/>
      <c r="R44" s="10"/>
    </row>
    <row r="45" spans="1:18" x14ac:dyDescent="0.35">
      <c r="A45" s="10"/>
      <c r="B45" s="10"/>
      <c r="C45" s="10" t="str">
        <f>_xlfn.XLOOKUP($B45,'SI - Resources'!$A$1:$H$1,'SI - Resources'!$A$2:$H$2, "")</f>
        <v/>
      </c>
      <c r="D45" s="27" t="str">
        <f>IF(_xlfn.XLOOKUP($C45,'SI - End Use'!$B$2:$B$49,'SI - End Use'!$C$2:$C$49, "")="", "", _xlfn.XLOOKUP($C45,'SI - End Use'!$B$2:$B$49,'SI - End Use'!$C$2:$C$49, ""))</f>
        <v/>
      </c>
      <c r="E45" s="23"/>
      <c r="F45" s="27" t="str" cm="1">
        <f t="array" ref="F45">IF($B45="Transportation",  'SI - Units'!$B$9:$B$9, _xlfn.XLOOKUP(_xlfn.XLOOKUP($C45,'SI - Units'!$B$24:$B$70,'SI - Units'!$C$24:$C$70, ""),'SI - Units'!$A$2:$A$8,'SI - Units'!$B$2:$B$8, ""))</f>
        <v/>
      </c>
      <c r="G45" s="39"/>
      <c r="H45" s="39"/>
      <c r="I45" s="43" t="str">
        <f>IF(Table1[[#This Row],[Type]]="Co-product", "No", "")</f>
        <v/>
      </c>
      <c r="J45" s="10"/>
      <c r="K45" s="10" t="str">
        <f>IF(Table1[[#This Row],[Type]]="Transportation", _xlfn.XLOOKUP(Table1[[#This Row],[Resource]], 'SI - Payload'!$A$10:$A$33,'SI - Payload'!$B$10:$B$33,"",0), "")</f>
        <v/>
      </c>
      <c r="L45" s="10" t="str">
        <f>IF(Table1[[#This Row],[Type]]="Transportation", "ton", "")</f>
        <v/>
      </c>
      <c r="M45" s="10"/>
      <c r="N45" s="10"/>
      <c r="O45" s="10" t="str">
        <f>Table1[[#This Row],[Resource]]</f>
        <v/>
      </c>
      <c r="P45" s="10" t="str">
        <f>IF(_xlfn.XLOOKUP($O45,'SI - End Use'!$B$2:$B$49,'SI - End Use'!$C$2:$C$49, "")="", "", _xlfn.XLOOKUP($C45,'SI - End Use'!$B$2:$B$49,'SI - End Use'!$C$2:$C$49, ""))</f>
        <v/>
      </c>
      <c r="Q45" s="10"/>
      <c r="R45" s="10"/>
    </row>
    <row r="46" spans="1:18" x14ac:dyDescent="0.35">
      <c r="A46" s="10"/>
      <c r="B46" s="10"/>
      <c r="C46" s="10" t="str">
        <f>_xlfn.XLOOKUP($B46,'SI - Resources'!$A$1:$H$1,'SI - Resources'!$A$2:$H$2, "")</f>
        <v/>
      </c>
      <c r="D46" s="27" t="str">
        <f>IF(_xlfn.XLOOKUP($C46,'SI - End Use'!$B$2:$B$49,'SI - End Use'!$C$2:$C$49, "")="", "", _xlfn.XLOOKUP($C46,'SI - End Use'!$B$2:$B$49,'SI - End Use'!$C$2:$C$49, ""))</f>
        <v/>
      </c>
      <c r="E46" s="23"/>
      <c r="F46" s="27" t="str" cm="1">
        <f t="array" ref="F46">IF($B46="Transportation",  'SI - Units'!$B$9:$B$9, _xlfn.XLOOKUP(_xlfn.XLOOKUP($C46,'SI - Units'!$B$24:$B$70,'SI - Units'!$C$24:$C$70, ""),'SI - Units'!$A$2:$A$8,'SI - Units'!$B$2:$B$8, ""))</f>
        <v/>
      </c>
      <c r="G46" s="39"/>
      <c r="H46" s="39"/>
      <c r="I46" s="43" t="str">
        <f>IF(Table1[[#This Row],[Type]]="Co-product", "No", "")</f>
        <v/>
      </c>
      <c r="J46" s="10"/>
      <c r="K46" s="10" t="str">
        <f>IF(Table1[[#This Row],[Type]]="Transportation", _xlfn.XLOOKUP(Table1[[#This Row],[Resource]], 'SI - Payload'!$A$10:$A$33,'SI - Payload'!$B$10:$B$33,"",0), "")</f>
        <v/>
      </c>
      <c r="L46" s="10" t="str">
        <f>IF(Table1[[#This Row],[Type]]="Transportation", "ton", "")</f>
        <v/>
      </c>
      <c r="M46" s="10"/>
      <c r="N46" s="10"/>
      <c r="O46" s="10" t="str">
        <f>Table1[[#This Row],[Resource]]</f>
        <v/>
      </c>
      <c r="P46" s="10" t="str">
        <f>IF(_xlfn.XLOOKUP($O46,'SI - End Use'!$B$2:$B$49,'SI - End Use'!$C$2:$C$49, "")="", "", _xlfn.XLOOKUP($C46,'SI - End Use'!$B$2:$B$49,'SI - End Use'!$C$2:$C$49, ""))</f>
        <v/>
      </c>
      <c r="Q46" s="10"/>
      <c r="R46" s="10"/>
    </row>
    <row r="47" spans="1:18" x14ac:dyDescent="0.35">
      <c r="A47" s="10"/>
      <c r="B47" s="10"/>
      <c r="C47" s="10" t="str">
        <f>_xlfn.XLOOKUP($B47,'SI - Resources'!$A$1:$H$1,'SI - Resources'!$A$2:$H$2, "")</f>
        <v/>
      </c>
      <c r="D47" s="27" t="str">
        <f>IF(_xlfn.XLOOKUP($C47,'SI - End Use'!$B$2:$B$49,'SI - End Use'!$C$2:$C$49, "")="", "", _xlfn.XLOOKUP($C47,'SI - End Use'!$B$2:$B$49,'SI - End Use'!$C$2:$C$49, ""))</f>
        <v/>
      </c>
      <c r="E47" s="23"/>
      <c r="F47" s="27" t="str" cm="1">
        <f t="array" ref="F47">IF($B47="Transportation",  'SI - Units'!$B$9:$B$9, _xlfn.XLOOKUP(_xlfn.XLOOKUP($C47,'SI - Units'!$B$24:$B$70,'SI - Units'!$C$24:$C$70, ""),'SI - Units'!$A$2:$A$8,'SI - Units'!$B$2:$B$8, ""))</f>
        <v/>
      </c>
      <c r="G47" s="39"/>
      <c r="H47" s="39"/>
      <c r="I47" s="43" t="str">
        <f>IF(Table1[[#This Row],[Type]]="Co-product", "No", "")</f>
        <v/>
      </c>
      <c r="J47" s="10"/>
      <c r="K47" s="10" t="str">
        <f>IF(Table1[[#This Row],[Type]]="Transportation", _xlfn.XLOOKUP(Table1[[#This Row],[Resource]], 'SI - Payload'!$A$10:$A$33,'SI - Payload'!$B$10:$B$33,"",0), "")</f>
        <v/>
      </c>
      <c r="L47" s="10" t="str">
        <f>IF(Table1[[#This Row],[Type]]="Transportation", "ton", "")</f>
        <v/>
      </c>
      <c r="M47" s="10"/>
      <c r="N47" s="10"/>
      <c r="O47" s="10" t="str">
        <f>Table1[[#This Row],[Resource]]</f>
        <v/>
      </c>
      <c r="P47" s="10" t="str">
        <f>IF(_xlfn.XLOOKUP($O47,'SI - End Use'!$B$2:$B$49,'SI - End Use'!$C$2:$C$49, "")="", "", _xlfn.XLOOKUP($C47,'SI - End Use'!$B$2:$B$49,'SI - End Use'!$C$2:$C$49, ""))</f>
        <v/>
      </c>
      <c r="Q47" s="10"/>
      <c r="R47" s="10"/>
    </row>
    <row r="48" spans="1:18" x14ac:dyDescent="0.35">
      <c r="A48" s="10"/>
      <c r="B48" s="10"/>
      <c r="C48" s="10" t="str">
        <f>_xlfn.XLOOKUP($B48,'SI - Resources'!$A$1:$H$1,'SI - Resources'!$A$2:$H$2, "")</f>
        <v/>
      </c>
      <c r="D48" s="27" t="str">
        <f>IF(_xlfn.XLOOKUP($C48,'SI - End Use'!$B$2:$B$49,'SI - End Use'!$C$2:$C$49, "")="", "", _xlfn.XLOOKUP($C48,'SI - End Use'!$B$2:$B$49,'SI - End Use'!$C$2:$C$49, ""))</f>
        <v/>
      </c>
      <c r="E48" s="23"/>
      <c r="F48" s="27" t="str" cm="1">
        <f t="array" ref="F48">IF($B48="Transportation",  'SI - Units'!$B$9:$B$9, _xlfn.XLOOKUP(_xlfn.XLOOKUP($C48,'SI - Units'!$B$24:$B$70,'SI - Units'!$C$24:$C$70, ""),'SI - Units'!$A$2:$A$8,'SI - Units'!$B$2:$B$8, ""))</f>
        <v/>
      </c>
      <c r="G48" s="39"/>
      <c r="H48" s="39"/>
      <c r="I48" s="43" t="str">
        <f>IF(Table1[[#This Row],[Type]]="Co-product", "No", "")</f>
        <v/>
      </c>
      <c r="J48" s="10"/>
      <c r="K48" s="10" t="str">
        <f>IF(Table1[[#This Row],[Type]]="Transportation", _xlfn.XLOOKUP(Table1[[#This Row],[Resource]], 'SI - Payload'!$A$10:$A$33,'SI - Payload'!$B$10:$B$33,"",0), "")</f>
        <v/>
      </c>
      <c r="L48" s="10" t="str">
        <f>IF(Table1[[#This Row],[Type]]="Transportation", "ton", "")</f>
        <v/>
      </c>
      <c r="M48" s="10"/>
      <c r="N48" s="10"/>
      <c r="O48" s="10" t="str">
        <f>Table1[[#This Row],[Resource]]</f>
        <v/>
      </c>
      <c r="P48" s="10" t="str">
        <f>IF(_xlfn.XLOOKUP($O48,'SI - End Use'!$B$2:$B$49,'SI - End Use'!$C$2:$C$49, "")="", "", _xlfn.XLOOKUP($C48,'SI - End Use'!$B$2:$B$49,'SI - End Use'!$C$2:$C$49, ""))</f>
        <v/>
      </c>
      <c r="Q48" s="10"/>
      <c r="R48" s="10"/>
    </row>
    <row r="49" spans="1:18" x14ac:dyDescent="0.35">
      <c r="A49" s="10"/>
      <c r="B49" s="10"/>
      <c r="C49" s="10" t="str">
        <f>_xlfn.XLOOKUP($B49,'SI - Resources'!$A$1:$H$1,'SI - Resources'!$A$2:$H$2, "")</f>
        <v/>
      </c>
      <c r="D49" s="27" t="str">
        <f>IF(_xlfn.XLOOKUP($C49,'SI - End Use'!$B$2:$B$49,'SI - End Use'!$C$2:$C$49, "")="", "", _xlfn.XLOOKUP($C49,'SI - End Use'!$B$2:$B$49,'SI - End Use'!$C$2:$C$49, ""))</f>
        <v/>
      </c>
      <c r="E49" s="23"/>
      <c r="F49" s="27" t="str" cm="1">
        <f t="array" ref="F49">IF($B49="Transportation",  'SI - Units'!$B$9:$B$9, _xlfn.XLOOKUP(_xlfn.XLOOKUP($C49,'SI - Units'!$B$24:$B$70,'SI - Units'!$C$24:$C$70, ""),'SI - Units'!$A$2:$A$8,'SI - Units'!$B$2:$B$8, ""))</f>
        <v/>
      </c>
      <c r="G49" s="39"/>
      <c r="H49" s="39"/>
      <c r="I49" s="43" t="str">
        <f>IF(Table1[[#This Row],[Type]]="Co-product", "No", "")</f>
        <v/>
      </c>
      <c r="J49" s="10"/>
      <c r="K49" s="10" t="str">
        <f>IF(Table1[[#This Row],[Type]]="Transportation", _xlfn.XLOOKUP(Table1[[#This Row],[Resource]], 'SI - Payload'!$A$10:$A$33,'SI - Payload'!$B$10:$B$33,"",0), "")</f>
        <v/>
      </c>
      <c r="L49" s="10" t="str">
        <f>IF(Table1[[#This Row],[Type]]="Transportation", "ton", "")</f>
        <v/>
      </c>
      <c r="M49" s="10"/>
      <c r="N49" s="10"/>
      <c r="O49" s="10" t="str">
        <f>Table1[[#This Row],[Resource]]</f>
        <v/>
      </c>
      <c r="P49" s="10" t="str">
        <f>IF(_xlfn.XLOOKUP($O49,'SI - End Use'!$B$2:$B$49,'SI - End Use'!$C$2:$C$49, "")="", "", _xlfn.XLOOKUP($C49,'SI - End Use'!$B$2:$B$49,'SI - End Use'!$C$2:$C$49, ""))</f>
        <v/>
      </c>
      <c r="Q49" s="10"/>
      <c r="R49" s="10"/>
    </row>
    <row r="50" spans="1:18" x14ac:dyDescent="0.35">
      <c r="A50" s="10"/>
      <c r="B50" s="10"/>
      <c r="C50" s="10" t="str">
        <f>_xlfn.XLOOKUP($B50,'SI - Resources'!$A$1:$H$1,'SI - Resources'!$A$2:$H$2, "")</f>
        <v/>
      </c>
      <c r="D50" s="27" t="str">
        <f>IF(_xlfn.XLOOKUP($C50,'SI - End Use'!$B$2:$B$49,'SI - End Use'!$C$2:$C$49, "")="", "", _xlfn.XLOOKUP($C50,'SI - End Use'!$B$2:$B$49,'SI - End Use'!$C$2:$C$49, ""))</f>
        <v/>
      </c>
      <c r="E50" s="23"/>
      <c r="F50" s="27" t="str" cm="1">
        <f t="array" ref="F50">IF($B50="Transportation",  'SI - Units'!$B$9:$B$9, _xlfn.XLOOKUP(_xlfn.XLOOKUP($C50,'SI - Units'!$B$24:$B$70,'SI - Units'!$C$24:$C$70, ""),'SI - Units'!$A$2:$A$8,'SI - Units'!$B$2:$B$8, ""))</f>
        <v/>
      </c>
      <c r="G50" s="39"/>
      <c r="H50" s="39"/>
      <c r="I50" s="43" t="str">
        <f>IF(Table1[[#This Row],[Type]]="Co-product", "No", "")</f>
        <v/>
      </c>
      <c r="J50" s="10"/>
      <c r="K50" s="10" t="str">
        <f>IF(Table1[[#This Row],[Type]]="Transportation", _xlfn.XLOOKUP(Table1[[#This Row],[Resource]], 'SI - Payload'!$A$10:$A$33,'SI - Payload'!$B$10:$B$33,"",0), "")</f>
        <v/>
      </c>
      <c r="L50" s="10" t="str">
        <f>IF(Table1[[#This Row],[Type]]="Transportation", "ton", "")</f>
        <v/>
      </c>
      <c r="M50" s="10"/>
      <c r="N50" s="10"/>
      <c r="O50" s="10" t="str">
        <f>Table1[[#This Row],[Resource]]</f>
        <v/>
      </c>
      <c r="P50" s="10" t="str">
        <f>IF(_xlfn.XLOOKUP($O50,'SI - End Use'!$B$2:$B$49,'SI - End Use'!$C$2:$C$49, "")="", "", _xlfn.XLOOKUP($C50,'SI - End Use'!$B$2:$B$49,'SI - End Use'!$C$2:$C$49, ""))</f>
        <v/>
      </c>
      <c r="Q50" s="10"/>
      <c r="R50" s="10"/>
    </row>
    <row r="51" spans="1:18" x14ac:dyDescent="0.35">
      <c r="A51" s="10"/>
      <c r="B51" s="10"/>
      <c r="C51" s="10" t="str">
        <f>_xlfn.XLOOKUP($B51,'SI - Resources'!$A$1:$H$1,'SI - Resources'!$A$2:$H$2, "")</f>
        <v/>
      </c>
      <c r="D51" s="27" t="str">
        <f>IF(_xlfn.XLOOKUP($C51,'SI - End Use'!$B$2:$B$49,'SI - End Use'!$C$2:$C$49, "")="", "", _xlfn.XLOOKUP($C51,'SI - End Use'!$B$2:$B$49,'SI - End Use'!$C$2:$C$49, ""))</f>
        <v/>
      </c>
      <c r="E51" s="23"/>
      <c r="F51" s="27" t="str" cm="1">
        <f t="array" ref="F51">IF($B51="Transportation",  'SI - Units'!$B$9:$B$9, _xlfn.XLOOKUP(_xlfn.XLOOKUP($C51,'SI - Units'!$B$24:$B$70,'SI - Units'!$C$24:$C$70, ""),'SI - Units'!$A$2:$A$8,'SI - Units'!$B$2:$B$8, ""))</f>
        <v/>
      </c>
      <c r="G51" s="39"/>
      <c r="H51" s="39"/>
      <c r="I51" s="43" t="str">
        <f>IF(Table1[[#This Row],[Type]]="Co-product", "No", "")</f>
        <v/>
      </c>
      <c r="J51" s="10"/>
      <c r="K51" s="10" t="str">
        <f>IF(Table1[[#This Row],[Type]]="Transportation", _xlfn.XLOOKUP(Table1[[#This Row],[Resource]], 'SI - Payload'!$A$10:$A$33,'SI - Payload'!$B$10:$B$33,"",0), "")</f>
        <v/>
      </c>
      <c r="L51" s="10" t="str">
        <f>IF(Table1[[#This Row],[Type]]="Transportation", "ton", "")</f>
        <v/>
      </c>
      <c r="M51" s="10"/>
      <c r="N51" s="10"/>
      <c r="O51" s="10" t="str">
        <f>Table1[[#This Row],[Resource]]</f>
        <v/>
      </c>
      <c r="P51" s="10" t="str">
        <f>IF(_xlfn.XLOOKUP($O51,'SI - End Use'!$B$2:$B$49,'SI - End Use'!$C$2:$C$49, "")="", "", _xlfn.XLOOKUP($C51,'SI - End Use'!$B$2:$B$49,'SI - End Use'!$C$2:$C$49, ""))</f>
        <v/>
      </c>
      <c r="Q51" s="10"/>
      <c r="R51" s="10"/>
    </row>
    <row r="52" spans="1:18" x14ac:dyDescent="0.35">
      <c r="A52" s="10"/>
      <c r="B52" s="10"/>
      <c r="C52" s="10" t="str">
        <f>_xlfn.XLOOKUP($B52,'SI - Resources'!$A$1:$H$1,'SI - Resources'!$A$2:$H$2, "")</f>
        <v/>
      </c>
      <c r="D52" s="27" t="str">
        <f>IF(_xlfn.XLOOKUP($C52,'SI - End Use'!$B$2:$B$49,'SI - End Use'!$C$2:$C$49, "")="", "", _xlfn.XLOOKUP($C52,'SI - End Use'!$B$2:$B$49,'SI - End Use'!$C$2:$C$49, ""))</f>
        <v/>
      </c>
      <c r="E52" s="23"/>
      <c r="F52" s="27" t="str" cm="1">
        <f t="array" ref="F52">IF($B52="Transportation",  'SI - Units'!$B$9:$B$9, _xlfn.XLOOKUP(_xlfn.XLOOKUP($C52,'SI - Units'!$B$24:$B$70,'SI - Units'!$C$24:$C$70, ""),'SI - Units'!$A$2:$A$8,'SI - Units'!$B$2:$B$8, ""))</f>
        <v/>
      </c>
      <c r="G52" s="39"/>
      <c r="H52" s="39"/>
      <c r="I52" s="43" t="str">
        <f>IF(Table1[[#This Row],[Type]]="Co-product", "No", "")</f>
        <v/>
      </c>
      <c r="J52" s="10"/>
      <c r="K52" s="10" t="str">
        <f>IF(Table1[[#This Row],[Type]]="Transportation", _xlfn.XLOOKUP(Table1[[#This Row],[Resource]], 'SI - Payload'!$A$10:$A$33,'SI - Payload'!$B$10:$B$33,"",0), "")</f>
        <v/>
      </c>
      <c r="L52" s="10" t="str">
        <f>IF(Table1[[#This Row],[Type]]="Transportation", "ton", "")</f>
        <v/>
      </c>
      <c r="M52" s="10"/>
      <c r="N52" s="10"/>
      <c r="O52" s="10" t="str">
        <f>Table1[[#This Row],[Resource]]</f>
        <v/>
      </c>
      <c r="P52" s="10" t="str">
        <f>IF(_xlfn.XLOOKUP($O52,'SI - End Use'!$B$2:$B$49,'SI - End Use'!$C$2:$C$49, "")="", "", _xlfn.XLOOKUP($C52,'SI - End Use'!$B$2:$B$49,'SI - End Use'!$C$2:$C$49, ""))</f>
        <v/>
      </c>
      <c r="Q52" s="10"/>
      <c r="R52" s="10"/>
    </row>
    <row r="53" spans="1:18" x14ac:dyDescent="0.35">
      <c r="A53" s="10"/>
      <c r="B53" s="10"/>
      <c r="C53" s="10" t="str">
        <f>_xlfn.XLOOKUP($B53,'SI - Resources'!$A$1:$H$1,'SI - Resources'!$A$2:$H$2, "")</f>
        <v/>
      </c>
      <c r="D53" s="27" t="str">
        <f>IF(_xlfn.XLOOKUP($C53,'SI - End Use'!$B$2:$B$49,'SI - End Use'!$C$2:$C$49, "")="", "", _xlfn.XLOOKUP($C53,'SI - End Use'!$B$2:$B$49,'SI - End Use'!$C$2:$C$49, ""))</f>
        <v/>
      </c>
      <c r="E53" s="23"/>
      <c r="F53" s="27" t="str" cm="1">
        <f t="array" ref="F53">IF($B53="Transportation",  'SI - Units'!$B$9:$B$9, _xlfn.XLOOKUP(_xlfn.XLOOKUP($C53,'SI - Units'!$B$24:$B$70,'SI - Units'!$C$24:$C$70, ""),'SI - Units'!$A$2:$A$8,'SI - Units'!$B$2:$B$8, ""))</f>
        <v/>
      </c>
      <c r="G53" s="39"/>
      <c r="H53" s="39"/>
      <c r="I53" s="43" t="str">
        <f>IF(Table1[[#This Row],[Type]]="Co-product", "No", "")</f>
        <v/>
      </c>
      <c r="J53" s="10"/>
      <c r="K53" s="10" t="str">
        <f>IF(Table1[[#This Row],[Type]]="Transportation", _xlfn.XLOOKUP(Table1[[#This Row],[Resource]], 'SI - Payload'!$A$10:$A$33,'SI - Payload'!$B$10:$B$33,"",0), "")</f>
        <v/>
      </c>
      <c r="L53" s="10" t="str">
        <f>IF(Table1[[#This Row],[Type]]="Transportation", "ton", "")</f>
        <v/>
      </c>
      <c r="M53" s="10"/>
      <c r="N53" s="10"/>
      <c r="O53" s="10" t="str">
        <f>Table1[[#This Row],[Resource]]</f>
        <v/>
      </c>
      <c r="P53" s="10" t="str">
        <f>IF(_xlfn.XLOOKUP($O53,'SI - End Use'!$B$2:$B$49,'SI - End Use'!$C$2:$C$49, "")="", "", _xlfn.XLOOKUP($C53,'SI - End Use'!$B$2:$B$49,'SI - End Use'!$C$2:$C$49, ""))</f>
        <v/>
      </c>
      <c r="Q53" s="10"/>
      <c r="R53" s="10"/>
    </row>
    <row r="54" spans="1:18" x14ac:dyDescent="0.35">
      <c r="A54" s="10"/>
      <c r="B54" s="10"/>
      <c r="C54" s="10" t="str">
        <f>_xlfn.XLOOKUP($B54,'SI - Resources'!$A$1:$H$1,'SI - Resources'!$A$2:$H$2, "")</f>
        <v/>
      </c>
      <c r="D54" s="27" t="str">
        <f>IF(_xlfn.XLOOKUP($C54,'SI - End Use'!$B$2:$B$49,'SI - End Use'!$C$2:$C$49, "")="", "", _xlfn.XLOOKUP($C54,'SI - End Use'!$B$2:$B$49,'SI - End Use'!$C$2:$C$49, ""))</f>
        <v/>
      </c>
      <c r="E54" s="23"/>
      <c r="F54" s="27" t="str" cm="1">
        <f t="array" ref="F54">IF($B54="Transportation",  'SI - Units'!$B$9:$B$9, _xlfn.XLOOKUP(_xlfn.XLOOKUP($C54,'SI - Units'!$B$24:$B$70,'SI - Units'!$C$24:$C$70, ""),'SI - Units'!$A$2:$A$8,'SI - Units'!$B$2:$B$8, ""))</f>
        <v/>
      </c>
      <c r="G54" s="39"/>
      <c r="H54" s="39"/>
      <c r="I54" s="43" t="str">
        <f>IF(Table1[[#This Row],[Type]]="Co-product", "No", "")</f>
        <v/>
      </c>
      <c r="J54" s="10"/>
      <c r="K54" s="10" t="str">
        <f>IF(Table1[[#This Row],[Type]]="Transportation", _xlfn.XLOOKUP(Table1[[#This Row],[Resource]], 'SI - Payload'!$A$10:$A$33,'SI - Payload'!$B$10:$B$33,"",0), "")</f>
        <v/>
      </c>
      <c r="L54" s="10" t="str">
        <f>IF(Table1[[#This Row],[Type]]="Transportation", "ton", "")</f>
        <v/>
      </c>
      <c r="M54" s="10"/>
      <c r="N54" s="10"/>
      <c r="O54" s="10" t="str">
        <f>Table1[[#This Row],[Resource]]</f>
        <v/>
      </c>
      <c r="P54" s="10" t="str">
        <f>IF(_xlfn.XLOOKUP($O54,'SI - End Use'!$B$2:$B$49,'SI - End Use'!$C$2:$C$49, "")="", "", _xlfn.XLOOKUP($C54,'SI - End Use'!$B$2:$B$49,'SI - End Use'!$C$2:$C$49, ""))</f>
        <v/>
      </c>
      <c r="Q54" s="10"/>
      <c r="R54" s="10"/>
    </row>
    <row r="55" spans="1:18" x14ac:dyDescent="0.35">
      <c r="A55" s="10"/>
      <c r="B55" s="10"/>
      <c r="C55" s="10" t="str">
        <f>_xlfn.XLOOKUP($B55,'SI - Resources'!$A$1:$H$1,'SI - Resources'!$A$2:$H$2, "")</f>
        <v/>
      </c>
      <c r="D55" s="27" t="str">
        <f>IF(_xlfn.XLOOKUP($C55,'SI - End Use'!$B$2:$B$49,'SI - End Use'!$C$2:$C$49, "")="", "", _xlfn.XLOOKUP($C55,'SI - End Use'!$B$2:$B$49,'SI - End Use'!$C$2:$C$49, ""))</f>
        <v/>
      </c>
      <c r="E55" s="23"/>
      <c r="F55" s="27" t="str" cm="1">
        <f t="array" ref="F55">IF($B55="Transportation",  'SI - Units'!$B$9:$B$9, _xlfn.XLOOKUP(_xlfn.XLOOKUP($C55,'SI - Units'!$B$24:$B$70,'SI - Units'!$C$24:$C$70, ""),'SI - Units'!$A$2:$A$8,'SI - Units'!$B$2:$B$8, ""))</f>
        <v/>
      </c>
      <c r="G55" s="39"/>
      <c r="H55" s="39"/>
      <c r="I55" s="43" t="str">
        <f>IF(Table1[[#This Row],[Type]]="Co-product", "No", "")</f>
        <v/>
      </c>
      <c r="J55" s="10"/>
      <c r="K55" s="10" t="str">
        <f>IF(Table1[[#This Row],[Type]]="Transportation", _xlfn.XLOOKUP(Table1[[#This Row],[Resource]], 'SI - Payload'!$A$10:$A$33,'SI - Payload'!$B$10:$B$33,"",0), "")</f>
        <v/>
      </c>
      <c r="L55" s="10" t="str">
        <f>IF(Table1[[#This Row],[Type]]="Transportation", "ton", "")</f>
        <v/>
      </c>
      <c r="M55" s="10"/>
      <c r="N55" s="10"/>
      <c r="O55" s="10" t="str">
        <f>Table1[[#This Row],[Resource]]</f>
        <v/>
      </c>
      <c r="P55" s="10" t="str">
        <f>IF(_xlfn.XLOOKUP($O55,'SI - End Use'!$B$2:$B$49,'SI - End Use'!$C$2:$C$49, "")="", "", _xlfn.XLOOKUP($C55,'SI - End Use'!$B$2:$B$49,'SI - End Use'!$C$2:$C$49, ""))</f>
        <v/>
      </c>
      <c r="Q55" s="10"/>
      <c r="R55" s="10"/>
    </row>
    <row r="56" spans="1:18" x14ac:dyDescent="0.35">
      <c r="A56" s="10"/>
      <c r="B56" s="10"/>
      <c r="C56" s="10" t="str">
        <f>_xlfn.XLOOKUP($B56,'SI - Resources'!$A$1:$H$1,'SI - Resources'!$A$2:$H$2, "")</f>
        <v/>
      </c>
      <c r="D56" s="27" t="str">
        <f>IF(_xlfn.XLOOKUP($C56,'SI - End Use'!$B$2:$B$49,'SI - End Use'!$C$2:$C$49, "")="", "", _xlfn.XLOOKUP($C56,'SI - End Use'!$B$2:$B$49,'SI - End Use'!$C$2:$C$49, ""))</f>
        <v/>
      </c>
      <c r="E56" s="23"/>
      <c r="F56" s="27" t="str" cm="1">
        <f t="array" ref="F56">IF($B56="Transportation",  'SI - Units'!$B$9:$B$9, _xlfn.XLOOKUP(_xlfn.XLOOKUP($C56,'SI - Units'!$B$24:$B$70,'SI - Units'!$C$24:$C$70, ""),'SI - Units'!$A$2:$A$8,'SI - Units'!$B$2:$B$8, ""))</f>
        <v/>
      </c>
      <c r="G56" s="39"/>
      <c r="H56" s="39"/>
      <c r="I56" s="43" t="str">
        <f>IF(Table1[[#This Row],[Type]]="Co-product", "No", "")</f>
        <v/>
      </c>
      <c r="J56" s="10"/>
      <c r="K56" s="10" t="str">
        <f>IF(Table1[[#This Row],[Type]]="Transportation", _xlfn.XLOOKUP(Table1[[#This Row],[Resource]], 'SI - Payload'!$A$10:$A$33,'SI - Payload'!$B$10:$B$33,"",0), "")</f>
        <v/>
      </c>
      <c r="L56" s="10" t="str">
        <f>IF(Table1[[#This Row],[Type]]="Transportation", "ton", "")</f>
        <v/>
      </c>
      <c r="M56" s="10"/>
      <c r="N56" s="10"/>
      <c r="O56" s="10" t="str">
        <f>Table1[[#This Row],[Resource]]</f>
        <v/>
      </c>
      <c r="P56" s="10" t="str">
        <f>IF(_xlfn.XLOOKUP($O56,'SI - End Use'!$B$2:$B$49,'SI - End Use'!$C$2:$C$49, "")="", "", _xlfn.XLOOKUP($C56,'SI - End Use'!$B$2:$B$49,'SI - End Use'!$C$2:$C$49, ""))</f>
        <v/>
      </c>
      <c r="Q56" s="10"/>
      <c r="R56" s="10"/>
    </row>
    <row r="57" spans="1:18" x14ac:dyDescent="0.35">
      <c r="A57" s="10"/>
      <c r="B57" s="10"/>
      <c r="C57" s="10" t="str">
        <f>_xlfn.XLOOKUP($B57,'SI - Resources'!$A$1:$H$1,'SI - Resources'!$A$2:$H$2, "")</f>
        <v/>
      </c>
      <c r="D57" s="27" t="str">
        <f>IF(_xlfn.XLOOKUP($C57,'SI - End Use'!$B$2:$B$49,'SI - End Use'!$C$2:$C$49, "")="", "", _xlfn.XLOOKUP($C57,'SI - End Use'!$B$2:$B$49,'SI - End Use'!$C$2:$C$49, ""))</f>
        <v/>
      </c>
      <c r="E57" s="23"/>
      <c r="F57" s="27" t="str" cm="1">
        <f t="array" ref="F57">IF($B57="Transportation",  'SI - Units'!$B$9:$B$9, _xlfn.XLOOKUP(_xlfn.XLOOKUP($C57,'SI - Units'!$B$24:$B$70,'SI - Units'!$C$24:$C$70, ""),'SI - Units'!$A$2:$A$8,'SI - Units'!$B$2:$B$8, ""))</f>
        <v/>
      </c>
      <c r="G57" s="39"/>
      <c r="H57" s="39"/>
      <c r="I57" s="43" t="str">
        <f>IF(Table1[[#This Row],[Type]]="Co-product", "No", "")</f>
        <v/>
      </c>
      <c r="J57" s="10"/>
      <c r="K57" s="10" t="str">
        <f>IF(Table1[[#This Row],[Type]]="Transportation", _xlfn.XLOOKUP(Table1[[#This Row],[Resource]], 'SI - Payload'!$A$10:$A$33,'SI - Payload'!$B$10:$B$33,"",0), "")</f>
        <v/>
      </c>
      <c r="L57" s="10" t="str">
        <f>IF(Table1[[#This Row],[Type]]="Transportation", "ton", "")</f>
        <v/>
      </c>
      <c r="M57" s="10"/>
      <c r="N57" s="10"/>
      <c r="O57" s="10" t="str">
        <f>Table1[[#This Row],[Resource]]</f>
        <v/>
      </c>
      <c r="P57" s="10" t="str">
        <f>IF(_xlfn.XLOOKUP($O57,'SI - End Use'!$B$2:$B$49,'SI - End Use'!$C$2:$C$49, "")="", "", _xlfn.XLOOKUP($C57,'SI - End Use'!$B$2:$B$49,'SI - End Use'!$C$2:$C$49, ""))</f>
        <v/>
      </c>
      <c r="Q57" s="10"/>
      <c r="R57" s="10"/>
    </row>
    <row r="58" spans="1:18" x14ac:dyDescent="0.35">
      <c r="A58" s="10"/>
      <c r="B58" s="10"/>
      <c r="C58" s="10" t="str">
        <f>_xlfn.XLOOKUP($B58,'SI - Resources'!$A$1:$H$1,'SI - Resources'!$A$2:$H$2, "")</f>
        <v/>
      </c>
      <c r="D58" s="27" t="str">
        <f>IF(_xlfn.XLOOKUP($C58,'SI - End Use'!$B$2:$B$49,'SI - End Use'!$C$2:$C$49, "")="", "", _xlfn.XLOOKUP($C58,'SI - End Use'!$B$2:$B$49,'SI - End Use'!$C$2:$C$49, ""))</f>
        <v/>
      </c>
      <c r="E58" s="23"/>
      <c r="F58" s="27" t="str" cm="1">
        <f t="array" ref="F58">IF($B58="Transportation",  'SI - Units'!$B$9:$B$9, _xlfn.XLOOKUP(_xlfn.XLOOKUP($C58,'SI - Units'!$B$24:$B$70,'SI - Units'!$C$24:$C$70, ""),'SI - Units'!$A$2:$A$8,'SI - Units'!$B$2:$B$8, ""))</f>
        <v/>
      </c>
      <c r="G58" s="39"/>
      <c r="H58" s="39"/>
      <c r="I58" s="43" t="str">
        <f>IF(Table1[[#This Row],[Type]]="Co-product", "No", "")</f>
        <v/>
      </c>
      <c r="J58" s="10"/>
      <c r="K58" s="10" t="str">
        <f>IF(Table1[[#This Row],[Type]]="Transportation", _xlfn.XLOOKUP(Table1[[#This Row],[Resource]], 'SI - Payload'!$A$10:$A$33,'SI - Payload'!$B$10:$B$33,"",0), "")</f>
        <v/>
      </c>
      <c r="L58" s="10" t="str">
        <f>IF(Table1[[#This Row],[Type]]="Transportation", "ton", "")</f>
        <v/>
      </c>
      <c r="M58" s="10"/>
      <c r="N58" s="10"/>
      <c r="O58" s="10" t="str">
        <f>Table1[[#This Row],[Resource]]</f>
        <v/>
      </c>
      <c r="P58" s="10" t="str">
        <f>IF(_xlfn.XLOOKUP($O58,'SI - End Use'!$B$2:$B$49,'SI - End Use'!$C$2:$C$49, "")="", "", _xlfn.XLOOKUP($C58,'SI - End Use'!$B$2:$B$49,'SI - End Use'!$C$2:$C$49, ""))</f>
        <v/>
      </c>
      <c r="Q58" s="10"/>
      <c r="R58" s="10"/>
    </row>
    <row r="59" spans="1:18" x14ac:dyDescent="0.35">
      <c r="A59" s="10"/>
      <c r="B59" s="10"/>
      <c r="C59" s="10" t="str">
        <f>_xlfn.XLOOKUP($B59,'SI - Resources'!$A$1:$H$1,'SI - Resources'!$A$2:$H$2, "")</f>
        <v/>
      </c>
      <c r="D59" s="27" t="str">
        <f>IF(_xlfn.XLOOKUP($C59,'SI - End Use'!$B$2:$B$49,'SI - End Use'!$C$2:$C$49, "")="", "", _xlfn.XLOOKUP($C59,'SI - End Use'!$B$2:$B$49,'SI - End Use'!$C$2:$C$49, ""))</f>
        <v/>
      </c>
      <c r="E59" s="23"/>
      <c r="F59" s="27" t="str" cm="1">
        <f t="array" ref="F59">IF($B59="Transportation",  'SI - Units'!$B$9:$B$9, _xlfn.XLOOKUP(_xlfn.XLOOKUP($C59,'SI - Units'!$B$24:$B$70,'SI - Units'!$C$24:$C$70, ""),'SI - Units'!$A$2:$A$8,'SI - Units'!$B$2:$B$8, ""))</f>
        <v/>
      </c>
      <c r="G59" s="39"/>
      <c r="H59" s="39"/>
      <c r="I59" s="43" t="str">
        <f>IF(Table1[[#This Row],[Type]]="Co-product", "No", "")</f>
        <v/>
      </c>
      <c r="J59" s="10"/>
      <c r="K59" s="10" t="str">
        <f>IF(Table1[[#This Row],[Type]]="Transportation", _xlfn.XLOOKUP(Table1[[#This Row],[Resource]], 'SI - Payload'!$A$10:$A$33,'SI - Payload'!$B$10:$B$33,"",0), "")</f>
        <v/>
      </c>
      <c r="L59" s="10" t="str">
        <f>IF(Table1[[#This Row],[Type]]="Transportation", "ton", "")</f>
        <v/>
      </c>
      <c r="M59" s="10"/>
      <c r="N59" s="10"/>
      <c r="O59" s="10" t="str">
        <f>Table1[[#This Row],[Resource]]</f>
        <v/>
      </c>
      <c r="P59" s="10" t="str">
        <f>IF(_xlfn.XLOOKUP($O59,'SI - End Use'!$B$2:$B$49,'SI - End Use'!$C$2:$C$49, "")="", "", _xlfn.XLOOKUP($C59,'SI - End Use'!$B$2:$B$49,'SI - End Use'!$C$2:$C$49, ""))</f>
        <v/>
      </c>
      <c r="Q59" s="10"/>
      <c r="R59" s="10"/>
    </row>
    <row r="60" spans="1:18" x14ac:dyDescent="0.35">
      <c r="A60" s="10"/>
      <c r="B60" s="10"/>
      <c r="C60" s="10" t="str">
        <f>_xlfn.XLOOKUP($B60,'SI - Resources'!$A$1:$H$1,'SI - Resources'!$A$2:$H$2, "")</f>
        <v/>
      </c>
      <c r="D60" s="27" t="str">
        <f>IF(_xlfn.XLOOKUP($C60,'SI - End Use'!$B$2:$B$49,'SI - End Use'!$C$2:$C$49, "")="", "", _xlfn.XLOOKUP($C60,'SI - End Use'!$B$2:$B$49,'SI - End Use'!$C$2:$C$49, ""))</f>
        <v/>
      </c>
      <c r="E60" s="23"/>
      <c r="F60" s="27" t="str" cm="1">
        <f t="array" ref="F60">IF($B60="Transportation",  'SI - Units'!$B$9:$B$9, _xlfn.XLOOKUP(_xlfn.XLOOKUP($C60,'SI - Units'!$B$24:$B$70,'SI - Units'!$C$24:$C$70, ""),'SI - Units'!$A$2:$A$8,'SI - Units'!$B$2:$B$8, ""))</f>
        <v/>
      </c>
      <c r="G60" s="39"/>
      <c r="H60" s="39"/>
      <c r="I60" s="43" t="str">
        <f>IF(Table1[[#This Row],[Type]]="Co-product", "No", "")</f>
        <v/>
      </c>
      <c r="J60" s="10"/>
      <c r="K60" s="10" t="str">
        <f>IF(Table1[[#This Row],[Type]]="Transportation", _xlfn.XLOOKUP(Table1[[#This Row],[Resource]], 'SI - Payload'!$A$10:$A$33,'SI - Payload'!$B$10:$B$33,"",0), "")</f>
        <v/>
      </c>
      <c r="L60" s="10" t="str">
        <f>IF(Table1[[#This Row],[Type]]="Transportation", "ton", "")</f>
        <v/>
      </c>
      <c r="M60" s="10"/>
      <c r="N60" s="10"/>
      <c r="O60" s="10" t="str">
        <f>Table1[[#This Row],[Resource]]</f>
        <v/>
      </c>
      <c r="P60" s="10" t="str">
        <f>IF(_xlfn.XLOOKUP($O60,'SI - End Use'!$B$2:$B$49,'SI - End Use'!$C$2:$C$49, "")="", "", _xlfn.XLOOKUP($C60,'SI - End Use'!$B$2:$B$49,'SI - End Use'!$C$2:$C$49, ""))</f>
        <v/>
      </c>
      <c r="Q60" s="10"/>
      <c r="R60" s="10"/>
    </row>
    <row r="61" spans="1:18" x14ac:dyDescent="0.35">
      <c r="A61" s="10"/>
      <c r="B61" s="10"/>
      <c r="C61" s="10" t="str">
        <f>_xlfn.XLOOKUP($B61,'SI - Resources'!$A$1:$H$1,'SI - Resources'!$A$2:$H$2, "")</f>
        <v/>
      </c>
      <c r="D61" s="27" t="str">
        <f>IF(_xlfn.XLOOKUP($C61,'SI - End Use'!$B$2:$B$49,'SI - End Use'!$C$2:$C$49, "")="", "", _xlfn.XLOOKUP($C61,'SI - End Use'!$B$2:$B$49,'SI - End Use'!$C$2:$C$49, ""))</f>
        <v/>
      </c>
      <c r="E61" s="23"/>
      <c r="F61" s="27" t="str" cm="1">
        <f t="array" ref="F61">IF($B61="Transportation",  'SI - Units'!$B$9:$B$9, _xlfn.XLOOKUP(_xlfn.XLOOKUP($C61,'SI - Units'!$B$24:$B$70,'SI - Units'!$C$24:$C$70, ""),'SI - Units'!$A$2:$A$8,'SI - Units'!$B$2:$B$8, ""))</f>
        <v/>
      </c>
      <c r="G61" s="39"/>
      <c r="H61" s="39"/>
      <c r="I61" s="43" t="str">
        <f>IF(Table1[[#This Row],[Type]]="Co-product", "No", "")</f>
        <v/>
      </c>
      <c r="J61" s="10"/>
      <c r="K61" s="10" t="str">
        <f>IF(Table1[[#This Row],[Type]]="Transportation", _xlfn.XLOOKUP(Table1[[#This Row],[Resource]], 'SI - Payload'!$A$10:$A$33,'SI - Payload'!$B$10:$B$33,"",0), "")</f>
        <v/>
      </c>
      <c r="L61" s="10" t="str">
        <f>IF(Table1[[#This Row],[Type]]="Transportation", "ton", "")</f>
        <v/>
      </c>
      <c r="M61" s="10"/>
      <c r="N61" s="10"/>
      <c r="O61" s="10" t="str">
        <f>Table1[[#This Row],[Resource]]</f>
        <v/>
      </c>
      <c r="P61" s="10" t="str">
        <f>IF(_xlfn.XLOOKUP($O61,'SI - End Use'!$B$2:$B$49,'SI - End Use'!$C$2:$C$49, "")="", "", _xlfn.XLOOKUP($C61,'SI - End Use'!$B$2:$B$49,'SI - End Use'!$C$2:$C$49, ""))</f>
        <v/>
      </c>
      <c r="Q61" s="10"/>
      <c r="R61" s="10"/>
    </row>
    <row r="62" spans="1:18" x14ac:dyDescent="0.35">
      <c r="A62" s="10"/>
      <c r="B62" s="10"/>
      <c r="C62" s="10" t="str">
        <f>_xlfn.XLOOKUP($B62,'SI - Resources'!$A$1:$H$1,'SI - Resources'!$A$2:$H$2, "")</f>
        <v/>
      </c>
      <c r="D62" s="27" t="str">
        <f>IF(_xlfn.XLOOKUP($C62,'SI - End Use'!$B$2:$B$49,'SI - End Use'!$C$2:$C$49, "")="", "", _xlfn.XLOOKUP($C62,'SI - End Use'!$B$2:$B$49,'SI - End Use'!$C$2:$C$49, ""))</f>
        <v/>
      </c>
      <c r="E62" s="23"/>
      <c r="F62" s="27" t="str" cm="1">
        <f t="array" ref="F62">IF($B62="Transportation",  'SI - Units'!$B$9:$B$9, _xlfn.XLOOKUP(_xlfn.XLOOKUP($C62,'SI - Units'!$B$24:$B$70,'SI - Units'!$C$24:$C$70, ""),'SI - Units'!$A$2:$A$8,'SI - Units'!$B$2:$B$8, ""))</f>
        <v/>
      </c>
      <c r="G62" s="39"/>
      <c r="H62" s="39"/>
      <c r="I62" s="43" t="str">
        <f>IF(Table1[[#This Row],[Type]]="Co-product", "No", "")</f>
        <v/>
      </c>
      <c r="J62" s="10"/>
      <c r="K62" s="10" t="str">
        <f>IF(Table1[[#This Row],[Type]]="Transportation", _xlfn.XLOOKUP(Table1[[#This Row],[Resource]], 'SI - Payload'!$A$10:$A$33,'SI - Payload'!$B$10:$B$33,"",0), "")</f>
        <v/>
      </c>
      <c r="L62" s="10" t="str">
        <f>IF(Table1[[#This Row],[Type]]="Transportation", "ton", "")</f>
        <v/>
      </c>
      <c r="M62" s="10"/>
      <c r="N62" s="10"/>
      <c r="O62" s="10" t="str">
        <f>Table1[[#This Row],[Resource]]</f>
        <v/>
      </c>
      <c r="P62" s="10" t="str">
        <f>IF(_xlfn.XLOOKUP($O62,'SI - End Use'!$B$2:$B$49,'SI - End Use'!$C$2:$C$49, "")="", "", _xlfn.XLOOKUP($C62,'SI - End Use'!$B$2:$B$49,'SI - End Use'!$C$2:$C$49, ""))</f>
        <v/>
      </c>
      <c r="Q62" s="10"/>
      <c r="R62" s="10"/>
    </row>
    <row r="63" spans="1:18" x14ac:dyDescent="0.35">
      <c r="A63" s="10"/>
      <c r="B63" s="10"/>
      <c r="C63" s="10" t="str">
        <f>_xlfn.XLOOKUP($B63,'SI - Resources'!$A$1:$H$1,'SI - Resources'!$A$2:$H$2, "")</f>
        <v/>
      </c>
      <c r="D63" s="27" t="str">
        <f>IF(_xlfn.XLOOKUP($C63,'SI - End Use'!$B$2:$B$49,'SI - End Use'!$C$2:$C$49, "")="", "", _xlfn.XLOOKUP($C63,'SI - End Use'!$B$2:$B$49,'SI - End Use'!$C$2:$C$49, ""))</f>
        <v/>
      </c>
      <c r="E63" s="23"/>
      <c r="F63" s="27" t="str" cm="1">
        <f t="array" ref="F63">IF($B63="Transportation",  'SI - Units'!$B$9:$B$9, _xlfn.XLOOKUP(_xlfn.XLOOKUP($C63,'SI - Units'!$B$24:$B$70,'SI - Units'!$C$24:$C$70, ""),'SI - Units'!$A$2:$A$8,'SI - Units'!$B$2:$B$8, ""))</f>
        <v/>
      </c>
      <c r="G63" s="39"/>
      <c r="H63" s="39"/>
      <c r="I63" s="43" t="str">
        <f>IF(Table1[[#This Row],[Type]]="Co-product", "No", "")</f>
        <v/>
      </c>
      <c r="J63" s="10"/>
      <c r="K63" s="10" t="str">
        <f>IF(Table1[[#This Row],[Type]]="Transportation", _xlfn.XLOOKUP(Table1[[#This Row],[Resource]], 'SI - Payload'!$A$10:$A$33,'SI - Payload'!$B$10:$B$33,"",0), "")</f>
        <v/>
      </c>
      <c r="L63" s="10" t="str">
        <f>IF(Table1[[#This Row],[Type]]="Transportation", "ton", "")</f>
        <v/>
      </c>
      <c r="M63" s="10"/>
      <c r="N63" s="10"/>
      <c r="O63" s="10" t="str">
        <f>Table1[[#This Row],[Resource]]</f>
        <v/>
      </c>
      <c r="P63" s="10" t="str">
        <f>IF(_xlfn.XLOOKUP($O63,'SI - End Use'!$B$2:$B$49,'SI - End Use'!$C$2:$C$49, "")="", "", _xlfn.XLOOKUP($C63,'SI - End Use'!$B$2:$B$49,'SI - End Use'!$C$2:$C$49, ""))</f>
        <v/>
      </c>
      <c r="Q63" s="10"/>
      <c r="R63" s="10"/>
    </row>
    <row r="64" spans="1:18" x14ac:dyDescent="0.35">
      <c r="A64" s="10"/>
      <c r="B64" s="10"/>
      <c r="C64" s="10" t="str">
        <f>_xlfn.XLOOKUP($B64,'SI - Resources'!$A$1:$H$1,'SI - Resources'!$A$2:$H$2, "")</f>
        <v/>
      </c>
      <c r="D64" s="27" t="str">
        <f>IF(_xlfn.XLOOKUP($C64,'SI - End Use'!$B$2:$B$49,'SI - End Use'!$C$2:$C$49, "")="", "", _xlfn.XLOOKUP($C64,'SI - End Use'!$B$2:$B$49,'SI - End Use'!$C$2:$C$49, ""))</f>
        <v/>
      </c>
      <c r="E64" s="23"/>
      <c r="F64" s="27" t="str" cm="1">
        <f t="array" ref="F64">IF($B64="Transportation",  'SI - Units'!$B$9:$B$9, _xlfn.XLOOKUP(_xlfn.XLOOKUP($C64,'SI - Units'!$B$24:$B$70,'SI - Units'!$C$24:$C$70, ""),'SI - Units'!$A$2:$A$8,'SI - Units'!$B$2:$B$8, ""))</f>
        <v/>
      </c>
      <c r="G64" s="39"/>
      <c r="H64" s="39"/>
      <c r="I64" s="43" t="str">
        <f>IF(Table1[[#This Row],[Type]]="Co-product", "No", "")</f>
        <v/>
      </c>
      <c r="J64" s="10"/>
      <c r="K64" s="10" t="str">
        <f>IF(Table1[[#This Row],[Type]]="Transportation", _xlfn.XLOOKUP(Table1[[#This Row],[Resource]], 'SI - Payload'!$A$10:$A$33,'SI - Payload'!$B$10:$B$33,"",0), "")</f>
        <v/>
      </c>
      <c r="L64" s="10" t="str">
        <f>IF(Table1[[#This Row],[Type]]="Transportation", "ton", "")</f>
        <v/>
      </c>
      <c r="M64" s="10"/>
      <c r="N64" s="10"/>
      <c r="O64" s="10" t="str">
        <f>Table1[[#This Row],[Resource]]</f>
        <v/>
      </c>
      <c r="P64" s="10" t="str">
        <f>IF(_xlfn.XLOOKUP($O64,'SI - End Use'!$B$2:$B$49,'SI - End Use'!$C$2:$C$49, "")="", "", _xlfn.XLOOKUP($C64,'SI - End Use'!$B$2:$B$49,'SI - End Use'!$C$2:$C$49, ""))</f>
        <v/>
      </c>
      <c r="Q64" s="10"/>
      <c r="R64" s="10"/>
    </row>
    <row r="65" spans="1:18" x14ac:dyDescent="0.35">
      <c r="A65" s="10"/>
      <c r="B65" s="10"/>
      <c r="C65" s="10" t="str">
        <f>_xlfn.XLOOKUP($B65,'SI - Resources'!$A$1:$H$1,'SI - Resources'!$A$2:$H$2, "")</f>
        <v/>
      </c>
      <c r="D65" s="27" t="str">
        <f>IF(_xlfn.XLOOKUP($C65,'SI - End Use'!$B$2:$B$49,'SI - End Use'!$C$2:$C$49, "")="", "", _xlfn.XLOOKUP($C65,'SI - End Use'!$B$2:$B$49,'SI - End Use'!$C$2:$C$49, ""))</f>
        <v/>
      </c>
      <c r="E65" s="23"/>
      <c r="F65" s="27" t="str" cm="1">
        <f t="array" ref="F65">IF($B65="Transportation",  'SI - Units'!$B$9:$B$9, _xlfn.XLOOKUP(_xlfn.XLOOKUP($C65,'SI - Units'!$B$24:$B$70,'SI - Units'!$C$24:$C$70, ""),'SI - Units'!$A$2:$A$8,'SI - Units'!$B$2:$B$8, ""))</f>
        <v/>
      </c>
      <c r="G65" s="39"/>
      <c r="H65" s="39"/>
      <c r="I65" s="43" t="str">
        <f>IF(Table1[[#This Row],[Type]]="Co-product", "No", "")</f>
        <v/>
      </c>
      <c r="J65" s="10"/>
      <c r="K65" s="10" t="str">
        <f>IF(Table1[[#This Row],[Type]]="Transportation", _xlfn.XLOOKUP(Table1[[#This Row],[Resource]], 'SI - Payload'!$A$10:$A$33,'SI - Payload'!$B$10:$B$33,"",0), "")</f>
        <v/>
      </c>
      <c r="L65" s="10" t="str">
        <f>IF(Table1[[#This Row],[Type]]="Transportation", "ton", "")</f>
        <v/>
      </c>
      <c r="M65" s="10"/>
      <c r="N65" s="10"/>
      <c r="O65" s="10" t="str">
        <f>Table1[[#This Row],[Resource]]</f>
        <v/>
      </c>
      <c r="P65" s="10" t="str">
        <f>IF(_xlfn.XLOOKUP($O65,'SI - End Use'!$B$2:$B$49,'SI - End Use'!$C$2:$C$49, "")="", "", _xlfn.XLOOKUP($C65,'SI - End Use'!$B$2:$B$49,'SI - End Use'!$C$2:$C$49, ""))</f>
        <v/>
      </c>
      <c r="Q65" s="10"/>
      <c r="R65" s="10"/>
    </row>
    <row r="66" spans="1:18" x14ac:dyDescent="0.35">
      <c r="A66" s="10"/>
      <c r="B66" s="10"/>
      <c r="C66" s="10" t="str">
        <f>_xlfn.XLOOKUP($B66,'SI - Resources'!$A$1:$H$1,'SI - Resources'!$A$2:$H$2, "")</f>
        <v/>
      </c>
      <c r="D66" s="27" t="str">
        <f>IF(_xlfn.XLOOKUP($C66,'SI - End Use'!$B$2:$B$49,'SI - End Use'!$C$2:$C$49, "")="", "", _xlfn.XLOOKUP($C66,'SI - End Use'!$B$2:$B$49,'SI - End Use'!$C$2:$C$49, ""))</f>
        <v/>
      </c>
      <c r="E66" s="23"/>
      <c r="F66" s="27" t="str" cm="1">
        <f t="array" ref="F66">IF($B66="Transportation",  'SI - Units'!$B$9:$B$9, _xlfn.XLOOKUP(_xlfn.XLOOKUP($C66,'SI - Units'!$B$24:$B$70,'SI - Units'!$C$24:$C$70, ""),'SI - Units'!$A$2:$A$8,'SI - Units'!$B$2:$B$8, ""))</f>
        <v/>
      </c>
      <c r="G66" s="39"/>
      <c r="H66" s="39"/>
      <c r="I66" s="43" t="str">
        <f>IF(Table1[[#This Row],[Type]]="Co-product", "No", "")</f>
        <v/>
      </c>
      <c r="J66" s="10"/>
      <c r="K66" s="10" t="str">
        <f>IF(Table1[[#This Row],[Type]]="Transportation", _xlfn.XLOOKUP(Table1[[#This Row],[Resource]], 'SI - Payload'!$A$10:$A$33,'SI - Payload'!$B$10:$B$33,"",0), "")</f>
        <v/>
      </c>
      <c r="L66" s="10" t="str">
        <f>IF(Table1[[#This Row],[Type]]="Transportation", "ton", "")</f>
        <v/>
      </c>
      <c r="M66" s="10"/>
      <c r="N66" s="10"/>
      <c r="O66" s="10" t="str">
        <f>Table1[[#This Row],[Resource]]</f>
        <v/>
      </c>
      <c r="P66" s="10" t="str">
        <f>IF(_xlfn.XLOOKUP($O66,'SI - End Use'!$B$2:$B$49,'SI - End Use'!$C$2:$C$49, "")="", "", _xlfn.XLOOKUP($C66,'SI - End Use'!$B$2:$B$49,'SI - End Use'!$C$2:$C$49, ""))</f>
        <v/>
      </c>
      <c r="Q66" s="10"/>
      <c r="R66" s="10"/>
    </row>
    <row r="67" spans="1:18" x14ac:dyDescent="0.35">
      <c r="A67" s="10"/>
      <c r="B67" s="10"/>
      <c r="C67" s="10" t="str">
        <f>_xlfn.XLOOKUP($B67,'SI - Resources'!$A$1:$H$1,'SI - Resources'!$A$2:$H$2, "")</f>
        <v/>
      </c>
      <c r="D67" s="27" t="str">
        <f>IF(_xlfn.XLOOKUP($C67,'SI - End Use'!$B$2:$B$49,'SI - End Use'!$C$2:$C$49, "")="", "", _xlfn.XLOOKUP($C67,'SI - End Use'!$B$2:$B$49,'SI - End Use'!$C$2:$C$49, ""))</f>
        <v/>
      </c>
      <c r="E67" s="23"/>
      <c r="F67" s="27" t="str" cm="1">
        <f t="array" ref="F67">IF($B67="Transportation",  'SI - Units'!$B$9:$B$9, _xlfn.XLOOKUP(_xlfn.XLOOKUP($C67,'SI - Units'!$B$24:$B$70,'SI - Units'!$C$24:$C$70, ""),'SI - Units'!$A$2:$A$8,'SI - Units'!$B$2:$B$8, ""))</f>
        <v/>
      </c>
      <c r="G67" s="39"/>
      <c r="H67" s="39"/>
      <c r="I67" s="43" t="str">
        <f>IF(Table1[[#This Row],[Type]]="Co-product", "No", "")</f>
        <v/>
      </c>
      <c r="J67" s="10"/>
      <c r="K67" s="10" t="str">
        <f>IF(Table1[[#This Row],[Type]]="Transportation", _xlfn.XLOOKUP(Table1[[#This Row],[Resource]], 'SI - Payload'!$A$10:$A$33,'SI - Payload'!$B$10:$B$33,"",0), "")</f>
        <v/>
      </c>
      <c r="L67" s="10" t="str">
        <f>IF(Table1[[#This Row],[Type]]="Transportation", "ton", "")</f>
        <v/>
      </c>
      <c r="M67" s="10"/>
      <c r="N67" s="10"/>
      <c r="O67" s="10" t="str">
        <f>Table1[[#This Row],[Resource]]</f>
        <v/>
      </c>
      <c r="P67" s="10" t="str">
        <f>IF(_xlfn.XLOOKUP($O67,'SI - End Use'!$B$2:$B$49,'SI - End Use'!$C$2:$C$49, "")="", "", _xlfn.XLOOKUP($C67,'SI - End Use'!$B$2:$B$49,'SI - End Use'!$C$2:$C$49, ""))</f>
        <v/>
      </c>
      <c r="Q67" s="10"/>
      <c r="R67" s="10"/>
    </row>
    <row r="68" spans="1:18" x14ac:dyDescent="0.35">
      <c r="A68" s="10"/>
      <c r="B68" s="10"/>
      <c r="C68" s="10" t="str">
        <f>_xlfn.XLOOKUP($B68,'SI - Resources'!$A$1:$H$1,'SI - Resources'!$A$2:$H$2, "")</f>
        <v/>
      </c>
      <c r="D68" s="27" t="str">
        <f>IF(_xlfn.XLOOKUP($C68,'SI - End Use'!$B$2:$B$49,'SI - End Use'!$C$2:$C$49, "")="", "", _xlfn.XLOOKUP($C68,'SI - End Use'!$B$2:$B$49,'SI - End Use'!$C$2:$C$49, ""))</f>
        <v/>
      </c>
      <c r="E68" s="23"/>
      <c r="F68" s="27" t="str" cm="1">
        <f t="array" ref="F68">IF($B68="Transportation",  'SI - Units'!$B$9:$B$9, _xlfn.XLOOKUP(_xlfn.XLOOKUP($C68,'SI - Units'!$B$24:$B$70,'SI - Units'!$C$24:$C$70, ""),'SI - Units'!$A$2:$A$8,'SI - Units'!$B$2:$B$8, ""))</f>
        <v/>
      </c>
      <c r="G68" s="39"/>
      <c r="H68" s="39"/>
      <c r="I68" s="43" t="str">
        <f>IF(Table1[[#This Row],[Type]]="Co-product", "No", "")</f>
        <v/>
      </c>
      <c r="J68" s="10"/>
      <c r="K68" s="10" t="str">
        <f>IF(Table1[[#This Row],[Type]]="Transportation", _xlfn.XLOOKUP(Table1[[#This Row],[Resource]], 'SI - Payload'!$A$10:$A$33,'SI - Payload'!$B$10:$B$33,"",0), "")</f>
        <v/>
      </c>
      <c r="L68" s="10" t="str">
        <f>IF(Table1[[#This Row],[Type]]="Transportation", "ton", "")</f>
        <v/>
      </c>
      <c r="M68" s="10"/>
      <c r="N68" s="10"/>
      <c r="O68" s="10" t="str">
        <f>Table1[[#This Row],[Resource]]</f>
        <v/>
      </c>
      <c r="P68" s="10" t="str">
        <f>IF(_xlfn.XLOOKUP($O68,'SI - End Use'!$B$2:$B$49,'SI - End Use'!$C$2:$C$49, "")="", "", _xlfn.XLOOKUP($C68,'SI - End Use'!$B$2:$B$49,'SI - End Use'!$C$2:$C$49, ""))</f>
        <v/>
      </c>
      <c r="Q68" s="10"/>
      <c r="R68" s="10"/>
    </row>
    <row r="69" spans="1:18" x14ac:dyDescent="0.35">
      <c r="A69" s="10"/>
      <c r="B69" s="10"/>
      <c r="C69" s="10" t="str">
        <f>_xlfn.XLOOKUP($B69,'SI - Resources'!$A$1:$H$1,'SI - Resources'!$A$2:$H$2, "")</f>
        <v/>
      </c>
      <c r="D69" s="27" t="str">
        <f>IF(_xlfn.XLOOKUP($C69,'SI - End Use'!$B$2:$B$49,'SI - End Use'!$C$2:$C$49, "")="", "", _xlfn.XLOOKUP($C69,'SI - End Use'!$B$2:$B$49,'SI - End Use'!$C$2:$C$49, ""))</f>
        <v/>
      </c>
      <c r="E69" s="23"/>
      <c r="F69" s="27" t="str" cm="1">
        <f t="array" ref="F69">IF($B69="Transportation",  'SI - Units'!$B$9:$B$9, _xlfn.XLOOKUP(_xlfn.XLOOKUP($C69,'SI - Units'!$B$24:$B$70,'SI - Units'!$C$24:$C$70, ""),'SI - Units'!$A$2:$A$8,'SI - Units'!$B$2:$B$8, ""))</f>
        <v/>
      </c>
      <c r="G69" s="39"/>
      <c r="H69" s="39"/>
      <c r="I69" s="43" t="str">
        <f>IF(Table1[[#This Row],[Type]]="Co-product", "No", "")</f>
        <v/>
      </c>
      <c r="J69" s="10"/>
      <c r="K69" s="10" t="str">
        <f>IF(Table1[[#This Row],[Type]]="Transportation", _xlfn.XLOOKUP(Table1[[#This Row],[Resource]], 'SI - Payload'!$A$10:$A$33,'SI - Payload'!$B$10:$B$33,"",0), "")</f>
        <v/>
      </c>
      <c r="L69" s="10" t="str">
        <f>IF(Table1[[#This Row],[Type]]="Transportation", "ton", "")</f>
        <v/>
      </c>
      <c r="M69" s="10"/>
      <c r="N69" s="10"/>
      <c r="O69" s="10" t="str">
        <f>Table1[[#This Row],[Resource]]</f>
        <v/>
      </c>
      <c r="P69" s="10" t="str">
        <f>IF(_xlfn.XLOOKUP($O69,'SI - End Use'!$B$2:$B$49,'SI - End Use'!$C$2:$C$49, "")="", "", _xlfn.XLOOKUP($C69,'SI - End Use'!$B$2:$B$49,'SI - End Use'!$C$2:$C$49, ""))</f>
        <v/>
      </c>
      <c r="Q69" s="10"/>
      <c r="R69" s="10"/>
    </row>
    <row r="70" spans="1:18" x14ac:dyDescent="0.35">
      <c r="A70" s="10"/>
      <c r="B70" s="10"/>
      <c r="C70" s="10" t="str">
        <f>_xlfn.XLOOKUP($B70,'SI - Resources'!$A$1:$H$1,'SI - Resources'!$A$2:$H$2, "")</f>
        <v/>
      </c>
      <c r="D70" s="27" t="str">
        <f>IF(_xlfn.XLOOKUP($C70,'SI - End Use'!$B$2:$B$49,'SI - End Use'!$C$2:$C$49, "")="", "", _xlfn.XLOOKUP($C70,'SI - End Use'!$B$2:$B$49,'SI - End Use'!$C$2:$C$49, ""))</f>
        <v/>
      </c>
      <c r="E70" s="23"/>
      <c r="F70" s="27" t="str" cm="1">
        <f t="array" ref="F70">IF($B70="Transportation",  'SI - Units'!$B$9:$B$9, _xlfn.XLOOKUP(_xlfn.XLOOKUP($C70,'SI - Units'!$B$24:$B$70,'SI - Units'!$C$24:$C$70, ""),'SI - Units'!$A$2:$A$8,'SI - Units'!$B$2:$B$8, ""))</f>
        <v/>
      </c>
      <c r="G70" s="39"/>
      <c r="H70" s="39"/>
      <c r="I70" s="43" t="str">
        <f>IF(Table1[[#This Row],[Type]]="Co-product", "No", "")</f>
        <v/>
      </c>
      <c r="J70" s="10"/>
      <c r="K70" s="10" t="str">
        <f>IF(Table1[[#This Row],[Type]]="Transportation", _xlfn.XLOOKUP(Table1[[#This Row],[Resource]], 'SI - Payload'!$A$10:$A$33,'SI - Payload'!$B$10:$B$33,"",0), "")</f>
        <v/>
      </c>
      <c r="L70" s="10" t="str">
        <f>IF(Table1[[#This Row],[Type]]="Transportation", "ton", "")</f>
        <v/>
      </c>
      <c r="M70" s="10"/>
      <c r="N70" s="10"/>
      <c r="O70" s="10" t="str">
        <f>Table1[[#This Row],[Resource]]</f>
        <v/>
      </c>
      <c r="P70" s="10" t="str">
        <f>IF(_xlfn.XLOOKUP($O70,'SI - End Use'!$B$2:$B$49,'SI - End Use'!$C$2:$C$49, "")="", "", _xlfn.XLOOKUP($C70,'SI - End Use'!$B$2:$B$49,'SI - End Use'!$C$2:$C$49, ""))</f>
        <v/>
      </c>
      <c r="Q70" s="10"/>
      <c r="R70" s="10"/>
    </row>
    <row r="71" spans="1:18" x14ac:dyDescent="0.35">
      <c r="A71" s="10"/>
      <c r="B71" s="10"/>
      <c r="C71" s="10" t="str">
        <f>_xlfn.XLOOKUP($B71,'SI - Resources'!$A$1:$H$1,'SI - Resources'!$A$2:$H$2, "")</f>
        <v/>
      </c>
      <c r="D71" s="27" t="str">
        <f>IF(_xlfn.XLOOKUP($C71,'SI - End Use'!$B$2:$B$49,'SI - End Use'!$C$2:$C$49, "")="", "", _xlfn.XLOOKUP($C71,'SI - End Use'!$B$2:$B$49,'SI - End Use'!$C$2:$C$49, ""))</f>
        <v/>
      </c>
      <c r="E71" s="23"/>
      <c r="F71" s="27" t="str" cm="1">
        <f t="array" ref="F71">IF($B71="Transportation",  'SI - Units'!$B$9:$B$9, _xlfn.XLOOKUP(_xlfn.XLOOKUP($C71,'SI - Units'!$B$24:$B$70,'SI - Units'!$C$24:$C$70, ""),'SI - Units'!$A$2:$A$8,'SI - Units'!$B$2:$B$8, ""))</f>
        <v/>
      </c>
      <c r="G71" s="39"/>
      <c r="H71" s="39"/>
      <c r="I71" s="43" t="str">
        <f>IF(Table1[[#This Row],[Type]]="Co-product", "No", "")</f>
        <v/>
      </c>
      <c r="J71" s="10"/>
      <c r="K71" s="10" t="str">
        <f>IF(Table1[[#This Row],[Type]]="Transportation", _xlfn.XLOOKUP(Table1[[#This Row],[Resource]], 'SI - Payload'!$A$10:$A$33,'SI - Payload'!$B$10:$B$33,"",0), "")</f>
        <v/>
      </c>
      <c r="L71" s="10" t="str">
        <f>IF(Table1[[#This Row],[Type]]="Transportation", "ton", "")</f>
        <v/>
      </c>
      <c r="M71" s="10"/>
      <c r="N71" s="10"/>
      <c r="O71" s="10" t="str">
        <f>Table1[[#This Row],[Resource]]</f>
        <v/>
      </c>
      <c r="P71" s="10" t="str">
        <f>IF(_xlfn.XLOOKUP($O71,'SI - End Use'!$B$2:$B$49,'SI - End Use'!$C$2:$C$49, "")="", "", _xlfn.XLOOKUP($C71,'SI - End Use'!$B$2:$B$49,'SI - End Use'!$C$2:$C$49, ""))</f>
        <v/>
      </c>
      <c r="Q71" s="10"/>
      <c r="R71" s="10"/>
    </row>
    <row r="72" spans="1:18" x14ac:dyDescent="0.35">
      <c r="A72" s="10"/>
      <c r="B72" s="10"/>
      <c r="C72" s="10" t="str">
        <f>_xlfn.XLOOKUP($B72,'SI - Resources'!$A$1:$H$1,'SI - Resources'!$A$2:$H$2, "")</f>
        <v/>
      </c>
      <c r="D72" s="27" t="str">
        <f>IF(_xlfn.XLOOKUP($C72,'SI - End Use'!$B$2:$B$49,'SI - End Use'!$C$2:$C$49, "")="", "", _xlfn.XLOOKUP($C72,'SI - End Use'!$B$2:$B$49,'SI - End Use'!$C$2:$C$49, ""))</f>
        <v/>
      </c>
      <c r="E72" s="23"/>
      <c r="F72" s="27" t="str" cm="1">
        <f t="array" ref="F72">IF($B72="Transportation",  'SI - Units'!$B$9:$B$9, _xlfn.XLOOKUP(_xlfn.XLOOKUP($C72,'SI - Units'!$B$24:$B$70,'SI - Units'!$C$24:$C$70, ""),'SI - Units'!$A$2:$A$8,'SI - Units'!$B$2:$B$8, ""))</f>
        <v/>
      </c>
      <c r="G72" s="39"/>
      <c r="H72" s="39"/>
      <c r="I72" s="43" t="str">
        <f>IF(Table1[[#This Row],[Type]]="Co-product", "No", "")</f>
        <v/>
      </c>
      <c r="J72" s="10"/>
      <c r="K72" s="10" t="str">
        <f>IF(Table1[[#This Row],[Type]]="Transportation", _xlfn.XLOOKUP(Table1[[#This Row],[Resource]], 'SI - Payload'!$A$10:$A$33,'SI - Payload'!$B$10:$B$33,"",0), "")</f>
        <v/>
      </c>
      <c r="L72" s="10" t="str">
        <f>IF(Table1[[#This Row],[Type]]="Transportation", "ton", "")</f>
        <v/>
      </c>
      <c r="M72" s="10"/>
      <c r="N72" s="10"/>
      <c r="O72" s="10" t="str">
        <f>Table1[[#This Row],[Resource]]</f>
        <v/>
      </c>
      <c r="P72" s="10" t="str">
        <f>IF(_xlfn.XLOOKUP($O72,'SI - End Use'!$B$2:$B$49,'SI - End Use'!$C$2:$C$49, "")="", "", _xlfn.XLOOKUP($C72,'SI - End Use'!$B$2:$B$49,'SI - End Use'!$C$2:$C$49, ""))</f>
        <v/>
      </c>
      <c r="Q72" s="10"/>
      <c r="R72" s="10"/>
    </row>
    <row r="73" spans="1:18" x14ac:dyDescent="0.35">
      <c r="A73" s="10"/>
      <c r="B73" s="10"/>
      <c r="C73" s="10" t="str">
        <f>_xlfn.XLOOKUP($B73,'SI - Resources'!$A$1:$H$1,'SI - Resources'!$A$2:$H$2, "")</f>
        <v/>
      </c>
      <c r="D73" s="27" t="str">
        <f>IF(_xlfn.XLOOKUP($C73,'SI - End Use'!$B$2:$B$49,'SI - End Use'!$C$2:$C$49, "")="", "", _xlfn.XLOOKUP($C73,'SI - End Use'!$B$2:$B$49,'SI - End Use'!$C$2:$C$49, ""))</f>
        <v/>
      </c>
      <c r="E73" s="23"/>
      <c r="F73" s="27" t="str" cm="1">
        <f t="array" ref="F73">IF($B73="Transportation",  'SI - Units'!$B$9:$B$9, _xlfn.XLOOKUP(_xlfn.XLOOKUP($C73,'SI - Units'!$B$24:$B$70,'SI - Units'!$C$24:$C$70, ""),'SI - Units'!$A$2:$A$8,'SI - Units'!$B$2:$B$8, ""))</f>
        <v/>
      </c>
      <c r="G73" s="39"/>
      <c r="H73" s="39"/>
      <c r="I73" s="43" t="str">
        <f>IF(Table1[[#This Row],[Type]]="Co-product", "No", "")</f>
        <v/>
      </c>
      <c r="J73" s="10"/>
      <c r="K73" s="10" t="str">
        <f>IF(Table1[[#This Row],[Type]]="Transportation", _xlfn.XLOOKUP(Table1[[#This Row],[Resource]], 'SI - Payload'!$A$10:$A$33,'SI - Payload'!$B$10:$B$33,"",0), "")</f>
        <v/>
      </c>
      <c r="L73" s="10" t="str">
        <f>IF(Table1[[#This Row],[Type]]="Transportation", "ton", "")</f>
        <v/>
      </c>
      <c r="M73" s="10"/>
      <c r="N73" s="10"/>
      <c r="O73" s="10" t="str">
        <f>Table1[[#This Row],[Resource]]</f>
        <v/>
      </c>
      <c r="P73" s="10" t="str">
        <f>IF(_xlfn.XLOOKUP($O73,'SI - End Use'!$B$2:$B$49,'SI - End Use'!$C$2:$C$49, "")="", "", _xlfn.XLOOKUP($C73,'SI - End Use'!$B$2:$B$49,'SI - End Use'!$C$2:$C$49, ""))</f>
        <v/>
      </c>
      <c r="Q73" s="10"/>
      <c r="R73" s="10"/>
    </row>
    <row r="74" spans="1:18" x14ac:dyDescent="0.35">
      <c r="A74" s="10"/>
      <c r="B74" s="10"/>
      <c r="C74" s="10" t="str">
        <f>_xlfn.XLOOKUP($B74,'SI - Resources'!$A$1:$H$1,'SI - Resources'!$A$2:$H$2, "")</f>
        <v/>
      </c>
      <c r="D74" s="27" t="str">
        <f>IF(_xlfn.XLOOKUP($C74,'SI - End Use'!$B$2:$B$49,'SI - End Use'!$C$2:$C$49, "")="", "", _xlfn.XLOOKUP($C74,'SI - End Use'!$B$2:$B$49,'SI - End Use'!$C$2:$C$49, ""))</f>
        <v/>
      </c>
      <c r="E74" s="23"/>
      <c r="F74" s="27" t="str" cm="1">
        <f t="array" ref="F74">IF($B74="Transportation",  'SI - Units'!$B$9:$B$9, _xlfn.XLOOKUP(_xlfn.XLOOKUP($C74,'SI - Units'!$B$24:$B$70,'SI - Units'!$C$24:$C$70, ""),'SI - Units'!$A$2:$A$8,'SI - Units'!$B$2:$B$8, ""))</f>
        <v/>
      </c>
      <c r="G74" s="39"/>
      <c r="H74" s="39"/>
      <c r="I74" s="43" t="str">
        <f>IF(Table1[[#This Row],[Type]]="Co-product", "No", "")</f>
        <v/>
      </c>
      <c r="J74" s="10"/>
      <c r="K74" s="10" t="str">
        <f>IF(Table1[[#This Row],[Type]]="Transportation", _xlfn.XLOOKUP(Table1[[#This Row],[Resource]], 'SI - Payload'!$A$10:$A$33,'SI - Payload'!$B$10:$B$33,"",0), "")</f>
        <v/>
      </c>
      <c r="L74" s="10" t="str">
        <f>IF(Table1[[#This Row],[Type]]="Transportation", "ton", "")</f>
        <v/>
      </c>
      <c r="M74" s="10"/>
      <c r="N74" s="10"/>
      <c r="O74" s="10" t="str">
        <f>Table1[[#This Row],[Resource]]</f>
        <v/>
      </c>
      <c r="P74" s="10" t="str">
        <f>IF(_xlfn.XLOOKUP($O74,'SI - End Use'!$B$2:$B$49,'SI - End Use'!$C$2:$C$49, "")="", "", _xlfn.XLOOKUP($C74,'SI - End Use'!$B$2:$B$49,'SI - End Use'!$C$2:$C$49, ""))</f>
        <v/>
      </c>
      <c r="Q74" s="10"/>
      <c r="R74" s="10"/>
    </row>
    <row r="75" spans="1:18" x14ac:dyDescent="0.35">
      <c r="A75" s="10"/>
      <c r="B75" s="10"/>
      <c r="C75" s="10" t="str">
        <f>_xlfn.XLOOKUP($B75,'SI - Resources'!$A$1:$H$1,'SI - Resources'!$A$2:$H$2, "")</f>
        <v/>
      </c>
      <c r="D75" s="27" t="str">
        <f>IF(_xlfn.XLOOKUP($C75,'SI - End Use'!$B$2:$B$49,'SI - End Use'!$C$2:$C$49, "")="", "", _xlfn.XLOOKUP($C75,'SI - End Use'!$B$2:$B$49,'SI - End Use'!$C$2:$C$49, ""))</f>
        <v/>
      </c>
      <c r="E75" s="23"/>
      <c r="F75" s="27" t="str" cm="1">
        <f t="array" ref="F75">IF($B75="Transportation",  'SI - Units'!$B$9:$B$9, _xlfn.XLOOKUP(_xlfn.XLOOKUP($C75,'SI - Units'!$B$24:$B$70,'SI - Units'!$C$24:$C$70, ""),'SI - Units'!$A$2:$A$8,'SI - Units'!$B$2:$B$8, ""))</f>
        <v/>
      </c>
      <c r="G75" s="39"/>
      <c r="H75" s="39"/>
      <c r="I75" s="43" t="str">
        <f>IF(Table1[[#This Row],[Type]]="Co-product", "No", "")</f>
        <v/>
      </c>
      <c r="J75" s="10"/>
      <c r="K75" s="10" t="str">
        <f>IF(Table1[[#This Row],[Type]]="Transportation", _xlfn.XLOOKUP(Table1[[#This Row],[Resource]], 'SI - Payload'!$A$10:$A$33,'SI - Payload'!$B$10:$B$33,"",0), "")</f>
        <v/>
      </c>
      <c r="L75" s="10" t="str">
        <f>IF(Table1[[#This Row],[Type]]="Transportation", "ton", "")</f>
        <v/>
      </c>
      <c r="M75" s="10"/>
      <c r="N75" s="10"/>
      <c r="O75" s="10" t="str">
        <f>Table1[[#This Row],[Resource]]</f>
        <v/>
      </c>
      <c r="P75" s="10" t="str">
        <f>IF(_xlfn.XLOOKUP($O75,'SI - End Use'!$B$2:$B$49,'SI - End Use'!$C$2:$C$49, "")="", "", _xlfn.XLOOKUP($C75,'SI - End Use'!$B$2:$B$49,'SI - End Use'!$C$2:$C$49, ""))</f>
        <v/>
      </c>
      <c r="Q75" s="10"/>
      <c r="R75" s="10"/>
    </row>
    <row r="76" spans="1:18" x14ac:dyDescent="0.35">
      <c r="A76" s="10"/>
      <c r="B76" s="10"/>
      <c r="C76" s="10" t="str">
        <f>_xlfn.XLOOKUP($B76,'SI - Resources'!$A$1:$H$1,'SI - Resources'!$A$2:$H$2, "")</f>
        <v/>
      </c>
      <c r="D76" s="27" t="str">
        <f>IF(_xlfn.XLOOKUP($C76,'SI - End Use'!$B$2:$B$49,'SI - End Use'!$C$2:$C$49, "")="", "", _xlfn.XLOOKUP($C76,'SI - End Use'!$B$2:$B$49,'SI - End Use'!$C$2:$C$49, ""))</f>
        <v/>
      </c>
      <c r="E76" s="23"/>
      <c r="F76" s="27" t="str" cm="1">
        <f t="array" ref="F76">IF($B76="Transportation",  'SI - Units'!$B$9:$B$9, _xlfn.XLOOKUP(_xlfn.XLOOKUP($C76,'SI - Units'!$B$24:$B$70,'SI - Units'!$C$24:$C$70, ""),'SI - Units'!$A$2:$A$8,'SI - Units'!$B$2:$B$8, ""))</f>
        <v/>
      </c>
      <c r="G76" s="39"/>
      <c r="H76" s="39"/>
      <c r="I76" s="43" t="str">
        <f>IF(Table1[[#This Row],[Type]]="Co-product", "No", "")</f>
        <v/>
      </c>
      <c r="J76" s="10"/>
      <c r="K76" s="10" t="str">
        <f>IF(Table1[[#This Row],[Type]]="Transportation", _xlfn.XLOOKUP(Table1[[#This Row],[Resource]], 'SI - Payload'!$A$10:$A$33,'SI - Payload'!$B$10:$B$33,"",0), "")</f>
        <v/>
      </c>
      <c r="L76" s="10" t="str">
        <f>IF(Table1[[#This Row],[Type]]="Transportation", "ton", "")</f>
        <v/>
      </c>
      <c r="M76" s="10"/>
      <c r="N76" s="10"/>
      <c r="O76" s="10" t="str">
        <f>Table1[[#This Row],[Resource]]</f>
        <v/>
      </c>
      <c r="P76" s="10" t="str">
        <f>IF(_xlfn.XLOOKUP($O76,'SI - End Use'!$B$2:$B$49,'SI - End Use'!$C$2:$C$49, "")="", "", _xlfn.XLOOKUP($C76,'SI - End Use'!$B$2:$B$49,'SI - End Use'!$C$2:$C$49, ""))</f>
        <v/>
      </c>
      <c r="Q76" s="10"/>
      <c r="R76" s="10"/>
    </row>
    <row r="77" spans="1:18" x14ac:dyDescent="0.35">
      <c r="A77" s="10"/>
      <c r="B77" s="10"/>
      <c r="C77" s="10" t="str">
        <f>_xlfn.XLOOKUP($B77,'SI - Resources'!$A$1:$H$1,'SI - Resources'!$A$2:$H$2, "")</f>
        <v/>
      </c>
      <c r="D77" s="27" t="str">
        <f>IF(_xlfn.XLOOKUP($C77,'SI - End Use'!$B$2:$B$49,'SI - End Use'!$C$2:$C$49, "")="", "", _xlfn.XLOOKUP($C77,'SI - End Use'!$B$2:$B$49,'SI - End Use'!$C$2:$C$49, ""))</f>
        <v/>
      </c>
      <c r="E77" s="23"/>
      <c r="F77" s="27" t="str" cm="1">
        <f t="array" ref="F77">IF($B77="Transportation",  'SI - Units'!$B$9:$B$9, _xlfn.XLOOKUP(_xlfn.XLOOKUP($C77,'SI - Units'!$B$24:$B$70,'SI - Units'!$C$24:$C$70, ""),'SI - Units'!$A$2:$A$8,'SI - Units'!$B$2:$B$8, ""))</f>
        <v/>
      </c>
      <c r="G77" s="39"/>
      <c r="H77" s="39"/>
      <c r="I77" s="43" t="str">
        <f>IF(Table1[[#This Row],[Type]]="Co-product", "No", "")</f>
        <v/>
      </c>
      <c r="J77" s="10"/>
      <c r="K77" s="10" t="str">
        <f>IF(Table1[[#This Row],[Type]]="Transportation", _xlfn.XLOOKUP(Table1[[#This Row],[Resource]], 'SI - Payload'!$A$10:$A$33,'SI - Payload'!$B$10:$B$33,"",0), "")</f>
        <v/>
      </c>
      <c r="L77" s="10" t="str">
        <f>IF(Table1[[#This Row],[Type]]="Transportation", "ton", "")</f>
        <v/>
      </c>
      <c r="M77" s="10"/>
      <c r="N77" s="10"/>
      <c r="O77" s="10" t="str">
        <f>Table1[[#This Row],[Resource]]</f>
        <v/>
      </c>
      <c r="P77" s="10" t="str">
        <f>IF(_xlfn.XLOOKUP($O77,'SI - End Use'!$B$2:$B$49,'SI - End Use'!$C$2:$C$49, "")="", "", _xlfn.XLOOKUP($C77,'SI - End Use'!$B$2:$B$49,'SI - End Use'!$C$2:$C$49, ""))</f>
        <v/>
      </c>
      <c r="Q77" s="10"/>
      <c r="R77" s="10"/>
    </row>
    <row r="78" spans="1:18" x14ac:dyDescent="0.35">
      <c r="A78" s="10"/>
      <c r="B78" s="10"/>
      <c r="C78" s="10" t="str">
        <f>_xlfn.XLOOKUP($B78,'SI - Resources'!$A$1:$H$1,'SI - Resources'!$A$2:$H$2, "")</f>
        <v/>
      </c>
      <c r="D78" s="27" t="str">
        <f>IF(_xlfn.XLOOKUP($C78,'SI - End Use'!$B$2:$B$49,'SI - End Use'!$C$2:$C$49, "")="", "", _xlfn.XLOOKUP($C78,'SI - End Use'!$B$2:$B$49,'SI - End Use'!$C$2:$C$49, ""))</f>
        <v/>
      </c>
      <c r="E78" s="23"/>
      <c r="F78" s="27" t="str" cm="1">
        <f t="array" ref="F78">IF($B78="Transportation",  'SI - Units'!$B$9:$B$9, _xlfn.XLOOKUP(_xlfn.XLOOKUP($C78,'SI - Units'!$B$24:$B$70,'SI - Units'!$C$24:$C$70, ""),'SI - Units'!$A$2:$A$8,'SI - Units'!$B$2:$B$8, ""))</f>
        <v/>
      </c>
      <c r="G78" s="39"/>
      <c r="H78" s="39"/>
      <c r="I78" s="43" t="str">
        <f>IF(Table1[[#This Row],[Type]]="Co-product", "No", "")</f>
        <v/>
      </c>
      <c r="J78" s="10"/>
      <c r="K78" s="10" t="str">
        <f>IF(Table1[[#This Row],[Type]]="Transportation", _xlfn.XLOOKUP(Table1[[#This Row],[Resource]], 'SI - Payload'!$A$10:$A$33,'SI - Payload'!$B$10:$B$33,"",0), "")</f>
        <v/>
      </c>
      <c r="L78" s="10" t="str">
        <f>IF(Table1[[#This Row],[Type]]="Transportation", "ton", "")</f>
        <v/>
      </c>
      <c r="M78" s="10"/>
      <c r="N78" s="10"/>
      <c r="O78" s="10" t="str">
        <f>Table1[[#This Row],[Resource]]</f>
        <v/>
      </c>
      <c r="P78" s="10" t="str">
        <f>IF(_xlfn.XLOOKUP($O78,'SI - End Use'!$B$2:$B$49,'SI - End Use'!$C$2:$C$49, "")="", "", _xlfn.XLOOKUP($C78,'SI - End Use'!$B$2:$B$49,'SI - End Use'!$C$2:$C$49, ""))</f>
        <v/>
      </c>
      <c r="Q78" s="10"/>
      <c r="R78" s="10"/>
    </row>
    <row r="79" spans="1:18" x14ac:dyDescent="0.35">
      <c r="A79" s="10"/>
      <c r="B79" s="10"/>
      <c r="C79" s="10" t="str">
        <f>_xlfn.XLOOKUP($B79,'SI - Resources'!$A$1:$H$1,'SI - Resources'!$A$2:$H$2, "")</f>
        <v/>
      </c>
      <c r="D79" s="27" t="str">
        <f>IF(_xlfn.XLOOKUP($C79,'SI - End Use'!$B$2:$B$49,'SI - End Use'!$C$2:$C$49, "")="", "", _xlfn.XLOOKUP($C79,'SI - End Use'!$B$2:$B$49,'SI - End Use'!$C$2:$C$49, ""))</f>
        <v/>
      </c>
      <c r="E79" s="23"/>
      <c r="F79" s="27" t="str" cm="1">
        <f t="array" ref="F79">IF($B79="Transportation",  'SI - Units'!$B$9:$B$9, _xlfn.XLOOKUP(_xlfn.XLOOKUP($C79,'SI - Units'!$B$24:$B$70,'SI - Units'!$C$24:$C$70, ""),'SI - Units'!$A$2:$A$8,'SI - Units'!$B$2:$B$8, ""))</f>
        <v/>
      </c>
      <c r="G79" s="39"/>
      <c r="H79" s="39"/>
      <c r="I79" s="43" t="str">
        <f>IF(Table1[[#This Row],[Type]]="Co-product", "No", "")</f>
        <v/>
      </c>
      <c r="J79" s="10"/>
      <c r="K79" s="10" t="str">
        <f>IF(Table1[[#This Row],[Type]]="Transportation", _xlfn.XLOOKUP(Table1[[#This Row],[Resource]], 'SI - Payload'!$A$10:$A$33,'SI - Payload'!$B$10:$B$33,"",0), "")</f>
        <v/>
      </c>
      <c r="L79" s="10" t="str">
        <f>IF(Table1[[#This Row],[Type]]="Transportation", "ton", "")</f>
        <v/>
      </c>
      <c r="M79" s="10"/>
      <c r="N79" s="10"/>
      <c r="O79" s="10" t="str">
        <f>Table1[[#This Row],[Resource]]</f>
        <v/>
      </c>
      <c r="P79" s="10" t="str">
        <f>IF(_xlfn.XLOOKUP($O79,'SI - End Use'!$B$2:$B$49,'SI - End Use'!$C$2:$C$49, "")="", "", _xlfn.XLOOKUP($C79,'SI - End Use'!$B$2:$B$49,'SI - End Use'!$C$2:$C$49, ""))</f>
        <v/>
      </c>
      <c r="Q79" s="10"/>
      <c r="R79" s="10"/>
    </row>
    <row r="80" spans="1:18" x14ac:dyDescent="0.35">
      <c r="A80" s="10"/>
      <c r="B80" s="10"/>
      <c r="C80" s="10" t="str">
        <f>_xlfn.XLOOKUP($B80,'SI - Resources'!$A$1:$H$1,'SI - Resources'!$A$2:$H$2, "")</f>
        <v/>
      </c>
      <c r="D80" s="27" t="str">
        <f>IF(_xlfn.XLOOKUP($C80,'SI - End Use'!$B$2:$B$49,'SI - End Use'!$C$2:$C$49, "")="", "", _xlfn.XLOOKUP($C80,'SI - End Use'!$B$2:$B$49,'SI - End Use'!$C$2:$C$49, ""))</f>
        <v/>
      </c>
      <c r="E80" s="23"/>
      <c r="F80" s="27" t="str" cm="1">
        <f t="array" ref="F80">IF($B80="Transportation",  'SI - Units'!$B$9:$B$9, _xlfn.XLOOKUP(_xlfn.XLOOKUP($C80,'SI - Units'!$B$24:$B$70,'SI - Units'!$C$24:$C$70, ""),'SI - Units'!$A$2:$A$8,'SI - Units'!$B$2:$B$8, ""))</f>
        <v/>
      </c>
      <c r="G80" s="39"/>
      <c r="H80" s="39"/>
      <c r="I80" s="43" t="str">
        <f>IF(Table1[[#This Row],[Type]]="Co-product", "No", "")</f>
        <v/>
      </c>
      <c r="J80" s="10"/>
      <c r="K80" s="10" t="str">
        <f>IF(Table1[[#This Row],[Type]]="Transportation", _xlfn.XLOOKUP(Table1[[#This Row],[Resource]], 'SI - Payload'!$A$10:$A$33,'SI - Payload'!$B$10:$B$33,"",0), "")</f>
        <v/>
      </c>
      <c r="L80" s="10" t="str">
        <f>IF(Table1[[#This Row],[Type]]="Transportation", "ton", "")</f>
        <v/>
      </c>
      <c r="M80" s="10"/>
      <c r="N80" s="10"/>
      <c r="O80" s="10" t="str">
        <f>Table1[[#This Row],[Resource]]</f>
        <v/>
      </c>
      <c r="P80" s="10" t="str">
        <f>IF(_xlfn.XLOOKUP($O80,'SI - End Use'!$B$2:$B$49,'SI - End Use'!$C$2:$C$49, "")="", "", _xlfn.XLOOKUP($C80,'SI - End Use'!$B$2:$B$49,'SI - End Use'!$C$2:$C$49, ""))</f>
        <v/>
      </c>
      <c r="Q80" s="10"/>
      <c r="R80" s="10"/>
    </row>
    <row r="81" spans="1:18" x14ac:dyDescent="0.35">
      <c r="A81" s="10"/>
      <c r="B81" s="10"/>
      <c r="C81" s="10" t="str">
        <f>_xlfn.XLOOKUP($B81,'SI - Resources'!$A$1:$H$1,'SI - Resources'!$A$2:$H$2, "")</f>
        <v/>
      </c>
      <c r="D81" s="27" t="str">
        <f>IF(_xlfn.XLOOKUP($C81,'SI - End Use'!$B$2:$B$49,'SI - End Use'!$C$2:$C$49, "")="", "", _xlfn.XLOOKUP($C81,'SI - End Use'!$B$2:$B$49,'SI - End Use'!$C$2:$C$49, ""))</f>
        <v/>
      </c>
      <c r="E81" s="23"/>
      <c r="F81" s="27" t="str" cm="1">
        <f t="array" ref="F81">IF($B81="Transportation",  'SI - Units'!$B$9:$B$9, _xlfn.XLOOKUP(_xlfn.XLOOKUP($C81,'SI - Units'!$B$24:$B$70,'SI - Units'!$C$24:$C$70, ""),'SI - Units'!$A$2:$A$8,'SI - Units'!$B$2:$B$8, ""))</f>
        <v/>
      </c>
      <c r="G81" s="39"/>
      <c r="H81" s="39"/>
      <c r="I81" s="43" t="str">
        <f>IF(Table1[[#This Row],[Type]]="Co-product", "No", "")</f>
        <v/>
      </c>
      <c r="J81" s="10"/>
      <c r="K81" s="10" t="str">
        <f>IF(Table1[[#This Row],[Type]]="Transportation", _xlfn.XLOOKUP(Table1[[#This Row],[Resource]], 'SI - Payload'!$A$10:$A$33,'SI - Payload'!$B$10:$B$33,"",0), "")</f>
        <v/>
      </c>
      <c r="L81" s="10" t="str">
        <f>IF(Table1[[#This Row],[Type]]="Transportation", "ton", "")</f>
        <v/>
      </c>
      <c r="M81" s="10"/>
      <c r="N81" s="10"/>
      <c r="O81" s="10" t="str">
        <f>Table1[[#This Row],[Resource]]</f>
        <v/>
      </c>
      <c r="P81" s="10" t="str">
        <f>IF(_xlfn.XLOOKUP($O81,'SI - End Use'!$B$2:$B$49,'SI - End Use'!$C$2:$C$49, "")="", "", _xlfn.XLOOKUP($C81,'SI - End Use'!$B$2:$B$49,'SI - End Use'!$C$2:$C$49, ""))</f>
        <v/>
      </c>
      <c r="Q81" s="10"/>
      <c r="R81" s="10"/>
    </row>
    <row r="82" spans="1:18" x14ac:dyDescent="0.35">
      <c r="A82" s="10"/>
      <c r="B82" s="10"/>
      <c r="C82" s="10" t="str">
        <f>_xlfn.XLOOKUP($B82,'SI - Resources'!$A$1:$H$1,'SI - Resources'!$A$2:$H$2, "")</f>
        <v/>
      </c>
      <c r="D82" s="27" t="str">
        <f>IF(_xlfn.XLOOKUP($C82,'SI - End Use'!$B$2:$B$49,'SI - End Use'!$C$2:$C$49, "")="", "", _xlfn.XLOOKUP($C82,'SI - End Use'!$B$2:$B$49,'SI - End Use'!$C$2:$C$49, ""))</f>
        <v/>
      </c>
      <c r="E82" s="23"/>
      <c r="F82" s="27" t="str" cm="1">
        <f t="array" ref="F82">IF($B82="Transportation",  'SI - Units'!$B$9:$B$9, _xlfn.XLOOKUP(_xlfn.XLOOKUP($C82,'SI - Units'!$B$24:$B$70,'SI - Units'!$C$24:$C$70, ""),'SI - Units'!$A$2:$A$8,'SI - Units'!$B$2:$B$8, ""))</f>
        <v/>
      </c>
      <c r="G82" s="39"/>
      <c r="H82" s="39"/>
      <c r="I82" s="43" t="str">
        <f>IF(Table1[[#This Row],[Type]]="Co-product", "No", "")</f>
        <v/>
      </c>
      <c r="J82" s="10"/>
      <c r="K82" s="10" t="str">
        <f>IF(Table1[[#This Row],[Type]]="Transportation", _xlfn.XLOOKUP(Table1[[#This Row],[Resource]], 'SI - Payload'!$A$10:$A$33,'SI - Payload'!$B$10:$B$33,"",0), "")</f>
        <v/>
      </c>
      <c r="L82" s="10" t="str">
        <f>IF(Table1[[#This Row],[Type]]="Transportation", "ton", "")</f>
        <v/>
      </c>
      <c r="M82" s="10"/>
      <c r="N82" s="10"/>
      <c r="O82" s="10" t="str">
        <f>Table1[[#This Row],[Resource]]</f>
        <v/>
      </c>
      <c r="P82" s="10" t="str">
        <f>IF(_xlfn.XLOOKUP($O82,'SI - End Use'!$B$2:$B$49,'SI - End Use'!$C$2:$C$49, "")="", "", _xlfn.XLOOKUP($C82,'SI - End Use'!$B$2:$B$49,'SI - End Use'!$C$2:$C$49, ""))</f>
        <v/>
      </c>
      <c r="Q82" s="10"/>
      <c r="R82" s="10"/>
    </row>
    <row r="83" spans="1:18" x14ac:dyDescent="0.35">
      <c r="A83" s="10"/>
      <c r="B83" s="10"/>
      <c r="C83" s="10" t="str">
        <f>_xlfn.XLOOKUP($B83,'SI - Resources'!$A$1:$H$1,'SI - Resources'!$A$2:$H$2, "")</f>
        <v/>
      </c>
      <c r="D83" s="27" t="str">
        <f>IF(_xlfn.XLOOKUP($C83,'SI - End Use'!$B$2:$B$49,'SI - End Use'!$C$2:$C$49, "")="", "", _xlfn.XLOOKUP($C83,'SI - End Use'!$B$2:$B$49,'SI - End Use'!$C$2:$C$49, ""))</f>
        <v/>
      </c>
      <c r="E83" s="23"/>
      <c r="F83" s="27" t="str" cm="1">
        <f t="array" ref="F83">IF($B83="Transportation",  'SI - Units'!$B$9:$B$9, _xlfn.XLOOKUP(_xlfn.XLOOKUP($C83,'SI - Units'!$B$24:$B$70,'SI - Units'!$C$24:$C$70, ""),'SI - Units'!$A$2:$A$8,'SI - Units'!$B$2:$B$8, ""))</f>
        <v/>
      </c>
      <c r="G83" s="39"/>
      <c r="H83" s="39"/>
      <c r="I83" s="43" t="str">
        <f>IF(Table1[[#This Row],[Type]]="Co-product", "No", "")</f>
        <v/>
      </c>
      <c r="J83" s="10"/>
      <c r="K83" s="10" t="str">
        <f>IF(Table1[[#This Row],[Type]]="Transportation", _xlfn.XLOOKUP(Table1[[#This Row],[Resource]], 'SI - Payload'!$A$10:$A$33,'SI - Payload'!$B$10:$B$33,"",0), "")</f>
        <v/>
      </c>
      <c r="L83" s="10" t="str">
        <f>IF(Table1[[#This Row],[Type]]="Transportation", "ton", "")</f>
        <v/>
      </c>
      <c r="M83" s="10"/>
      <c r="N83" s="10"/>
      <c r="O83" s="10" t="str">
        <f>Table1[[#This Row],[Resource]]</f>
        <v/>
      </c>
      <c r="P83" s="10" t="str">
        <f>IF(_xlfn.XLOOKUP($O83,'SI - End Use'!$B$2:$B$49,'SI - End Use'!$C$2:$C$49, "")="", "", _xlfn.XLOOKUP($C83,'SI - End Use'!$B$2:$B$49,'SI - End Use'!$C$2:$C$49, ""))</f>
        <v/>
      </c>
      <c r="Q83" s="10"/>
      <c r="R83" s="10"/>
    </row>
    <row r="84" spans="1:18" x14ac:dyDescent="0.35">
      <c r="A84" s="10"/>
      <c r="B84" s="10"/>
      <c r="C84" s="10" t="str">
        <f>_xlfn.XLOOKUP($B84,'SI - Resources'!$A$1:$H$1,'SI - Resources'!$A$2:$H$2, "")</f>
        <v/>
      </c>
      <c r="D84" s="27" t="str">
        <f>IF(_xlfn.XLOOKUP($C84,'SI - End Use'!$B$2:$B$49,'SI - End Use'!$C$2:$C$49, "")="", "", _xlfn.XLOOKUP($C84,'SI - End Use'!$B$2:$B$49,'SI - End Use'!$C$2:$C$49, ""))</f>
        <v/>
      </c>
      <c r="E84" s="23"/>
      <c r="F84" s="27" t="str" cm="1">
        <f t="array" ref="F84">IF($B84="Transportation",  'SI - Units'!$B$9:$B$9, _xlfn.XLOOKUP(_xlfn.XLOOKUP($C84,'SI - Units'!$B$24:$B$70,'SI - Units'!$C$24:$C$70, ""),'SI - Units'!$A$2:$A$8,'SI - Units'!$B$2:$B$8, ""))</f>
        <v/>
      </c>
      <c r="G84" s="39"/>
      <c r="H84" s="39"/>
      <c r="I84" s="43" t="str">
        <f>IF(Table1[[#This Row],[Type]]="Co-product", "No", "")</f>
        <v/>
      </c>
      <c r="J84" s="10"/>
      <c r="K84" s="10" t="str">
        <f>IF(Table1[[#This Row],[Type]]="Transportation", _xlfn.XLOOKUP(Table1[[#This Row],[Resource]], 'SI - Payload'!$A$10:$A$33,'SI - Payload'!$B$10:$B$33,"",0), "")</f>
        <v/>
      </c>
      <c r="L84" s="10" t="str">
        <f>IF(Table1[[#This Row],[Type]]="Transportation", "ton", "")</f>
        <v/>
      </c>
      <c r="M84" s="10"/>
      <c r="N84" s="10"/>
      <c r="O84" s="10" t="str">
        <f>Table1[[#This Row],[Resource]]</f>
        <v/>
      </c>
      <c r="P84" s="10" t="str">
        <f>IF(_xlfn.XLOOKUP($O84,'SI - End Use'!$B$2:$B$49,'SI - End Use'!$C$2:$C$49, "")="", "", _xlfn.XLOOKUP($C84,'SI - End Use'!$B$2:$B$49,'SI - End Use'!$C$2:$C$49, ""))</f>
        <v/>
      </c>
      <c r="Q84" s="10"/>
      <c r="R84" s="10"/>
    </row>
    <row r="85" spans="1:18" x14ac:dyDescent="0.35">
      <c r="A85" s="10"/>
      <c r="B85" s="10"/>
      <c r="C85" s="10" t="str">
        <f>_xlfn.XLOOKUP($B85,'SI - Resources'!$A$1:$H$1,'SI - Resources'!$A$2:$H$2, "")</f>
        <v/>
      </c>
      <c r="D85" s="27" t="str">
        <f>IF(_xlfn.XLOOKUP($C85,'SI - End Use'!$B$2:$B$49,'SI - End Use'!$C$2:$C$49, "")="", "", _xlfn.XLOOKUP($C85,'SI - End Use'!$B$2:$B$49,'SI - End Use'!$C$2:$C$49, ""))</f>
        <v/>
      </c>
      <c r="E85" s="23"/>
      <c r="F85" s="27" t="str" cm="1">
        <f t="array" ref="F85">IF($B85="Transportation",  'SI - Units'!$B$9:$B$9, _xlfn.XLOOKUP(_xlfn.XLOOKUP($C85,'SI - Units'!$B$24:$B$70,'SI - Units'!$C$24:$C$70, ""),'SI - Units'!$A$2:$A$8,'SI - Units'!$B$2:$B$8, ""))</f>
        <v/>
      </c>
      <c r="G85" s="39"/>
      <c r="H85" s="39"/>
      <c r="I85" s="43" t="str">
        <f>IF(Table1[[#This Row],[Type]]="Co-product", "No", "")</f>
        <v/>
      </c>
      <c r="J85" s="10"/>
      <c r="K85" s="10" t="str">
        <f>IF(Table1[[#This Row],[Type]]="Transportation", _xlfn.XLOOKUP(Table1[[#This Row],[Resource]], 'SI - Payload'!$A$10:$A$33,'SI - Payload'!$B$10:$B$33,"",0), "")</f>
        <v/>
      </c>
      <c r="L85" s="10" t="str">
        <f>IF(Table1[[#This Row],[Type]]="Transportation", "ton", "")</f>
        <v/>
      </c>
      <c r="M85" s="10"/>
      <c r="N85" s="10"/>
      <c r="O85" s="10" t="str">
        <f>Table1[[#This Row],[Resource]]</f>
        <v/>
      </c>
      <c r="P85" s="10" t="str">
        <f>IF(_xlfn.XLOOKUP($O85,'SI - End Use'!$B$2:$B$49,'SI - End Use'!$C$2:$C$49, "")="", "", _xlfn.XLOOKUP($C85,'SI - End Use'!$B$2:$B$49,'SI - End Use'!$C$2:$C$49, ""))</f>
        <v/>
      </c>
      <c r="Q85" s="10"/>
      <c r="R85" s="10"/>
    </row>
    <row r="86" spans="1:18" x14ac:dyDescent="0.35">
      <c r="A86" s="10"/>
      <c r="B86" s="10"/>
      <c r="C86" s="10" t="str">
        <f>_xlfn.XLOOKUP($B86,'SI - Resources'!$A$1:$H$1,'SI - Resources'!$A$2:$H$2, "")</f>
        <v/>
      </c>
      <c r="D86" s="27" t="str">
        <f>IF(_xlfn.XLOOKUP($C86,'SI - End Use'!$B$2:$B$49,'SI - End Use'!$C$2:$C$49, "")="", "", _xlfn.XLOOKUP($C86,'SI - End Use'!$B$2:$B$49,'SI - End Use'!$C$2:$C$49, ""))</f>
        <v/>
      </c>
      <c r="E86" s="23"/>
      <c r="F86" s="27" t="str" cm="1">
        <f t="array" ref="F86">IF($B86="Transportation",  'SI - Units'!$B$9:$B$9, _xlfn.XLOOKUP(_xlfn.XLOOKUP($C86,'SI - Units'!$B$24:$B$70,'SI - Units'!$C$24:$C$70, ""),'SI - Units'!$A$2:$A$8,'SI - Units'!$B$2:$B$8, ""))</f>
        <v/>
      </c>
      <c r="G86" s="39"/>
      <c r="H86" s="39"/>
      <c r="I86" s="43" t="str">
        <f>IF(Table1[[#This Row],[Type]]="Co-product", "No", "")</f>
        <v/>
      </c>
      <c r="J86" s="10"/>
      <c r="K86" s="10" t="str">
        <f>IF(Table1[[#This Row],[Type]]="Transportation", _xlfn.XLOOKUP(Table1[[#This Row],[Resource]], 'SI - Payload'!$A$10:$A$33,'SI - Payload'!$B$10:$B$33,"",0), "")</f>
        <v/>
      </c>
      <c r="L86" s="10" t="str">
        <f>IF(Table1[[#This Row],[Type]]="Transportation", "ton", "")</f>
        <v/>
      </c>
      <c r="M86" s="10"/>
      <c r="N86" s="10"/>
      <c r="O86" s="10" t="str">
        <f>Table1[[#This Row],[Resource]]</f>
        <v/>
      </c>
      <c r="P86" s="10" t="str">
        <f>IF(_xlfn.XLOOKUP($O86,'SI - End Use'!$B$2:$B$49,'SI - End Use'!$C$2:$C$49, "")="", "", _xlfn.XLOOKUP($C86,'SI - End Use'!$B$2:$B$49,'SI - End Use'!$C$2:$C$49, ""))</f>
        <v/>
      </c>
      <c r="Q86" s="10"/>
      <c r="R86" s="10"/>
    </row>
    <row r="87" spans="1:18" x14ac:dyDescent="0.35">
      <c r="A87" s="10"/>
      <c r="B87" s="10"/>
      <c r="C87" s="10" t="str">
        <f>_xlfn.XLOOKUP($B87,'SI - Resources'!$A$1:$H$1,'SI - Resources'!$A$2:$H$2, "")</f>
        <v/>
      </c>
      <c r="D87" s="27" t="str">
        <f>IF(_xlfn.XLOOKUP($C87,'SI - End Use'!$B$2:$B$49,'SI - End Use'!$C$2:$C$49, "")="", "", _xlfn.XLOOKUP($C87,'SI - End Use'!$B$2:$B$49,'SI - End Use'!$C$2:$C$49, ""))</f>
        <v/>
      </c>
      <c r="E87" s="23"/>
      <c r="F87" s="27" t="str" cm="1">
        <f t="array" ref="F87">IF($B87="Transportation",  'SI - Units'!$B$9:$B$9, _xlfn.XLOOKUP(_xlfn.XLOOKUP($C87,'SI - Units'!$B$24:$B$70,'SI - Units'!$C$24:$C$70, ""),'SI - Units'!$A$2:$A$8,'SI - Units'!$B$2:$B$8, ""))</f>
        <v/>
      </c>
      <c r="G87" s="39"/>
      <c r="H87" s="39"/>
      <c r="I87" s="43" t="str">
        <f>IF(Table1[[#This Row],[Type]]="Co-product", "No", "")</f>
        <v/>
      </c>
      <c r="J87" s="10"/>
      <c r="K87" s="10" t="str">
        <f>IF(Table1[[#This Row],[Type]]="Transportation", _xlfn.XLOOKUP(Table1[[#This Row],[Resource]], 'SI - Payload'!$A$10:$A$33,'SI - Payload'!$B$10:$B$33,"",0), "")</f>
        <v/>
      </c>
      <c r="L87" s="10" t="str">
        <f>IF(Table1[[#This Row],[Type]]="Transportation", "ton", "")</f>
        <v/>
      </c>
      <c r="M87" s="10"/>
      <c r="N87" s="10"/>
      <c r="O87" s="10" t="str">
        <f>Table1[[#This Row],[Resource]]</f>
        <v/>
      </c>
      <c r="P87" s="10" t="str">
        <f>IF(_xlfn.XLOOKUP($O87,'SI - End Use'!$B$2:$B$49,'SI - End Use'!$C$2:$C$49, "")="", "", _xlfn.XLOOKUP($C87,'SI - End Use'!$B$2:$B$49,'SI - End Use'!$C$2:$C$49, ""))</f>
        <v/>
      </c>
      <c r="Q87" s="10"/>
      <c r="R87" s="10"/>
    </row>
    <row r="88" spans="1:18" x14ac:dyDescent="0.35">
      <c r="A88" s="10"/>
      <c r="B88" s="10"/>
      <c r="C88" s="10" t="str">
        <f>_xlfn.XLOOKUP($B88,'SI - Resources'!$A$1:$H$1,'SI - Resources'!$A$2:$H$2, "")</f>
        <v/>
      </c>
      <c r="D88" s="27" t="str">
        <f>IF(_xlfn.XLOOKUP($C88,'SI - End Use'!$B$2:$B$49,'SI - End Use'!$C$2:$C$49, "")="", "", _xlfn.XLOOKUP($C88,'SI - End Use'!$B$2:$B$49,'SI - End Use'!$C$2:$C$49, ""))</f>
        <v/>
      </c>
      <c r="E88" s="23"/>
      <c r="F88" s="27" t="str" cm="1">
        <f t="array" ref="F88">IF($B88="Transportation",  'SI - Units'!$B$9:$B$9, _xlfn.XLOOKUP(_xlfn.XLOOKUP($C88,'SI - Units'!$B$24:$B$70,'SI - Units'!$C$24:$C$70, ""),'SI - Units'!$A$2:$A$8,'SI - Units'!$B$2:$B$8, ""))</f>
        <v/>
      </c>
      <c r="G88" s="39"/>
      <c r="H88" s="39"/>
      <c r="I88" s="43" t="str">
        <f>IF(Table1[[#This Row],[Type]]="Co-product", "No", "")</f>
        <v/>
      </c>
      <c r="J88" s="10"/>
      <c r="K88" s="10" t="str">
        <f>IF(Table1[[#This Row],[Type]]="Transportation", _xlfn.XLOOKUP(Table1[[#This Row],[Resource]], 'SI - Payload'!$A$10:$A$33,'SI - Payload'!$B$10:$B$33,"",0), "")</f>
        <v/>
      </c>
      <c r="L88" s="10" t="str">
        <f>IF(Table1[[#This Row],[Type]]="Transportation", "ton", "")</f>
        <v/>
      </c>
      <c r="M88" s="10"/>
      <c r="N88" s="10"/>
      <c r="O88" s="10" t="str">
        <f>Table1[[#This Row],[Resource]]</f>
        <v/>
      </c>
      <c r="P88" s="10" t="str">
        <f>IF(_xlfn.XLOOKUP($O88,'SI - End Use'!$B$2:$B$49,'SI - End Use'!$C$2:$C$49, "")="", "", _xlfn.XLOOKUP($C88,'SI - End Use'!$B$2:$B$49,'SI - End Use'!$C$2:$C$49, ""))</f>
        <v/>
      </c>
      <c r="Q88" s="10"/>
      <c r="R88" s="10"/>
    </row>
    <row r="89" spans="1:18" x14ac:dyDescent="0.35">
      <c r="A89" s="10"/>
      <c r="B89" s="10"/>
      <c r="C89" s="10" t="str">
        <f>_xlfn.XLOOKUP($B89,'SI - Resources'!$A$1:$H$1,'SI - Resources'!$A$2:$H$2, "")</f>
        <v/>
      </c>
      <c r="D89" s="27" t="str">
        <f>IF(_xlfn.XLOOKUP($C89,'SI - End Use'!$B$2:$B$49,'SI - End Use'!$C$2:$C$49, "")="", "", _xlfn.XLOOKUP($C89,'SI - End Use'!$B$2:$B$49,'SI - End Use'!$C$2:$C$49, ""))</f>
        <v/>
      </c>
      <c r="E89" s="23"/>
      <c r="F89" s="27" t="str" cm="1">
        <f t="array" ref="F89">IF($B89="Transportation",  'SI - Units'!$B$9:$B$9, _xlfn.XLOOKUP(_xlfn.XLOOKUP($C89,'SI - Units'!$B$24:$B$70,'SI - Units'!$C$24:$C$70, ""),'SI - Units'!$A$2:$A$8,'SI - Units'!$B$2:$B$8, ""))</f>
        <v/>
      </c>
      <c r="G89" s="39"/>
      <c r="H89" s="39"/>
      <c r="I89" s="43" t="str">
        <f>IF(Table1[[#This Row],[Type]]="Co-product", "No", "")</f>
        <v/>
      </c>
      <c r="J89" s="10"/>
      <c r="K89" s="10" t="str">
        <f>IF(Table1[[#This Row],[Type]]="Transportation", _xlfn.XLOOKUP(Table1[[#This Row],[Resource]], 'SI - Payload'!$A$10:$A$33,'SI - Payload'!$B$10:$B$33,"",0), "")</f>
        <v/>
      </c>
      <c r="L89" s="10" t="str">
        <f>IF(Table1[[#This Row],[Type]]="Transportation", "ton", "")</f>
        <v/>
      </c>
      <c r="M89" s="10"/>
      <c r="N89" s="10"/>
      <c r="O89" s="10" t="str">
        <f>Table1[[#This Row],[Resource]]</f>
        <v/>
      </c>
      <c r="P89" s="10" t="str">
        <f>IF(_xlfn.XLOOKUP($O89,'SI - End Use'!$B$2:$B$49,'SI - End Use'!$C$2:$C$49, "")="", "", _xlfn.XLOOKUP($C89,'SI - End Use'!$B$2:$B$49,'SI - End Use'!$C$2:$C$49, ""))</f>
        <v/>
      </c>
      <c r="Q89" s="10"/>
      <c r="R89" s="10"/>
    </row>
    <row r="90" spans="1:18" x14ac:dyDescent="0.35">
      <c r="A90" s="10"/>
      <c r="B90" s="10"/>
      <c r="C90" s="10" t="str">
        <f>_xlfn.XLOOKUP($B90,'SI - Resources'!$A$1:$H$1,'SI - Resources'!$A$2:$H$2, "")</f>
        <v/>
      </c>
      <c r="D90" s="27" t="str">
        <f>IF(_xlfn.XLOOKUP($C90,'SI - End Use'!$B$2:$B$49,'SI - End Use'!$C$2:$C$49, "")="", "", _xlfn.XLOOKUP($C90,'SI - End Use'!$B$2:$B$49,'SI - End Use'!$C$2:$C$49, ""))</f>
        <v/>
      </c>
      <c r="E90" s="23"/>
      <c r="F90" s="27" t="str" cm="1">
        <f t="array" ref="F90">IF($B90="Transportation",  'SI - Units'!$B$9:$B$9, _xlfn.XLOOKUP(_xlfn.XLOOKUP($C90,'SI - Units'!$B$24:$B$70,'SI - Units'!$C$24:$C$70, ""),'SI - Units'!$A$2:$A$8,'SI - Units'!$B$2:$B$8, ""))</f>
        <v/>
      </c>
      <c r="G90" s="39"/>
      <c r="H90" s="39"/>
      <c r="I90" s="43" t="str">
        <f>IF(Table1[[#This Row],[Type]]="Co-product", "No", "")</f>
        <v/>
      </c>
      <c r="J90" s="10"/>
      <c r="K90" s="10" t="str">
        <f>IF(Table1[[#This Row],[Type]]="Transportation", _xlfn.XLOOKUP(Table1[[#This Row],[Resource]], 'SI - Payload'!$A$10:$A$33,'SI - Payload'!$B$10:$B$33,"",0), "")</f>
        <v/>
      </c>
      <c r="L90" s="10" t="str">
        <f>IF(Table1[[#This Row],[Type]]="Transportation", "ton", "")</f>
        <v/>
      </c>
      <c r="M90" s="10"/>
      <c r="N90" s="10"/>
      <c r="O90" s="10" t="str">
        <f>Table1[[#This Row],[Resource]]</f>
        <v/>
      </c>
      <c r="P90" s="10" t="str">
        <f>IF(_xlfn.XLOOKUP($O90,'SI - End Use'!$B$2:$B$49,'SI - End Use'!$C$2:$C$49, "")="", "", _xlfn.XLOOKUP($C90,'SI - End Use'!$B$2:$B$49,'SI - End Use'!$C$2:$C$49, ""))</f>
        <v/>
      </c>
      <c r="Q90" s="10"/>
      <c r="R90" s="10"/>
    </row>
    <row r="91" spans="1:18" x14ac:dyDescent="0.35">
      <c r="A91" s="10"/>
      <c r="B91" s="10"/>
      <c r="C91" s="10" t="str">
        <f>_xlfn.XLOOKUP($B91,'SI - Resources'!$A$1:$H$1,'SI - Resources'!$A$2:$H$2, "")</f>
        <v/>
      </c>
      <c r="D91" s="27" t="str">
        <f>IF(_xlfn.XLOOKUP($C91,'SI - End Use'!$B$2:$B$49,'SI - End Use'!$C$2:$C$49, "")="", "", _xlfn.XLOOKUP($C91,'SI - End Use'!$B$2:$B$49,'SI - End Use'!$C$2:$C$49, ""))</f>
        <v/>
      </c>
      <c r="E91" s="23"/>
      <c r="F91" s="27" t="str" cm="1">
        <f t="array" ref="F91">IF($B91="Transportation",  'SI - Units'!$B$9:$B$9, _xlfn.XLOOKUP(_xlfn.XLOOKUP($C91,'SI - Units'!$B$24:$B$70,'SI - Units'!$C$24:$C$70, ""),'SI - Units'!$A$2:$A$8,'SI - Units'!$B$2:$B$8, ""))</f>
        <v/>
      </c>
      <c r="G91" s="39"/>
      <c r="H91" s="39"/>
      <c r="I91" s="43" t="str">
        <f>IF(Table1[[#This Row],[Type]]="Co-product", "No", "")</f>
        <v/>
      </c>
      <c r="J91" s="10"/>
      <c r="K91" s="10" t="str">
        <f>IF(Table1[[#This Row],[Type]]="Transportation", _xlfn.XLOOKUP(Table1[[#This Row],[Resource]], 'SI - Payload'!$A$10:$A$33,'SI - Payload'!$B$10:$B$33,"",0), "")</f>
        <v/>
      </c>
      <c r="L91" s="10" t="str">
        <f>IF(Table1[[#This Row],[Type]]="Transportation", "ton", "")</f>
        <v/>
      </c>
      <c r="M91" s="10"/>
      <c r="N91" s="10"/>
      <c r="O91" s="10" t="str">
        <f>Table1[[#This Row],[Resource]]</f>
        <v/>
      </c>
      <c r="P91" s="10" t="str">
        <f>IF(_xlfn.XLOOKUP($O91,'SI - End Use'!$B$2:$B$49,'SI - End Use'!$C$2:$C$49, "")="", "", _xlfn.XLOOKUP($C91,'SI - End Use'!$B$2:$B$49,'SI - End Use'!$C$2:$C$49, ""))</f>
        <v/>
      </c>
      <c r="Q91" s="10"/>
      <c r="R91" s="10"/>
    </row>
    <row r="92" spans="1:18" x14ac:dyDescent="0.35">
      <c r="A92" s="10"/>
      <c r="B92" s="10"/>
      <c r="C92" s="10" t="str">
        <f>_xlfn.XLOOKUP($B92,'SI - Resources'!$A$1:$H$1,'SI - Resources'!$A$2:$H$2, "")</f>
        <v/>
      </c>
      <c r="D92" s="27" t="str">
        <f>IF(_xlfn.XLOOKUP($C92,'SI - End Use'!$B$2:$B$49,'SI - End Use'!$C$2:$C$49, "")="", "", _xlfn.XLOOKUP($C92,'SI - End Use'!$B$2:$B$49,'SI - End Use'!$C$2:$C$49, ""))</f>
        <v/>
      </c>
      <c r="E92" s="23"/>
      <c r="F92" s="27" t="str" cm="1">
        <f t="array" ref="F92">IF($B92="Transportation",  'SI - Units'!$B$9:$B$9, _xlfn.XLOOKUP(_xlfn.XLOOKUP($C92,'SI - Units'!$B$24:$B$70,'SI - Units'!$C$24:$C$70, ""),'SI - Units'!$A$2:$A$8,'SI - Units'!$B$2:$B$8, ""))</f>
        <v/>
      </c>
      <c r="G92" s="39"/>
      <c r="H92" s="39"/>
      <c r="I92" s="43" t="str">
        <f>IF(Table1[[#This Row],[Type]]="Co-product", "No", "")</f>
        <v/>
      </c>
      <c r="J92" s="10"/>
      <c r="K92" s="10" t="str">
        <f>IF(Table1[[#This Row],[Type]]="Transportation", _xlfn.XLOOKUP(Table1[[#This Row],[Resource]], 'SI - Payload'!$A$10:$A$33,'SI - Payload'!$B$10:$B$33,"",0), "")</f>
        <v/>
      </c>
      <c r="L92" s="10" t="str">
        <f>IF(Table1[[#This Row],[Type]]="Transportation", "ton", "")</f>
        <v/>
      </c>
      <c r="M92" s="10"/>
      <c r="N92" s="10"/>
      <c r="O92" s="10" t="str">
        <f>Table1[[#This Row],[Resource]]</f>
        <v/>
      </c>
      <c r="P92" s="10" t="str">
        <f>IF(_xlfn.XLOOKUP($O92,'SI - End Use'!$B$2:$B$49,'SI - End Use'!$C$2:$C$49, "")="", "", _xlfn.XLOOKUP($C92,'SI - End Use'!$B$2:$B$49,'SI - End Use'!$C$2:$C$49, ""))</f>
        <v/>
      </c>
      <c r="Q92" s="10"/>
      <c r="R92" s="10"/>
    </row>
    <row r="93" spans="1:18" x14ac:dyDescent="0.35">
      <c r="A93" s="10"/>
      <c r="B93" s="10"/>
      <c r="C93" s="10" t="str">
        <f>_xlfn.XLOOKUP($B93,'SI - Resources'!$A$1:$H$1,'SI - Resources'!$A$2:$H$2, "")</f>
        <v/>
      </c>
      <c r="D93" s="27" t="str">
        <f>IF(_xlfn.XLOOKUP($C93,'SI - End Use'!$B$2:$B$49,'SI - End Use'!$C$2:$C$49, "")="", "", _xlfn.XLOOKUP($C93,'SI - End Use'!$B$2:$B$49,'SI - End Use'!$C$2:$C$49, ""))</f>
        <v/>
      </c>
      <c r="E93" s="23"/>
      <c r="F93" s="27" t="str" cm="1">
        <f t="array" ref="F93">IF($B93="Transportation",  'SI - Units'!$B$9:$B$9, _xlfn.XLOOKUP(_xlfn.XLOOKUP($C93,'SI - Units'!$B$24:$B$70,'SI - Units'!$C$24:$C$70, ""),'SI - Units'!$A$2:$A$8,'SI - Units'!$B$2:$B$8, ""))</f>
        <v/>
      </c>
      <c r="G93" s="39"/>
      <c r="H93" s="39"/>
      <c r="I93" s="43" t="str">
        <f>IF(Table1[[#This Row],[Type]]="Co-product", "No", "")</f>
        <v/>
      </c>
      <c r="J93" s="10"/>
      <c r="K93" s="10" t="str">
        <f>IF(Table1[[#This Row],[Type]]="Transportation", _xlfn.XLOOKUP(Table1[[#This Row],[Resource]], 'SI - Payload'!$A$10:$A$33,'SI - Payload'!$B$10:$B$33,"",0), "")</f>
        <v/>
      </c>
      <c r="L93" s="10" t="str">
        <f>IF(Table1[[#This Row],[Type]]="Transportation", "ton", "")</f>
        <v/>
      </c>
      <c r="M93" s="10"/>
      <c r="N93" s="10"/>
      <c r="O93" s="10" t="str">
        <f>Table1[[#This Row],[Resource]]</f>
        <v/>
      </c>
      <c r="P93" s="10" t="str">
        <f>IF(_xlfn.XLOOKUP($O93,'SI - End Use'!$B$2:$B$49,'SI - End Use'!$C$2:$C$49, "")="", "", _xlfn.XLOOKUP($C93,'SI - End Use'!$B$2:$B$49,'SI - End Use'!$C$2:$C$49, ""))</f>
        <v/>
      </c>
      <c r="Q93" s="10"/>
      <c r="R93" s="10"/>
    </row>
    <row r="94" spans="1:18" x14ac:dyDescent="0.35">
      <c r="A94" s="10"/>
      <c r="B94" s="10"/>
      <c r="C94" s="10" t="str">
        <f>_xlfn.XLOOKUP($B94,'SI - Resources'!$A$1:$H$1,'SI - Resources'!$A$2:$H$2, "")</f>
        <v/>
      </c>
      <c r="D94" s="27" t="str">
        <f>IF(_xlfn.XLOOKUP($C94,'SI - End Use'!$B$2:$B$49,'SI - End Use'!$C$2:$C$49, "")="", "", _xlfn.XLOOKUP($C94,'SI - End Use'!$B$2:$B$49,'SI - End Use'!$C$2:$C$49, ""))</f>
        <v/>
      </c>
      <c r="E94" s="23"/>
      <c r="F94" s="27" t="str" cm="1">
        <f t="array" ref="F94">IF($B94="Transportation",  'SI - Units'!$B$9:$B$9, _xlfn.XLOOKUP(_xlfn.XLOOKUP($C94,'SI - Units'!$B$24:$B$70,'SI - Units'!$C$24:$C$70, ""),'SI - Units'!$A$2:$A$8,'SI - Units'!$B$2:$B$8, ""))</f>
        <v/>
      </c>
      <c r="G94" s="39"/>
      <c r="H94" s="39"/>
      <c r="I94" s="43" t="str">
        <f>IF(Table1[[#This Row],[Type]]="Co-product", "No", "")</f>
        <v/>
      </c>
      <c r="J94" s="10"/>
      <c r="K94" s="10" t="str">
        <f>IF(Table1[[#This Row],[Type]]="Transportation", _xlfn.XLOOKUP(Table1[[#This Row],[Resource]], 'SI - Payload'!$A$10:$A$33,'SI - Payload'!$B$10:$B$33,"",0), "")</f>
        <v/>
      </c>
      <c r="L94" s="10" t="str">
        <f>IF(Table1[[#This Row],[Type]]="Transportation", "ton", "")</f>
        <v/>
      </c>
      <c r="M94" s="10"/>
      <c r="N94" s="10"/>
      <c r="O94" s="10" t="str">
        <f>Table1[[#This Row],[Resource]]</f>
        <v/>
      </c>
      <c r="P94" s="10" t="str">
        <f>IF(_xlfn.XLOOKUP($O94,'SI - End Use'!$B$2:$B$49,'SI - End Use'!$C$2:$C$49, "")="", "", _xlfn.XLOOKUP($C94,'SI - End Use'!$B$2:$B$49,'SI - End Use'!$C$2:$C$49, ""))</f>
        <v/>
      </c>
      <c r="Q94" s="10"/>
      <c r="R94" s="10"/>
    </row>
    <row r="95" spans="1:18" x14ac:dyDescent="0.35">
      <c r="A95" s="10"/>
      <c r="B95" s="10"/>
      <c r="C95" s="10" t="str">
        <f>_xlfn.XLOOKUP($B95,'SI - Resources'!$A$1:$H$1,'SI - Resources'!$A$2:$H$2, "")</f>
        <v/>
      </c>
      <c r="D95" s="27" t="str">
        <f>IF(_xlfn.XLOOKUP($C95,'SI - End Use'!$B$2:$B$49,'SI - End Use'!$C$2:$C$49, "")="", "", _xlfn.XLOOKUP($C95,'SI - End Use'!$B$2:$B$49,'SI - End Use'!$C$2:$C$49, ""))</f>
        <v/>
      </c>
      <c r="E95" s="23"/>
      <c r="F95" s="27" t="str" cm="1">
        <f t="array" ref="F95">IF($B95="Transportation",  'SI - Units'!$B$9:$B$9, _xlfn.XLOOKUP(_xlfn.XLOOKUP($C95,'SI - Units'!$B$24:$B$70,'SI - Units'!$C$24:$C$70, ""),'SI - Units'!$A$2:$A$8,'SI - Units'!$B$2:$B$8, ""))</f>
        <v/>
      </c>
      <c r="G95" s="39"/>
      <c r="H95" s="39"/>
      <c r="I95" s="43" t="str">
        <f>IF(Table1[[#This Row],[Type]]="Co-product", "No", "")</f>
        <v/>
      </c>
      <c r="J95" s="10"/>
      <c r="K95" s="10" t="str">
        <f>IF(Table1[[#This Row],[Type]]="Transportation", _xlfn.XLOOKUP(Table1[[#This Row],[Resource]], 'SI - Payload'!$A$10:$A$33,'SI - Payload'!$B$10:$B$33,"",0), "")</f>
        <v/>
      </c>
      <c r="L95" s="10" t="str">
        <f>IF(Table1[[#This Row],[Type]]="Transportation", "ton", "")</f>
        <v/>
      </c>
      <c r="M95" s="10"/>
      <c r="N95" s="10"/>
      <c r="O95" s="10" t="str">
        <f>Table1[[#This Row],[Resource]]</f>
        <v/>
      </c>
      <c r="P95" s="10" t="str">
        <f>IF(_xlfn.XLOOKUP($O95,'SI - End Use'!$B$2:$B$49,'SI - End Use'!$C$2:$C$49, "")="", "", _xlfn.XLOOKUP($C95,'SI - End Use'!$B$2:$B$49,'SI - End Use'!$C$2:$C$49, ""))</f>
        <v/>
      </c>
      <c r="Q95" s="10"/>
      <c r="R95" s="10"/>
    </row>
    <row r="96" spans="1:18" x14ac:dyDescent="0.35">
      <c r="A96" s="10"/>
      <c r="B96" s="10"/>
      <c r="C96" s="27" t="str">
        <f>_xlfn.XLOOKUP($B96,'SI - Resources'!$A$1:$H$1,'SI - Resources'!$A$2:$H$2, "")</f>
        <v/>
      </c>
      <c r="D96" s="27" t="str">
        <f>IF(_xlfn.XLOOKUP($C96,'SI - End Use'!$B$2:$B$49,'SI - End Use'!$C$2:$C$49, "")="", "", _xlfn.XLOOKUP($C96,'SI - End Use'!$B$2:$B$49,'SI - End Use'!$C$2:$C$49, ""))</f>
        <v/>
      </c>
      <c r="E96" s="23"/>
      <c r="F96" s="27" t="str" cm="1">
        <f t="array" ref="F96">IF($B96="Transportation",  'SI - Units'!$B$9:$B$9, _xlfn.XLOOKUP(_xlfn.XLOOKUP($C96,'SI - Units'!$B$24:$B$70,'SI - Units'!$C$24:$C$70, ""),'SI - Units'!$A$2:$A$8,'SI - Units'!$B$2:$B$8, ""))</f>
        <v/>
      </c>
      <c r="G96" s="39"/>
      <c r="H96" s="39"/>
      <c r="I96" s="43" t="str">
        <f>IF(Table1[[#This Row],[Type]]="Co-product", "No", "")</f>
        <v/>
      </c>
      <c r="J96" s="10"/>
      <c r="K96" s="10" t="str">
        <f>IF(Table1[[#This Row],[Type]]="Transportation", _xlfn.XLOOKUP(Table1[[#This Row],[Resource]], 'SI - Payload'!$A$10:$A$33,'SI - Payload'!$B$10:$B$33,"",0), "")</f>
        <v/>
      </c>
      <c r="L96" s="10" t="str">
        <f>IF(Table1[[#This Row],[Type]]="Transportation", "ton", "")</f>
        <v/>
      </c>
      <c r="M96" s="10"/>
      <c r="N96" s="10"/>
      <c r="O96" s="10" t="str">
        <f>Table1[[#This Row],[Resource]]</f>
        <v/>
      </c>
      <c r="P96" s="10" t="str">
        <f>IF(_xlfn.XLOOKUP($O96,'SI - End Use'!$B$2:$B$49,'SI - End Use'!$C$2:$C$49, "")="", "", _xlfn.XLOOKUP($C96,'SI - End Use'!$B$2:$B$49,'SI - End Use'!$C$2:$C$49, ""))</f>
        <v/>
      </c>
      <c r="Q96" s="10"/>
      <c r="R96" s="10"/>
    </row>
    <row r="97" spans="1:18" x14ac:dyDescent="0.35">
      <c r="A97" s="10"/>
      <c r="B97" s="10"/>
      <c r="C97" s="27" t="str">
        <f>_xlfn.XLOOKUP($B97,'SI - Resources'!$A$1:$H$1,'SI - Resources'!$A$2:$H$2, "")</f>
        <v/>
      </c>
      <c r="D97" s="27" t="str">
        <f>IF(_xlfn.XLOOKUP($C97,'SI - End Use'!$B$2:$B$49,'SI - End Use'!$C$2:$C$49, "")="", "", _xlfn.XLOOKUP($C97,'SI - End Use'!$B$2:$B$49,'SI - End Use'!$C$2:$C$49, ""))</f>
        <v/>
      </c>
      <c r="E97" s="23"/>
      <c r="F97" s="27" t="str" cm="1">
        <f t="array" ref="F97">IF($B97="Transportation",  'SI - Units'!$B$9:$B$9, _xlfn.XLOOKUP(_xlfn.XLOOKUP($C97,'SI - Units'!$B$24:$B$70,'SI - Units'!$C$24:$C$70, ""),'SI - Units'!$A$2:$A$8,'SI - Units'!$B$2:$B$8, ""))</f>
        <v/>
      </c>
      <c r="G97" s="39"/>
      <c r="H97" s="39"/>
      <c r="I97" s="43" t="str">
        <f>IF(Table1[[#This Row],[Type]]="Co-product", "No", "")</f>
        <v/>
      </c>
      <c r="J97" s="10"/>
      <c r="K97" s="10" t="str">
        <f>IF(Table1[[#This Row],[Type]]="Transportation", _xlfn.XLOOKUP(Table1[[#This Row],[Resource]], 'SI - Payload'!$A$10:$A$33,'SI - Payload'!$B$10:$B$33,"",0), "")</f>
        <v/>
      </c>
      <c r="L97" s="10" t="str">
        <f>IF(Table1[[#This Row],[Type]]="Transportation", "ton", "")</f>
        <v/>
      </c>
      <c r="M97" s="10"/>
      <c r="N97" s="10"/>
      <c r="O97" s="27" t="str">
        <f>Table1[[#This Row],[Resource]]</f>
        <v/>
      </c>
      <c r="P97" s="27" t="str">
        <f>IF(_xlfn.XLOOKUP($O97,'SI - End Use'!$B$2:$B$49,'SI - End Use'!$C$2:$C$49, "")="", "", _xlfn.XLOOKUP($C97,'SI - End Use'!$B$2:$B$49,'SI - End Use'!$C$2:$C$49, ""))</f>
        <v/>
      </c>
      <c r="Q97" s="27"/>
      <c r="R97" s="10"/>
    </row>
    <row r="98" spans="1:18" x14ac:dyDescent="0.35">
      <c r="A98" s="10"/>
      <c r="B98" s="10"/>
      <c r="C98" s="27" t="str">
        <f>_xlfn.XLOOKUP($B98,'SI - Resources'!$A$1:$H$1,'SI - Resources'!$A$2:$H$2, "")</f>
        <v/>
      </c>
      <c r="D98" s="27" t="str">
        <f>IF(_xlfn.XLOOKUP($C98,'SI - End Use'!$B$2:$B$49,'SI - End Use'!$C$2:$C$49, "")="", "", _xlfn.XLOOKUP($C98,'SI - End Use'!$B$2:$B$49,'SI - End Use'!$C$2:$C$49, ""))</f>
        <v/>
      </c>
      <c r="E98" s="23"/>
      <c r="F98" s="27" t="str" cm="1">
        <f t="array" ref="F98">IF($B98="Transportation",  'SI - Units'!$B$9:$B$9, _xlfn.XLOOKUP(_xlfn.XLOOKUP($C98,'SI - Units'!$B$24:$B$70,'SI - Units'!$C$24:$C$70, ""),'SI - Units'!$A$2:$A$8,'SI - Units'!$B$2:$B$8, ""))</f>
        <v/>
      </c>
      <c r="G98" s="39"/>
      <c r="H98" s="39"/>
      <c r="I98" s="43" t="str">
        <f>IF(Table1[[#This Row],[Type]]="Co-product", "No", "")</f>
        <v/>
      </c>
      <c r="J98" s="10"/>
      <c r="K98" s="10" t="str">
        <f>IF(Table1[[#This Row],[Type]]="Transportation", _xlfn.XLOOKUP(Table1[[#This Row],[Resource]], 'SI - Payload'!$A$10:$A$33,'SI - Payload'!$B$10:$B$33,"",0), "")</f>
        <v/>
      </c>
      <c r="L98" s="10" t="str">
        <f>IF(Table1[[#This Row],[Type]]="Transportation", "ton", "")</f>
        <v/>
      </c>
      <c r="M98" s="10"/>
      <c r="N98" s="10"/>
      <c r="O98" s="27" t="str">
        <f>Table1[[#This Row],[Resource]]</f>
        <v/>
      </c>
      <c r="P98" s="27" t="str">
        <f>IF(_xlfn.XLOOKUP($O98,'SI - End Use'!$B$2:$B$49,'SI - End Use'!$C$2:$C$49, "")="", "", _xlfn.XLOOKUP($C98,'SI - End Use'!$B$2:$B$49,'SI - End Use'!$C$2:$C$49, ""))</f>
        <v/>
      </c>
      <c r="Q98" s="27"/>
      <c r="R98" s="10"/>
    </row>
    <row r="99" spans="1:18" x14ac:dyDescent="0.35">
      <c r="A99" s="10"/>
      <c r="B99" s="10"/>
      <c r="C99" s="27" t="str">
        <f>_xlfn.XLOOKUP($B99,'SI - Resources'!$A$1:$H$1,'SI - Resources'!$A$2:$H$2, "")</f>
        <v/>
      </c>
      <c r="D99" s="27" t="str">
        <f>IF(_xlfn.XLOOKUP($C99,'SI - End Use'!$B$2:$B$49,'SI - End Use'!$C$2:$C$49, "")="", "", _xlfn.XLOOKUP($C99,'SI - End Use'!$B$2:$B$49,'SI - End Use'!$C$2:$C$49, ""))</f>
        <v/>
      </c>
      <c r="E99" s="23"/>
      <c r="F99" s="27" t="str" cm="1">
        <f t="array" ref="F99">IF($B99="Transportation",  'SI - Units'!$B$9:$B$9, _xlfn.XLOOKUP(_xlfn.XLOOKUP($C99,'SI - Units'!$B$24:$B$70,'SI - Units'!$C$24:$C$70, ""),'SI - Units'!$A$2:$A$8,'SI - Units'!$B$2:$B$8, ""))</f>
        <v/>
      </c>
      <c r="G99" s="39"/>
      <c r="H99" s="39"/>
      <c r="I99" s="43" t="str">
        <f>IF(Table1[[#This Row],[Type]]="Co-product", "No", "")</f>
        <v/>
      </c>
      <c r="J99" s="10"/>
      <c r="K99" s="10" t="str">
        <f>IF(Table1[[#This Row],[Type]]="Transportation", _xlfn.XLOOKUP(Table1[[#This Row],[Resource]], 'SI - Payload'!$A$10:$A$33,'SI - Payload'!$B$10:$B$33,"",0), "")</f>
        <v/>
      </c>
      <c r="L99" s="10" t="str">
        <f>IF(Table1[[#This Row],[Type]]="Transportation", "ton", "")</f>
        <v/>
      </c>
      <c r="M99" s="10"/>
      <c r="N99" s="10"/>
      <c r="O99" s="27" t="str">
        <f>Table1[[#This Row],[Resource]]</f>
        <v/>
      </c>
      <c r="P99" s="10" t="str">
        <f>IF(_xlfn.XLOOKUP($O99,'SI - End Use'!$B$2:$B$49,'SI - End Use'!$C$2:$C$49, "")="", "", _xlfn.XLOOKUP($C99,'SI - End Use'!$B$2:$B$49,'SI - End Use'!$C$2:$C$49, ""))</f>
        <v/>
      </c>
      <c r="Q99" s="10"/>
      <c r="R99" s="10"/>
    </row>
    <row r="100" spans="1:18" x14ac:dyDescent="0.35">
      <c r="A100" s="42"/>
      <c r="B100" s="26"/>
      <c r="C100" s="26" t="str">
        <f>_xlfn.XLOOKUP($B100,'SI - Resources'!$A$1:$H$1,'SI - Resources'!$A$2:$H$2, "")</f>
        <v/>
      </c>
      <c r="D100" s="28" t="str">
        <f>IF(_xlfn.XLOOKUP($C100,'SI - End Use'!$B$2:$B$49,'SI - End Use'!$C$2:$C$49, "")="", "", _xlfn.XLOOKUP($C100,'SI - End Use'!$B$2:$B$49,'SI - End Use'!$C$2:$C$49, ""))</f>
        <v/>
      </c>
      <c r="E100" s="40"/>
      <c r="F100" s="28" t="str" cm="1">
        <f t="array" ref="F100">IF($B100="Transportation",  'SI - Units'!$B$9:$B$9, _xlfn.XLOOKUP(_xlfn.XLOOKUP($C100,'SI - Units'!$B$24:$B$70,'SI - Units'!$C$24:$C$70, ""),'SI - Units'!$A$2:$A$8,'SI - Units'!$B$2:$B$8, ""))</f>
        <v/>
      </c>
      <c r="G100" s="41"/>
      <c r="H100" s="41"/>
      <c r="I100" s="44" t="str">
        <f>IF(Table1[[#This Row],[Type]]="Co-product", "No", "")</f>
        <v/>
      </c>
      <c r="J100" s="26"/>
      <c r="K100" s="26" t="str">
        <f>IF(Table1[[#This Row],[Type]]="Transportation", _xlfn.XLOOKUP(Table1[[#This Row],[Resource]], 'SI - Payload'!$A$10:$A$33,'SI - Payload'!$B$10:$B$33,"",0), "")</f>
        <v/>
      </c>
      <c r="L100" s="26" t="str">
        <f>IF(Table1[[#This Row],[Type]]="Transportation", "ton", "")</f>
        <v/>
      </c>
      <c r="M100" s="26"/>
      <c r="N100" s="26"/>
      <c r="O100" s="26" t="str">
        <f>Table1[[#This Row],[Resource]]</f>
        <v/>
      </c>
      <c r="P100" s="26" t="str">
        <f>IF(_xlfn.XLOOKUP($O100,'SI - End Use'!$B$2:$B$49,'SI - End Use'!$C$2:$C$49, "")="", "", _xlfn.XLOOKUP($C100,'SI - End Use'!$B$2:$B$49,'SI - End Use'!$C$2:$C$49,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Units'!$B$24:$B$70,'SI - Units'!$C$24:$C$70),'SI - Units'!$A$2:$A$8,'SI - Units'!$B$2:$R$8)</xm:f>
          </x14:formula1>
          <xm:sqref>F4</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CE4F3BE5-4A30-4B88-911F-8304175FD33C}">
          <x14:formula1>
            <xm:f>IF($B5="Transportation",  'SI - Units'!$B$9:$E$9, _xlfn.XLOOKUP(_xlfn.XLOOKUP($C5,'SI - Units'!$B$24:$B$70,'SI - Units'!$C$24:$C$70),'SI - Units'!$A$2:$A$8,'SI - Units'!$B$2:$R$8))</xm:f>
          </x14:formula1>
          <xm:sqref>F5:F100</xm:sqref>
        </x14:dataValidation>
        <x14:dataValidation type="list" allowBlank="1" showInputMessage="1" xr:uid="{E72F2434-6FC6-48BC-A1D3-F7F1254C28A5}">
          <x14:formula1>
            <xm:f>_xlfn.XLOOKUP($C5,'SI - End Use'!$B$2:$B$49,'SI - End Use'!$C$2:$N$49)</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_xlfn.XLOOKUP($O5,'SI - End Use'!$B$2:$B$49,'SI - End Use'!$C$2:$N$49)</xm:f>
          </x14:formula1>
          <xm:sqref>P5:P100</xm:sqref>
        </x14:dataValidation>
        <x14:dataValidation type="list" allowBlank="1" showInputMessage="1" showErrorMessage="1" xr:uid="{05496563-CC83-4996-B1CE-3FED2D55798A}">
          <x14:formula1>
            <xm:f>IF($B5="Transportation",  'SI - Units'!$B$20:$E$20, _xlfn.XLOOKUP(_xlfn.XLOOKUP($C5,'SI - Units'!$B$24:$B$70,'SI - Units'!$C$24:$C$70),'SI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3"/>
  <sheetViews>
    <sheetView topLeftCell="A4" workbookViewId="0">
      <selection activeCell="B15" sqref="B15"/>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3"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54</v>
      </c>
      <c r="B33"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7"/>
  <sheetViews>
    <sheetView tabSelected="1" workbookViewId="0">
      <selection activeCell="E30" sqref="E30"/>
    </sheetView>
  </sheetViews>
  <sheetFormatPr defaultRowHeight="14.5" x14ac:dyDescent="0.35"/>
  <cols>
    <col min="1" max="2" width="9.81640625" customWidth="1"/>
    <col min="3" max="3" width="10.54296875" bestFit="1" customWidth="1"/>
    <col min="4" max="4" width="10.54296875" customWidth="1"/>
    <col min="5" max="5" width="22.54296875" customWidth="1"/>
    <col min="8" max="8" width="15.81640625" bestFit="1" customWidth="1"/>
  </cols>
  <sheetData>
    <row r="1" spans="1:8" x14ac:dyDescent="0.35">
      <c r="A1" s="4" t="s">
        <v>40</v>
      </c>
      <c r="B1" s="4" t="s">
        <v>256</v>
      </c>
      <c r="C1" s="4" t="s">
        <v>2</v>
      </c>
      <c r="D1" s="4" t="s">
        <v>4</v>
      </c>
      <c r="E1" s="4" t="s">
        <v>39</v>
      </c>
      <c r="F1" s="4" t="s">
        <v>30</v>
      </c>
      <c r="G1" s="4" t="s">
        <v>35</v>
      </c>
      <c r="H1" s="4" t="s">
        <v>243</v>
      </c>
    </row>
    <row r="2" spans="1:8" x14ac:dyDescent="0.35">
      <c r="A2" s="2" t="s">
        <v>34</v>
      </c>
      <c r="B2" s="2" t="s">
        <v>257</v>
      </c>
      <c r="C2" s="2" t="s">
        <v>3</v>
      </c>
      <c r="D2" s="2" t="s">
        <v>4</v>
      </c>
      <c r="E2" s="2" t="s">
        <v>14</v>
      </c>
      <c r="F2" t="s">
        <v>30</v>
      </c>
      <c r="G2" t="s">
        <v>34</v>
      </c>
      <c r="H2" t="s">
        <v>244</v>
      </c>
    </row>
    <row r="3" spans="1:8" x14ac:dyDescent="0.35">
      <c r="C3" s="3" t="s">
        <v>25</v>
      </c>
      <c r="E3" s="3" t="s">
        <v>15</v>
      </c>
      <c r="H3" t="s">
        <v>245</v>
      </c>
    </row>
    <row r="4" spans="1:8" x14ac:dyDescent="0.35">
      <c r="C4" s="3" t="s">
        <v>23</v>
      </c>
      <c r="D4" s="3"/>
      <c r="E4" s="3" t="s">
        <v>16</v>
      </c>
      <c r="H4" t="s">
        <v>246</v>
      </c>
    </row>
    <row r="5" spans="1:8" x14ac:dyDescent="0.35">
      <c r="C5" t="s">
        <v>77</v>
      </c>
      <c r="D5" s="3"/>
      <c r="E5" s="3" t="s">
        <v>17</v>
      </c>
      <c r="H5" t="s">
        <v>247</v>
      </c>
    </row>
    <row r="6" spans="1:8" x14ac:dyDescent="0.35">
      <c r="E6" s="3" t="s">
        <v>18</v>
      </c>
      <c r="H6" t="s">
        <v>248</v>
      </c>
    </row>
    <row r="7" spans="1:8" x14ac:dyDescent="0.35">
      <c r="E7" s="3" t="s">
        <v>19</v>
      </c>
      <c r="H7" t="s">
        <v>249</v>
      </c>
    </row>
    <row r="8" spans="1:8" x14ac:dyDescent="0.35">
      <c r="E8" s="3" t="s">
        <v>20</v>
      </c>
      <c r="H8" t="s">
        <v>250</v>
      </c>
    </row>
    <row r="9" spans="1:8" x14ac:dyDescent="0.35">
      <c r="E9" s="3" t="s">
        <v>114</v>
      </c>
      <c r="H9" t="s">
        <v>251</v>
      </c>
    </row>
    <row r="10" spans="1:8" x14ac:dyDescent="0.35">
      <c r="E10" s="3" t="s">
        <v>113</v>
      </c>
      <c r="H10" t="s">
        <v>252</v>
      </c>
    </row>
    <row r="11" spans="1:8" x14ac:dyDescent="0.35">
      <c r="E11" s="3" t="s">
        <v>22</v>
      </c>
      <c r="H11" t="s">
        <v>253</v>
      </c>
    </row>
    <row r="12" spans="1:8" x14ac:dyDescent="0.35">
      <c r="E12" s="3" t="s">
        <v>38</v>
      </c>
      <c r="H12" t="s">
        <v>254</v>
      </c>
    </row>
    <row r="13" spans="1:8" x14ac:dyDescent="0.35">
      <c r="E13" s="3" t="s">
        <v>24</v>
      </c>
      <c r="H13" t="s">
        <v>255</v>
      </c>
    </row>
    <row r="14" spans="1:8" x14ac:dyDescent="0.35">
      <c r="E14" s="3" t="s">
        <v>26</v>
      </c>
    </row>
    <row r="15" spans="1:8" x14ac:dyDescent="0.35">
      <c r="E15" s="1" t="s">
        <v>27</v>
      </c>
    </row>
    <row r="16" spans="1:8" x14ac:dyDescent="0.35">
      <c r="E16" s="1" t="s">
        <v>31</v>
      </c>
    </row>
    <row r="17" spans="5:5" x14ac:dyDescent="0.35">
      <c r="E17" s="14" t="s">
        <v>22</v>
      </c>
    </row>
    <row r="18" spans="5:5" x14ac:dyDescent="0.35">
      <c r="E18" s="14" t="s">
        <v>21</v>
      </c>
    </row>
    <row r="19" spans="5:5" x14ac:dyDescent="0.35">
      <c r="E19" s="14" t="s">
        <v>38</v>
      </c>
    </row>
    <row r="20" spans="5:5" x14ac:dyDescent="0.35">
      <c r="E20" s="14" t="s">
        <v>26</v>
      </c>
    </row>
    <row r="21" spans="5:5" x14ac:dyDescent="0.35">
      <c r="E21" s="14" t="s">
        <v>54</v>
      </c>
    </row>
    <row r="22" spans="5:5" x14ac:dyDescent="0.35">
      <c r="E22" s="1" t="s">
        <v>259</v>
      </c>
    </row>
    <row r="23" spans="5:5" x14ac:dyDescent="0.35">
      <c r="E23" s="14" t="s">
        <v>260</v>
      </c>
    </row>
    <row r="24" spans="5:5" x14ac:dyDescent="0.35">
      <c r="E24" s="14" t="s">
        <v>261</v>
      </c>
    </row>
    <row r="25" spans="5:5" x14ac:dyDescent="0.35">
      <c r="E25" s="14" t="s">
        <v>262</v>
      </c>
    </row>
    <row r="26" spans="5:5" x14ac:dyDescent="0.35">
      <c r="E26" s="14" t="s">
        <v>263</v>
      </c>
    </row>
    <row r="27" spans="5:5" x14ac:dyDescent="0.35">
      <c r="E27" s="14" t="s">
        <v>264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49"/>
  <sheetViews>
    <sheetView topLeftCell="A19" workbookViewId="0">
      <selection activeCell="B35" sqref="B30:B35"/>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t="s">
        <v>258</v>
      </c>
      <c r="M4" s="7"/>
      <c r="N4" s="7"/>
    </row>
    <row r="5" spans="1:14" x14ac:dyDescent="0.35">
      <c r="B5" s="7" t="s">
        <v>23</v>
      </c>
      <c r="C5" s="9"/>
      <c r="D5" s="9"/>
      <c r="E5" s="9"/>
      <c r="F5" s="9"/>
      <c r="G5" s="9"/>
      <c r="H5" s="9"/>
      <c r="I5" s="9"/>
      <c r="J5" s="9"/>
      <c r="K5" s="9"/>
      <c r="L5" s="7"/>
      <c r="M5" s="7"/>
      <c r="N5" s="7"/>
    </row>
    <row r="6" spans="1:14" x14ac:dyDescent="0.35">
      <c r="B6" s="7" t="s">
        <v>77</v>
      </c>
      <c r="C6" s="9" t="s">
        <v>89</v>
      </c>
      <c r="D6" s="9"/>
      <c r="E6" s="9"/>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2:3" x14ac:dyDescent="0.35">
      <c r="B17" s="7" t="s">
        <v>20</v>
      </c>
    </row>
    <row r="18" spans="2:3" x14ac:dyDescent="0.35">
      <c r="B18" s="7" t="s">
        <v>21</v>
      </c>
    </row>
    <row r="19" spans="2:3" x14ac:dyDescent="0.35">
      <c r="B19" s="7" t="s">
        <v>22</v>
      </c>
    </row>
    <row r="20" spans="2:3" x14ac:dyDescent="0.35">
      <c r="B20" s="7" t="s">
        <v>113</v>
      </c>
    </row>
    <row r="21" spans="2:3" x14ac:dyDescent="0.35">
      <c r="B21" s="7" t="s">
        <v>38</v>
      </c>
    </row>
    <row r="22" spans="2:3" x14ac:dyDescent="0.35">
      <c r="B22" s="7" t="s">
        <v>24</v>
      </c>
    </row>
    <row r="23" spans="2:3" x14ac:dyDescent="0.35">
      <c r="B23" s="7" t="s">
        <v>26</v>
      </c>
    </row>
    <row r="24" spans="2:3" x14ac:dyDescent="0.35">
      <c r="B24" s="7" t="s">
        <v>31</v>
      </c>
    </row>
    <row r="25" spans="2:3" x14ac:dyDescent="0.35">
      <c r="B25" t="s">
        <v>22</v>
      </c>
    </row>
    <row r="26" spans="2:3" x14ac:dyDescent="0.35">
      <c r="B26" t="s">
        <v>21</v>
      </c>
    </row>
    <row r="27" spans="2:3" x14ac:dyDescent="0.35">
      <c r="B27" t="s">
        <v>38</v>
      </c>
    </row>
    <row r="28" spans="2:3" x14ac:dyDescent="0.35">
      <c r="B28" t="s">
        <v>26</v>
      </c>
    </row>
    <row r="29" spans="2:3" x14ac:dyDescent="0.35">
      <c r="B29" s="2" t="s">
        <v>54</v>
      </c>
      <c r="C29" t="s">
        <v>56</v>
      </c>
    </row>
    <row r="30" spans="2:3" x14ac:dyDescent="0.35">
      <c r="B30" t="s">
        <v>259</v>
      </c>
    </row>
    <row r="31" spans="2:3" x14ac:dyDescent="0.35">
      <c r="B31" t="s">
        <v>260</v>
      </c>
    </row>
    <row r="32" spans="2:3" x14ac:dyDescent="0.35">
      <c r="B32" s="71" t="s">
        <v>261</v>
      </c>
    </row>
    <row r="33" spans="1:2" x14ac:dyDescent="0.35">
      <c r="B33" s="71" t="s">
        <v>262</v>
      </c>
    </row>
    <row r="34" spans="1:2" x14ac:dyDescent="0.35">
      <c r="B34" s="71" t="s">
        <v>263</v>
      </c>
    </row>
    <row r="35" spans="1:2" x14ac:dyDescent="0.35">
      <c r="B35" s="71" t="s">
        <v>264</v>
      </c>
    </row>
    <row r="36" spans="1:2" x14ac:dyDescent="0.35">
      <c r="A36" s="4" t="s">
        <v>256</v>
      </c>
      <c r="B36" s="2" t="s">
        <v>257</v>
      </c>
    </row>
    <row r="37" spans="1:2" x14ac:dyDescent="0.35">
      <c r="A37" s="4" t="s">
        <v>243</v>
      </c>
      <c r="B37" t="s">
        <v>244</v>
      </c>
    </row>
    <row r="38" spans="1:2" x14ac:dyDescent="0.35">
      <c r="B38" t="s">
        <v>245</v>
      </c>
    </row>
    <row r="39" spans="1:2" x14ac:dyDescent="0.35">
      <c r="B39" t="s">
        <v>246</v>
      </c>
    </row>
    <row r="40" spans="1:2" x14ac:dyDescent="0.35">
      <c r="B40" t="s">
        <v>247</v>
      </c>
    </row>
    <row r="41" spans="1:2" x14ac:dyDescent="0.35">
      <c r="B41" t="s">
        <v>248</v>
      </c>
    </row>
    <row r="42" spans="1:2" x14ac:dyDescent="0.35">
      <c r="B42" t="s">
        <v>249</v>
      </c>
    </row>
    <row r="43" spans="1:2" x14ac:dyDescent="0.35">
      <c r="B43" t="s">
        <v>250</v>
      </c>
    </row>
    <row r="44" spans="1:2" x14ac:dyDescent="0.35">
      <c r="B44" t="s">
        <v>251</v>
      </c>
    </row>
    <row r="45" spans="1:2" x14ac:dyDescent="0.35">
      <c r="B45" t="s">
        <v>252</v>
      </c>
    </row>
    <row r="46" spans="1:2" x14ac:dyDescent="0.35">
      <c r="B46" t="s">
        <v>253</v>
      </c>
    </row>
    <row r="47" spans="1:2" x14ac:dyDescent="0.35">
      <c r="B47" t="s">
        <v>254</v>
      </c>
    </row>
    <row r="48" spans="1:2" x14ac:dyDescent="0.35">
      <c r="B48" t="s">
        <v>255</v>
      </c>
    </row>
    <row r="49" spans="1:2" x14ac:dyDescent="0.35">
      <c r="A49" s="4" t="s">
        <v>30</v>
      </c>
      <c r="B49"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0"/>
  <sheetViews>
    <sheetView topLeftCell="A34" workbookViewId="0">
      <selection activeCell="C52" sqref="C52:C57"/>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4" t="s">
        <v>256</v>
      </c>
      <c r="B25" t="s">
        <v>257</v>
      </c>
      <c r="C25" s="5" t="s">
        <v>61</v>
      </c>
      <c r="G25" s="19"/>
      <c r="H25" s="19"/>
      <c r="I25" s="19"/>
      <c r="J25" s="19"/>
    </row>
    <row r="26" spans="1:23" x14ac:dyDescent="0.35">
      <c r="A26" s="17" t="s">
        <v>2</v>
      </c>
      <c r="B26" s="18" t="s">
        <v>3</v>
      </c>
      <c r="C26" s="18" t="s">
        <v>57</v>
      </c>
    </row>
    <row r="27" spans="1:23" x14ac:dyDescent="0.35">
      <c r="A27" s="17"/>
      <c r="B27" s="18" t="s">
        <v>4</v>
      </c>
      <c r="C27" s="18" t="s">
        <v>4</v>
      </c>
    </row>
    <row r="28" spans="1:23" x14ac:dyDescent="0.35">
      <c r="A28" s="17"/>
      <c r="B28" s="20" t="s">
        <v>25</v>
      </c>
      <c r="C28" s="18" t="s">
        <v>57</v>
      </c>
      <c r="H28" s="5"/>
      <c r="I28" s="5"/>
      <c r="J28" s="5"/>
      <c r="K28" s="5"/>
      <c r="L28" s="5"/>
    </row>
    <row r="29" spans="1:23" x14ac:dyDescent="0.35">
      <c r="A29" s="17"/>
      <c r="B29" s="20" t="s">
        <v>23</v>
      </c>
      <c r="C29" s="18" t="s">
        <v>57</v>
      </c>
      <c r="H29" s="5"/>
      <c r="I29" s="5"/>
      <c r="J29" s="5"/>
      <c r="K29" s="5"/>
      <c r="L29" s="5"/>
    </row>
    <row r="30" spans="1:23" x14ac:dyDescent="0.35">
      <c r="A30" s="17"/>
      <c r="B30" s="20" t="s">
        <v>77</v>
      </c>
      <c r="C30" s="18" t="s">
        <v>57</v>
      </c>
    </row>
    <row r="31" spans="1:23" x14ac:dyDescent="0.35">
      <c r="A31" s="17"/>
      <c r="B31" s="20" t="s">
        <v>93</v>
      </c>
      <c r="C31" s="18" t="s">
        <v>57</v>
      </c>
    </row>
    <row r="32" spans="1:23" x14ac:dyDescent="0.35">
      <c r="A32" s="17" t="s">
        <v>39</v>
      </c>
      <c r="B32" s="18" t="s">
        <v>14</v>
      </c>
      <c r="C32" s="18" t="s">
        <v>61</v>
      </c>
    </row>
    <row r="33" spans="1:3" x14ac:dyDescent="0.35">
      <c r="A33" s="17"/>
      <c r="B33" s="20" t="s">
        <v>15</v>
      </c>
      <c r="C33" s="18" t="s">
        <v>61</v>
      </c>
    </row>
    <row r="34" spans="1:3" x14ac:dyDescent="0.35">
      <c r="A34" s="17"/>
      <c r="B34" s="20" t="s">
        <v>16</v>
      </c>
      <c r="C34" s="18" t="s">
        <v>61</v>
      </c>
    </row>
    <row r="35" spans="1:3" x14ac:dyDescent="0.35">
      <c r="A35" s="17"/>
      <c r="B35" s="20" t="s">
        <v>17</v>
      </c>
      <c r="C35" s="18" t="s">
        <v>61</v>
      </c>
    </row>
    <row r="36" spans="1:3" x14ac:dyDescent="0.35">
      <c r="A36" s="17"/>
      <c r="B36" s="20" t="s">
        <v>18</v>
      </c>
      <c r="C36" s="18" t="s">
        <v>61</v>
      </c>
    </row>
    <row r="37" spans="1:3" x14ac:dyDescent="0.35">
      <c r="A37" s="17"/>
      <c r="B37" s="20" t="s">
        <v>19</v>
      </c>
      <c r="C37" s="18" t="s">
        <v>61</v>
      </c>
    </row>
    <row r="38" spans="1:3" x14ac:dyDescent="0.35">
      <c r="A38" s="17"/>
      <c r="B38" s="20" t="s">
        <v>20</v>
      </c>
      <c r="C38" s="18" t="s">
        <v>61</v>
      </c>
    </row>
    <row r="39" spans="1:3" x14ac:dyDescent="0.35">
      <c r="A39" s="17"/>
      <c r="B39" s="20" t="s">
        <v>21</v>
      </c>
      <c r="C39" s="18" t="s">
        <v>61</v>
      </c>
    </row>
    <row r="40" spans="1:3" x14ac:dyDescent="0.35">
      <c r="A40" s="17"/>
      <c r="B40" s="20" t="s">
        <v>22</v>
      </c>
      <c r="C40" s="18" t="s">
        <v>61</v>
      </c>
    </row>
    <row r="41" spans="1:3" x14ac:dyDescent="0.35">
      <c r="A41" s="17"/>
      <c r="B41" s="20" t="s">
        <v>113</v>
      </c>
      <c r="C41" s="18" t="s">
        <v>61</v>
      </c>
    </row>
    <row r="42" spans="1:3" x14ac:dyDescent="0.35">
      <c r="A42" s="17"/>
      <c r="B42" s="20" t="s">
        <v>38</v>
      </c>
      <c r="C42" s="18" t="s">
        <v>61</v>
      </c>
    </row>
    <row r="43" spans="1:3" x14ac:dyDescent="0.35">
      <c r="A43" s="17"/>
      <c r="B43" s="20" t="s">
        <v>24</v>
      </c>
      <c r="C43" s="18" t="s">
        <v>61</v>
      </c>
    </row>
    <row r="44" spans="1:3" x14ac:dyDescent="0.35">
      <c r="A44" s="17"/>
      <c r="B44" s="20" t="s">
        <v>26</v>
      </c>
      <c r="C44" s="18" t="s">
        <v>61</v>
      </c>
    </row>
    <row r="45" spans="1:3" x14ac:dyDescent="0.35">
      <c r="A45" s="17"/>
      <c r="B45" s="18" t="s">
        <v>27</v>
      </c>
      <c r="C45" s="18" t="s">
        <v>61</v>
      </c>
    </row>
    <row r="46" spans="1:3" x14ac:dyDescent="0.35">
      <c r="A46" s="17"/>
      <c r="B46" s="18" t="s">
        <v>31</v>
      </c>
      <c r="C46" s="18" t="s">
        <v>61</v>
      </c>
    </row>
    <row r="47" spans="1:3" x14ac:dyDescent="0.35">
      <c r="A47" s="18"/>
      <c r="B47" s="18" t="s">
        <v>22</v>
      </c>
      <c r="C47" s="18" t="s">
        <v>61</v>
      </c>
    </row>
    <row r="48" spans="1:3" x14ac:dyDescent="0.35">
      <c r="A48" s="18"/>
      <c r="B48" s="18" t="s">
        <v>21</v>
      </c>
      <c r="C48" s="18" t="s">
        <v>61</v>
      </c>
    </row>
    <row r="49" spans="1:3" x14ac:dyDescent="0.35">
      <c r="A49" s="18"/>
      <c r="B49" s="18" t="s">
        <v>38</v>
      </c>
      <c r="C49" s="18" t="s">
        <v>61</v>
      </c>
    </row>
    <row r="50" spans="1:3" x14ac:dyDescent="0.35">
      <c r="A50" s="18"/>
      <c r="B50" s="18" t="s">
        <v>26</v>
      </c>
      <c r="C50" s="18" t="s">
        <v>61</v>
      </c>
    </row>
    <row r="51" spans="1:3" x14ac:dyDescent="0.35">
      <c r="A51" s="18"/>
      <c r="B51" s="18" t="s">
        <v>54</v>
      </c>
      <c r="C51" s="18" t="s">
        <v>61</v>
      </c>
    </row>
    <row r="52" spans="1:3" x14ac:dyDescent="0.35">
      <c r="A52" s="18"/>
      <c r="B52" s="18" t="s">
        <v>259</v>
      </c>
      <c r="C52" s="18" t="s">
        <v>61</v>
      </c>
    </row>
    <row r="53" spans="1:3" x14ac:dyDescent="0.35">
      <c r="A53" s="18"/>
      <c r="B53" s="18" t="s">
        <v>260</v>
      </c>
      <c r="C53" s="18" t="s">
        <v>61</v>
      </c>
    </row>
    <row r="54" spans="1:3" x14ac:dyDescent="0.35">
      <c r="A54" s="18"/>
      <c r="B54" s="18" t="s">
        <v>261</v>
      </c>
      <c r="C54" s="18" t="s">
        <v>61</v>
      </c>
    </row>
    <row r="55" spans="1:3" x14ac:dyDescent="0.35">
      <c r="A55" s="18"/>
      <c r="B55" s="18" t="s">
        <v>262</v>
      </c>
      <c r="C55" s="18" t="s">
        <v>61</v>
      </c>
    </row>
    <row r="56" spans="1:3" x14ac:dyDescent="0.35">
      <c r="A56" s="18"/>
      <c r="B56" s="18" t="s">
        <v>263</v>
      </c>
      <c r="C56" s="18" t="s">
        <v>61</v>
      </c>
    </row>
    <row r="57" spans="1:3" x14ac:dyDescent="0.35">
      <c r="A57" s="18"/>
      <c r="B57" s="18" t="s">
        <v>264</v>
      </c>
      <c r="C57" s="18" t="s">
        <v>61</v>
      </c>
    </row>
    <row r="58" spans="1:3" x14ac:dyDescent="0.35">
      <c r="A58" s="17" t="s">
        <v>243</v>
      </c>
      <c r="B58" t="s">
        <v>244</v>
      </c>
      <c r="C58" s="18" t="s">
        <v>61</v>
      </c>
    </row>
    <row r="59" spans="1:3" x14ac:dyDescent="0.35">
      <c r="A59" s="18"/>
      <c r="B59" t="s">
        <v>245</v>
      </c>
      <c r="C59" s="18" t="s">
        <v>61</v>
      </c>
    </row>
    <row r="60" spans="1:3" x14ac:dyDescent="0.35">
      <c r="A60" s="18"/>
      <c r="B60" t="s">
        <v>246</v>
      </c>
      <c r="C60" s="18" t="s">
        <v>61</v>
      </c>
    </row>
    <row r="61" spans="1:3" x14ac:dyDescent="0.35">
      <c r="A61" s="18"/>
      <c r="B61" t="s">
        <v>247</v>
      </c>
      <c r="C61" s="18" t="s">
        <v>61</v>
      </c>
    </row>
    <row r="62" spans="1:3" x14ac:dyDescent="0.35">
      <c r="A62" s="18"/>
      <c r="B62" t="s">
        <v>248</v>
      </c>
      <c r="C62" s="18" t="s">
        <v>61</v>
      </c>
    </row>
    <row r="63" spans="1:3" x14ac:dyDescent="0.35">
      <c r="A63" s="18"/>
      <c r="B63" t="s">
        <v>249</v>
      </c>
      <c r="C63" s="18" t="s">
        <v>61</v>
      </c>
    </row>
    <row r="64" spans="1:3" x14ac:dyDescent="0.35">
      <c r="A64" s="18"/>
      <c r="B64" t="s">
        <v>250</v>
      </c>
      <c r="C64" s="18" t="s">
        <v>61</v>
      </c>
    </row>
    <row r="65" spans="1:3" x14ac:dyDescent="0.35">
      <c r="A65" s="18"/>
      <c r="B65" t="s">
        <v>251</v>
      </c>
      <c r="C65" s="18" t="s">
        <v>61</v>
      </c>
    </row>
    <row r="66" spans="1:3" x14ac:dyDescent="0.35">
      <c r="A66" s="18"/>
      <c r="B66" t="s">
        <v>252</v>
      </c>
      <c r="C66" s="18" t="s">
        <v>61</v>
      </c>
    </row>
    <row r="67" spans="1:3" x14ac:dyDescent="0.35">
      <c r="A67" s="18"/>
      <c r="B67" t="s">
        <v>253</v>
      </c>
      <c r="C67" s="18" t="s">
        <v>61</v>
      </c>
    </row>
    <row r="68" spans="1:3" x14ac:dyDescent="0.35">
      <c r="A68" s="18"/>
      <c r="B68" t="s">
        <v>254</v>
      </c>
      <c r="C68" s="18" t="s">
        <v>61</v>
      </c>
    </row>
    <row r="69" spans="1:3" x14ac:dyDescent="0.35">
      <c r="A69" s="18"/>
      <c r="B69" t="s">
        <v>255</v>
      </c>
      <c r="C69" s="18" t="s">
        <v>61</v>
      </c>
    </row>
    <row r="70" spans="1:3" x14ac:dyDescent="0.35">
      <c r="A70" s="17" t="s">
        <v>30</v>
      </c>
      <c r="B70" s="18" t="s">
        <v>30</v>
      </c>
      <c r="C70" s="18" t="s">
        <v>58</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D6" t="s">
        <v>152</v>
      </c>
    </row>
    <row r="7" spans="1:4" x14ac:dyDescent="0.35">
      <c r="D7" t="s">
        <v>153</v>
      </c>
    </row>
    <row r="8" spans="1:4" x14ac:dyDescent="0.35">
      <c r="D8"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SI - Payload</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2022-06-08T21:33:26Z</dcterms:modified>
</cp:coreProperties>
</file>