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1185FCB4-4BB3-4966-9480-B9978FC41C95}" xr6:coauthVersionLast="47" xr6:coauthVersionMax="47" xr10:uidLastSave="{00000000-0000-0000-0000-000000000000}"/>
  <bookViews>
    <workbookView xWindow="-110" yWindow="-110" windowWidth="22780" windowHeight="14660" tabRatio="744"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 i="25" l="1"/>
  <c r="D15" i="25"/>
  <c r="I15" i="25"/>
  <c r="K15" i="25"/>
  <c r="L15" i="25"/>
  <c r="O14" i="25"/>
  <c r="L14" i="25"/>
  <c r="K14" i="25"/>
  <c r="L100" i="26"/>
  <c r="K100" i="26"/>
  <c r="I100" i="26"/>
  <c r="C100" i="26"/>
  <c r="O100" i="26" s="1"/>
  <c r="P100" i="26" s="1"/>
  <c r="L99" i="26"/>
  <c r="K99" i="26"/>
  <c r="I99" i="26"/>
  <c r="C99" i="26"/>
  <c r="F99" i="26" s="1" a="1"/>
  <c r="F99" i="26" s="1"/>
  <c r="L98" i="26"/>
  <c r="K98" i="26"/>
  <c r="I98" i="26"/>
  <c r="F98" i="26" a="1"/>
  <c r="F98" i="26" s="1"/>
  <c r="C98" i="26"/>
  <c r="D98" i="26" s="1"/>
  <c r="L97" i="26"/>
  <c r="K97" i="26"/>
  <c r="I97" i="26"/>
  <c r="C97" i="26"/>
  <c r="O97" i="26" s="1"/>
  <c r="P97" i="26" s="1"/>
  <c r="L96" i="26"/>
  <c r="K96" i="26"/>
  <c r="I96" i="26"/>
  <c r="C96" i="26"/>
  <c r="O96" i="26" s="1"/>
  <c r="P96" i="26" s="1"/>
  <c r="L95" i="26"/>
  <c r="K95" i="26"/>
  <c r="I95" i="26"/>
  <c r="C95" i="26"/>
  <c r="F95" i="26" s="1" a="1"/>
  <c r="F95" i="26" s="1"/>
  <c r="L94" i="26"/>
  <c r="K94" i="26"/>
  <c r="I94" i="26"/>
  <c r="F94" i="26" a="1"/>
  <c r="F94" i="26" s="1"/>
  <c r="C94" i="26"/>
  <c r="D94" i="26" s="1"/>
  <c r="L93" i="26"/>
  <c r="K93" i="26"/>
  <c r="I93" i="26"/>
  <c r="C93" i="26"/>
  <c r="O93" i="26" s="1"/>
  <c r="P93" i="26" s="1"/>
  <c r="L92" i="26"/>
  <c r="K92" i="26"/>
  <c r="I92" i="26"/>
  <c r="C92" i="26"/>
  <c r="O92" i="26" s="1"/>
  <c r="P92" i="26" s="1"/>
  <c r="L91" i="26"/>
  <c r="K91" i="26"/>
  <c r="I91" i="26"/>
  <c r="C91" i="26"/>
  <c r="F91" i="26" s="1" a="1"/>
  <c r="F91" i="26" s="1"/>
  <c r="L90" i="26"/>
  <c r="K90" i="26"/>
  <c r="I90" i="26"/>
  <c r="F90" i="26" a="1"/>
  <c r="F90" i="26" s="1"/>
  <c r="C90" i="26"/>
  <c r="D90" i="26" s="1"/>
  <c r="L89" i="26"/>
  <c r="K89" i="26"/>
  <c r="I89" i="26"/>
  <c r="C89" i="26"/>
  <c r="O89" i="26" s="1"/>
  <c r="P89" i="26" s="1"/>
  <c r="L88" i="26"/>
  <c r="K88" i="26"/>
  <c r="I88" i="26"/>
  <c r="C88" i="26"/>
  <c r="O88" i="26" s="1"/>
  <c r="P88" i="26" s="1"/>
  <c r="L87" i="26"/>
  <c r="K87" i="26"/>
  <c r="I87" i="26"/>
  <c r="C87" i="26"/>
  <c r="F87" i="26" s="1" a="1"/>
  <c r="F87" i="26" s="1"/>
  <c r="L86" i="26"/>
  <c r="K86" i="26"/>
  <c r="I86" i="26"/>
  <c r="C86" i="26"/>
  <c r="D86" i="26" s="1"/>
  <c r="L85" i="26"/>
  <c r="K85" i="26"/>
  <c r="I85" i="26"/>
  <c r="C85" i="26"/>
  <c r="O85" i="26" s="1"/>
  <c r="P85" i="26" s="1"/>
  <c r="L84" i="26"/>
  <c r="K84" i="26"/>
  <c r="I84" i="26"/>
  <c r="C84" i="26"/>
  <c r="O84" i="26" s="1"/>
  <c r="P84" i="26" s="1"/>
  <c r="L83" i="26"/>
  <c r="K83" i="26"/>
  <c r="I83" i="26"/>
  <c r="C83" i="26"/>
  <c r="F83" i="26" s="1" a="1"/>
  <c r="F83" i="26" s="1"/>
  <c r="L82" i="26"/>
  <c r="K82" i="26"/>
  <c r="I82" i="26"/>
  <c r="F82" i="26" a="1"/>
  <c r="F82" i="26" s="1"/>
  <c r="C82" i="26"/>
  <c r="D82" i="26" s="1"/>
  <c r="L81" i="26"/>
  <c r="K81" i="26"/>
  <c r="I81" i="26"/>
  <c r="C81" i="26"/>
  <c r="O81" i="26" s="1"/>
  <c r="P81" i="26" s="1"/>
  <c r="L80" i="26"/>
  <c r="K80" i="26"/>
  <c r="I80" i="26"/>
  <c r="C80" i="26"/>
  <c r="O80" i="26" s="1"/>
  <c r="P80" i="26" s="1"/>
  <c r="L79" i="26"/>
  <c r="K79" i="26"/>
  <c r="I79" i="26"/>
  <c r="C79" i="26"/>
  <c r="F79" i="26" s="1" a="1"/>
  <c r="F79" i="26" s="1"/>
  <c r="L78" i="26"/>
  <c r="K78" i="26"/>
  <c r="I78" i="26"/>
  <c r="F78" i="26" a="1"/>
  <c r="F78" i="26" s="1"/>
  <c r="C78" i="26"/>
  <c r="D78" i="26" s="1"/>
  <c r="L77" i="26"/>
  <c r="K77" i="26"/>
  <c r="I77" i="26"/>
  <c r="C77" i="26"/>
  <c r="O77" i="26" s="1"/>
  <c r="P77" i="26" s="1"/>
  <c r="L76" i="26"/>
  <c r="K76" i="26"/>
  <c r="I76" i="26"/>
  <c r="C76" i="26"/>
  <c r="O76" i="26" s="1"/>
  <c r="P76" i="26" s="1"/>
  <c r="L75" i="26"/>
  <c r="K75" i="26"/>
  <c r="I75" i="26"/>
  <c r="C75" i="26"/>
  <c r="F75" i="26" s="1" a="1"/>
  <c r="F75" i="26" s="1"/>
  <c r="L74" i="26"/>
  <c r="K74" i="26"/>
  <c r="I74" i="26"/>
  <c r="F74" i="26" a="1"/>
  <c r="F74" i="26" s="1"/>
  <c r="C74" i="26"/>
  <c r="D74" i="26" s="1"/>
  <c r="L73" i="26"/>
  <c r="K73" i="26"/>
  <c r="I73" i="26"/>
  <c r="C73" i="26"/>
  <c r="O73" i="26" s="1"/>
  <c r="P73" i="26" s="1"/>
  <c r="L72" i="26"/>
  <c r="K72" i="26"/>
  <c r="I72" i="26"/>
  <c r="C72" i="26"/>
  <c r="O72" i="26" s="1"/>
  <c r="P72" i="26" s="1"/>
  <c r="L71" i="26"/>
  <c r="K71" i="26"/>
  <c r="I71" i="26"/>
  <c r="C71" i="26"/>
  <c r="F71" i="26" s="1" a="1"/>
  <c r="F71" i="26" s="1"/>
  <c r="L70" i="26"/>
  <c r="K70" i="26"/>
  <c r="I70" i="26"/>
  <c r="C70" i="26"/>
  <c r="D70" i="26" s="1"/>
  <c r="L69" i="26"/>
  <c r="K69" i="26"/>
  <c r="I69" i="26"/>
  <c r="C69" i="26"/>
  <c r="O69" i="26" s="1"/>
  <c r="P69" i="26" s="1"/>
  <c r="L68" i="26"/>
  <c r="K68" i="26"/>
  <c r="I68" i="26"/>
  <c r="C68" i="26"/>
  <c r="O68" i="26" s="1"/>
  <c r="P68" i="26" s="1"/>
  <c r="L67" i="26"/>
  <c r="K67" i="26"/>
  <c r="I67" i="26"/>
  <c r="C67" i="26"/>
  <c r="F67" i="26" s="1" a="1"/>
  <c r="F67" i="26" s="1"/>
  <c r="L66" i="26"/>
  <c r="K66" i="26"/>
  <c r="I66" i="26"/>
  <c r="F66" i="26" a="1"/>
  <c r="F66" i="26" s="1"/>
  <c r="C66" i="26"/>
  <c r="D66" i="26" s="1"/>
  <c r="L65" i="26"/>
  <c r="K65" i="26"/>
  <c r="I65" i="26"/>
  <c r="C65" i="26"/>
  <c r="O65" i="26" s="1"/>
  <c r="P65" i="26" s="1"/>
  <c r="L64" i="26"/>
  <c r="K64" i="26"/>
  <c r="I64" i="26"/>
  <c r="C64" i="26"/>
  <c r="O64" i="26" s="1"/>
  <c r="P64" i="26" s="1"/>
  <c r="L63" i="26"/>
  <c r="K63" i="26"/>
  <c r="I63" i="26"/>
  <c r="C63" i="26"/>
  <c r="F63" i="26" s="1" a="1"/>
  <c r="F63" i="26" s="1"/>
  <c r="L62" i="26"/>
  <c r="K62" i="26"/>
  <c r="I62" i="26"/>
  <c r="F62" i="26" a="1"/>
  <c r="F62" i="26" s="1"/>
  <c r="C62" i="26"/>
  <c r="D62" i="26" s="1"/>
  <c r="L61" i="26"/>
  <c r="K61" i="26"/>
  <c r="I61" i="26"/>
  <c r="C61" i="26"/>
  <c r="O61" i="26" s="1"/>
  <c r="P61" i="26" s="1"/>
  <c r="L60" i="26"/>
  <c r="K60" i="26"/>
  <c r="I60" i="26"/>
  <c r="C60" i="26"/>
  <c r="O60" i="26" s="1"/>
  <c r="P60" i="26" s="1"/>
  <c r="L59" i="26"/>
  <c r="K59" i="26"/>
  <c r="I59" i="26"/>
  <c r="C59" i="26"/>
  <c r="F59" i="26" s="1" a="1"/>
  <c r="F59" i="26" s="1"/>
  <c r="L58" i="26"/>
  <c r="K58" i="26"/>
  <c r="I58" i="26"/>
  <c r="F58" i="26" a="1"/>
  <c r="F58" i="26" s="1"/>
  <c r="C58" i="26"/>
  <c r="D58" i="26" s="1"/>
  <c r="L57" i="26"/>
  <c r="K57" i="26"/>
  <c r="I57" i="26"/>
  <c r="C57" i="26"/>
  <c r="O57" i="26" s="1"/>
  <c r="P57" i="26" s="1"/>
  <c r="L56" i="26"/>
  <c r="K56" i="26"/>
  <c r="I56" i="26"/>
  <c r="C56" i="26"/>
  <c r="O56" i="26" s="1"/>
  <c r="P56" i="26" s="1"/>
  <c r="L55" i="26"/>
  <c r="K55" i="26"/>
  <c r="I55" i="26"/>
  <c r="C55" i="26"/>
  <c r="F55" i="26" s="1" a="1"/>
  <c r="F55" i="26" s="1"/>
  <c r="L54" i="26"/>
  <c r="K54" i="26"/>
  <c r="I54" i="26"/>
  <c r="C54" i="26"/>
  <c r="D54" i="26" s="1"/>
  <c r="L53" i="26"/>
  <c r="K53" i="26"/>
  <c r="I53" i="26"/>
  <c r="C53" i="26"/>
  <c r="O53" i="26" s="1"/>
  <c r="P53" i="26" s="1"/>
  <c r="L52" i="26"/>
  <c r="K52" i="26"/>
  <c r="I52" i="26"/>
  <c r="C52" i="26"/>
  <c r="O52" i="26" s="1"/>
  <c r="P52" i="26" s="1"/>
  <c r="L51" i="26"/>
  <c r="K51" i="26"/>
  <c r="I51" i="26"/>
  <c r="C51" i="26"/>
  <c r="F51" i="26" s="1" a="1"/>
  <c r="F51" i="26" s="1"/>
  <c r="L50" i="26"/>
  <c r="K50" i="26"/>
  <c r="I50" i="26"/>
  <c r="F50" i="26" a="1"/>
  <c r="F50" i="26" s="1"/>
  <c r="C50" i="26"/>
  <c r="D50" i="26" s="1"/>
  <c r="L49" i="26"/>
  <c r="K49" i="26"/>
  <c r="I49" i="26"/>
  <c r="C49" i="26"/>
  <c r="O49" i="26" s="1"/>
  <c r="P49" i="26" s="1"/>
  <c r="L48" i="26"/>
  <c r="K48" i="26"/>
  <c r="I48" i="26"/>
  <c r="C48" i="26"/>
  <c r="O48" i="26" s="1"/>
  <c r="P48" i="26" s="1"/>
  <c r="L47" i="26"/>
  <c r="K47" i="26"/>
  <c r="I47" i="26"/>
  <c r="C47" i="26"/>
  <c r="F47" i="26" s="1" a="1"/>
  <c r="F47" i="26" s="1"/>
  <c r="L46" i="26"/>
  <c r="K46" i="26"/>
  <c r="I46" i="26"/>
  <c r="F46" i="26" a="1"/>
  <c r="F46" i="26" s="1"/>
  <c r="C46" i="26"/>
  <c r="D46" i="26" s="1"/>
  <c r="L45" i="26"/>
  <c r="K45" i="26"/>
  <c r="I45" i="26"/>
  <c r="C45" i="26"/>
  <c r="O45" i="26" s="1"/>
  <c r="P45" i="26" s="1"/>
  <c r="L44" i="26"/>
  <c r="K44" i="26"/>
  <c r="I44" i="26"/>
  <c r="C44" i="26"/>
  <c r="O44" i="26" s="1"/>
  <c r="P44" i="26" s="1"/>
  <c r="L43" i="26"/>
  <c r="K43" i="26"/>
  <c r="I43" i="26"/>
  <c r="C43" i="26"/>
  <c r="F43" i="26" s="1" a="1"/>
  <c r="F43" i="26" s="1"/>
  <c r="L42" i="26"/>
  <c r="K42" i="26"/>
  <c r="I42" i="26"/>
  <c r="F42" i="26" a="1"/>
  <c r="F42" i="26" s="1"/>
  <c r="C42" i="26"/>
  <c r="D42" i="26" s="1"/>
  <c r="L41" i="26"/>
  <c r="K41" i="26"/>
  <c r="I41" i="26"/>
  <c r="C41" i="26"/>
  <c r="O41" i="26" s="1"/>
  <c r="P41" i="26" s="1"/>
  <c r="L40" i="26"/>
  <c r="K40" i="26"/>
  <c r="I40" i="26"/>
  <c r="C40" i="26"/>
  <c r="O40" i="26" s="1"/>
  <c r="P40" i="26" s="1"/>
  <c r="L39" i="26"/>
  <c r="K39" i="26"/>
  <c r="I39" i="26"/>
  <c r="C39" i="26"/>
  <c r="F39" i="26" s="1" a="1"/>
  <c r="F39" i="26" s="1"/>
  <c r="L38" i="26"/>
  <c r="K38" i="26"/>
  <c r="I38" i="26"/>
  <c r="C38" i="26"/>
  <c r="D38" i="26" s="1"/>
  <c r="L37" i="26"/>
  <c r="K37" i="26"/>
  <c r="I37" i="26"/>
  <c r="C37" i="26"/>
  <c r="O37" i="26" s="1"/>
  <c r="P37" i="26" s="1"/>
  <c r="L36" i="26"/>
  <c r="K36" i="26"/>
  <c r="I36" i="26"/>
  <c r="C36" i="26"/>
  <c r="O36" i="26" s="1"/>
  <c r="P36" i="26" s="1"/>
  <c r="L35" i="26"/>
  <c r="K35" i="26"/>
  <c r="I35" i="26"/>
  <c r="C35" i="26"/>
  <c r="F35" i="26" s="1" a="1"/>
  <c r="F35" i="26" s="1"/>
  <c r="L34" i="26"/>
  <c r="K34" i="26"/>
  <c r="I34" i="26"/>
  <c r="F34" i="26" a="1"/>
  <c r="F34" i="26" s="1"/>
  <c r="C34" i="26"/>
  <c r="D34" i="26" s="1"/>
  <c r="L33" i="26"/>
  <c r="K33" i="26"/>
  <c r="I33" i="26"/>
  <c r="C33" i="26"/>
  <c r="O33" i="26" s="1"/>
  <c r="P33" i="26" s="1"/>
  <c r="L32" i="26"/>
  <c r="K32" i="26"/>
  <c r="I32" i="26"/>
  <c r="C32" i="26"/>
  <c r="O32" i="26" s="1"/>
  <c r="P32" i="26" s="1"/>
  <c r="L31" i="26"/>
  <c r="K31" i="26"/>
  <c r="I31" i="26"/>
  <c r="C31" i="26"/>
  <c r="F31" i="26" s="1" a="1"/>
  <c r="F31" i="26" s="1"/>
  <c r="L30" i="26"/>
  <c r="K30" i="26"/>
  <c r="I30" i="26"/>
  <c r="F30" i="26" a="1"/>
  <c r="F30" i="26" s="1"/>
  <c r="C30" i="26"/>
  <c r="D30" i="26" s="1"/>
  <c r="L29" i="26"/>
  <c r="K29" i="26"/>
  <c r="I29" i="26"/>
  <c r="C29" i="26"/>
  <c r="O29" i="26" s="1"/>
  <c r="P29" i="26" s="1"/>
  <c r="L28" i="26"/>
  <c r="K28" i="26"/>
  <c r="I28" i="26"/>
  <c r="C28" i="26"/>
  <c r="O28" i="26" s="1"/>
  <c r="P28" i="26" s="1"/>
  <c r="L27" i="26"/>
  <c r="K27" i="26"/>
  <c r="I27" i="26"/>
  <c r="C27" i="26"/>
  <c r="F27" i="26" s="1" a="1"/>
  <c r="F27" i="26" s="1"/>
  <c r="L26" i="26"/>
  <c r="K26" i="26"/>
  <c r="I26" i="26"/>
  <c r="F26" i="26" a="1"/>
  <c r="F26" i="26" s="1"/>
  <c r="C26" i="26"/>
  <c r="D26" i="26" s="1"/>
  <c r="L25" i="26"/>
  <c r="K25" i="26"/>
  <c r="I25" i="26"/>
  <c r="C25" i="26"/>
  <c r="O25" i="26" s="1"/>
  <c r="P25" i="26" s="1"/>
  <c r="L24" i="26"/>
  <c r="K24" i="26"/>
  <c r="I24" i="26"/>
  <c r="C24" i="26"/>
  <c r="O24" i="26" s="1"/>
  <c r="P24" i="26" s="1"/>
  <c r="L23" i="26"/>
  <c r="K23" i="26"/>
  <c r="I23" i="26"/>
  <c r="C23" i="26"/>
  <c r="F23" i="26" s="1" a="1"/>
  <c r="F23" i="26" s="1"/>
  <c r="L22" i="26"/>
  <c r="K22" i="26"/>
  <c r="I22" i="26"/>
  <c r="C22" i="26"/>
  <c r="D22" i="26" s="1"/>
  <c r="L21" i="26"/>
  <c r="K21" i="26"/>
  <c r="I21" i="26"/>
  <c r="C21" i="26"/>
  <c r="O21" i="26" s="1"/>
  <c r="P21" i="26" s="1"/>
  <c r="L20" i="26"/>
  <c r="K20" i="26"/>
  <c r="I20" i="26"/>
  <c r="C20" i="26"/>
  <c r="O20" i="26" s="1"/>
  <c r="P20" i="26" s="1"/>
  <c r="L19" i="26"/>
  <c r="K19" i="26"/>
  <c r="I19" i="26"/>
  <c r="C19" i="26"/>
  <c r="F19" i="26" s="1" a="1"/>
  <c r="F19" i="26" s="1"/>
  <c r="L18" i="26"/>
  <c r="K18" i="26"/>
  <c r="I18" i="26"/>
  <c r="F18" i="26" a="1"/>
  <c r="F18" i="26" s="1"/>
  <c r="C18" i="26"/>
  <c r="D18" i="26" s="1"/>
  <c r="L17" i="26"/>
  <c r="K17" i="26"/>
  <c r="I17" i="26"/>
  <c r="C17" i="26"/>
  <c r="O17" i="26" s="1"/>
  <c r="P17" i="26" s="1"/>
  <c r="L16" i="26"/>
  <c r="K16" i="26"/>
  <c r="I16" i="26"/>
  <c r="C16" i="26"/>
  <c r="O16" i="26" s="1"/>
  <c r="P16" i="26" s="1"/>
  <c r="L15" i="26"/>
  <c r="K15" i="26"/>
  <c r="I15" i="26"/>
  <c r="C15" i="26"/>
  <c r="F15" i="26" s="1" a="1"/>
  <c r="F15" i="26" s="1"/>
  <c r="L14" i="26"/>
  <c r="K14" i="26"/>
  <c r="I14" i="26"/>
  <c r="L13" i="26"/>
  <c r="K13" i="26"/>
  <c r="I13" i="26"/>
  <c r="O13" i="26"/>
  <c r="P13" i="26" s="1"/>
  <c r="L12" i="26"/>
  <c r="K12" i="26"/>
  <c r="I12" i="26"/>
  <c r="O12" i="26"/>
  <c r="P12" i="26" s="1"/>
  <c r="L11" i="26"/>
  <c r="K11" i="26"/>
  <c r="I11" i="26"/>
  <c r="L10" i="26"/>
  <c r="K10" i="26"/>
  <c r="I10" i="26"/>
  <c r="D10" i="26"/>
  <c r="L9" i="26"/>
  <c r="K9" i="26"/>
  <c r="I9" i="26"/>
  <c r="O9" i="26"/>
  <c r="P9" i="26" s="1"/>
  <c r="L8" i="26"/>
  <c r="K8" i="26"/>
  <c r="I8" i="26"/>
  <c r="O8" i="26"/>
  <c r="P8" i="26" s="1"/>
  <c r="L7" i="26"/>
  <c r="K7" i="26"/>
  <c r="I7" i="26"/>
  <c r="L6" i="26"/>
  <c r="K6" i="26"/>
  <c r="I6" i="26"/>
  <c r="L5" i="26"/>
  <c r="K5" i="26"/>
  <c r="I5" i="26"/>
  <c r="C5" i="26"/>
  <c r="O5" i="26" s="1"/>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O102" i="25" s="1"/>
  <c r="P102" i="25" s="1"/>
  <c r="I101" i="25"/>
  <c r="C101" i="25"/>
  <c r="O101" i="25" s="1"/>
  <c r="P101" i="25" s="1"/>
  <c r="I100" i="25"/>
  <c r="C100" i="25"/>
  <c r="O100" i="25" s="1"/>
  <c r="P100" i="25" s="1"/>
  <c r="I99" i="25"/>
  <c r="D99" i="25"/>
  <c r="C99" i="25"/>
  <c r="O99" i="25" s="1"/>
  <c r="P99" i="25" s="1"/>
  <c r="I98" i="25"/>
  <c r="C98" i="25"/>
  <c r="O98" i="25" s="1"/>
  <c r="P98" i="25" s="1"/>
  <c r="I97" i="25"/>
  <c r="C97" i="25"/>
  <c r="F97" i="25" s="1" a="1"/>
  <c r="F97" i="25" s="1"/>
  <c r="I96" i="25"/>
  <c r="C96" i="25"/>
  <c r="O96" i="25" s="1"/>
  <c r="P96" i="25" s="1"/>
  <c r="O95" i="25"/>
  <c r="P95" i="25" s="1"/>
  <c r="I95" i="25"/>
  <c r="C95" i="25"/>
  <c r="D95" i="25" s="1"/>
  <c r="I94" i="25"/>
  <c r="C94" i="25"/>
  <c r="I93" i="25"/>
  <c r="C93" i="25"/>
  <c r="O93" i="25" s="1"/>
  <c r="P93" i="25" s="1"/>
  <c r="I92" i="25"/>
  <c r="C92" i="25"/>
  <c r="O92" i="25" s="1"/>
  <c r="P92" i="25" s="1"/>
  <c r="I91" i="25"/>
  <c r="C91" i="25"/>
  <c r="O91" i="25" s="1"/>
  <c r="P91" i="25" s="1"/>
  <c r="I90" i="25"/>
  <c r="C90" i="25"/>
  <c r="O90" i="25" s="1"/>
  <c r="P90" i="25" s="1"/>
  <c r="I89" i="25"/>
  <c r="C89" i="25"/>
  <c r="F89" i="25" s="1" a="1"/>
  <c r="F89" i="25" s="1"/>
  <c r="I88" i="25"/>
  <c r="C88" i="25"/>
  <c r="O88" i="25" s="1"/>
  <c r="P88" i="25" s="1"/>
  <c r="I87" i="25"/>
  <c r="C87" i="25"/>
  <c r="D87" i="25" s="1"/>
  <c r="I86" i="25"/>
  <c r="C86" i="25"/>
  <c r="I85" i="25"/>
  <c r="D85" i="25"/>
  <c r="C85" i="25"/>
  <c r="O85" i="25" s="1"/>
  <c r="P85" i="25" s="1"/>
  <c r="I84" i="25"/>
  <c r="D84" i="25"/>
  <c r="C84" i="25"/>
  <c r="O84" i="25" s="1"/>
  <c r="P84" i="25" s="1"/>
  <c r="I83" i="25"/>
  <c r="C83" i="25"/>
  <c r="O83" i="25" s="1"/>
  <c r="P83" i="25" s="1"/>
  <c r="I82" i="25"/>
  <c r="C82" i="25"/>
  <c r="O82" i="25" s="1"/>
  <c r="P82" i="25" s="1"/>
  <c r="I81" i="25"/>
  <c r="C81" i="25"/>
  <c r="F81" i="25" s="1" a="1"/>
  <c r="F81" i="25" s="1"/>
  <c r="I80" i="25"/>
  <c r="C80" i="25"/>
  <c r="O80" i="25" s="1"/>
  <c r="P80" i="25" s="1"/>
  <c r="I79" i="25"/>
  <c r="C79" i="25"/>
  <c r="D79" i="25" s="1"/>
  <c r="I78" i="25"/>
  <c r="C78" i="25"/>
  <c r="I77" i="25"/>
  <c r="C77" i="25"/>
  <c r="O77" i="25" s="1"/>
  <c r="P77" i="25" s="1"/>
  <c r="I76" i="25"/>
  <c r="C76" i="25"/>
  <c r="O76" i="25" s="1"/>
  <c r="P76" i="25" s="1"/>
  <c r="I75" i="25"/>
  <c r="C75" i="25"/>
  <c r="O75" i="25" s="1"/>
  <c r="P75" i="25" s="1"/>
  <c r="I74" i="25"/>
  <c r="C74" i="25"/>
  <c r="O74" i="25" s="1"/>
  <c r="P74" i="25" s="1"/>
  <c r="I73" i="25"/>
  <c r="C73" i="25"/>
  <c r="F73" i="25" s="1" a="1"/>
  <c r="F73" i="25" s="1"/>
  <c r="I72" i="25"/>
  <c r="C72" i="25"/>
  <c r="O72" i="25" s="1"/>
  <c r="P72" i="25" s="1"/>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O64" i="25" s="1"/>
  <c r="P64" i="25" s="1"/>
  <c r="I63" i="25"/>
  <c r="C63" i="25"/>
  <c r="F63" i="25" s="1" a="1"/>
  <c r="F63" i="25" s="1"/>
  <c r="I62" i="25"/>
  <c r="C62" i="25"/>
  <c r="O62" i="25" s="1"/>
  <c r="P62" i="25" s="1"/>
  <c r="I61" i="25"/>
  <c r="C61" i="25"/>
  <c r="F61" i="25" s="1" a="1"/>
  <c r="F61" i="25" s="1"/>
  <c r="I60" i="25"/>
  <c r="C60" i="25"/>
  <c r="O60" i="25" s="1"/>
  <c r="P60" i="25" s="1"/>
  <c r="I59" i="25"/>
  <c r="C59" i="25"/>
  <c r="O59" i="25" s="1"/>
  <c r="P59" i="25" s="1"/>
  <c r="I58" i="25"/>
  <c r="C58" i="25"/>
  <c r="I57" i="25"/>
  <c r="C57" i="25"/>
  <c r="F57" i="25" s="1" a="1"/>
  <c r="F57" i="25" s="1"/>
  <c r="I56" i="25"/>
  <c r="C56" i="25"/>
  <c r="D56" i="25" s="1"/>
  <c r="O55" i="25"/>
  <c r="P55" i="25" s="1"/>
  <c r="I55" i="25"/>
  <c r="C55" i="25"/>
  <c r="F55" i="25" s="1" a="1"/>
  <c r="F55" i="25" s="1"/>
  <c r="I54" i="25"/>
  <c r="C54" i="25"/>
  <c r="O54" i="25" s="1"/>
  <c r="P54" i="25" s="1"/>
  <c r="I53" i="25"/>
  <c r="C53" i="25"/>
  <c r="F53" i="25" s="1" a="1"/>
  <c r="F53" i="25" s="1"/>
  <c r="I52" i="25"/>
  <c r="C52" i="25"/>
  <c r="O52" i="25" s="1"/>
  <c r="P52" i="25" s="1"/>
  <c r="I51" i="25"/>
  <c r="C51" i="25"/>
  <c r="O51" i="25" s="1"/>
  <c r="P51" i="25" s="1"/>
  <c r="I50" i="25"/>
  <c r="C50" i="25"/>
  <c r="F50" i="25" s="1" a="1"/>
  <c r="F50" i="25" s="1"/>
  <c r="I49" i="25"/>
  <c r="C49" i="25"/>
  <c r="F49" i="25" s="1" a="1"/>
  <c r="F49" i="25" s="1"/>
  <c r="I48" i="25"/>
  <c r="C48" i="25"/>
  <c r="O48" i="25" s="1"/>
  <c r="P48" i="25" s="1"/>
  <c r="I47" i="25"/>
  <c r="C47" i="25"/>
  <c r="F47" i="25" s="1" a="1"/>
  <c r="F47" i="25" s="1"/>
  <c r="I46" i="25"/>
  <c r="C46" i="25"/>
  <c r="I45" i="25"/>
  <c r="C45" i="25"/>
  <c r="F45" i="25" s="1" a="1"/>
  <c r="F45" i="25" s="1"/>
  <c r="I44" i="25"/>
  <c r="D44" i="25"/>
  <c r="C44" i="25"/>
  <c r="O44" i="25" s="1"/>
  <c r="P44" i="25" s="1"/>
  <c r="I43" i="25"/>
  <c r="C43" i="25"/>
  <c r="O43" i="25" s="1"/>
  <c r="P43" i="25" s="1"/>
  <c r="I42" i="25"/>
  <c r="C42" i="25"/>
  <c r="I41" i="25"/>
  <c r="C41" i="25"/>
  <c r="F41" i="25" s="1" a="1"/>
  <c r="F41" i="25" s="1"/>
  <c r="I40" i="25"/>
  <c r="C40" i="25"/>
  <c r="D40" i="25" s="1"/>
  <c r="I39" i="25"/>
  <c r="C39" i="25"/>
  <c r="F39" i="25" s="1" a="1"/>
  <c r="F39" i="25" s="1"/>
  <c r="I38" i="25"/>
  <c r="C38" i="25"/>
  <c r="O38" i="25" s="1"/>
  <c r="P38" i="25" s="1"/>
  <c r="I37" i="25"/>
  <c r="C37" i="25"/>
  <c r="F37" i="25" s="1" a="1"/>
  <c r="F37" i="25" s="1"/>
  <c r="I36" i="25"/>
  <c r="C36" i="25"/>
  <c r="D36" i="25" s="1"/>
  <c r="I35" i="25"/>
  <c r="C35" i="25"/>
  <c r="F35" i="25" s="1" a="1"/>
  <c r="F35" i="25" s="1"/>
  <c r="I34" i="25"/>
  <c r="C34" i="25"/>
  <c r="O34" i="25" s="1"/>
  <c r="P34" i="25" s="1"/>
  <c r="I33" i="25"/>
  <c r="C33" i="25"/>
  <c r="O33" i="25" s="1"/>
  <c r="P33" i="25" s="1"/>
  <c r="I32" i="25"/>
  <c r="C32" i="25"/>
  <c r="O32" i="25" s="1"/>
  <c r="P32" i="25" s="1"/>
  <c r="O31" i="25"/>
  <c r="P31" i="25" s="1"/>
  <c r="I31" i="25"/>
  <c r="C31" i="25"/>
  <c r="F31" i="25" s="1" a="1"/>
  <c r="F31" i="25" s="1"/>
  <c r="I30" i="25"/>
  <c r="C30" i="25"/>
  <c r="I29" i="25"/>
  <c r="C29" i="25"/>
  <c r="F29" i="25" s="1" a="1"/>
  <c r="F29" i="25" s="1"/>
  <c r="I28" i="25"/>
  <c r="C28" i="25"/>
  <c r="D28" i="25" s="1"/>
  <c r="I27" i="25"/>
  <c r="C27" i="25"/>
  <c r="O27" i="25" s="1"/>
  <c r="P27" i="25" s="1"/>
  <c r="I26" i="25"/>
  <c r="C26" i="25"/>
  <c r="O26" i="25" s="1"/>
  <c r="P26" i="25" s="1"/>
  <c r="I25" i="25"/>
  <c r="C25" i="25"/>
  <c r="O25" i="25" s="1"/>
  <c r="P25" i="25" s="1"/>
  <c r="I24" i="25"/>
  <c r="C24" i="25"/>
  <c r="O24" i="25" s="1"/>
  <c r="P24" i="25" s="1"/>
  <c r="I23" i="25"/>
  <c r="C23" i="25"/>
  <c r="F23" i="25" s="1" a="1"/>
  <c r="F23" i="25" s="1"/>
  <c r="I22" i="25"/>
  <c r="C22" i="25"/>
  <c r="F22" i="25" s="1" a="1"/>
  <c r="F22" i="25" s="1"/>
  <c r="I21" i="25"/>
  <c r="C21" i="25"/>
  <c r="D21" i="25" s="1"/>
  <c r="I20" i="25"/>
  <c r="C20" i="25"/>
  <c r="F20" i="25" s="1" a="1"/>
  <c r="F20" i="25" s="1"/>
  <c r="I19" i="25"/>
  <c r="C19" i="25"/>
  <c r="F19" i="25" s="1" a="1"/>
  <c r="F19" i="25" s="1"/>
  <c r="I18" i="25"/>
  <c r="C18" i="25"/>
  <c r="O18" i="25" s="1"/>
  <c r="P18" i="25" s="1"/>
  <c r="I17" i="25"/>
  <c r="C17" i="25"/>
  <c r="O17" i="25" s="1"/>
  <c r="P17" i="25" s="1"/>
  <c r="O16" i="25"/>
  <c r="P16" i="25" s="1"/>
  <c r="I16" i="25"/>
  <c r="D16" i="25"/>
  <c r="I13" i="25"/>
  <c r="O13" i="25"/>
  <c r="P13" i="25" s="1"/>
  <c r="O12" i="25"/>
  <c r="P12" i="25" s="1"/>
  <c r="I12" i="25"/>
  <c r="D12" i="25"/>
  <c r="O11" i="25"/>
  <c r="P11" i="25" s="1"/>
  <c r="I11" i="25"/>
  <c r="D11" i="25"/>
  <c r="O10" i="25"/>
  <c r="P10" i="25" s="1"/>
  <c r="I10" i="25"/>
  <c r="D10" i="25"/>
  <c r="O9" i="25"/>
  <c r="P9" i="25" s="1"/>
  <c r="I9" i="25"/>
  <c r="D9" i="25"/>
  <c r="O8" i="25"/>
  <c r="P8" i="25" s="1"/>
  <c r="I8" i="25"/>
  <c r="D8" i="25"/>
  <c r="O7" i="25"/>
  <c r="P7" i="25" s="1"/>
  <c r="I7" i="25"/>
  <c r="O6" i="25"/>
  <c r="P6" i="25" s="1"/>
  <c r="I6" i="25"/>
  <c r="O5" i="25"/>
  <c r="P5" i="25" s="1"/>
  <c r="I5" i="25"/>
  <c r="O56" i="25" l="1"/>
  <c r="P56" i="25" s="1"/>
  <c r="D90" i="25"/>
  <c r="F22" i="26" a="1"/>
  <c r="F22" i="26" s="1"/>
  <c r="F54" i="26" a="1"/>
  <c r="F54" i="26" s="1"/>
  <c r="F86" i="26" a="1"/>
  <c r="F86" i="26" s="1"/>
  <c r="F90" i="25" a="1"/>
  <c r="F90" i="25" s="1"/>
  <c r="D65" i="25"/>
  <c r="O28" i="25"/>
  <c r="P28" i="25" s="1"/>
  <c r="O69" i="25"/>
  <c r="P69" i="25" s="1"/>
  <c r="F95" i="25" a="1"/>
  <c r="F95" i="25" s="1"/>
  <c r="F38" i="26" a="1"/>
  <c r="F38" i="26" s="1"/>
  <c r="F70" i="26" a="1"/>
  <c r="F70" i="26" s="1"/>
  <c r="D60" i="25"/>
  <c r="O19" i="25"/>
  <c r="P19" i="25" s="1"/>
  <c r="O29" i="25"/>
  <c r="P29" i="25" s="1"/>
  <c r="F82" i="25" a="1"/>
  <c r="F82" i="25" s="1"/>
  <c r="O23" i="25"/>
  <c r="P23" i="25" s="1"/>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O39" i="25"/>
  <c r="P39" i="25" s="1"/>
  <c r="F96" i="25" a="1"/>
  <c r="F96" i="25" s="1"/>
  <c r="O15" i="25"/>
  <c r="P15" i="25" s="1"/>
  <c r="O79" i="25"/>
  <c r="P79" i="25" s="1"/>
  <c r="D34" i="25"/>
  <c r="F74" i="25" a="1"/>
  <c r="F74" i="25" s="1"/>
  <c r="F40" i="25" a="1"/>
  <c r="F40" i="25" s="1"/>
  <c r="D19" i="25"/>
  <c r="O67" i="25"/>
  <c r="P67" i="25" s="1"/>
  <c r="D72" i="25"/>
  <c r="D76" i="25"/>
  <c r="F80" i="25" a="1"/>
  <c r="F80" i="25" s="1"/>
  <c r="F84" i="25" a="1"/>
  <c r="F84" i="25" s="1"/>
  <c r="F88" i="25" a="1"/>
  <c r="F88" i="25" s="1"/>
  <c r="F28" i="25" a="1"/>
  <c r="F28" i="25" s="1"/>
  <c r="D32" i="25"/>
  <c r="O40" i="25"/>
  <c r="P40" i="25" s="1"/>
  <c r="O63" i="25"/>
  <c r="P63" i="25" s="1"/>
  <c r="F72" i="25" a="1"/>
  <c r="F72" i="25" s="1"/>
  <c r="D98" i="25"/>
  <c r="D64" i="25"/>
  <c r="D77" i="25"/>
  <c r="F17" i="25" a="1"/>
  <c r="F17" i="25" s="1"/>
  <c r="D20" i="25"/>
  <c r="D24" i="25"/>
  <c r="D41" i="25"/>
  <c r="D57" i="25"/>
  <c r="F64" i="25" a="1"/>
  <c r="F64" i="25" s="1"/>
  <c r="F71" i="25" a="1"/>
  <c r="F71" i="25" s="1"/>
  <c r="D74" i="25"/>
  <c r="F76" i="25" a="1"/>
  <c r="F76" i="25" s="1"/>
  <c r="D80" i="25"/>
  <c r="F98" i="25" a="1"/>
  <c r="F98" i="25" s="1"/>
  <c r="D18" i="25"/>
  <c r="D45" i="25"/>
  <c r="D51" i="25"/>
  <c r="O71" i="25"/>
  <c r="P71" i="25" s="1"/>
  <c r="D83" i="25"/>
  <c r="D92" i="25"/>
  <c r="D101" i="25"/>
  <c r="F18" i="25" a="1"/>
  <c r="F18" i="25" s="1"/>
  <c r="F51" i="25" a="1"/>
  <c r="F51" i="25" s="1"/>
  <c r="F83" i="25" a="1"/>
  <c r="F83" i="25" s="1"/>
  <c r="F92" i="25" a="1"/>
  <c r="F92" i="25" s="1"/>
  <c r="D96" i="25"/>
  <c r="O45" i="25"/>
  <c r="P45" i="25" s="1"/>
  <c r="D25" i="25"/>
  <c r="F43" i="25" a="1"/>
  <c r="F43" i="25" s="1"/>
  <c r="D49" i="25"/>
  <c r="D59" i="25"/>
  <c r="D69" i="25"/>
  <c r="D75" i="25"/>
  <c r="O87" i="25"/>
  <c r="P87" i="25" s="1"/>
  <c r="D93" i="25"/>
  <c r="F99" i="25" a="1"/>
  <c r="F99" i="25" s="1"/>
  <c r="F25" i="25" a="1"/>
  <c r="F25" i="25" s="1"/>
  <c r="F36" i="25" a="1"/>
  <c r="F36" i="25" s="1"/>
  <c r="F59" i="25" a="1"/>
  <c r="F59" i="25" s="1"/>
  <c r="F75" i="25" a="1"/>
  <c r="F75" i="25" s="1"/>
  <c r="D17" i="25"/>
  <c r="D33" i="25"/>
  <c r="D67" i="25"/>
  <c r="D91" i="25"/>
  <c r="F33" i="25" a="1"/>
  <c r="F33" i="25" s="1"/>
  <c r="F91" i="25" a="1"/>
  <c r="F91" i="25" s="1"/>
  <c r="D100" i="25"/>
  <c r="O47" i="25"/>
  <c r="P47" i="25" s="1"/>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O6" i="26"/>
  <c r="P6" i="26" s="1"/>
  <c r="D8" i="26"/>
  <c r="O10" i="26"/>
  <c r="P10" i="26" s="1"/>
  <c r="D12" i="26"/>
  <c r="D16" i="26"/>
  <c r="O18" i="26"/>
  <c r="P18" i="26" s="1"/>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O58" i="25"/>
  <c r="P58" i="25" s="1"/>
  <c r="O22" i="25"/>
  <c r="P22" i="25" s="1"/>
  <c r="D26" i="25"/>
  <c r="D27" i="25"/>
  <c r="O37" i="25"/>
  <c r="P37" i="25" s="1"/>
  <c r="F46" i="25" a="1"/>
  <c r="F46" i="25" s="1"/>
  <c r="D46" i="25"/>
  <c r="D53" i="25"/>
  <c r="F58" i="25" a="1"/>
  <c r="F58" i="25" s="1"/>
  <c r="F60" i="25" a="1"/>
  <c r="F60" i="25" s="1"/>
  <c r="O70" i="25"/>
  <c r="P70" i="25" s="1"/>
  <c r="F70" i="25" a="1"/>
  <c r="F70" i="25" s="1"/>
  <c r="D70" i="25"/>
  <c r="O20" i="25"/>
  <c r="P20" i="25" s="1"/>
  <c r="O21" i="25"/>
  <c r="P21" i="25" s="1"/>
  <c r="F26" i="25" a="1"/>
  <c r="F26" i="25" s="1"/>
  <c r="F27" i="25" a="1"/>
  <c r="F27" i="25" s="1"/>
  <c r="D29" i="25"/>
  <c r="O35" i="25"/>
  <c r="P35" i="25" s="1"/>
  <c r="O36" i="25"/>
  <c r="P36" i="25" s="1"/>
  <c r="D50" i="25"/>
  <c r="O50" i="25"/>
  <c r="P50" i="25" s="1"/>
  <c r="D52" i="25"/>
  <c r="O78" i="25"/>
  <c r="P78" i="25" s="1"/>
  <c r="F78" i="25" a="1"/>
  <c r="F78" i="25" s="1"/>
  <c r="D78" i="25"/>
  <c r="F30" i="25" a="1"/>
  <c r="F30" i="25" s="1"/>
  <c r="D30" i="25"/>
  <c r="D38" i="25"/>
  <c r="F38" i="25" a="1"/>
  <c r="F38" i="25" s="1"/>
  <c r="F52" i="25" a="1"/>
  <c r="F52" i="25" s="1"/>
  <c r="O61" i="25"/>
  <c r="P61" i="25" s="1"/>
  <c r="O86" i="25"/>
  <c r="P86" i="25" s="1"/>
  <c r="F86" i="25" a="1"/>
  <c r="F86" i="25" s="1"/>
  <c r="D86" i="25"/>
  <c r="O94" i="25"/>
  <c r="P94" i="25" s="1"/>
  <c r="F94" i="25" a="1"/>
  <c r="F94" i="25" s="1"/>
  <c r="D94" i="25"/>
  <c r="D42" i="25"/>
  <c r="O42" i="25"/>
  <c r="P42" i="25" s="1"/>
  <c r="F13" i="25" a="1"/>
  <c r="F13" i="25" s="1"/>
  <c r="D13" i="25"/>
  <c r="O30" i="25"/>
  <c r="P30" i="25" s="1"/>
  <c r="D22" i="25"/>
  <c r="F34" i="25" a="1"/>
  <c r="F34" i="25" s="1"/>
  <c r="D37" i="25"/>
  <c r="F42" i="25" a="1"/>
  <c r="F42" i="25" s="1"/>
  <c r="F44" i="25" a="1"/>
  <c r="F44" i="25" s="1"/>
  <c r="O46" i="25"/>
  <c r="P46" i="25" s="1"/>
  <c r="O53" i="25"/>
  <c r="P53" i="25" s="1"/>
  <c r="F62" i="25" a="1"/>
  <c r="F62" i="25" s="1"/>
  <c r="D62" i="25"/>
  <c r="D68" i="25"/>
  <c r="O68" i="25"/>
  <c r="P68" i="25" s="1"/>
  <c r="D66" i="25"/>
  <c r="O66" i="25"/>
  <c r="P66" i="25" s="1"/>
  <c r="D54" i="25"/>
  <c r="F54" i="25" a="1"/>
  <c r="F54" i="25" s="1"/>
  <c r="D61" i="25"/>
  <c r="F66" i="25" a="1"/>
  <c r="F66" i="25" s="1"/>
  <c r="F77" i="25" a="1"/>
  <c r="F77" i="25" s="1"/>
  <c r="F85" i="25" a="1"/>
  <c r="F85" i="25" s="1"/>
  <c r="F93" i="25" a="1"/>
  <c r="F93" i="25" s="1"/>
  <c r="F101" i="25" a="1"/>
  <c r="F101" i="25" s="1"/>
  <c r="D102" i="25"/>
  <c r="D23" i="25"/>
  <c r="D31" i="25"/>
  <c r="D39" i="25"/>
  <c r="O41" i="25"/>
  <c r="P41" i="25" s="1"/>
  <c r="D47" i="25"/>
  <c r="O49" i="25"/>
  <c r="P49" i="25" s="1"/>
  <c r="D55" i="25"/>
  <c r="O57" i="25"/>
  <c r="P57" i="25" s="1"/>
  <c r="D63" i="25"/>
  <c r="O65" i="25"/>
  <c r="P65" i="25" s="1"/>
  <c r="O73" i="25"/>
  <c r="P73" i="25" s="1"/>
  <c r="O81" i="25"/>
  <c r="P81" i="25" s="1"/>
  <c r="O89" i="25"/>
  <c r="P89" i="25" s="1"/>
  <c r="O97" i="25"/>
  <c r="P97" i="25" s="1"/>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5"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<sst xmlns="http://schemas.openxmlformats.org/spreadsheetml/2006/main" count="733" uniqueCount="273">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</sst>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Use'!$B$2:$B$51,'SI - End Use'!$C$2:$C$51, "")="", "", _xlfn.XLOOKUP($C5,'SI - End Use'!$B$2:$B$51,'SI - End Use'!$C$2:$C$51,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Units'!$B$24:$B$72,'SI - Units'!$C$24:$C$72, ""),'SI - Units'!$A$2:$A$8,'SI - Units'!$B$2:$B$8, ""))</calculatedColumnFormula>
    </tableColumn>
    <tableColumn id="7" xr3:uid="{515C4DB0-B187-40B1-8F47-45FF3483AEC1}" name="Moisture" dataDxfId="79" dataCellStyle="Percent"/>
    <tableColumn id="8" xr3:uid="{294BC856-42BB-4049-BD49-6A865E88E771}" name="Previous Process"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Payload'!$A$10:$A$35,'SI - Payload'!$B$10:$B$35,"",0),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Table1[[#This Row],[Resource]]</calculatedColumnFormula>
    </tableColumn>
    <tableColumn id="13" xr3:uid="{A8C514D4-4EE9-4BFC-A5D9-1A3B1C61CAF3}" name="End Use of Incumbent Product" dataDxfId="70">
      <calculatedColumnFormula>IF(_xlfn.XLOOKUP($O5,'SI - End Use'!$B$2:$B$51,'SI - End Use'!$C$2:$C$51, "")="", "", _xlfn.XLOOKUP($C5,'SI - End Use'!$B$2:$B$51,'SI - End Use'!$C$2:$C$51, ""))</calculatedColumnFormula>
    </tableColumn>
    <tableColumn id="18" xr3:uid="{1AFBF91D-E45D-442D-BA06-D58B0AE7953E}" name="Sub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67">
  <autoFilter ref="A1:I27"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53">
  <autoFilter ref="B23:C72"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Use'!$B$2:$B$51,'SI - End Use'!$C$2:$C$51, "")="", "", _xlfn.XLOOKUP($C5,'SI - End Use'!$B$2:$B$51,'SI - End Use'!$C$2:$C$51,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Units'!$B$24:$B$72,'SI - Units'!$C$24:$C$72, ""),'SI - Units'!$A$2:$A$8,'SI - Units'!$B$2:$B$8, ""))</calculatedColumnFormula>
    </tableColumn>
    <tableColumn id="7" xr3:uid="{20DC254D-03AF-49A8-B577-55979CC6EDD9}" name="Moisture" dataDxfId="32" dataCellStyle="Percent"/>
    <tableColumn id="8" xr3:uid="{BE822FD4-9AF0-480E-A846-CCDE55B22405}" name="Previous Process"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Payload'!$A$10:$A$35,'SI - Payload'!$B$10:$B$35,"",0),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Use'!$B$2:$B$51,'SI - End Use'!$C$2:$C$51, "")="", "", _xlfn.XLOOKUP($C5,'SI - End Use'!$B$2:$B$51,'SI - End Use'!$C$2:$C$51, ""))</calculatedColumnFormula>
    </tableColumn>
    <tableColumn id="18" xr3:uid="{ACB996D2-1882-4720-B13D-0ED6952AB67D}" name="Sub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Use'!$B$2:$B$51,'SI - End Use'!$C$2:$C$51, "")="", "", _xlfn.XLOOKUP($C5,'SI - End Use'!$B$2:$B$51,'SI - End Use'!$C$2:$C$51,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Units'!$B$24:$B$72,'SI - Units'!$C$24:$C$72, ""),'SI - Units'!$A$2:$A$8,'SI - Units'!$B$2:$B$8, ""))</calculatedColumnFormula>
    </tableColumn>
    <tableColumn id="7" xr3:uid="{B4066291-CBE7-4565-813A-A183A1FF3A30}" name="Moisture" dataDxfId="11" dataCellStyle="Percent"/>
    <tableColumn id="8" xr3:uid="{00119A1F-1B29-4320-BAE6-4BCC06703C1F}" name="Previous Process"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Payload'!$A$10:$A$35,'SI - Payload'!$B$10:$B$35,"",0),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Table16[[#This Row],[Resource]]</calculatedColumnFormula>
    </tableColumn>
    <tableColumn id="13" xr3:uid="{D8403357-C60D-40BD-A550-C4BB2212EDE3}" name="End Use of Incumbent Product" dataDxfId="2">
      <calculatedColumnFormula>IF(_xlfn.XLOOKUP($O5,'SI - End Use'!$B$2:$B$51,'SI - End Use'!$C$2:$C$51, "")="", "", _xlfn.XLOOKUP($C5,'SI - End Use'!$B$2:$B$51,'SI - End Use'!$C$2:$C$51, ""))</calculatedColumnFormula>
    </tableColumn>
    <tableColumn id="18" xr3:uid="{7C5F2273-479B-4C3D-8D0A-113A8825E51D}" name="Sub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3" activePane="bottomLeft" state="frozen"/>
      <selection pane="bottomLeft" activeCell="B15" sqref="B15"/>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141</v>
      </c>
      <c r="B2" s="71"/>
    </row>
    <row r="3" spans="1:3" ht="28" customHeight="1" x14ac:dyDescent="0.35">
      <c r="A3" s="33"/>
      <c r="B3" s="33"/>
    </row>
    <row r="4" spans="1:3" ht="28" customHeight="1" x14ac:dyDescent="0.35">
      <c r="A4" s="72" t="s">
        <v>136</v>
      </c>
      <c r="B4" s="72"/>
    </row>
    <row r="5" spans="1:3" ht="28" customHeight="1" x14ac:dyDescent="0.35">
      <c r="A5" s="35" t="s">
        <v>142</v>
      </c>
      <c r="B5" s="34"/>
    </row>
    <row r="6" spans="1:3" ht="29" x14ac:dyDescent="0.35">
      <c r="A6" s="37" t="s">
        <v>122</v>
      </c>
      <c r="B6" s="36" t="s">
        <v>137</v>
      </c>
      <c r="C6" s="25"/>
    </row>
    <row r="7" spans="1:3" ht="21" x14ac:dyDescent="0.35">
      <c r="A7" s="34"/>
      <c r="B7" s="34"/>
    </row>
    <row r="8" spans="1:3" ht="28" customHeight="1" x14ac:dyDescent="0.35">
      <c r="A8" s="35" t="s">
        <v>143</v>
      </c>
      <c r="B8" s="34"/>
    </row>
    <row r="9" spans="1:3" x14ac:dyDescent="0.35">
      <c r="A9" s="30" t="s">
        <v>6</v>
      </c>
      <c r="B9" s="29" t="s">
        <v>127</v>
      </c>
    </row>
    <row r="10" spans="1:3" x14ac:dyDescent="0.35">
      <c r="A10" s="32" t="s">
        <v>0</v>
      </c>
      <c r="B10" s="29" t="s">
        <v>124</v>
      </c>
    </row>
    <row r="11" spans="1:3" x14ac:dyDescent="0.35">
      <c r="A11" s="32" t="s">
        <v>125</v>
      </c>
      <c r="B11" s="29" t="s">
        <v>130</v>
      </c>
    </row>
    <row r="12" spans="1:3" ht="58" x14ac:dyDescent="0.35">
      <c r="A12" s="32" t="s">
        <v>120</v>
      </c>
      <c r="B12" s="29" t="s">
        <v>139</v>
      </c>
    </row>
    <row r="13" spans="1:3" ht="43.5" x14ac:dyDescent="0.35">
      <c r="A13" s="32" t="s">
        <v>90</v>
      </c>
      <c r="B13" s="29" t="s">
        <v>138</v>
      </c>
    </row>
    <row r="14" spans="1:3" ht="58" x14ac:dyDescent="0.35">
      <c r="A14" s="32" t="s">
        <v>121</v>
      </c>
      <c r="B14" s="29" t="s">
        <v>140</v>
      </c>
    </row>
    <row r="15" spans="1:3" x14ac:dyDescent="0.35">
      <c r="A15" s="31" t="s">
        <v>1</v>
      </c>
      <c r="B15" s="29" t="s">
        <v>135</v>
      </c>
    </row>
    <row r="16" spans="1:3" x14ac:dyDescent="0.35">
      <c r="A16" s="31" t="s">
        <v>36</v>
      </c>
      <c r="B16" s="29" t="s">
        <v>126</v>
      </c>
    </row>
    <row r="17" spans="1:2" ht="43.5" x14ac:dyDescent="0.35">
      <c r="A17" s="31" t="s">
        <v>5</v>
      </c>
      <c r="B17" s="29" t="s">
        <v>128</v>
      </c>
    </row>
    <row r="18" spans="1:2" x14ac:dyDescent="0.35">
      <c r="A18" s="31" t="s">
        <v>7</v>
      </c>
      <c r="B18" s="29" t="s">
        <v>134</v>
      </c>
    </row>
    <row r="19" spans="1:2" x14ac:dyDescent="0.35">
      <c r="A19" s="31" t="s">
        <v>8</v>
      </c>
      <c r="B19" s="29" t="s">
        <v>129</v>
      </c>
    </row>
    <row r="20" spans="1:2" ht="29" x14ac:dyDescent="0.35">
      <c r="A20" s="31" t="s">
        <v>117</v>
      </c>
      <c r="B20" s="29" t="s">
        <v>131</v>
      </c>
    </row>
    <row r="21" spans="1:2" ht="29" x14ac:dyDescent="0.35">
      <c r="A21" s="31" t="s">
        <v>118</v>
      </c>
      <c r="B21" s="29" t="s">
        <v>132</v>
      </c>
    </row>
    <row r="22" spans="1:2" x14ac:dyDescent="0.35">
      <c r="A22" s="31" t="s">
        <v>89</v>
      </c>
      <c r="B22" s="29" t="s">
        <v>133</v>
      </c>
    </row>
    <row r="23" spans="1:2" x14ac:dyDescent="0.35">
      <c r="A23" s="31" t="s">
        <v>4</v>
      </c>
      <c r="B23" s="29" t="s">
        <v>144</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Units'!$B$24:$B$72,'SI - Units'!$C$24:$C$72),'SI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c r="B5" s="10"/>
      <c r="C5" s="10" t="str">
        <f>_xlfn.XLOOKUP($B5,'SI - Resources'!$A$1:$I$1,'SI - Resources'!$A$2:$I$2,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9"/>
      <c r="H5" s="39"/>
      <c r="I5" s="43"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Resources'!$A$1:$I$1,'SI - Resources'!$A$2:$I$2,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9"/>
      <c r="H6" s="39"/>
      <c r="I6" s="43"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Resources'!$A$1:$I$1,'SI - Resources'!$A$2:$I$2,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9"/>
      <c r="H7" s="39"/>
      <c r="I7" s="43"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Resources'!$A$1:$I$1,'SI - Resources'!$A$2:$I$2,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Resources'!$A$1:$I$1,'SI - Resources'!$A$2:$I$2,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Resources'!$A$1:$I$1,'SI - Resources'!$A$2:$I$2,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Resources'!$A$1:$I$1,'SI - Resources'!$A$2:$I$2,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Resources'!$A$1:$I$1,'SI - Resources'!$A$2:$I$2,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Resources'!$A$1:$I$1,'SI - Resources'!$A$2:$I$2,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Resources'!$A$1:$I$1,'SI - Resources'!$A$2:$I$2,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5"/>
  <sheetViews>
    <sheetView workbookViewId="0"/>
  </sheetViews>
  <sheetFormatPr defaultRowHeight="14.5" x14ac:dyDescent="0.35"/>
  <cols>
    <col min="1" max="1" width="25" bestFit="1" customWidth="1"/>
  </cols>
  <sheetData>
    <row r="1" spans="1:78" ht="65.5" x14ac:dyDescent="0.35">
      <c r="A1" s="45" t="s">
        <v>163</v>
      </c>
      <c r="B1" s="46" t="s">
        <v>164</v>
      </c>
      <c r="C1" s="46" t="s">
        <v>165</v>
      </c>
      <c r="D1" s="46" t="s">
        <v>2</v>
      </c>
      <c r="E1" s="46" t="s">
        <v>166</v>
      </c>
      <c r="F1" s="46" t="s">
        <v>167</v>
      </c>
      <c r="G1" s="46" t="s">
        <v>168</v>
      </c>
      <c r="H1" s="46" t="s">
        <v>169</v>
      </c>
      <c r="I1" s="46" t="s">
        <v>170</v>
      </c>
      <c r="J1" s="46" t="s">
        <v>171</v>
      </c>
      <c r="K1" s="46" t="s">
        <v>172</v>
      </c>
      <c r="L1" s="46" t="s">
        <v>173</v>
      </c>
      <c r="M1" s="46" t="s">
        <v>174</v>
      </c>
      <c r="N1" s="46" t="s">
        <v>175</v>
      </c>
      <c r="O1" s="46" t="s">
        <v>176</v>
      </c>
      <c r="P1" s="46" t="s">
        <v>177</v>
      </c>
      <c r="Q1" s="46" t="s">
        <v>178</v>
      </c>
      <c r="R1" s="46" t="s">
        <v>179</v>
      </c>
      <c r="S1" s="46" t="s">
        <v>180</v>
      </c>
      <c r="T1" s="46" t="s">
        <v>181</v>
      </c>
      <c r="U1" s="46" t="s">
        <v>182</v>
      </c>
      <c r="V1" s="46" t="s">
        <v>183</v>
      </c>
      <c r="W1" s="46" t="s">
        <v>76</v>
      </c>
      <c r="X1" s="46" t="s">
        <v>184</v>
      </c>
      <c r="Y1" s="46" t="s">
        <v>185</v>
      </c>
      <c r="Z1" s="46" t="s">
        <v>186</v>
      </c>
      <c r="AA1" s="46" t="s">
        <v>187</v>
      </c>
      <c r="AB1" s="46" t="s">
        <v>188</v>
      </c>
      <c r="AC1" s="46" t="s">
        <v>189</v>
      </c>
      <c r="AD1" s="46" t="s">
        <v>190</v>
      </c>
      <c r="AE1" s="46" t="s">
        <v>191</v>
      </c>
      <c r="AF1" s="46" t="s">
        <v>192</v>
      </c>
      <c r="AG1" s="46" t="s">
        <v>193</v>
      </c>
      <c r="AH1" s="46" t="s">
        <v>194</v>
      </c>
      <c r="AI1" s="46" t="s">
        <v>195</v>
      </c>
      <c r="AJ1" s="46" t="s">
        <v>196</v>
      </c>
      <c r="AK1" s="46" t="s">
        <v>197</v>
      </c>
      <c r="AL1" s="46" t="s">
        <v>198</v>
      </c>
      <c r="AM1" s="46" t="s">
        <v>199</v>
      </c>
      <c r="AN1" s="46" t="s">
        <v>200</v>
      </c>
      <c r="AO1" s="46" t="s">
        <v>201</v>
      </c>
      <c r="AP1" s="46" t="s">
        <v>202</v>
      </c>
      <c r="AQ1" s="46" t="s">
        <v>203</v>
      </c>
      <c r="AR1" s="46" t="s">
        <v>204</v>
      </c>
      <c r="AS1" s="46" t="s">
        <v>205</v>
      </c>
      <c r="AT1" s="46" t="s">
        <v>206</v>
      </c>
      <c r="AU1" s="46" t="s">
        <v>207</v>
      </c>
      <c r="AV1" s="46" t="s">
        <v>208</v>
      </c>
      <c r="AW1" s="46" t="s">
        <v>209</v>
      </c>
      <c r="AX1" s="46" t="s">
        <v>210</v>
      </c>
      <c r="AY1" s="46" t="s">
        <v>211</v>
      </c>
      <c r="AZ1" s="46" t="s">
        <v>212</v>
      </c>
      <c r="BA1" s="46" t="s">
        <v>213</v>
      </c>
      <c r="BB1" s="46" t="s">
        <v>214</v>
      </c>
      <c r="BC1" s="46" t="s">
        <v>15</v>
      </c>
      <c r="BD1" s="46" t="s">
        <v>215</v>
      </c>
      <c r="BE1" s="46" t="s">
        <v>216</v>
      </c>
      <c r="BF1" s="46" t="s">
        <v>19</v>
      </c>
      <c r="BG1" s="46" t="s">
        <v>217</v>
      </c>
      <c r="BH1" s="46" t="s">
        <v>218</v>
      </c>
      <c r="BI1" s="46" t="s">
        <v>219</v>
      </c>
      <c r="BJ1" s="46" t="s">
        <v>220</v>
      </c>
      <c r="BK1" s="46" t="s">
        <v>221</v>
      </c>
      <c r="BL1" s="46" t="s">
        <v>222</v>
      </c>
      <c r="BM1" s="46" t="s">
        <v>223</v>
      </c>
      <c r="BN1" s="46" t="s">
        <v>224</v>
      </c>
      <c r="BO1" s="46" t="s">
        <v>225</v>
      </c>
      <c r="BP1" s="46" t="s">
        <v>226</v>
      </c>
      <c r="BQ1" s="46" t="s">
        <v>227</v>
      </c>
      <c r="BR1" s="46" t="s">
        <v>228</v>
      </c>
      <c r="BS1" s="46" t="s">
        <v>229</v>
      </c>
      <c r="BT1" s="46" t="s">
        <v>230</v>
      </c>
      <c r="BU1" s="46" t="s">
        <v>231</v>
      </c>
      <c r="BV1" s="46" t="s">
        <v>232</v>
      </c>
      <c r="BW1" s="46" t="s">
        <v>233</v>
      </c>
      <c r="BX1" s="46" t="s">
        <v>234</v>
      </c>
      <c r="BY1" s="46" t="s">
        <v>235</v>
      </c>
      <c r="BZ1" s="47" t="s">
        <v>236</v>
      </c>
    </row>
    <row r="2" spans="1:78" x14ac:dyDescent="0.35">
      <c r="A2" s="48" t="s">
        <v>237</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238</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239</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240</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33</v>
      </c>
      <c r="B10" s="68">
        <f>AC4</f>
        <v>15</v>
      </c>
    </row>
    <row r="11" spans="1:78" x14ac:dyDescent="0.35">
      <c r="A11" t="s">
        <v>2</v>
      </c>
      <c r="B11" s="68">
        <f>D4</f>
        <v>25</v>
      </c>
    </row>
    <row r="12" spans="1:78" x14ac:dyDescent="0.35">
      <c r="A12" t="s">
        <v>22</v>
      </c>
      <c r="B12" s="68">
        <f>Q4</f>
        <v>0.4</v>
      </c>
    </row>
    <row r="13" spans="1:78" x14ac:dyDescent="0.35">
      <c r="A13" t="s">
        <v>76</v>
      </c>
      <c r="B13" s="68">
        <f>W4</f>
        <v>25</v>
      </c>
    </row>
    <row r="14" spans="1:78" x14ac:dyDescent="0.35">
      <c r="A14" t="s">
        <v>13</v>
      </c>
      <c r="B14" s="68">
        <f>$Y$4</f>
        <v>22.5</v>
      </c>
    </row>
    <row r="15" spans="1:78" x14ac:dyDescent="0.35">
      <c r="A15" t="s">
        <v>14</v>
      </c>
      <c r="B15" s="68">
        <f t="shared" ref="B15:B35" si="0">$Y$4</f>
        <v>22.5</v>
      </c>
    </row>
    <row r="16" spans="1:78" x14ac:dyDescent="0.35">
      <c r="A16" t="s">
        <v>15</v>
      </c>
      <c r="B16" s="68">
        <f t="shared" si="0"/>
        <v>22.5</v>
      </c>
    </row>
    <row r="17" spans="1:2" x14ac:dyDescent="0.35">
      <c r="A17" t="s">
        <v>16</v>
      </c>
      <c r="B17" s="68">
        <f t="shared" si="0"/>
        <v>22.5</v>
      </c>
    </row>
    <row r="18" spans="1:2" x14ac:dyDescent="0.35">
      <c r="A18" t="s">
        <v>17</v>
      </c>
      <c r="B18" s="68">
        <f t="shared" si="0"/>
        <v>22.5</v>
      </c>
    </row>
    <row r="19" spans="1:2" x14ac:dyDescent="0.35">
      <c r="A19" t="s">
        <v>18</v>
      </c>
      <c r="B19" s="68">
        <f t="shared" si="0"/>
        <v>22.5</v>
      </c>
    </row>
    <row r="20" spans="1:2" x14ac:dyDescent="0.35">
      <c r="A20" t="s">
        <v>19</v>
      </c>
      <c r="B20" s="68">
        <f t="shared" si="0"/>
        <v>22.5</v>
      </c>
    </row>
    <row r="21" spans="1:2" x14ac:dyDescent="0.35">
      <c r="A21" t="s">
        <v>113</v>
      </c>
      <c r="B21" s="68">
        <f t="shared" si="0"/>
        <v>22.5</v>
      </c>
    </row>
    <row r="22" spans="1:2" x14ac:dyDescent="0.35">
      <c r="A22" t="s">
        <v>112</v>
      </c>
      <c r="B22" s="68">
        <f t="shared" si="0"/>
        <v>22.5</v>
      </c>
    </row>
    <row r="23" spans="1:2" x14ac:dyDescent="0.35">
      <c r="A23" t="s">
        <v>21</v>
      </c>
      <c r="B23" s="68">
        <f t="shared" si="0"/>
        <v>22.5</v>
      </c>
    </row>
    <row r="24" spans="1:2" x14ac:dyDescent="0.35">
      <c r="A24" t="s">
        <v>37</v>
      </c>
      <c r="B24" s="68">
        <f t="shared" si="0"/>
        <v>22.5</v>
      </c>
    </row>
    <row r="25" spans="1:2" x14ac:dyDescent="0.35">
      <c r="A25" t="s">
        <v>23</v>
      </c>
      <c r="B25" s="68">
        <f t="shared" si="0"/>
        <v>22.5</v>
      </c>
    </row>
    <row r="26" spans="1:2" x14ac:dyDescent="0.35">
      <c r="A26" t="s">
        <v>25</v>
      </c>
      <c r="B26" s="68">
        <f t="shared" si="0"/>
        <v>22.5</v>
      </c>
    </row>
    <row r="27" spans="1:2" x14ac:dyDescent="0.35">
      <c r="A27" t="s">
        <v>26</v>
      </c>
      <c r="B27" s="68">
        <f t="shared" si="0"/>
        <v>22.5</v>
      </c>
    </row>
    <row r="28" spans="1:2" x14ac:dyDescent="0.35">
      <c r="A28" t="s">
        <v>30</v>
      </c>
      <c r="B28" s="68">
        <f t="shared" si="0"/>
        <v>22.5</v>
      </c>
    </row>
    <row r="29" spans="1:2" x14ac:dyDescent="0.35">
      <c r="A29" t="s">
        <v>21</v>
      </c>
      <c r="B29" s="68">
        <f t="shared" si="0"/>
        <v>22.5</v>
      </c>
    </row>
    <row r="30" spans="1:2" x14ac:dyDescent="0.35">
      <c r="A30" t="s">
        <v>20</v>
      </c>
      <c r="B30" s="68">
        <f t="shared" si="0"/>
        <v>22.5</v>
      </c>
    </row>
    <row r="31" spans="1:2" x14ac:dyDescent="0.35">
      <c r="A31" t="s">
        <v>37</v>
      </c>
      <c r="B31" s="68">
        <f t="shared" si="0"/>
        <v>22.5</v>
      </c>
    </row>
    <row r="32" spans="1:2" x14ac:dyDescent="0.35">
      <c r="A32" t="s">
        <v>25</v>
      </c>
      <c r="B32" s="68">
        <f t="shared" si="0"/>
        <v>22.5</v>
      </c>
    </row>
    <row r="33" spans="1:2" x14ac:dyDescent="0.35">
      <c r="A33" t="s">
        <v>264</v>
      </c>
      <c r="B33" s="68">
        <v>23</v>
      </c>
    </row>
    <row r="34" spans="1:2" x14ac:dyDescent="0.35">
      <c r="A34" t="s">
        <v>270</v>
      </c>
      <c r="B34" s="68">
        <v>23</v>
      </c>
    </row>
    <row r="35" spans="1:2" x14ac:dyDescent="0.35">
      <c r="A35" t="s">
        <v>53</v>
      </c>
      <c r="B35"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I1" sqref="I1"/>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255</v>
      </c>
      <c r="C1" s="4" t="s">
        <v>271</v>
      </c>
      <c r="D1" s="4" t="s">
        <v>3</v>
      </c>
      <c r="E1" s="4" t="s">
        <v>38</v>
      </c>
      <c r="F1" s="4" t="s">
        <v>29</v>
      </c>
      <c r="G1" s="4" t="s">
        <v>34</v>
      </c>
      <c r="H1" s="4" t="s">
        <v>242</v>
      </c>
      <c r="I1" s="4" t="s">
        <v>272</v>
      </c>
    </row>
    <row r="2" spans="1:9" x14ac:dyDescent="0.35">
      <c r="A2" s="2" t="s">
        <v>33</v>
      </c>
      <c r="B2" s="2" t="s">
        <v>256</v>
      </c>
      <c r="C2" s="2" t="s">
        <v>2</v>
      </c>
      <c r="D2" s="2" t="s">
        <v>3</v>
      </c>
      <c r="E2" s="2" t="s">
        <v>13</v>
      </c>
      <c r="F2" t="s">
        <v>29</v>
      </c>
      <c r="G2" t="s">
        <v>33</v>
      </c>
      <c r="H2" t="s">
        <v>264</v>
      </c>
      <c r="I2" t="s">
        <v>243</v>
      </c>
    </row>
    <row r="3" spans="1:9" x14ac:dyDescent="0.35">
      <c r="C3" s="3" t="s">
        <v>24</v>
      </c>
      <c r="E3" s="3" t="s">
        <v>14</v>
      </c>
      <c r="G3" t="s">
        <v>270</v>
      </c>
      <c r="H3" t="s">
        <v>270</v>
      </c>
      <c r="I3" t="s">
        <v>244</v>
      </c>
    </row>
    <row r="4" spans="1:9" x14ac:dyDescent="0.35">
      <c r="C4" s="3" t="s">
        <v>22</v>
      </c>
      <c r="D4" s="3"/>
      <c r="E4" s="3" t="s">
        <v>15</v>
      </c>
      <c r="G4" t="s">
        <v>264</v>
      </c>
      <c r="I4" t="s">
        <v>245</v>
      </c>
    </row>
    <row r="5" spans="1:9" x14ac:dyDescent="0.35">
      <c r="C5" t="s">
        <v>76</v>
      </c>
      <c r="D5" s="3"/>
      <c r="E5" s="3" t="s">
        <v>16</v>
      </c>
      <c r="I5" t="s">
        <v>246</v>
      </c>
    </row>
    <row r="6" spans="1:9" x14ac:dyDescent="0.35">
      <c r="E6" s="3" t="s">
        <v>17</v>
      </c>
      <c r="I6" t="s">
        <v>247</v>
      </c>
    </row>
    <row r="7" spans="1:9" x14ac:dyDescent="0.35">
      <c r="E7" s="3" t="s">
        <v>18</v>
      </c>
      <c r="I7" t="s">
        <v>248</v>
      </c>
    </row>
    <row r="8" spans="1:9" x14ac:dyDescent="0.35">
      <c r="E8" s="3" t="s">
        <v>19</v>
      </c>
      <c r="I8" t="s">
        <v>249</v>
      </c>
    </row>
    <row r="9" spans="1:9" x14ac:dyDescent="0.35">
      <c r="E9" s="3" t="s">
        <v>113</v>
      </c>
      <c r="I9" t="s">
        <v>250</v>
      </c>
    </row>
    <row r="10" spans="1:9" x14ac:dyDescent="0.35">
      <c r="E10" s="3" t="s">
        <v>112</v>
      </c>
      <c r="I10" t="s">
        <v>251</v>
      </c>
    </row>
    <row r="11" spans="1:9" x14ac:dyDescent="0.35">
      <c r="E11" s="3" t="s">
        <v>21</v>
      </c>
      <c r="I11" t="s">
        <v>252</v>
      </c>
    </row>
    <row r="12" spans="1:9" x14ac:dyDescent="0.35">
      <c r="E12" s="3" t="s">
        <v>37</v>
      </c>
      <c r="I12" t="s">
        <v>253</v>
      </c>
    </row>
    <row r="13" spans="1:9" x14ac:dyDescent="0.35">
      <c r="E13" s="3" t="s">
        <v>23</v>
      </c>
      <c r="I13" t="s">
        <v>254</v>
      </c>
    </row>
    <row r="14" spans="1:9" x14ac:dyDescent="0.35">
      <c r="E14" s="3" t="s">
        <v>25</v>
      </c>
    </row>
    <row r="15" spans="1:9" x14ac:dyDescent="0.35">
      <c r="E15" s="1" t="s">
        <v>26</v>
      </c>
    </row>
    <row r="16" spans="1:9" x14ac:dyDescent="0.35">
      <c r="E16" s="1" t="s">
        <v>30</v>
      </c>
    </row>
    <row r="17" spans="5:5" x14ac:dyDescent="0.35">
      <c r="E17" s="14" t="s">
        <v>21</v>
      </c>
    </row>
    <row r="18" spans="5:5" x14ac:dyDescent="0.35">
      <c r="E18" s="14" t="s">
        <v>20</v>
      </c>
    </row>
    <row r="19" spans="5:5" x14ac:dyDescent="0.35">
      <c r="E19" s="14" t="s">
        <v>37</v>
      </c>
    </row>
    <row r="20" spans="5:5" x14ac:dyDescent="0.35">
      <c r="E20" s="14" t="s">
        <v>25</v>
      </c>
    </row>
    <row r="21" spans="5:5" x14ac:dyDescent="0.35">
      <c r="E21" s="14" t="s">
        <v>53</v>
      </c>
    </row>
    <row r="22" spans="5:5" x14ac:dyDescent="0.35">
      <c r="E22" s="1" t="s">
        <v>258</v>
      </c>
    </row>
    <row r="23" spans="5:5" x14ac:dyDescent="0.35">
      <c r="E23" s="14" t="s">
        <v>259</v>
      </c>
    </row>
    <row r="24" spans="5:5" x14ac:dyDescent="0.35">
      <c r="E24" s="14" t="s">
        <v>260</v>
      </c>
    </row>
    <row r="25" spans="5:5" x14ac:dyDescent="0.35">
      <c r="E25" s="14" t="s">
        <v>261</v>
      </c>
    </row>
    <row r="26" spans="5:5" x14ac:dyDescent="0.35">
      <c r="E26" s="14" t="s">
        <v>262</v>
      </c>
    </row>
    <row r="27" spans="5:5" x14ac:dyDescent="0.35">
      <c r="E27" s="14" t="s">
        <v>263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5" workbookViewId="0">
      <selection activeCell="A37" sqref="A37"/>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94</v>
      </c>
      <c r="B1" s="7" t="s">
        <v>95</v>
      </c>
      <c r="C1" s="7" t="s">
        <v>96</v>
      </c>
      <c r="D1" s="7" t="s">
        <v>97</v>
      </c>
      <c r="E1" s="8" t="s">
        <v>98</v>
      </c>
      <c r="F1" t="s">
        <v>99</v>
      </c>
      <c r="G1" t="s">
        <v>100</v>
      </c>
      <c r="H1" t="s">
        <v>101</v>
      </c>
      <c r="I1" t="s">
        <v>102</v>
      </c>
      <c r="J1" t="s">
        <v>103</v>
      </c>
      <c r="K1" t="s">
        <v>104</v>
      </c>
      <c r="L1" t="s">
        <v>105</v>
      </c>
      <c r="M1" t="s">
        <v>106</v>
      </c>
      <c r="N1" t="s">
        <v>107</v>
      </c>
    </row>
    <row r="2" spans="1:14" x14ac:dyDescent="0.35">
      <c r="A2" t="s">
        <v>39</v>
      </c>
      <c r="B2" s="7" t="s">
        <v>93</v>
      </c>
    </row>
    <row r="3" spans="1:14" ht="38.5" x14ac:dyDescent="0.35">
      <c r="A3" t="s">
        <v>271</v>
      </c>
      <c r="B3" s="7" t="s">
        <v>2</v>
      </c>
      <c r="C3" s="6" t="s">
        <v>40</v>
      </c>
      <c r="D3" s="6" t="s">
        <v>41</v>
      </c>
      <c r="E3" s="6" t="s">
        <v>9</v>
      </c>
      <c r="F3" s="6" t="s">
        <v>42</v>
      </c>
      <c r="G3" s="6" t="s">
        <v>12</v>
      </c>
      <c r="H3" s="7" t="s">
        <v>88</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t="s">
        <v>257</v>
      </c>
      <c r="M4" s="7"/>
      <c r="N4" s="7"/>
    </row>
    <row r="5" spans="1:14" x14ac:dyDescent="0.35">
      <c r="B5" s="7" t="s">
        <v>22</v>
      </c>
      <c r="C5" s="9"/>
      <c r="D5" s="9"/>
      <c r="E5" s="9"/>
      <c r="F5" s="9"/>
      <c r="G5" s="9"/>
      <c r="H5" s="9"/>
      <c r="I5" s="9"/>
      <c r="J5" s="9"/>
      <c r="K5" s="9"/>
      <c r="L5" s="7"/>
      <c r="M5" s="7"/>
      <c r="N5" s="7"/>
    </row>
    <row r="6" spans="1:14" x14ac:dyDescent="0.35">
      <c r="B6" s="7" t="s">
        <v>76</v>
      </c>
      <c r="C6" s="9" t="s">
        <v>269</v>
      </c>
      <c r="D6" s="9" t="s">
        <v>88</v>
      </c>
      <c r="E6" s="9" t="s">
        <v>268</v>
      </c>
      <c r="F6" s="9"/>
      <c r="G6" s="9"/>
      <c r="H6" s="9"/>
      <c r="I6" s="9"/>
      <c r="J6" s="9"/>
      <c r="K6" s="9"/>
      <c r="L6" s="7"/>
      <c r="M6" s="7"/>
      <c r="N6" s="7"/>
    </row>
    <row r="7" spans="1:14" x14ac:dyDescent="0.35">
      <c r="A7" t="s">
        <v>3</v>
      </c>
      <c r="B7" s="7" t="s">
        <v>3</v>
      </c>
      <c r="C7" s="9" t="s">
        <v>10</v>
      </c>
      <c r="D7" s="9" t="s">
        <v>77</v>
      </c>
      <c r="E7" s="9" t="s">
        <v>78</v>
      </c>
      <c r="F7" s="9" t="s">
        <v>79</v>
      </c>
      <c r="G7" s="9" t="s">
        <v>80</v>
      </c>
      <c r="H7" s="9" t="s">
        <v>81</v>
      </c>
      <c r="I7" s="9" t="s">
        <v>82</v>
      </c>
      <c r="J7" s="9" t="s">
        <v>83</v>
      </c>
      <c r="K7" s="9" t="s">
        <v>84</v>
      </c>
      <c r="L7" s="7" t="s">
        <v>85</v>
      </c>
      <c r="M7" s="7" t="s">
        <v>86</v>
      </c>
      <c r="N7" s="7" t="s">
        <v>87</v>
      </c>
    </row>
    <row r="8" spans="1:14" x14ac:dyDescent="0.35">
      <c r="A8" t="s">
        <v>38</v>
      </c>
      <c r="B8" s="8" t="s">
        <v>50</v>
      </c>
      <c r="C8" s="8" t="s">
        <v>32</v>
      </c>
      <c r="D8" s="8"/>
      <c r="F8" s="8"/>
      <c r="G8" s="8"/>
      <c r="H8" s="8"/>
      <c r="I8" s="8"/>
      <c r="J8" s="8"/>
      <c r="K8" s="8"/>
      <c r="L8" s="8"/>
      <c r="M8" s="8"/>
      <c r="N8" s="8"/>
    </row>
    <row r="9" spans="1:14" x14ac:dyDescent="0.35">
      <c r="B9" t="s">
        <v>51</v>
      </c>
      <c r="C9" t="s">
        <v>54</v>
      </c>
      <c r="D9"/>
      <c r="E9"/>
    </row>
    <row r="10" spans="1:14" x14ac:dyDescent="0.35">
      <c r="B10" t="s">
        <v>52</v>
      </c>
      <c r="C10" t="s">
        <v>55</v>
      </c>
      <c r="D10"/>
      <c r="E10"/>
    </row>
    <row r="11" spans="1:14" x14ac:dyDescent="0.35">
      <c r="B11" s="7" t="s">
        <v>13</v>
      </c>
    </row>
    <row r="12" spans="1:14" x14ac:dyDescent="0.35">
      <c r="B12" s="7" t="s">
        <v>14</v>
      </c>
    </row>
    <row r="13" spans="1:14" x14ac:dyDescent="0.35">
      <c r="B13" s="7" t="s">
        <v>15</v>
      </c>
    </row>
    <row r="14" spans="1:14" x14ac:dyDescent="0.35">
      <c r="B14" s="7" t="s">
        <v>16</v>
      </c>
    </row>
    <row r="15" spans="1:14" x14ac:dyDescent="0.35">
      <c r="B15" s="7" t="s">
        <v>17</v>
      </c>
    </row>
    <row r="16" spans="1:14" x14ac:dyDescent="0.35">
      <c r="B16" s="7" t="s">
        <v>18</v>
      </c>
    </row>
    <row r="17" spans="2:3" x14ac:dyDescent="0.35">
      <c r="B17" s="7" t="s">
        <v>19</v>
      </c>
    </row>
    <row r="18" spans="2:3" x14ac:dyDescent="0.35">
      <c r="B18" s="7" t="s">
        <v>20</v>
      </c>
    </row>
    <row r="19" spans="2:3" x14ac:dyDescent="0.35">
      <c r="B19" s="7" t="s">
        <v>21</v>
      </c>
    </row>
    <row r="20" spans="2:3" x14ac:dyDescent="0.35">
      <c r="B20" s="7" t="s">
        <v>112</v>
      </c>
    </row>
    <row r="21" spans="2:3" x14ac:dyDescent="0.35">
      <c r="B21" s="7" t="s">
        <v>37</v>
      </c>
    </row>
    <row r="22" spans="2:3" x14ac:dyDescent="0.35">
      <c r="B22" s="7" t="s">
        <v>23</v>
      </c>
    </row>
    <row r="23" spans="2:3" x14ac:dyDescent="0.35">
      <c r="B23" s="7" t="s">
        <v>25</v>
      </c>
    </row>
    <row r="24" spans="2:3" x14ac:dyDescent="0.35">
      <c r="B24" s="7" t="s">
        <v>30</v>
      </c>
    </row>
    <row r="25" spans="2:3" x14ac:dyDescent="0.35">
      <c r="B25" t="s">
        <v>21</v>
      </c>
    </row>
    <row r="26" spans="2:3" x14ac:dyDescent="0.35">
      <c r="B26" t="s">
        <v>20</v>
      </c>
    </row>
    <row r="27" spans="2:3" x14ac:dyDescent="0.35">
      <c r="B27" t="s">
        <v>37</v>
      </c>
    </row>
    <row r="28" spans="2:3" x14ac:dyDescent="0.35">
      <c r="B28" t="s">
        <v>25</v>
      </c>
    </row>
    <row r="29" spans="2:3" x14ac:dyDescent="0.35">
      <c r="B29" s="2" t="s">
        <v>53</v>
      </c>
      <c r="C29" t="s">
        <v>55</v>
      </c>
    </row>
    <row r="30" spans="2:3" x14ac:dyDescent="0.35">
      <c r="B30" t="s">
        <v>258</v>
      </c>
    </row>
    <row r="31" spans="2:3" x14ac:dyDescent="0.35">
      <c r="B31" t="s">
        <v>259</v>
      </c>
    </row>
    <row r="32" spans="2:3" x14ac:dyDescent="0.35">
      <c r="B32" s="69" t="s">
        <v>260</v>
      </c>
    </row>
    <row r="33" spans="1:2" x14ac:dyDescent="0.35">
      <c r="B33" s="69" t="s">
        <v>261</v>
      </c>
    </row>
    <row r="34" spans="1:2" x14ac:dyDescent="0.35">
      <c r="B34" s="69" t="s">
        <v>262</v>
      </c>
    </row>
    <row r="35" spans="1:2" x14ac:dyDescent="0.35">
      <c r="B35" s="69" t="s">
        <v>263</v>
      </c>
    </row>
    <row r="36" spans="1:2" x14ac:dyDescent="0.35">
      <c r="A36" s="4" t="s">
        <v>255</v>
      </c>
      <c r="B36" s="2" t="s">
        <v>256</v>
      </c>
    </row>
    <row r="37" spans="1:2" x14ac:dyDescent="0.35">
      <c r="A37" s="4" t="s">
        <v>272</v>
      </c>
      <c r="B37" t="s">
        <v>243</v>
      </c>
    </row>
    <row r="38" spans="1:2" x14ac:dyDescent="0.35">
      <c r="B38" t="s">
        <v>244</v>
      </c>
    </row>
    <row r="39" spans="1:2" x14ac:dyDescent="0.35">
      <c r="B39" t="s">
        <v>245</v>
      </c>
    </row>
    <row r="40" spans="1:2" x14ac:dyDescent="0.35">
      <c r="B40" t="s">
        <v>246</v>
      </c>
    </row>
    <row r="41" spans="1:2" x14ac:dyDescent="0.35">
      <c r="B41" t="s">
        <v>247</v>
      </c>
    </row>
    <row r="42" spans="1:2" x14ac:dyDescent="0.35">
      <c r="B42" t="s">
        <v>248</v>
      </c>
    </row>
    <row r="43" spans="1:2" x14ac:dyDescent="0.35">
      <c r="B43" t="s">
        <v>249</v>
      </c>
    </row>
    <row r="44" spans="1:2" x14ac:dyDescent="0.35">
      <c r="B44" t="s">
        <v>250</v>
      </c>
    </row>
    <row r="45" spans="1:2" x14ac:dyDescent="0.35">
      <c r="B45" t="s">
        <v>251</v>
      </c>
    </row>
    <row r="46" spans="1:2" x14ac:dyDescent="0.35">
      <c r="B46" t="s">
        <v>252</v>
      </c>
    </row>
    <row r="47" spans="1:2" x14ac:dyDescent="0.35">
      <c r="B47" t="s">
        <v>253</v>
      </c>
    </row>
    <row r="48" spans="1:2" x14ac:dyDescent="0.35">
      <c r="B48" t="s">
        <v>254</v>
      </c>
    </row>
    <row r="49" spans="1:2" x14ac:dyDescent="0.35">
      <c r="A49" s="4" t="s">
        <v>242</v>
      </c>
      <c r="B49" t="s">
        <v>264</v>
      </c>
    </row>
    <row r="50" spans="1:2" x14ac:dyDescent="0.35">
      <c r="A50" s="4"/>
      <c r="B50" t="s">
        <v>270</v>
      </c>
    </row>
    <row r="51" spans="1:2" x14ac:dyDescent="0.35">
      <c r="A51" s="4" t="s">
        <v>29</v>
      </c>
      <c r="B51"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opLeftCell="A26" workbookViewId="0">
      <selection activeCell="A58" sqref="A5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94</v>
      </c>
      <c r="B1" s="5" t="s">
        <v>95</v>
      </c>
      <c r="C1" s="5" t="s">
        <v>96</v>
      </c>
      <c r="D1" s="5" t="s">
        <v>97</v>
      </c>
      <c r="E1" s="5" t="s">
        <v>98</v>
      </c>
      <c r="F1" s="5" t="s">
        <v>99</v>
      </c>
      <c r="G1" s="5" t="s">
        <v>100</v>
      </c>
      <c r="H1" s="5" t="s">
        <v>101</v>
      </c>
      <c r="I1" s="5" t="s">
        <v>102</v>
      </c>
      <c r="J1" s="5" t="s">
        <v>103</v>
      </c>
      <c r="K1" s="5" t="s">
        <v>104</v>
      </c>
      <c r="L1" s="5" t="s">
        <v>105</v>
      </c>
      <c r="M1" s="5" t="s">
        <v>106</v>
      </c>
      <c r="N1" s="7" t="s">
        <v>107</v>
      </c>
      <c r="O1" s="7" t="s">
        <v>108</v>
      </c>
      <c r="P1" s="7" t="s">
        <v>109</v>
      </c>
      <c r="Q1" s="7" t="s">
        <v>110</v>
      </c>
      <c r="R1" s="7" t="s">
        <v>111</v>
      </c>
      <c r="S1" s="5"/>
    </row>
    <row r="2" spans="1:19" x14ac:dyDescent="0.35">
      <c r="A2" t="s">
        <v>56</v>
      </c>
      <c r="B2" s="5" t="s">
        <v>74</v>
      </c>
      <c r="C2" s="5" t="s">
        <v>75</v>
      </c>
      <c r="D2" s="5" t="s">
        <v>73</v>
      </c>
      <c r="E2" s="5" t="s">
        <v>69</v>
      </c>
      <c r="F2" s="5" t="s">
        <v>70</v>
      </c>
      <c r="G2" s="5" t="s">
        <v>71</v>
      </c>
      <c r="H2" s="5" t="s">
        <v>72</v>
      </c>
      <c r="I2" s="21" t="s">
        <v>62</v>
      </c>
      <c r="J2" s="21" t="s">
        <v>64</v>
      </c>
      <c r="K2" s="21" t="s">
        <v>27</v>
      </c>
      <c r="L2" s="21" t="s">
        <v>11</v>
      </c>
      <c r="M2" s="5" t="s">
        <v>63</v>
      </c>
      <c r="N2" s="7" t="s">
        <v>28</v>
      </c>
      <c r="O2" s="7" t="s">
        <v>68</v>
      </c>
      <c r="P2" s="7" t="s">
        <v>67</v>
      </c>
      <c r="Q2" s="7" t="s">
        <v>66</v>
      </c>
      <c r="R2" s="7" t="s">
        <v>65</v>
      </c>
    </row>
    <row r="3" spans="1:19" x14ac:dyDescent="0.35">
      <c r="A3" t="s">
        <v>57</v>
      </c>
      <c r="B3" s="21" t="s">
        <v>62</v>
      </c>
      <c r="C3" s="21" t="s">
        <v>64</v>
      </c>
      <c r="D3" s="21" t="s">
        <v>27</v>
      </c>
      <c r="E3" s="21" t="s">
        <v>11</v>
      </c>
      <c r="F3" s="5" t="s">
        <v>63</v>
      </c>
      <c r="G3" s="5" t="s">
        <v>28</v>
      </c>
      <c r="H3" s="5" t="s">
        <v>68</v>
      </c>
      <c r="I3" s="5" t="s">
        <v>67</v>
      </c>
      <c r="J3" s="5" t="s">
        <v>66</v>
      </c>
      <c r="K3" s="5" t="s">
        <v>65</v>
      </c>
      <c r="L3" s="5"/>
    </row>
    <row r="4" spans="1:19" x14ac:dyDescent="0.35">
      <c r="A4" t="s">
        <v>58</v>
      </c>
      <c r="B4" s="5" t="s">
        <v>74</v>
      </c>
      <c r="C4" s="5" t="s">
        <v>75</v>
      </c>
      <c r="D4" s="5" t="s">
        <v>73</v>
      </c>
      <c r="E4" s="5" t="s">
        <v>69</v>
      </c>
      <c r="F4" s="5" t="s">
        <v>70</v>
      </c>
      <c r="G4" s="5" t="s">
        <v>71</v>
      </c>
      <c r="H4" s="5" t="s">
        <v>72</v>
      </c>
      <c r="I4" s="21" t="s">
        <v>62</v>
      </c>
      <c r="J4" s="21" t="s">
        <v>64</v>
      </c>
      <c r="K4" s="21" t="s">
        <v>27</v>
      </c>
      <c r="L4" s="21" t="s">
        <v>11</v>
      </c>
      <c r="M4" s="5" t="s">
        <v>63</v>
      </c>
      <c r="N4" s="5"/>
    </row>
    <row r="5" spans="1:19" x14ac:dyDescent="0.35">
      <c r="A5" t="s">
        <v>59</v>
      </c>
      <c r="B5" s="5" t="s">
        <v>74</v>
      </c>
      <c r="C5" s="5" t="s">
        <v>75</v>
      </c>
      <c r="D5" s="5" t="s">
        <v>73</v>
      </c>
      <c r="E5" s="5" t="s">
        <v>69</v>
      </c>
      <c r="F5" s="5" t="s">
        <v>70</v>
      </c>
      <c r="G5" s="5" t="s">
        <v>71</v>
      </c>
      <c r="H5" s="5" t="s">
        <v>72</v>
      </c>
      <c r="I5" s="5" t="s">
        <v>28</v>
      </c>
      <c r="J5" s="5" t="s">
        <v>68</v>
      </c>
      <c r="K5" s="5" t="s">
        <v>67</v>
      </c>
      <c r="L5" s="5" t="s">
        <v>66</v>
      </c>
      <c r="M5" s="5" t="s">
        <v>65</v>
      </c>
      <c r="N5" s="5"/>
    </row>
    <row r="6" spans="1:19" x14ac:dyDescent="0.35">
      <c r="A6" t="s">
        <v>60</v>
      </c>
      <c r="B6" s="21" t="s">
        <v>62</v>
      </c>
      <c r="C6" s="21" t="s">
        <v>64</v>
      </c>
      <c r="D6" s="21" t="s">
        <v>27</v>
      </c>
      <c r="E6" s="21" t="s">
        <v>11</v>
      </c>
      <c r="F6" s="5" t="s">
        <v>63</v>
      </c>
    </row>
    <row r="7" spans="1:19" x14ac:dyDescent="0.35">
      <c r="A7" t="s">
        <v>61</v>
      </c>
      <c r="B7" s="5" t="s">
        <v>28</v>
      </c>
      <c r="C7" s="5" t="s">
        <v>68</v>
      </c>
      <c r="D7" s="5" t="s">
        <v>67</v>
      </c>
      <c r="E7" s="5" t="s">
        <v>66</v>
      </c>
      <c r="F7" s="5" t="s">
        <v>65</v>
      </c>
    </row>
    <row r="8" spans="1:19" x14ac:dyDescent="0.35">
      <c r="A8" t="s">
        <v>3</v>
      </c>
      <c r="B8" s="5" t="s">
        <v>73</v>
      </c>
      <c r="C8" s="5" t="s">
        <v>74</v>
      </c>
      <c r="D8" s="5" t="s">
        <v>75</v>
      </c>
      <c r="E8" s="5" t="s">
        <v>72</v>
      </c>
      <c r="F8" s="5" t="s">
        <v>69</v>
      </c>
      <c r="G8" s="5" t="s">
        <v>70</v>
      </c>
      <c r="H8" s="5" t="s">
        <v>71</v>
      </c>
      <c r="I8" s="5"/>
      <c r="J8" s="5"/>
      <c r="K8" s="5"/>
    </row>
    <row r="9" spans="1:19" x14ac:dyDescent="0.35">
      <c r="A9" t="s">
        <v>34</v>
      </c>
      <c r="B9" s="5" t="s">
        <v>35</v>
      </c>
      <c r="C9" s="5" t="s">
        <v>115</v>
      </c>
      <c r="D9" s="5" t="s">
        <v>114</v>
      </c>
      <c r="E9" s="5" t="s">
        <v>116</v>
      </c>
      <c r="F9" s="5"/>
      <c r="G9" s="5"/>
      <c r="H9" s="5"/>
      <c r="I9" s="5"/>
    </row>
    <row r="10" spans="1:19" x14ac:dyDescent="0.35">
      <c r="A10" t="s">
        <v>157</v>
      </c>
      <c r="B10" s="5" t="s">
        <v>11</v>
      </c>
      <c r="C10" s="5" t="s">
        <v>63</v>
      </c>
      <c r="D10" s="5" t="s">
        <v>64</v>
      </c>
      <c r="E10" s="5" t="s">
        <v>62</v>
      </c>
      <c r="F10" s="5" t="s">
        <v>27</v>
      </c>
      <c r="G10" s="5"/>
      <c r="H10" s="5"/>
      <c r="I10" s="5"/>
    </row>
    <row r="11" spans="1:19" x14ac:dyDescent="0.35">
      <c r="B11" s="5"/>
      <c r="C11" s="5"/>
      <c r="D11" s="5"/>
      <c r="E11" s="5"/>
      <c r="F11" s="5"/>
      <c r="G11" s="5"/>
      <c r="H11" s="5"/>
      <c r="I11" s="5"/>
    </row>
    <row r="12" spans="1:19" x14ac:dyDescent="0.35">
      <c r="A12" t="s">
        <v>94</v>
      </c>
      <c r="B12" s="5" t="s">
        <v>95</v>
      </c>
      <c r="C12" s="5" t="s">
        <v>96</v>
      </c>
      <c r="D12" s="5" t="s">
        <v>97</v>
      </c>
      <c r="E12" s="5" t="s">
        <v>98</v>
      </c>
      <c r="F12" s="5" t="s">
        <v>99</v>
      </c>
      <c r="G12" s="5" t="s">
        <v>100</v>
      </c>
      <c r="H12" s="5" t="s">
        <v>101</v>
      </c>
      <c r="I12" s="5" t="s">
        <v>102</v>
      </c>
      <c r="J12" s="5" t="s">
        <v>103</v>
      </c>
      <c r="K12" s="5" t="s">
        <v>104</v>
      </c>
      <c r="L12" s="5" t="s">
        <v>105</v>
      </c>
      <c r="M12" s="5" t="s">
        <v>106</v>
      </c>
      <c r="N12" s="7" t="s">
        <v>107</v>
      </c>
      <c r="O12" s="7" t="s">
        <v>108</v>
      </c>
      <c r="P12" s="7" t="s">
        <v>109</v>
      </c>
      <c r="Q12" s="7" t="s">
        <v>110</v>
      </c>
      <c r="R12" s="7" t="s">
        <v>111</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94</v>
      </c>
      <c r="B22" s="15" t="s">
        <v>95</v>
      </c>
      <c r="C22" s="16" t="s">
        <v>96</v>
      </c>
    </row>
    <row r="23" spans="1:23" x14ac:dyDescent="0.35">
      <c r="B23" s="18" t="s">
        <v>94</v>
      </c>
      <c r="C23" s="19" t="s">
        <v>95</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255</v>
      </c>
      <c r="B25" t="s">
        <v>256</v>
      </c>
      <c r="C25" s="5" t="s">
        <v>60</v>
      </c>
      <c r="G25" s="19"/>
      <c r="H25" s="19"/>
      <c r="I25" s="19"/>
      <c r="J25" s="19"/>
    </row>
    <row r="26" spans="1:23" x14ac:dyDescent="0.35">
      <c r="A26" s="17" t="s">
        <v>271</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76</v>
      </c>
      <c r="C30" s="18" t="s">
        <v>56</v>
      </c>
    </row>
    <row r="31" spans="1:23" x14ac:dyDescent="0.35">
      <c r="A31" s="17"/>
      <c r="B31" s="20" t="s">
        <v>92</v>
      </c>
      <c r="C31" s="18" t="s">
        <v>56</v>
      </c>
    </row>
    <row r="32" spans="1:23" x14ac:dyDescent="0.35">
      <c r="A32" s="17" t="s">
        <v>38</v>
      </c>
      <c r="B32" s="18" t="s">
        <v>13</v>
      </c>
      <c r="C32" s="18" t="s">
        <v>60</v>
      </c>
    </row>
    <row r="33" spans="1:3" x14ac:dyDescent="0.35">
      <c r="A33" s="17"/>
      <c r="B33" s="20" t="s">
        <v>14</v>
      </c>
      <c r="C33" s="18" t="s">
        <v>60</v>
      </c>
    </row>
    <row r="34" spans="1:3" x14ac:dyDescent="0.35">
      <c r="A34" s="17"/>
      <c r="B34" s="20" t="s">
        <v>15</v>
      </c>
      <c r="C34" s="18" t="s">
        <v>60</v>
      </c>
    </row>
    <row r="35" spans="1:3" x14ac:dyDescent="0.35">
      <c r="A35" s="17"/>
      <c r="B35" s="20" t="s">
        <v>16</v>
      </c>
      <c r="C35" s="18" t="s">
        <v>60</v>
      </c>
    </row>
    <row r="36" spans="1:3" x14ac:dyDescent="0.35">
      <c r="A36" s="17"/>
      <c r="B36" s="20" t="s">
        <v>17</v>
      </c>
      <c r="C36" s="18" t="s">
        <v>60</v>
      </c>
    </row>
    <row r="37" spans="1:3" x14ac:dyDescent="0.35">
      <c r="A37" s="17"/>
      <c r="B37" s="20" t="s">
        <v>18</v>
      </c>
      <c r="C37" s="18" t="s">
        <v>60</v>
      </c>
    </row>
    <row r="38" spans="1:3" x14ac:dyDescent="0.35">
      <c r="A38" s="17"/>
      <c r="B38" s="20" t="s">
        <v>19</v>
      </c>
      <c r="C38" s="18" t="s">
        <v>60</v>
      </c>
    </row>
    <row r="39" spans="1:3" x14ac:dyDescent="0.35">
      <c r="A39" s="17"/>
      <c r="B39" s="20" t="s">
        <v>20</v>
      </c>
      <c r="C39" s="18" t="s">
        <v>60</v>
      </c>
    </row>
    <row r="40" spans="1:3" x14ac:dyDescent="0.35">
      <c r="A40" s="17"/>
      <c r="B40" s="20" t="s">
        <v>21</v>
      </c>
      <c r="C40" s="18" t="s">
        <v>60</v>
      </c>
    </row>
    <row r="41" spans="1:3" x14ac:dyDescent="0.35">
      <c r="A41" s="17"/>
      <c r="B41" s="20" t="s">
        <v>112</v>
      </c>
      <c r="C41" s="18" t="s">
        <v>60</v>
      </c>
    </row>
    <row r="42" spans="1:3" x14ac:dyDescent="0.35">
      <c r="A42" s="17"/>
      <c r="B42" s="20" t="s">
        <v>37</v>
      </c>
      <c r="C42" s="18" t="s">
        <v>60</v>
      </c>
    </row>
    <row r="43" spans="1:3" x14ac:dyDescent="0.35">
      <c r="A43" s="17"/>
      <c r="B43" s="20" t="s">
        <v>23</v>
      </c>
      <c r="C43" s="18" t="s">
        <v>60</v>
      </c>
    </row>
    <row r="44" spans="1:3" x14ac:dyDescent="0.35">
      <c r="A44" s="17"/>
      <c r="B44" s="20" t="s">
        <v>25</v>
      </c>
      <c r="C44" s="18" t="s">
        <v>60</v>
      </c>
    </row>
    <row r="45" spans="1:3" x14ac:dyDescent="0.35">
      <c r="A45" s="17"/>
      <c r="B45" s="18" t="s">
        <v>26</v>
      </c>
      <c r="C45" s="18" t="s">
        <v>60</v>
      </c>
    </row>
    <row r="46" spans="1:3" x14ac:dyDescent="0.35">
      <c r="A46" s="17"/>
      <c r="B46" s="18" t="s">
        <v>30</v>
      </c>
      <c r="C46" s="18" t="s">
        <v>60</v>
      </c>
    </row>
    <row r="47" spans="1:3" x14ac:dyDescent="0.35">
      <c r="A47" s="18"/>
      <c r="B47" s="18" t="s">
        <v>21</v>
      </c>
      <c r="C47" s="18" t="s">
        <v>60</v>
      </c>
    </row>
    <row r="48" spans="1:3" x14ac:dyDescent="0.35">
      <c r="A48" s="18"/>
      <c r="B48" s="18" t="s">
        <v>20</v>
      </c>
      <c r="C48" s="18" t="s">
        <v>60</v>
      </c>
    </row>
    <row r="49" spans="1:3" x14ac:dyDescent="0.35">
      <c r="A49" s="18"/>
      <c r="B49" s="18" t="s">
        <v>37</v>
      </c>
      <c r="C49" s="18" t="s">
        <v>60</v>
      </c>
    </row>
    <row r="50" spans="1:3" x14ac:dyDescent="0.35">
      <c r="A50" s="18"/>
      <c r="B50" s="18" t="s">
        <v>25</v>
      </c>
      <c r="C50" s="18" t="s">
        <v>60</v>
      </c>
    </row>
    <row r="51" spans="1:3" x14ac:dyDescent="0.35">
      <c r="A51" s="18"/>
      <c r="B51" s="18" t="s">
        <v>53</v>
      </c>
      <c r="C51" s="18" t="s">
        <v>60</v>
      </c>
    </row>
    <row r="52" spans="1:3" x14ac:dyDescent="0.35">
      <c r="A52" s="18"/>
      <c r="B52" s="18" t="s">
        <v>258</v>
      </c>
      <c r="C52" s="18" t="s">
        <v>60</v>
      </c>
    </row>
    <row r="53" spans="1:3" x14ac:dyDescent="0.35">
      <c r="A53" s="18"/>
      <c r="B53" s="18" t="s">
        <v>259</v>
      </c>
      <c r="C53" s="18" t="s">
        <v>60</v>
      </c>
    </row>
    <row r="54" spans="1:3" x14ac:dyDescent="0.35">
      <c r="A54" s="18"/>
      <c r="B54" s="18" t="s">
        <v>260</v>
      </c>
      <c r="C54" s="18" t="s">
        <v>60</v>
      </c>
    </row>
    <row r="55" spans="1:3" x14ac:dyDescent="0.35">
      <c r="A55" s="18"/>
      <c r="B55" s="18" t="s">
        <v>261</v>
      </c>
      <c r="C55" s="18" t="s">
        <v>60</v>
      </c>
    </row>
    <row r="56" spans="1:3" x14ac:dyDescent="0.35">
      <c r="A56" s="18"/>
      <c r="B56" s="18" t="s">
        <v>262</v>
      </c>
      <c r="C56" s="18" t="s">
        <v>60</v>
      </c>
    </row>
    <row r="57" spans="1:3" x14ac:dyDescent="0.35">
      <c r="A57" s="18"/>
      <c r="B57" s="18" t="s">
        <v>263</v>
      </c>
      <c r="C57" s="18" t="s">
        <v>60</v>
      </c>
    </row>
    <row r="58" spans="1:3" x14ac:dyDescent="0.35">
      <c r="A58" s="17" t="s">
        <v>272</v>
      </c>
      <c r="B58" t="s">
        <v>243</v>
      </c>
      <c r="C58" s="18" t="s">
        <v>60</v>
      </c>
    </row>
    <row r="59" spans="1:3" x14ac:dyDescent="0.35">
      <c r="A59" s="18"/>
      <c r="B59" t="s">
        <v>244</v>
      </c>
      <c r="C59" s="18" t="s">
        <v>60</v>
      </c>
    </row>
    <row r="60" spans="1:3" x14ac:dyDescent="0.35">
      <c r="A60" s="18"/>
      <c r="B60" t="s">
        <v>245</v>
      </c>
      <c r="C60" s="18" t="s">
        <v>60</v>
      </c>
    </row>
    <row r="61" spans="1:3" x14ac:dyDescent="0.35">
      <c r="A61" s="18"/>
      <c r="B61" t="s">
        <v>246</v>
      </c>
      <c r="C61" s="18" t="s">
        <v>60</v>
      </c>
    </row>
    <row r="62" spans="1:3" x14ac:dyDescent="0.35">
      <c r="A62" s="18"/>
      <c r="B62" t="s">
        <v>247</v>
      </c>
      <c r="C62" s="18" t="s">
        <v>60</v>
      </c>
    </row>
    <row r="63" spans="1:3" x14ac:dyDescent="0.35">
      <c r="A63" s="18"/>
      <c r="B63" t="s">
        <v>248</v>
      </c>
      <c r="C63" s="18" t="s">
        <v>60</v>
      </c>
    </row>
    <row r="64" spans="1:3" x14ac:dyDescent="0.35">
      <c r="A64" s="18"/>
      <c r="B64" t="s">
        <v>249</v>
      </c>
      <c r="C64" s="18" t="s">
        <v>60</v>
      </c>
    </row>
    <row r="65" spans="1:3" x14ac:dyDescent="0.35">
      <c r="A65" s="18"/>
      <c r="B65" t="s">
        <v>250</v>
      </c>
      <c r="C65" s="18" t="s">
        <v>60</v>
      </c>
    </row>
    <row r="66" spans="1:3" x14ac:dyDescent="0.35">
      <c r="A66" s="18"/>
      <c r="B66" t="s">
        <v>251</v>
      </c>
      <c r="C66" s="18" t="s">
        <v>60</v>
      </c>
    </row>
    <row r="67" spans="1:3" x14ac:dyDescent="0.35">
      <c r="A67" s="18"/>
      <c r="B67" t="s">
        <v>252</v>
      </c>
      <c r="C67" s="18" t="s">
        <v>60</v>
      </c>
    </row>
    <row r="68" spans="1:3" x14ac:dyDescent="0.35">
      <c r="A68" s="18"/>
      <c r="B68" t="s">
        <v>253</v>
      </c>
      <c r="C68" s="18" t="s">
        <v>60</v>
      </c>
    </row>
    <row r="69" spans="1:3" x14ac:dyDescent="0.35">
      <c r="A69" s="18"/>
      <c r="B69" t="s">
        <v>254</v>
      </c>
      <c r="C69" s="18" t="s">
        <v>60</v>
      </c>
    </row>
    <row r="70" spans="1:3" x14ac:dyDescent="0.35">
      <c r="A70" s="17" t="s">
        <v>242</v>
      </c>
      <c r="B70" s="70" t="s">
        <v>264</v>
      </c>
      <c r="C70" s="18" t="s">
        <v>60</v>
      </c>
    </row>
    <row r="71" spans="1:3" x14ac:dyDescent="0.35">
      <c r="A71" s="17"/>
      <c r="B71" s="70" t="s">
        <v>270</v>
      </c>
      <c r="C71" s="18" t="s">
        <v>60</v>
      </c>
    </row>
    <row r="72" spans="1:3" x14ac:dyDescent="0.35">
      <c r="A72" s="17" t="s">
        <v>29</v>
      </c>
      <c r="B72" s="18" t="s">
        <v>29</v>
      </c>
      <c r="C72" s="18"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11" sqref="B11"/>
    </sheetView>
  </sheetViews>
  <sheetFormatPr defaultRowHeight="14.5" x14ac:dyDescent="0.35"/>
  <cols>
    <col min="1" max="1" width="12.1796875" bestFit="1" customWidth="1"/>
    <col min="2" max="2" width="26.453125" bestFit="1" customWidth="1"/>
  </cols>
  <sheetData>
    <row r="1" spans="1:4" x14ac:dyDescent="0.35">
      <c r="A1" s="4" t="s">
        <v>119</v>
      </c>
      <c r="B1" s="4" t="s">
        <v>6</v>
      </c>
      <c r="C1" s="4" t="s">
        <v>147</v>
      </c>
      <c r="D1" s="4" t="s">
        <v>149</v>
      </c>
    </row>
    <row r="2" spans="1:4" x14ac:dyDescent="0.35">
      <c r="B2" t="s">
        <v>0</v>
      </c>
      <c r="D2" t="s">
        <v>150</v>
      </c>
    </row>
    <row r="3" spans="1:4" x14ac:dyDescent="0.35">
      <c r="A3" t="s">
        <v>91</v>
      </c>
      <c r="B3" t="s">
        <v>145</v>
      </c>
      <c r="C3" t="s">
        <v>148</v>
      </c>
      <c r="D3" t="s">
        <v>154</v>
      </c>
    </row>
    <row r="4" spans="1:4" x14ac:dyDescent="0.35">
      <c r="A4" t="s">
        <v>120</v>
      </c>
      <c r="B4" t="s">
        <v>120</v>
      </c>
      <c r="C4" t="s">
        <v>123</v>
      </c>
      <c r="D4" t="s">
        <v>155</v>
      </c>
    </row>
    <row r="5" spans="1:4" x14ac:dyDescent="0.35">
      <c r="A5" t="s">
        <v>90</v>
      </c>
      <c r="B5" t="s">
        <v>90</v>
      </c>
      <c r="D5" t="s">
        <v>156</v>
      </c>
    </row>
    <row r="6" spans="1:4" x14ac:dyDescent="0.35">
      <c r="B6" t="s">
        <v>265</v>
      </c>
      <c r="D6" t="s">
        <v>151</v>
      </c>
    </row>
    <row r="7" spans="1:4" x14ac:dyDescent="0.35">
      <c r="D7" t="s">
        <v>152</v>
      </c>
    </row>
    <row r="8" spans="1:4" x14ac:dyDescent="0.35">
      <c r="D8"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tabSelected="1" workbookViewId="0">
      <pane ySplit="4" topLeftCell="A5" activePane="bottomLeft" state="frozen"/>
      <selection pane="bottomLeft" activeCell="F15" sqref="F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0</v>
      </c>
      <c r="B5" s="10" t="s">
        <v>255</v>
      </c>
      <c r="C5" s="10" t="s">
        <v>256</v>
      </c>
      <c r="D5" s="27"/>
      <c r="E5" s="23">
        <v>9166.66</v>
      </c>
      <c r="F5" s="27" t="s">
        <v>64</v>
      </c>
      <c r="G5" s="39"/>
      <c r="H5" s="39"/>
      <c r="I5" s="43" t="str">
        <f>IF(Table13[[#This Row],[Type]]="Co-product", "No", "")</f>
        <v/>
      </c>
      <c r="J5" s="10"/>
      <c r="K5" s="10" t="str">
        <f>IF(Table13[[#This Row],[Category]]="Transportation", _xlfn.XLOOKUP(Table13[[#This Row],[Resource]], 'SI - Payload'!$A$10:$A$35,'SI - Payload'!$B$10:$B$35,"",0), "")</f>
        <v/>
      </c>
      <c r="L5" s="10" t="str">
        <f>IF(Table13[[#This Row],[Category]]="Transportation", "ton", "")</f>
        <v/>
      </c>
      <c r="M5" s="10"/>
      <c r="N5" s="10"/>
      <c r="O5" s="10" t="str">
        <f>Table13[[#This Row],[Resource]]</f>
        <v>Sludge</v>
      </c>
      <c r="P5" s="10" t="str">
        <f>IF(_xlfn.XLOOKUP($O5,'SI - End Use'!$B$2:$B$51,'SI - End Use'!$C$2:$C$51, "")="", "", _xlfn.XLOOKUP($C5,'SI - End Use'!$B$2:$B$51,'SI - End Use'!$C$2:$C$51, ""))</f>
        <v/>
      </c>
      <c r="Q5" s="10"/>
      <c r="R5" s="10"/>
    </row>
    <row r="6" spans="1:18" x14ac:dyDescent="0.35">
      <c r="A6" s="10" t="s">
        <v>0</v>
      </c>
      <c r="B6" s="10" t="s">
        <v>271</v>
      </c>
      <c r="C6" s="10" t="s">
        <v>24</v>
      </c>
      <c r="D6" s="27" t="s">
        <v>31</v>
      </c>
      <c r="E6" s="23">
        <v>229</v>
      </c>
      <c r="F6" s="27" t="s">
        <v>64</v>
      </c>
      <c r="G6" s="39"/>
      <c r="H6" s="39"/>
      <c r="I6" s="43" t="str">
        <f>IF(Table13[[#This Row],[Type]]="Co-product", "No", "")</f>
        <v/>
      </c>
      <c r="J6" s="10"/>
      <c r="K6" s="10" t="str">
        <f>IF(Table13[[#This Row],[Category]]="Transportation", _xlfn.XLOOKUP(Table13[[#This Row],[Resource]], 'SI - Payload'!$A$10:$A$35,'SI - Payload'!$B$10:$B$35,"",0), "")</f>
        <v/>
      </c>
      <c r="L6" s="10" t="str">
        <f>IF(Table13[[#This Row],[Category]]="Transportation", "ton", "")</f>
        <v/>
      </c>
      <c r="M6" s="10"/>
      <c r="N6" s="10"/>
      <c r="O6" s="10" t="str">
        <f>Table13[[#This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325.5</v>
      </c>
      <c r="F7" s="27" t="s">
        <v>73</v>
      </c>
      <c r="G7" s="39"/>
      <c r="H7" s="39"/>
      <c r="I7" s="43" t="str">
        <f>IF(Table13[[#This Row],[Type]]="Co-product", "No", "")</f>
        <v/>
      </c>
      <c r="J7" s="10"/>
      <c r="K7" s="10" t="str">
        <f>IF(Table13[[#This Row],[Category]]="Transportation", _xlfn.XLOOKUP(Table13[[#This Row],[Resource]], 'SI - Payload'!$A$10:$A$35,'SI - Payload'!$B$10:$B$35,"",0), "")</f>
        <v/>
      </c>
      <c r="L7" s="10" t="str">
        <f>IF(Table13[[#This Row],[Category]]="Transportation", "ton", "")</f>
        <v/>
      </c>
      <c r="M7" s="10"/>
      <c r="N7" s="10"/>
      <c r="O7" s="10" t="str">
        <f>Table13[[#This Row],[Resource]]</f>
        <v>Electricity</v>
      </c>
      <c r="P7" s="10" t="str">
        <f>IF(_xlfn.XLOOKUP($O7,'SI - End Use'!$B$2:$B$51,'SI - End Use'!$C$2:$C$51, "")="", "", _xlfn.XLOOKUP($C7,'SI - End Use'!$B$2:$B$51,'SI - End Use'!$C$2:$C$51, ""))</f>
        <v>U.S. Mix</v>
      </c>
      <c r="Q7" s="10"/>
      <c r="R7" s="10"/>
    </row>
    <row r="8" spans="1:18" x14ac:dyDescent="0.35">
      <c r="A8" s="10" t="s">
        <v>0</v>
      </c>
      <c r="B8" s="10" t="s">
        <v>38</v>
      </c>
      <c r="C8" s="10" t="s">
        <v>258</v>
      </c>
      <c r="D8" s="27" t="str">
        <f>IF(_xlfn.XLOOKUP($C8,'SI - End Use'!$B$2:$B$51,'SI - End Use'!$C$2:$C$51, "")="", "", _xlfn.XLOOKUP($C8,'SI - End Use'!$B$2:$B$51,'SI - End Use'!$C$2:$C$51, ""))</f>
        <v/>
      </c>
      <c r="E8" s="23">
        <v>41.685600000000001</v>
      </c>
      <c r="F8" s="27" t="s">
        <v>64</v>
      </c>
      <c r="G8" s="39"/>
      <c r="H8" s="39"/>
      <c r="I8" s="43" t="str">
        <f>IF(Table13[[#This Row],[Type]]="Co-product", "No", "")</f>
        <v/>
      </c>
      <c r="J8" s="10"/>
      <c r="K8" s="10" t="str">
        <f>IF(Table13[[#This Row],[Category]]="Transportation", _xlfn.XLOOKUP(Table13[[#This Row],[Resource]], 'SI - Payload'!$A$10:$A$35,'SI - Payload'!$B$10:$B$35,"",0), "")</f>
        <v/>
      </c>
      <c r="L8" s="10" t="str">
        <f>IF(Table13[[#This Row],[Category]]="Transportation", "ton", "")</f>
        <v/>
      </c>
      <c r="M8" s="10"/>
      <c r="N8" s="10"/>
      <c r="O8" s="10" t="str">
        <f>Table13[[#This Row],[Resource]]</f>
        <v>Polymer</v>
      </c>
      <c r="P8" s="10" t="str">
        <f>IF(_xlfn.XLOOKUP($O8,'SI - End Use'!$B$2:$B$51,'SI - End Use'!$C$2:$C$51, "")="", "", _xlfn.XLOOKUP($C8,'SI - End Use'!$B$2:$B$51,'SI - End Use'!$C$2:$C$51, ""))</f>
        <v/>
      </c>
      <c r="Q8" s="10"/>
      <c r="R8" s="10"/>
    </row>
    <row r="9" spans="1:18" x14ac:dyDescent="0.35">
      <c r="A9" s="10" t="s">
        <v>0</v>
      </c>
      <c r="B9" s="10" t="s">
        <v>38</v>
      </c>
      <c r="C9" s="10" t="s">
        <v>259</v>
      </c>
      <c r="D9" s="27" t="str">
        <f>IF(_xlfn.XLOOKUP($C9,'SI - End Use'!$B$2:$B$51,'SI - End Use'!$C$2:$C$51, "")="", "", _xlfn.XLOOKUP($C9,'SI - End Use'!$B$2:$B$51,'SI - End Use'!$C$2:$C$51, ""))</f>
        <v/>
      </c>
      <c r="E9" s="23">
        <v>407.13513513513516</v>
      </c>
      <c r="F9" s="27" t="s">
        <v>64</v>
      </c>
      <c r="G9" s="39"/>
      <c r="H9" s="39"/>
      <c r="I9" s="43" t="str">
        <f>IF(Table13[[#This Row],[Type]]="Co-product", "No", "")</f>
        <v/>
      </c>
      <c r="J9" s="10"/>
      <c r="K9" s="10" t="str">
        <f>IF(Table13[[#This Row],[Category]]="Transportation", _xlfn.XLOOKUP(Table13[[#This Row],[Resource]], 'SI - Payload'!$A$10:$A$35,'SI - Payload'!$B$10:$B$35,"",0), "")</f>
        <v/>
      </c>
      <c r="L9" s="10" t="str">
        <f>IF(Table13[[#This Row],[Category]]="Transportation", "ton", "")</f>
        <v/>
      </c>
      <c r="M9" s="10"/>
      <c r="N9" s="10"/>
      <c r="O9" s="10" t="str">
        <f>Table13[[#This Row],[Resource]]</f>
        <v>Lime</v>
      </c>
      <c r="P9" s="10" t="str">
        <f>IF(_xlfn.XLOOKUP($O9,'SI - End Use'!$B$2:$B$51,'SI - End Use'!$C$2:$C$51, "")="", "", _xlfn.XLOOKUP($C9,'SI - End Use'!$B$2:$B$51,'SI - End Use'!$C$2:$C$51, ""))</f>
        <v/>
      </c>
      <c r="Q9" s="10"/>
      <c r="R9" s="10"/>
    </row>
    <row r="10" spans="1:18" x14ac:dyDescent="0.35">
      <c r="A10" s="10" t="s">
        <v>0</v>
      </c>
      <c r="B10" s="10" t="s">
        <v>29</v>
      </c>
      <c r="C10" s="10" t="s">
        <v>29</v>
      </c>
      <c r="D10" s="27" t="str">
        <f>IF(_xlfn.XLOOKUP($C10,'SI - End Use'!$B$2:$B$51,'SI - End Use'!$C$2:$C$51, "")="", "", _xlfn.XLOOKUP($C10,'SI - End Use'!$B$2:$B$51,'SI - End Use'!$C$2:$C$51, ""))</f>
        <v/>
      </c>
      <c r="E10" s="23">
        <v>196.83418253552099</v>
      </c>
      <c r="F10" s="27" t="s">
        <v>64</v>
      </c>
      <c r="G10" s="39"/>
      <c r="H10" s="39"/>
      <c r="I10" s="43" t="str">
        <f>IF(Table13[[#This Row],[Type]]="Co-product", "No", "")</f>
        <v/>
      </c>
      <c r="J10" s="10"/>
      <c r="K10" s="10" t="str">
        <f>IF(Table13[[#This Row],[Category]]="Transportation", _xlfn.XLOOKUP(Table13[[#This Row],[Resource]], 'SI - Payload'!$A$10:$A$35,'SI - Payload'!$B$10:$B$35,"",0), "")</f>
        <v/>
      </c>
      <c r="L10" s="10" t="str">
        <f>IF(Table13[[#This Row],[Category]]="Transportation", "ton", "")</f>
        <v/>
      </c>
      <c r="M10" s="10"/>
      <c r="N10" s="10"/>
      <c r="O10" s="10" t="str">
        <f>Table13[[#This Row],[Resource]]</f>
        <v>Water</v>
      </c>
      <c r="P10" s="10" t="str">
        <f>IF(_xlfn.XLOOKUP($O10,'SI - End Use'!$B$2:$B$51,'SI - End Use'!$C$2:$C$51, "")="", "", _xlfn.XLOOKUP($C10,'SI - End Use'!$B$2:$B$51,'SI - End Use'!$C$2:$C$51, ""))</f>
        <v/>
      </c>
      <c r="Q10" s="10"/>
      <c r="R10" s="10"/>
    </row>
    <row r="11" spans="1:18" x14ac:dyDescent="0.35">
      <c r="A11" s="10" t="s">
        <v>265</v>
      </c>
      <c r="B11" s="10" t="s">
        <v>242</v>
      </c>
      <c r="C11" s="10" t="s">
        <v>264</v>
      </c>
      <c r="D11" s="27" t="str">
        <f>IF(_xlfn.XLOOKUP($C11,'SI - End Use'!$B$2:$B$51,'SI - End Use'!$C$2:$C$51, "")="", "", _xlfn.XLOOKUP($C11,'SI - End Use'!$B$2:$B$51,'SI - End Use'!$C$2:$C$51, ""))</f>
        <v/>
      </c>
      <c r="E11" s="23">
        <v>3592.2218672845001</v>
      </c>
      <c r="F11" s="27" t="s">
        <v>64</v>
      </c>
      <c r="G11" s="39"/>
      <c r="H11" s="39"/>
      <c r="I11" s="43" t="str">
        <f>IF(Table13[[#This Row],[Type]]="Co-product", "No", "")</f>
        <v/>
      </c>
      <c r="J11" s="10"/>
      <c r="K11" s="10" t="str">
        <f>IF(Table13[[#This Row],[Category]]="Transportation", _xlfn.XLOOKUP(Table13[[#This Row],[Resource]], 'SI - Payload'!$A$10:$A$35,'SI - Payload'!$B$10:$B$35,"",0), "")</f>
        <v/>
      </c>
      <c r="L11" s="10" t="str">
        <f>IF(Table13[[#This Row],[Category]]="Transportation", "ton", "")</f>
        <v/>
      </c>
      <c r="M11" s="10"/>
      <c r="N11" s="10"/>
      <c r="O11" s="10" t="str">
        <f>Table13[[#This Row],[Resource]]</f>
        <v>Biocrude</v>
      </c>
      <c r="P11" s="10" t="str">
        <f>IF(_xlfn.XLOOKUP($O11,'SI - End Use'!$B$2:$B$51,'SI - End Use'!$C$2:$C$51, "")="", "", _xlfn.XLOOKUP($C11,'SI - End Use'!$B$2:$B$51,'SI - End Use'!$C$2:$C$51, ""))</f>
        <v/>
      </c>
      <c r="Q11" s="10"/>
      <c r="R11" s="10"/>
    </row>
    <row r="12" spans="1:18" x14ac:dyDescent="0.35">
      <c r="A12" s="10" t="s">
        <v>265</v>
      </c>
      <c r="B12" s="10" t="s">
        <v>242</v>
      </c>
      <c r="C12" s="10" t="s">
        <v>270</v>
      </c>
      <c r="D12" s="27" t="str">
        <f>IF(_xlfn.XLOOKUP($C12,'SI - End Use'!$B$2:$B$51,'SI - End Use'!$C$2:$C$51, "")="", "", _xlfn.XLOOKUP($C12,'SI - End Use'!$B$2:$B$51,'SI - End Use'!$C$2:$C$51, ""))</f>
        <v/>
      </c>
      <c r="E12" s="23">
        <v>862.37929837680099</v>
      </c>
      <c r="F12" s="27" t="s">
        <v>64</v>
      </c>
      <c r="G12" s="39"/>
      <c r="H12" s="39"/>
      <c r="I12" s="43" t="str">
        <f>IF(Table13[[#This Row],[Type]]="Co-product", "No", "")</f>
        <v/>
      </c>
      <c r="J12" s="10"/>
      <c r="K12" s="10" t="str">
        <f>IF(Table13[[#This Row],[Category]]="Transportation", _xlfn.XLOOKUP(Table13[[#This Row],[Resource]], 'SI - Payload'!$A$10:$A$35,'SI - Payload'!$B$10:$B$35,"",0), "")</f>
        <v/>
      </c>
      <c r="L12" s="10" t="str">
        <f>IF(Table13[[#This Row],[Category]]="Transportation", "ton", "")</f>
        <v/>
      </c>
      <c r="M12" s="10"/>
      <c r="N12" s="10"/>
      <c r="O12" s="10" t="str">
        <f>Table13[[#This Row],[Resource]]</f>
        <v>Solids from Aqueous Treatment</v>
      </c>
      <c r="P12" s="10" t="str">
        <f>IF(_xlfn.XLOOKUP($O12,'SI - End Use'!$B$2:$B$51,'SI - End Use'!$C$2:$C$51, "")="", "", _xlfn.XLOOKUP($C12,'SI - End Use'!$B$2:$B$51,'SI - End Use'!$C$2:$C$51, ""))</f>
        <v/>
      </c>
      <c r="Q12" s="10"/>
      <c r="R12" s="10"/>
    </row>
    <row r="13" spans="1:18" x14ac:dyDescent="0.35">
      <c r="A13" s="10" t="s">
        <v>0</v>
      </c>
      <c r="B13" s="10" t="s">
        <v>34</v>
      </c>
      <c r="C13" s="10" t="s">
        <v>264</v>
      </c>
      <c r="D13" s="27" t="str">
        <f>IF(_xlfn.XLOOKUP($C13,'SI - End Use'!$B$2:$B$51,'SI - End Use'!$C$2:$C$51, "")="", "", _xlfn.XLOOKUP($C13,'SI - End Use'!$B$2:$B$51,'SI - End Use'!$C$2:$C$51, ""))</f>
        <v/>
      </c>
      <c r="E13" s="23">
        <v>100</v>
      </c>
      <c r="F13" s="27" t="str" cm="1">
        <f t="array" ref="F13">IF($B13="Transportation",  'SI - Units'!$B$9:$B$9, _xlfn.XLOOKUP(_xlfn.XLOOKUP($C13,'SI - Units'!$B$24:$B$72,'SI - Units'!$C$24:$C$72, ""),'SI - Units'!$A$2:$A$8,'SI - Units'!$B$2:$B$8, ""))</f>
        <v>mi</v>
      </c>
      <c r="G13" s="39"/>
      <c r="H13" s="39"/>
      <c r="I13" s="43" t="str">
        <f>IF(Table13[[#This Row],[Type]]="Co-product", "No", "")</f>
        <v/>
      </c>
      <c r="J13" s="10"/>
      <c r="K13" s="10">
        <f>IF(Table13[[#This Row],[Category]]="Transportation", _xlfn.XLOOKUP(Table13[[#This Row],[Resource]], 'SI - Payload'!$A$10:$A$35,'SI - Payload'!$B$10:$B$35,"",0), "")</f>
        <v>23</v>
      </c>
      <c r="L13" s="10" t="str">
        <f>IF(Table13[[#This Row],[Category]]="Transportation", "ton", "")</f>
        <v>ton</v>
      </c>
      <c r="M13" s="10"/>
      <c r="N13" s="10"/>
      <c r="O13" s="10" t="str">
        <f>Table13[[#This Row],[Resource]]</f>
        <v>Biocrude</v>
      </c>
      <c r="P13" s="10" t="str">
        <f>IF(_xlfn.XLOOKUP($O13,'SI - End Use'!$B$2:$B$51,'SI - End Use'!$C$2:$C$51, "")="", "", _xlfn.XLOOKUP($C13,'SI - End Use'!$B$2:$B$51,'SI - End Use'!$C$2:$C$51, ""))</f>
        <v/>
      </c>
      <c r="Q13" s="10"/>
      <c r="R13" s="10"/>
    </row>
    <row r="14" spans="1:18" x14ac:dyDescent="0.35">
      <c r="A14" s="10" t="s">
        <v>0</v>
      </c>
      <c r="B14" s="10" t="s">
        <v>34</v>
      </c>
      <c r="C14" s="10" t="s">
        <v>270</v>
      </c>
      <c r="D14" s="27"/>
      <c r="E14" s="23">
        <v>50</v>
      </c>
      <c r="F14" s="27" t="s">
        <v>35</v>
      </c>
      <c r="G14" s="39"/>
      <c r="H14" s="39"/>
      <c r="I14" s="43"/>
      <c r="J14" s="10"/>
      <c r="K14" s="10">
        <f>IF(Table13[[#This Row],[Category]]="Transportation", _xlfn.XLOOKUP(Table13[[#This Row],[Resource]], 'SI - Payload'!$A$10:$A$35,'SI - Payload'!$B$10:$B$35,"",0), "")</f>
        <v>23</v>
      </c>
      <c r="L14" s="10" t="str">
        <f>IF(Table13[[#This Row],[Category]]="Transportation", "ton", "")</f>
        <v>ton</v>
      </c>
      <c r="M14" s="10"/>
      <c r="N14" s="10"/>
      <c r="O14" s="10" t="str">
        <f>Table13[[#This Row],[Resource]]</f>
        <v>Solids from Aqueous Treatment</v>
      </c>
      <c r="P14" s="27"/>
      <c r="Q14" s="10"/>
      <c r="R14" s="10"/>
    </row>
    <row r="15" spans="1:18" x14ac:dyDescent="0.35">
      <c r="A15" s="10" t="s">
        <v>0</v>
      </c>
      <c r="B15" s="10" t="s">
        <v>272</v>
      </c>
      <c r="C15" s="10" t="s">
        <v>254</v>
      </c>
      <c r="D15" s="27" t="str">
        <f>IF(_xlfn.XLOOKUP($C15,'SI - End Use'!$B$2:$B$51,'SI - End Use'!$C$2:$C$51, "")="", "", _xlfn.XLOOKUP($C15,'SI - End Use'!$B$2:$B$51,'SI - End Use'!$C$2:$C$51, ""))</f>
        <v/>
      </c>
      <c r="E15" s="23">
        <f>719*12/100*50.8%*44/12</f>
        <v>160.71088</v>
      </c>
      <c r="F15" s="27" t="s">
        <v>64</v>
      </c>
      <c r="G15" s="39"/>
      <c r="H15" s="39"/>
      <c r="I15" s="43" t="str">
        <f>IF(Table13[[#This Row],[Type]]="Co-product", "No", "")</f>
        <v/>
      </c>
      <c r="J15" s="10"/>
      <c r="K15" s="27" t="str">
        <f>IF(Table13[[#This Row],[Category]]="Transportation", _xlfn.XLOOKUP(Table13[[#This Row],[Resource]], 'SI - Payload'!$A$10:$A$35,'SI - Payload'!$B$10:$B$35,"",0), "")</f>
        <v/>
      </c>
      <c r="L15" s="27" t="str">
        <f>IF(Table13[[#This Row],[Category]]="Transportation", "ton", "")</f>
        <v/>
      </c>
      <c r="M15" s="10"/>
      <c r="N15" s="10"/>
      <c r="O15" s="27" t="str">
        <f>Table13[[#This Row],[Resource]]</f>
        <v>CO2 sequestration</v>
      </c>
      <c r="P15" s="27" t="str">
        <f>IF(_xlfn.XLOOKUP($O15,'SI - End Use'!$B$2:$B$51,'SI - End Use'!$C$2:$C$51, "")="", "", _xlfn.XLOOKUP($C15,'SI - End Use'!$B$2:$B$51,'SI - End Use'!$C$2:$C$51, ""))</f>
        <v/>
      </c>
      <c r="Q15" s="10"/>
      <c r="R15" s="10" t="s">
        <v>267</v>
      </c>
    </row>
    <row r="16" spans="1:18" x14ac:dyDescent="0.35">
      <c r="A16" s="10" t="s">
        <v>120</v>
      </c>
      <c r="B16" s="10" t="s">
        <v>242</v>
      </c>
      <c r="C16" s="10" t="s">
        <v>264</v>
      </c>
      <c r="D16" s="27" t="str">
        <f>IF(_xlfn.XLOOKUP($C16,'SI - End Use'!$B$2:$B$51,'SI - End Use'!$C$2:$C$51, "")="", "", _xlfn.XLOOKUP($C16,'SI - End Use'!$B$2:$B$51,'SI - End Use'!$C$2:$C$51, ""))</f>
        <v/>
      </c>
      <c r="E16" s="23">
        <v>3592.2218672845001</v>
      </c>
      <c r="F16" s="27" t="s">
        <v>64</v>
      </c>
      <c r="G16" s="39"/>
      <c r="H16" s="39"/>
      <c r="I16" s="43" t="str">
        <f>IF(Table13[[#This Row],[Type]]="Co-product", "No", "")</f>
        <v/>
      </c>
      <c r="J16" s="10"/>
      <c r="K16" s="10" t="str">
        <f>IF(Table13[[#This Row],[Category]]="Transportation", _xlfn.XLOOKUP(Table13[[#This Row],[Resource]], 'SI - Payload'!$A$10:$A$35,'SI - Payload'!$B$10:$B$35,"",0), "")</f>
        <v/>
      </c>
      <c r="L16" s="10" t="str">
        <f>IF(Table13[[#This Row],[Category]]="Transportation", "ton", "")</f>
        <v/>
      </c>
      <c r="M16" s="10"/>
      <c r="N16" s="10"/>
      <c r="O16" s="10" t="str">
        <f>Table13[[#This Row],[Resource]]</f>
        <v>Biocrude</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IF(Table13[[#This Row],[Type]]="Co-product", "No", "")</f>
        <v/>
      </c>
      <c r="J17" s="10"/>
      <c r="K17" s="10" t="str">
        <f>IF(Table13[[#This Row],[Category]]="Transportation", _xlfn.XLOOKUP(Table13[[#This Row],[Resource]], 'SI - Payload'!$A$10:$A$35,'SI - Payload'!$B$10:$B$35,"",0), "")</f>
        <v/>
      </c>
      <c r="L17" s="10" t="str">
        <f>IF(Table13[[#This Row],[Category]]="Transportation",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IF(Table13[[#This Row],[Type]]="Co-product", "No", "")</f>
        <v/>
      </c>
      <c r="J18" s="10"/>
      <c r="K18" s="10" t="str">
        <f>IF(Table13[[#This Row],[Category]]="Transportation", _xlfn.XLOOKUP(Table13[[#This Row],[Resource]], 'SI - Payload'!$A$10:$A$35,'SI - Payload'!$B$10:$B$35,"",0), "")</f>
        <v/>
      </c>
      <c r="L18" s="10" t="str">
        <f>IF(Table13[[#This Row],[Category]]="Transportation",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IF(Table13[[#This Row],[Type]]="Co-product", "No", "")</f>
        <v/>
      </c>
      <c r="J19" s="10"/>
      <c r="K19" s="10" t="str">
        <f>IF(Table13[[#This Row],[Category]]="Transportation", _xlfn.XLOOKUP(Table13[[#This Row],[Resource]], 'SI - Payload'!$A$10:$A$35,'SI - Payload'!$B$10:$B$35,"",0), "")</f>
        <v/>
      </c>
      <c r="L19" s="10" t="str">
        <f>IF(Table13[[#This Row],[Category]]="Transportation",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IF(Table13[[#This Row],[Type]]="Co-product", "No", "")</f>
        <v/>
      </c>
      <c r="J20" s="10"/>
      <c r="K20" s="10" t="str">
        <f>IF(Table13[[#This Row],[Category]]="Transportation", _xlfn.XLOOKUP(Table13[[#This Row],[Resource]], 'SI - Payload'!$A$10:$A$35,'SI - Payload'!$B$10:$B$35,"",0), "")</f>
        <v/>
      </c>
      <c r="L20" s="10" t="str">
        <f>IF(Table13[[#This Row],[Category]]="Transportation",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IF(Table13[[#This Row],[Type]]="Co-product", "No", "")</f>
        <v/>
      </c>
      <c r="J21" s="10"/>
      <c r="K21" s="10" t="str">
        <f>IF(Table13[[#This Row],[Category]]="Transportation", _xlfn.XLOOKUP(Table13[[#This Row],[Resource]], 'SI - Payload'!$A$10:$A$35,'SI - Payload'!$B$10:$B$35,"",0), "")</f>
        <v/>
      </c>
      <c r="L21" s="10" t="str">
        <f>IF(Table13[[#This Row],[Category]]="Transportation",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IF(Table13[[#This Row],[Type]]="Co-product", "No", "")</f>
        <v/>
      </c>
      <c r="J22" s="10"/>
      <c r="K22" s="10" t="str">
        <f>IF(Table13[[#This Row],[Category]]="Transportation", _xlfn.XLOOKUP(Table13[[#This Row],[Resource]], 'SI - Payload'!$A$10:$A$35,'SI - Payload'!$B$10:$B$35,"",0), "")</f>
        <v/>
      </c>
      <c r="L22" s="10" t="str">
        <f>IF(Table13[[#This Row],[Category]]="Transportation",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IF(Table13[[#This Row],[Type]]="Co-product", "No", "")</f>
        <v/>
      </c>
      <c r="J23" s="10"/>
      <c r="K23" s="10" t="str">
        <f>IF(Table13[[#This Row],[Category]]="Transportation", _xlfn.XLOOKUP(Table13[[#This Row],[Resource]], 'SI - Payload'!$A$10:$A$35,'SI - Payload'!$B$10:$B$35,"",0), "")</f>
        <v/>
      </c>
      <c r="L23" s="10" t="str">
        <f>IF(Table13[[#This Row],[Category]]="Transportation",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IF(Table13[[#This Row],[Type]]="Co-product", "No", "")</f>
        <v/>
      </c>
      <c r="J24" s="10"/>
      <c r="K24" s="10" t="str">
        <f>IF(Table13[[#This Row],[Category]]="Transportation", _xlfn.XLOOKUP(Table13[[#This Row],[Resource]], 'SI - Payload'!$A$10:$A$35,'SI - Payload'!$B$10:$B$35,"",0), "")</f>
        <v/>
      </c>
      <c r="L24" s="10" t="str">
        <f>IF(Table13[[#This Row],[Category]]="Transportation",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IF(Table13[[#This Row],[Type]]="Co-product", "No", "")</f>
        <v/>
      </c>
      <c r="J25" s="10"/>
      <c r="K25" s="10" t="str">
        <f>IF(Table13[[#This Row],[Category]]="Transportation", _xlfn.XLOOKUP(Table13[[#This Row],[Resource]], 'SI - Payload'!$A$10:$A$35,'SI - Payload'!$B$10:$B$35,"",0), "")</f>
        <v/>
      </c>
      <c r="L25" s="10" t="str">
        <f>IF(Table13[[#This Row],[Category]]="Transportation",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IF(Table13[[#This Row],[Type]]="Co-product", "No", "")</f>
        <v/>
      </c>
      <c r="J26" s="10"/>
      <c r="K26" s="10" t="str">
        <f>IF(Table13[[#This Row],[Category]]="Transportation", _xlfn.XLOOKUP(Table13[[#This Row],[Resource]], 'SI - Payload'!$A$10:$A$35,'SI - Payload'!$B$10:$B$35,"",0), "")</f>
        <v/>
      </c>
      <c r="L26" s="10" t="str">
        <f>IF(Table13[[#This Row],[Category]]="Transportation",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IF(Table13[[#This Row],[Type]]="Co-product", "No", "")</f>
        <v/>
      </c>
      <c r="J27" s="10"/>
      <c r="K27" s="10" t="str">
        <f>IF(Table13[[#This Row],[Category]]="Transportation", _xlfn.XLOOKUP(Table13[[#This Row],[Resource]], 'SI - Payload'!$A$10:$A$35,'SI - Payload'!$B$10:$B$35,"",0), "")</f>
        <v/>
      </c>
      <c r="L27" s="10" t="str">
        <f>IF(Table13[[#This Row],[Category]]="Transportation",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IF(Table13[[#This Row],[Type]]="Co-product", "No", "")</f>
        <v/>
      </c>
      <c r="J28" s="10"/>
      <c r="K28" s="10" t="str">
        <f>IF(Table13[[#This Row],[Category]]="Transportation", _xlfn.XLOOKUP(Table13[[#This Row],[Resource]], 'SI - Payload'!$A$10:$A$35,'SI - Payload'!$B$10:$B$35,"",0), "")</f>
        <v/>
      </c>
      <c r="L28" s="10" t="str">
        <f>IF(Table13[[#This Row],[Category]]="Transportation",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IF(Table13[[#This Row],[Type]]="Co-product", "No", "")</f>
        <v/>
      </c>
      <c r="J29" s="10"/>
      <c r="K29" s="10" t="str">
        <f>IF(Table13[[#This Row],[Category]]="Transportation", _xlfn.XLOOKUP(Table13[[#This Row],[Resource]], 'SI - Payload'!$A$10:$A$35,'SI - Payload'!$B$10:$B$35,"",0), "")</f>
        <v/>
      </c>
      <c r="L29" s="10" t="str">
        <f>IF(Table13[[#This Row],[Category]]="Transportation",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IF(Table13[[#This Row],[Type]]="Co-product", "No", "")</f>
        <v/>
      </c>
      <c r="J30" s="10"/>
      <c r="K30" s="10" t="str">
        <f>IF(Table13[[#This Row],[Category]]="Transportation", _xlfn.XLOOKUP(Table13[[#This Row],[Resource]], 'SI - Payload'!$A$10:$A$35,'SI - Payload'!$B$10:$B$35,"",0), "")</f>
        <v/>
      </c>
      <c r="L30" s="10" t="str">
        <f>IF(Table13[[#This Row],[Category]]="Transportation",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IF(Table13[[#This Row],[Type]]="Co-product", "No", "")</f>
        <v/>
      </c>
      <c r="J31" s="10"/>
      <c r="K31" s="10" t="str">
        <f>IF(Table13[[#This Row],[Category]]="Transportation", _xlfn.XLOOKUP(Table13[[#This Row],[Resource]], 'SI - Payload'!$A$10:$A$35,'SI - Payload'!$B$10:$B$35,"",0), "")</f>
        <v/>
      </c>
      <c r="L31" s="10" t="str">
        <f>IF(Table13[[#This Row],[Category]]="Transportation",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IF(Table13[[#This Row],[Type]]="Co-product", "No", "")</f>
        <v/>
      </c>
      <c r="J32" s="10"/>
      <c r="K32" s="10" t="str">
        <f>IF(Table13[[#This Row],[Category]]="Transportation", _xlfn.XLOOKUP(Table13[[#This Row],[Resource]], 'SI - Payload'!$A$10:$A$35,'SI - Payload'!$B$10:$B$35,"",0), "")</f>
        <v/>
      </c>
      <c r="L32" s="10" t="str">
        <f>IF(Table13[[#This Row],[Category]]="Transportation",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IF(Table13[[#This Row],[Type]]="Co-product", "No", "")</f>
        <v/>
      </c>
      <c r="J33" s="10"/>
      <c r="K33" s="10" t="str">
        <f>IF(Table13[[#This Row],[Category]]="Transportation", _xlfn.XLOOKUP(Table13[[#This Row],[Resource]], 'SI - Payload'!$A$10:$A$35,'SI - Payload'!$B$10:$B$35,"",0), "")</f>
        <v/>
      </c>
      <c r="L33" s="10" t="str">
        <f>IF(Table13[[#This Row],[Category]]="Transportation",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IF(Table13[[#This Row],[Type]]="Co-product", "No", "")</f>
        <v/>
      </c>
      <c r="J34" s="10"/>
      <c r="K34" s="10" t="str">
        <f>IF(Table13[[#This Row],[Category]]="Transportation", _xlfn.XLOOKUP(Table13[[#This Row],[Resource]], 'SI - Payload'!$A$10:$A$35,'SI - Payload'!$B$10:$B$35,"",0), "")</f>
        <v/>
      </c>
      <c r="L34" s="10" t="str">
        <f>IF(Table13[[#This Row],[Category]]="Transportation",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IF(Table13[[#This Row],[Type]]="Co-product", "No", "")</f>
        <v/>
      </c>
      <c r="J35" s="10"/>
      <c r="K35" s="10" t="str">
        <f>IF(Table13[[#This Row],[Category]]="Transportation", _xlfn.XLOOKUP(Table13[[#This Row],[Resource]], 'SI - Payload'!$A$10:$A$35,'SI - Payload'!$B$10:$B$35,"",0), "")</f>
        <v/>
      </c>
      <c r="L35" s="10" t="str">
        <f>IF(Table13[[#This Row],[Category]]="Transportation",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IF(Table13[[#This Row],[Type]]="Co-product", "No", "")</f>
        <v/>
      </c>
      <c r="J36" s="10"/>
      <c r="K36" s="10" t="str">
        <f>IF(Table13[[#This Row],[Category]]="Transportation", _xlfn.XLOOKUP(Table13[[#This Row],[Resource]], 'SI - Payload'!$A$10:$A$35,'SI - Payload'!$B$10:$B$35,"",0), "")</f>
        <v/>
      </c>
      <c r="L36" s="10" t="str">
        <f>IF(Table13[[#This Row],[Category]]="Transportation",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IF(Table13[[#This Row],[Type]]="Co-product", "No", "")</f>
        <v/>
      </c>
      <c r="J37" s="10"/>
      <c r="K37" s="10" t="str">
        <f>IF(Table13[[#This Row],[Category]]="Transportation", _xlfn.XLOOKUP(Table13[[#This Row],[Resource]], 'SI - Payload'!$A$10:$A$35,'SI - Payload'!$B$10:$B$35,"",0), "")</f>
        <v/>
      </c>
      <c r="L37" s="10" t="str">
        <f>IF(Table13[[#This Row],[Category]]="Transportation",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IF(Table13[[#This Row],[Type]]="Co-product", "No", "")</f>
        <v/>
      </c>
      <c r="J38" s="10"/>
      <c r="K38" s="10" t="str">
        <f>IF(Table13[[#This Row],[Category]]="Transportation", _xlfn.XLOOKUP(Table13[[#This Row],[Resource]], 'SI - Payload'!$A$10:$A$35,'SI - Payload'!$B$10:$B$35,"",0), "")</f>
        <v/>
      </c>
      <c r="L38" s="10" t="str">
        <f>IF(Table13[[#This Row],[Category]]="Transportation",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IF(Table13[[#This Row],[Type]]="Co-product", "No", "")</f>
        <v/>
      </c>
      <c r="J39" s="10"/>
      <c r="K39" s="10" t="str">
        <f>IF(Table13[[#This Row],[Category]]="Transportation", _xlfn.XLOOKUP(Table13[[#This Row],[Resource]], 'SI - Payload'!$A$10:$A$35,'SI - Payload'!$B$10:$B$35,"",0), "")</f>
        <v/>
      </c>
      <c r="L39" s="10" t="str">
        <f>IF(Table13[[#This Row],[Category]]="Transportation",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IF(Table13[[#This Row],[Type]]="Co-product", "No", "")</f>
        <v/>
      </c>
      <c r="J40" s="10"/>
      <c r="K40" s="10" t="str">
        <f>IF(Table13[[#This Row],[Category]]="Transportation", _xlfn.XLOOKUP(Table13[[#This Row],[Resource]], 'SI - Payload'!$A$10:$A$35,'SI - Payload'!$B$10:$B$35,"",0), "")</f>
        <v/>
      </c>
      <c r="L40" s="10" t="str">
        <f>IF(Table13[[#This Row],[Category]]="Transportation",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IF(Table13[[#This Row],[Type]]="Co-product", "No", "")</f>
        <v/>
      </c>
      <c r="J41" s="10"/>
      <c r="K41" s="10" t="str">
        <f>IF(Table13[[#This Row],[Category]]="Transportation", _xlfn.XLOOKUP(Table13[[#This Row],[Resource]], 'SI - Payload'!$A$10:$A$35,'SI - Payload'!$B$10:$B$35,"",0), "")</f>
        <v/>
      </c>
      <c r="L41" s="10" t="str">
        <f>IF(Table13[[#This Row],[Category]]="Transportation",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IF(Table13[[#This Row],[Type]]="Co-product", "No", "")</f>
        <v/>
      </c>
      <c r="J42" s="10"/>
      <c r="K42" s="10" t="str">
        <f>IF(Table13[[#This Row],[Category]]="Transportation", _xlfn.XLOOKUP(Table13[[#This Row],[Resource]], 'SI - Payload'!$A$10:$A$35,'SI - Payload'!$B$10:$B$35,"",0), "")</f>
        <v/>
      </c>
      <c r="L42" s="10" t="str">
        <f>IF(Table13[[#This Row],[Category]]="Transportation",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IF(Table13[[#This Row],[Type]]="Co-product", "No", "")</f>
        <v/>
      </c>
      <c r="J43" s="10"/>
      <c r="K43" s="10" t="str">
        <f>IF(Table13[[#This Row],[Category]]="Transportation", _xlfn.XLOOKUP(Table13[[#This Row],[Resource]], 'SI - Payload'!$A$10:$A$35,'SI - Payload'!$B$10:$B$35,"",0), "")</f>
        <v/>
      </c>
      <c r="L43" s="10" t="str">
        <f>IF(Table13[[#This Row],[Category]]="Transportation",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IF(Table13[[#This Row],[Type]]="Co-product", "No", "")</f>
        <v/>
      </c>
      <c r="J44" s="10"/>
      <c r="K44" s="10" t="str">
        <f>IF(Table13[[#This Row],[Category]]="Transportation", _xlfn.XLOOKUP(Table13[[#This Row],[Resource]], 'SI - Payload'!$A$10:$A$35,'SI - Payload'!$B$10:$B$35,"",0), "")</f>
        <v/>
      </c>
      <c r="L44" s="10" t="str">
        <f>IF(Table13[[#This Row],[Category]]="Transportation",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IF(Table13[[#This Row],[Type]]="Co-product", "No", "")</f>
        <v/>
      </c>
      <c r="J45" s="10"/>
      <c r="K45" s="10" t="str">
        <f>IF(Table13[[#This Row],[Category]]="Transportation", _xlfn.XLOOKUP(Table13[[#This Row],[Resource]], 'SI - Payload'!$A$10:$A$35,'SI - Payload'!$B$10:$B$35,"",0), "")</f>
        <v/>
      </c>
      <c r="L45" s="10" t="str">
        <f>IF(Table13[[#This Row],[Category]]="Transportation",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IF(Table13[[#This Row],[Type]]="Co-product", "No", "")</f>
        <v/>
      </c>
      <c r="J46" s="10"/>
      <c r="K46" s="10" t="str">
        <f>IF(Table13[[#This Row],[Category]]="Transportation", _xlfn.XLOOKUP(Table13[[#This Row],[Resource]], 'SI - Payload'!$A$10:$A$35,'SI - Payload'!$B$10:$B$35,"",0), "")</f>
        <v/>
      </c>
      <c r="L46" s="10" t="str">
        <f>IF(Table13[[#This Row],[Category]]="Transportation",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IF(Table13[[#This Row],[Type]]="Co-product", "No", "")</f>
        <v/>
      </c>
      <c r="J47" s="10"/>
      <c r="K47" s="10" t="str">
        <f>IF(Table13[[#This Row],[Category]]="Transportation", _xlfn.XLOOKUP(Table13[[#This Row],[Resource]], 'SI - Payload'!$A$10:$A$35,'SI - Payload'!$B$10:$B$35,"",0), "")</f>
        <v/>
      </c>
      <c r="L47" s="10" t="str">
        <f>IF(Table13[[#This Row],[Category]]="Transportation",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IF(Table13[[#This Row],[Type]]="Co-product", "No", "")</f>
        <v/>
      </c>
      <c r="J48" s="10"/>
      <c r="K48" s="10" t="str">
        <f>IF(Table13[[#This Row],[Category]]="Transportation", _xlfn.XLOOKUP(Table13[[#This Row],[Resource]], 'SI - Payload'!$A$10:$A$35,'SI - Payload'!$B$10:$B$35,"",0), "")</f>
        <v/>
      </c>
      <c r="L48" s="10" t="str">
        <f>IF(Table13[[#This Row],[Category]]="Transportation",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IF(Table13[[#This Row],[Type]]="Co-product", "No", "")</f>
        <v/>
      </c>
      <c r="J49" s="10"/>
      <c r="K49" s="10" t="str">
        <f>IF(Table13[[#This Row],[Category]]="Transportation", _xlfn.XLOOKUP(Table13[[#This Row],[Resource]], 'SI - Payload'!$A$10:$A$35,'SI - Payload'!$B$10:$B$35,"",0), "")</f>
        <v/>
      </c>
      <c r="L49" s="10" t="str">
        <f>IF(Table13[[#This Row],[Category]]="Transportation",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IF(Table13[[#This Row],[Type]]="Co-product", "No", "")</f>
        <v/>
      </c>
      <c r="J50" s="10"/>
      <c r="K50" s="10" t="str">
        <f>IF(Table13[[#This Row],[Category]]="Transportation", _xlfn.XLOOKUP(Table13[[#This Row],[Resource]], 'SI - Payload'!$A$10:$A$35,'SI - Payload'!$B$10:$B$35,"",0), "")</f>
        <v/>
      </c>
      <c r="L50" s="10" t="str">
        <f>IF(Table13[[#This Row],[Category]]="Transportation",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IF(Table13[[#This Row],[Type]]="Co-product", "No", "")</f>
        <v/>
      </c>
      <c r="J51" s="10"/>
      <c r="K51" s="10" t="str">
        <f>IF(Table13[[#This Row],[Category]]="Transportation", _xlfn.XLOOKUP(Table13[[#This Row],[Resource]], 'SI - Payload'!$A$10:$A$35,'SI - Payload'!$B$10:$B$35,"",0), "")</f>
        <v/>
      </c>
      <c r="L51" s="10" t="str">
        <f>IF(Table13[[#This Row],[Category]]="Transportation",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IF(Table13[[#This Row],[Type]]="Co-product", "No", "")</f>
        <v/>
      </c>
      <c r="J52" s="10"/>
      <c r="K52" s="10" t="str">
        <f>IF(Table13[[#This Row],[Category]]="Transportation", _xlfn.XLOOKUP(Table13[[#This Row],[Resource]], 'SI - Payload'!$A$10:$A$35,'SI - Payload'!$B$10:$B$35,"",0), "")</f>
        <v/>
      </c>
      <c r="L52" s="10" t="str">
        <f>IF(Table13[[#This Row],[Category]]="Transportation",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IF(Table13[[#This Row],[Type]]="Co-product", "No", "")</f>
        <v/>
      </c>
      <c r="J53" s="10"/>
      <c r="K53" s="10" t="str">
        <f>IF(Table13[[#This Row],[Category]]="Transportation", _xlfn.XLOOKUP(Table13[[#This Row],[Resource]], 'SI - Payload'!$A$10:$A$35,'SI - Payload'!$B$10:$B$35,"",0), "")</f>
        <v/>
      </c>
      <c r="L53" s="10" t="str">
        <f>IF(Table13[[#This Row],[Category]]="Transportation",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IF(Table13[[#This Row],[Type]]="Co-product", "No", "")</f>
        <v/>
      </c>
      <c r="J54" s="10"/>
      <c r="K54" s="10" t="str">
        <f>IF(Table13[[#This Row],[Category]]="Transportation", _xlfn.XLOOKUP(Table13[[#This Row],[Resource]], 'SI - Payload'!$A$10:$A$35,'SI - Payload'!$B$10:$B$35,"",0), "")</f>
        <v/>
      </c>
      <c r="L54" s="10" t="str">
        <f>IF(Table13[[#This Row],[Category]]="Transportation",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IF(Table13[[#This Row],[Type]]="Co-product", "No", "")</f>
        <v/>
      </c>
      <c r="J55" s="10"/>
      <c r="K55" s="10" t="str">
        <f>IF(Table13[[#This Row],[Category]]="Transportation", _xlfn.XLOOKUP(Table13[[#This Row],[Resource]], 'SI - Payload'!$A$10:$A$35,'SI - Payload'!$B$10:$B$35,"",0), "")</f>
        <v/>
      </c>
      <c r="L55" s="10" t="str">
        <f>IF(Table13[[#This Row],[Category]]="Transportation",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IF(Table13[[#This Row],[Type]]="Co-product", "No", "")</f>
        <v/>
      </c>
      <c r="J56" s="10"/>
      <c r="K56" s="10" t="str">
        <f>IF(Table13[[#This Row],[Category]]="Transportation", _xlfn.XLOOKUP(Table13[[#This Row],[Resource]], 'SI - Payload'!$A$10:$A$35,'SI - Payload'!$B$10:$B$35,"",0), "")</f>
        <v/>
      </c>
      <c r="L56" s="10" t="str">
        <f>IF(Table13[[#This Row],[Category]]="Transportation",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IF(Table13[[#This Row],[Type]]="Co-product", "No", "")</f>
        <v/>
      </c>
      <c r="J57" s="10"/>
      <c r="K57" s="10" t="str">
        <f>IF(Table13[[#This Row],[Category]]="Transportation", _xlfn.XLOOKUP(Table13[[#This Row],[Resource]], 'SI - Payload'!$A$10:$A$35,'SI - Payload'!$B$10:$B$35,"",0), "")</f>
        <v/>
      </c>
      <c r="L57" s="10" t="str">
        <f>IF(Table13[[#This Row],[Category]]="Transportation",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IF(Table13[[#This Row],[Type]]="Co-product", "No", "")</f>
        <v/>
      </c>
      <c r="J58" s="10"/>
      <c r="K58" s="10" t="str">
        <f>IF(Table13[[#This Row],[Category]]="Transportation", _xlfn.XLOOKUP(Table13[[#This Row],[Resource]], 'SI - Payload'!$A$10:$A$35,'SI - Payload'!$B$10:$B$35,"",0), "")</f>
        <v/>
      </c>
      <c r="L58" s="10" t="str">
        <f>IF(Table13[[#This Row],[Category]]="Transportation",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IF(Table13[[#This Row],[Type]]="Co-product", "No", "")</f>
        <v/>
      </c>
      <c r="J59" s="10"/>
      <c r="K59" s="10" t="str">
        <f>IF(Table13[[#This Row],[Category]]="Transportation", _xlfn.XLOOKUP(Table13[[#This Row],[Resource]], 'SI - Payload'!$A$10:$A$35,'SI - Payload'!$B$10:$B$35,"",0), "")</f>
        <v/>
      </c>
      <c r="L59" s="10" t="str">
        <f>IF(Table13[[#This Row],[Category]]="Transportation",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IF(Table13[[#This Row],[Type]]="Co-product", "No", "")</f>
        <v/>
      </c>
      <c r="J60" s="10"/>
      <c r="K60" s="10" t="str">
        <f>IF(Table13[[#This Row],[Category]]="Transportation", _xlfn.XLOOKUP(Table13[[#This Row],[Resource]], 'SI - Payload'!$A$10:$A$35,'SI - Payload'!$B$10:$B$35,"",0), "")</f>
        <v/>
      </c>
      <c r="L60" s="10" t="str">
        <f>IF(Table13[[#This Row],[Category]]="Transportation",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IF(Table13[[#This Row],[Type]]="Co-product", "No", "")</f>
        <v/>
      </c>
      <c r="J61" s="10"/>
      <c r="K61" s="10" t="str">
        <f>IF(Table13[[#This Row],[Category]]="Transportation", _xlfn.XLOOKUP(Table13[[#This Row],[Resource]], 'SI - Payload'!$A$10:$A$35,'SI - Payload'!$B$10:$B$35,"",0), "")</f>
        <v/>
      </c>
      <c r="L61" s="10" t="str">
        <f>IF(Table13[[#This Row],[Category]]="Transportation",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IF(Table13[[#This Row],[Type]]="Co-product", "No", "")</f>
        <v/>
      </c>
      <c r="J62" s="10"/>
      <c r="K62" s="10" t="str">
        <f>IF(Table13[[#This Row],[Category]]="Transportation", _xlfn.XLOOKUP(Table13[[#This Row],[Resource]], 'SI - Payload'!$A$10:$A$35,'SI - Payload'!$B$10:$B$35,"",0), "")</f>
        <v/>
      </c>
      <c r="L62" s="10" t="str">
        <f>IF(Table13[[#This Row],[Category]]="Transportation",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IF(Table13[[#This Row],[Type]]="Co-product", "No", "")</f>
        <v/>
      </c>
      <c r="J63" s="10"/>
      <c r="K63" s="10" t="str">
        <f>IF(Table13[[#This Row],[Category]]="Transportation", _xlfn.XLOOKUP(Table13[[#This Row],[Resource]], 'SI - Payload'!$A$10:$A$35,'SI - Payload'!$B$10:$B$35,"",0), "")</f>
        <v/>
      </c>
      <c r="L63" s="10" t="str">
        <f>IF(Table13[[#This Row],[Category]]="Transportation",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IF(Table13[[#This Row],[Type]]="Co-product", "No", "")</f>
        <v/>
      </c>
      <c r="J64" s="10"/>
      <c r="K64" s="10" t="str">
        <f>IF(Table13[[#This Row],[Category]]="Transportation", _xlfn.XLOOKUP(Table13[[#This Row],[Resource]], 'SI - Payload'!$A$10:$A$35,'SI - Payload'!$B$10:$B$35,"",0), "")</f>
        <v/>
      </c>
      <c r="L64" s="10" t="str">
        <f>IF(Table13[[#This Row],[Category]]="Transportation",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IF(Table13[[#This Row],[Type]]="Co-product", "No", "")</f>
        <v/>
      </c>
      <c r="J65" s="10"/>
      <c r="K65" s="10" t="str">
        <f>IF(Table13[[#This Row],[Category]]="Transportation", _xlfn.XLOOKUP(Table13[[#This Row],[Resource]], 'SI - Payload'!$A$10:$A$35,'SI - Payload'!$B$10:$B$35,"",0), "")</f>
        <v/>
      </c>
      <c r="L65" s="10" t="str">
        <f>IF(Table13[[#This Row],[Category]]="Transportation",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IF(Table13[[#This Row],[Type]]="Co-product", "No", "")</f>
        <v/>
      </c>
      <c r="J66" s="10"/>
      <c r="K66" s="10" t="str">
        <f>IF(Table13[[#This Row],[Category]]="Transportation", _xlfn.XLOOKUP(Table13[[#This Row],[Resource]], 'SI - Payload'!$A$10:$A$35,'SI - Payload'!$B$10:$B$35,"",0), "")</f>
        <v/>
      </c>
      <c r="L66" s="10" t="str">
        <f>IF(Table13[[#This Row],[Category]]="Transportation",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IF(Table13[[#This Row],[Type]]="Co-product", "No", "")</f>
        <v/>
      </c>
      <c r="J67" s="10"/>
      <c r="K67" s="10" t="str">
        <f>IF(Table13[[#This Row],[Category]]="Transportation", _xlfn.XLOOKUP(Table13[[#This Row],[Resource]], 'SI - Payload'!$A$10:$A$35,'SI - Payload'!$B$10:$B$35,"",0), "")</f>
        <v/>
      </c>
      <c r="L67" s="10" t="str">
        <f>IF(Table13[[#This Row],[Category]]="Transportation",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IF(Table13[[#This Row],[Type]]="Co-product", "No", "")</f>
        <v/>
      </c>
      <c r="J68" s="10"/>
      <c r="K68" s="10" t="str">
        <f>IF(Table13[[#This Row],[Category]]="Transportation", _xlfn.XLOOKUP(Table13[[#This Row],[Resource]], 'SI - Payload'!$A$10:$A$35,'SI - Payload'!$B$10:$B$35,"",0), "")</f>
        <v/>
      </c>
      <c r="L68" s="10" t="str">
        <f>IF(Table13[[#This Row],[Category]]="Transportation",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IF(Table13[[#This Row],[Type]]="Co-product", "No", "")</f>
        <v/>
      </c>
      <c r="J69" s="10"/>
      <c r="K69" s="10" t="str">
        <f>IF(Table13[[#This Row],[Category]]="Transportation", _xlfn.XLOOKUP(Table13[[#This Row],[Resource]], 'SI - Payload'!$A$10:$A$35,'SI - Payload'!$B$10:$B$35,"",0), "")</f>
        <v/>
      </c>
      <c r="L69" s="10" t="str">
        <f>IF(Table13[[#This Row],[Category]]="Transportation",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IF(Table13[[#This Row],[Type]]="Co-product", "No", "")</f>
        <v/>
      </c>
      <c r="J70" s="10"/>
      <c r="K70" s="10" t="str">
        <f>IF(Table13[[#This Row],[Category]]="Transportation", _xlfn.XLOOKUP(Table13[[#This Row],[Resource]], 'SI - Payload'!$A$10:$A$35,'SI - Payload'!$B$10:$B$35,"",0), "")</f>
        <v/>
      </c>
      <c r="L70" s="10" t="str">
        <f>IF(Table13[[#This Row],[Category]]="Transportation",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IF(Table13[[#This Row],[Type]]="Co-product", "No", "")</f>
        <v/>
      </c>
      <c r="J71" s="10"/>
      <c r="K71" s="10" t="str">
        <f>IF(Table13[[#This Row],[Category]]="Transportation", _xlfn.XLOOKUP(Table13[[#This Row],[Resource]], 'SI - Payload'!$A$10:$A$35,'SI - Payload'!$B$10:$B$35,"",0), "")</f>
        <v/>
      </c>
      <c r="L71" s="10" t="str">
        <f>IF(Table13[[#This Row],[Category]]="Transportation",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IF(Table13[[#This Row],[Type]]="Co-product", "No", "")</f>
        <v/>
      </c>
      <c r="J72" s="10"/>
      <c r="K72" s="10" t="str">
        <f>IF(Table13[[#This Row],[Category]]="Transportation", _xlfn.XLOOKUP(Table13[[#This Row],[Resource]], 'SI - Payload'!$A$10:$A$35,'SI - Payload'!$B$10:$B$35,"",0), "")</f>
        <v/>
      </c>
      <c r="L72" s="10" t="str">
        <f>IF(Table13[[#This Row],[Category]]="Transportation",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IF(Table13[[#This Row],[Type]]="Co-product", "No", "")</f>
        <v/>
      </c>
      <c r="J73" s="10"/>
      <c r="K73" s="10" t="str">
        <f>IF(Table13[[#This Row],[Category]]="Transportation", _xlfn.XLOOKUP(Table13[[#This Row],[Resource]], 'SI - Payload'!$A$10:$A$35,'SI - Payload'!$B$10:$B$35,"",0), "")</f>
        <v/>
      </c>
      <c r="L73" s="10" t="str">
        <f>IF(Table13[[#This Row],[Category]]="Transportation",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IF(Table13[[#This Row],[Type]]="Co-product", "No", "")</f>
        <v/>
      </c>
      <c r="J74" s="10"/>
      <c r="K74" s="10" t="str">
        <f>IF(Table13[[#This Row],[Category]]="Transportation", _xlfn.XLOOKUP(Table13[[#This Row],[Resource]], 'SI - Payload'!$A$10:$A$35,'SI - Payload'!$B$10:$B$35,"",0), "")</f>
        <v/>
      </c>
      <c r="L74" s="10" t="str">
        <f>IF(Table13[[#This Row],[Category]]="Transportation",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IF(Table13[[#This Row],[Type]]="Co-product", "No", "")</f>
        <v/>
      </c>
      <c r="J75" s="10"/>
      <c r="K75" s="10" t="str">
        <f>IF(Table13[[#This Row],[Category]]="Transportation", _xlfn.XLOOKUP(Table13[[#This Row],[Resource]], 'SI - Payload'!$A$10:$A$35,'SI - Payload'!$B$10:$B$35,"",0), "")</f>
        <v/>
      </c>
      <c r="L75" s="10" t="str">
        <f>IF(Table13[[#This Row],[Category]]="Transportation",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IF(Table13[[#This Row],[Type]]="Co-product", "No", "")</f>
        <v/>
      </c>
      <c r="J76" s="10"/>
      <c r="K76" s="10" t="str">
        <f>IF(Table13[[#This Row],[Category]]="Transportation", _xlfn.XLOOKUP(Table13[[#This Row],[Resource]], 'SI - Payload'!$A$10:$A$35,'SI - Payload'!$B$10:$B$35,"",0), "")</f>
        <v/>
      </c>
      <c r="L76" s="10" t="str">
        <f>IF(Table13[[#This Row],[Category]]="Transportation",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IF(Table13[[#This Row],[Type]]="Co-product", "No", "")</f>
        <v/>
      </c>
      <c r="J77" s="10"/>
      <c r="K77" s="10" t="str">
        <f>IF(Table13[[#This Row],[Category]]="Transportation", _xlfn.XLOOKUP(Table13[[#This Row],[Resource]], 'SI - Payload'!$A$10:$A$35,'SI - Payload'!$B$10:$B$35,"",0), "")</f>
        <v/>
      </c>
      <c r="L77" s="10" t="str">
        <f>IF(Table13[[#This Row],[Category]]="Transportation",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IF(Table13[[#This Row],[Type]]="Co-product", "No", "")</f>
        <v/>
      </c>
      <c r="J78" s="10"/>
      <c r="K78" s="10" t="str">
        <f>IF(Table13[[#This Row],[Category]]="Transportation", _xlfn.XLOOKUP(Table13[[#This Row],[Resource]], 'SI - Payload'!$A$10:$A$35,'SI - Payload'!$B$10:$B$35,"",0), "")</f>
        <v/>
      </c>
      <c r="L78" s="10" t="str">
        <f>IF(Table13[[#This Row],[Category]]="Transportation",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IF(Table13[[#This Row],[Type]]="Co-product", "No", "")</f>
        <v/>
      </c>
      <c r="J79" s="10"/>
      <c r="K79" s="10" t="str">
        <f>IF(Table13[[#This Row],[Category]]="Transportation", _xlfn.XLOOKUP(Table13[[#This Row],[Resource]], 'SI - Payload'!$A$10:$A$35,'SI - Payload'!$B$10:$B$35,"",0), "")</f>
        <v/>
      </c>
      <c r="L79" s="10" t="str">
        <f>IF(Table13[[#This Row],[Category]]="Transportation",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IF(Table13[[#This Row],[Type]]="Co-product", "No", "")</f>
        <v/>
      </c>
      <c r="J80" s="10"/>
      <c r="K80" s="10" t="str">
        <f>IF(Table13[[#This Row],[Category]]="Transportation", _xlfn.XLOOKUP(Table13[[#This Row],[Resource]], 'SI - Payload'!$A$10:$A$35,'SI - Payload'!$B$10:$B$35,"",0), "")</f>
        <v/>
      </c>
      <c r="L80" s="10" t="str">
        <f>IF(Table13[[#This Row],[Category]]="Transportation",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IF(Table13[[#This Row],[Type]]="Co-product", "No", "")</f>
        <v/>
      </c>
      <c r="J81" s="10"/>
      <c r="K81" s="10" t="str">
        <f>IF(Table13[[#This Row],[Category]]="Transportation", _xlfn.XLOOKUP(Table13[[#This Row],[Resource]], 'SI - Payload'!$A$10:$A$35,'SI - Payload'!$B$10:$B$35,"",0), "")</f>
        <v/>
      </c>
      <c r="L81" s="10" t="str">
        <f>IF(Table13[[#This Row],[Category]]="Transportation",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IF(Table13[[#This Row],[Type]]="Co-product", "No", "")</f>
        <v/>
      </c>
      <c r="J82" s="10"/>
      <c r="K82" s="10" t="str">
        <f>IF(Table13[[#This Row],[Category]]="Transportation", _xlfn.XLOOKUP(Table13[[#This Row],[Resource]], 'SI - Payload'!$A$10:$A$35,'SI - Payload'!$B$10:$B$35,"",0), "")</f>
        <v/>
      </c>
      <c r="L82" s="10" t="str">
        <f>IF(Table13[[#This Row],[Category]]="Transportation",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IF(Table13[[#This Row],[Type]]="Co-product", "No", "")</f>
        <v/>
      </c>
      <c r="J83" s="10"/>
      <c r="K83" s="10" t="str">
        <f>IF(Table13[[#This Row],[Category]]="Transportation", _xlfn.XLOOKUP(Table13[[#This Row],[Resource]], 'SI - Payload'!$A$10:$A$35,'SI - Payload'!$B$10:$B$35,"",0), "")</f>
        <v/>
      </c>
      <c r="L83" s="10" t="str">
        <f>IF(Table13[[#This Row],[Category]]="Transportation",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IF(Table13[[#This Row],[Type]]="Co-product", "No", "")</f>
        <v/>
      </c>
      <c r="J84" s="10"/>
      <c r="K84" s="10" t="str">
        <f>IF(Table13[[#This Row],[Category]]="Transportation", _xlfn.XLOOKUP(Table13[[#This Row],[Resource]], 'SI - Payload'!$A$10:$A$35,'SI - Payload'!$B$10:$B$35,"",0), "")</f>
        <v/>
      </c>
      <c r="L84" s="10" t="str">
        <f>IF(Table13[[#This Row],[Category]]="Transportation",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IF(Table13[[#This Row],[Type]]="Co-product", "No", "")</f>
        <v/>
      </c>
      <c r="J85" s="10"/>
      <c r="K85" s="10" t="str">
        <f>IF(Table13[[#This Row],[Category]]="Transportation", _xlfn.XLOOKUP(Table13[[#This Row],[Resource]], 'SI - Payload'!$A$10:$A$35,'SI - Payload'!$B$10:$B$35,"",0), "")</f>
        <v/>
      </c>
      <c r="L85" s="10" t="str">
        <f>IF(Table13[[#This Row],[Category]]="Transportation",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IF(Table13[[#This Row],[Type]]="Co-product", "No", "")</f>
        <v/>
      </c>
      <c r="J86" s="10"/>
      <c r="K86" s="10" t="str">
        <f>IF(Table13[[#This Row],[Category]]="Transportation", _xlfn.XLOOKUP(Table13[[#This Row],[Resource]], 'SI - Payload'!$A$10:$A$35,'SI - Payload'!$B$10:$B$35,"",0), "")</f>
        <v/>
      </c>
      <c r="L86" s="10" t="str">
        <f>IF(Table13[[#This Row],[Category]]="Transportation",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IF(Table13[[#This Row],[Type]]="Co-product", "No", "")</f>
        <v/>
      </c>
      <c r="J87" s="10"/>
      <c r="K87" s="10" t="str">
        <f>IF(Table13[[#This Row],[Category]]="Transportation", _xlfn.XLOOKUP(Table13[[#This Row],[Resource]], 'SI - Payload'!$A$10:$A$35,'SI - Payload'!$B$10:$B$35,"",0), "")</f>
        <v/>
      </c>
      <c r="L87" s="10" t="str">
        <f>IF(Table13[[#This Row],[Category]]="Transportation",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IF(Table13[[#This Row],[Type]]="Co-product", "No", "")</f>
        <v/>
      </c>
      <c r="J88" s="10"/>
      <c r="K88" s="10" t="str">
        <f>IF(Table13[[#This Row],[Category]]="Transportation", _xlfn.XLOOKUP(Table13[[#This Row],[Resource]], 'SI - Payload'!$A$10:$A$35,'SI - Payload'!$B$10:$B$35,"",0), "")</f>
        <v/>
      </c>
      <c r="L88" s="10" t="str">
        <f>IF(Table13[[#This Row],[Category]]="Transportation",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IF(Table13[[#This Row],[Type]]="Co-product", "No", "")</f>
        <v/>
      </c>
      <c r="J89" s="10"/>
      <c r="K89" s="10" t="str">
        <f>IF(Table13[[#This Row],[Category]]="Transportation", _xlfn.XLOOKUP(Table13[[#This Row],[Resource]], 'SI - Payload'!$A$10:$A$35,'SI - Payload'!$B$10:$B$35,"",0), "")</f>
        <v/>
      </c>
      <c r="L89" s="10" t="str">
        <f>IF(Table13[[#This Row],[Category]]="Transportation",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IF(Table13[[#This Row],[Type]]="Co-product", "No", "")</f>
        <v/>
      </c>
      <c r="J90" s="10"/>
      <c r="K90" s="10" t="str">
        <f>IF(Table13[[#This Row],[Category]]="Transportation", _xlfn.XLOOKUP(Table13[[#This Row],[Resource]], 'SI - Payload'!$A$10:$A$35,'SI - Payload'!$B$10:$B$35,"",0), "")</f>
        <v/>
      </c>
      <c r="L90" s="10" t="str">
        <f>IF(Table13[[#This Row],[Category]]="Transportation",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IF(Table13[[#This Row],[Type]]="Co-product", "No", "")</f>
        <v/>
      </c>
      <c r="J91" s="10"/>
      <c r="K91" s="10" t="str">
        <f>IF(Table13[[#This Row],[Category]]="Transportation", _xlfn.XLOOKUP(Table13[[#This Row],[Resource]], 'SI - Payload'!$A$10:$A$35,'SI - Payload'!$B$10:$B$35,"",0), "")</f>
        <v/>
      </c>
      <c r="L91" s="10" t="str">
        <f>IF(Table13[[#This Row],[Category]]="Transportation",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IF(Table13[[#This Row],[Type]]="Co-product", "No", "")</f>
        <v/>
      </c>
      <c r="J92" s="10"/>
      <c r="K92" s="10" t="str">
        <f>IF(Table13[[#This Row],[Category]]="Transportation", _xlfn.XLOOKUP(Table13[[#This Row],[Resource]], 'SI - Payload'!$A$10:$A$35,'SI - Payload'!$B$10:$B$35,"",0), "")</f>
        <v/>
      </c>
      <c r="L92" s="10" t="str">
        <f>IF(Table13[[#This Row],[Category]]="Transportation",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IF(Table13[[#This Row],[Type]]="Co-product", "No", "")</f>
        <v/>
      </c>
      <c r="J93" s="10"/>
      <c r="K93" s="10" t="str">
        <f>IF(Table13[[#This Row],[Category]]="Transportation", _xlfn.XLOOKUP(Table13[[#This Row],[Resource]], 'SI - Payload'!$A$10:$A$35,'SI - Payload'!$B$10:$B$35,"",0), "")</f>
        <v/>
      </c>
      <c r="L93" s="10" t="str">
        <f>IF(Table13[[#This Row],[Category]]="Transportation",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IF(Table13[[#This Row],[Type]]="Co-product", "No", "")</f>
        <v/>
      </c>
      <c r="J94" s="10"/>
      <c r="K94" s="10" t="str">
        <f>IF(Table13[[#This Row],[Category]]="Transportation", _xlfn.XLOOKUP(Table13[[#This Row],[Resource]], 'SI - Payload'!$A$10:$A$35,'SI - Payload'!$B$10:$B$35,"",0), "")</f>
        <v/>
      </c>
      <c r="L94" s="10" t="str">
        <f>IF(Table13[[#This Row],[Category]]="Transportation",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IF(Table13[[#This Row],[Type]]="Co-product", "No", "")</f>
        <v/>
      </c>
      <c r="J95" s="10"/>
      <c r="K95" s="10" t="str">
        <f>IF(Table13[[#This Row],[Category]]="Transportation", _xlfn.XLOOKUP(Table13[[#This Row],[Resource]], 'SI - Payload'!$A$10:$A$35,'SI - Payload'!$B$10:$B$35,"",0), "")</f>
        <v/>
      </c>
      <c r="L95" s="10" t="str">
        <f>IF(Table13[[#This Row],[Category]]="Transportation",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IF(Table13[[#This Row],[Type]]="Co-product", "No", "")</f>
        <v/>
      </c>
      <c r="J96" s="10"/>
      <c r="K96" s="10" t="str">
        <f>IF(Table13[[#This Row],[Category]]="Transportation", _xlfn.XLOOKUP(Table13[[#This Row],[Resource]], 'SI - Payload'!$A$10:$A$35,'SI - Payload'!$B$10:$B$35,"",0), "")</f>
        <v/>
      </c>
      <c r="L96" s="10" t="str">
        <f>IF(Table13[[#This Row],[Category]]="Transportation",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IF(Table13[[#This Row],[Type]]="Co-product", "No", "")</f>
        <v/>
      </c>
      <c r="J97" s="10"/>
      <c r="K97" s="10" t="str">
        <f>IF(Table13[[#This Row],[Category]]="Transportation", _xlfn.XLOOKUP(Table13[[#This Row],[Resource]], 'SI - Payload'!$A$10:$A$35,'SI - Payload'!$B$10:$B$35,"",0), "")</f>
        <v/>
      </c>
      <c r="L97" s="10" t="str">
        <f>IF(Table13[[#This Row],[Category]]="Transportation",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IF(Table13[[#This Row],[Type]]="Co-product", "No", "")</f>
        <v/>
      </c>
      <c r="J98" s="10"/>
      <c r="K98" s="10" t="str">
        <f>IF(Table13[[#This Row],[Category]]="Transportation", _xlfn.XLOOKUP(Table13[[#This Row],[Resource]], 'SI - Payload'!$A$10:$A$35,'SI - Payload'!$B$10:$B$35,"",0), "")</f>
        <v/>
      </c>
      <c r="L98" s="10" t="str">
        <f>IF(Table13[[#This Row],[Category]]="Transportation",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IF(Table13[[#This Row],[Type]]="Co-product", "No", "")</f>
        <v/>
      </c>
      <c r="J99" s="10"/>
      <c r="K99" s="10" t="str">
        <f>IF(Table13[[#This Row],[Category]]="Transportation", _xlfn.XLOOKUP(Table13[[#This Row],[Resource]], 'SI - Payload'!$A$10:$A$35,'SI - Payload'!$B$10:$B$35,"",0), "")</f>
        <v/>
      </c>
      <c r="L99" s="10" t="str">
        <f>IF(Table13[[#This Row],[Category]]="Transportation",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Resources'!$A$1:$I$1,'SI - Resources'!$A$2:$I$2,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IF(Table13[[#This Row],[Type]]="Co-product", "No", "")</f>
        <v/>
      </c>
      <c r="J100" s="10"/>
      <c r="K100" s="10" t="str">
        <f>IF(Table13[[#This Row],[Category]]="Transportation", _xlfn.XLOOKUP(Table13[[#This Row],[Resource]], 'SI - Payload'!$A$10:$A$35,'SI - Payload'!$B$10:$B$35,"",0), "")</f>
        <v/>
      </c>
      <c r="L100" s="10" t="str">
        <f>IF(Table13[[#This Row],[Category]]="Transportation",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Resources'!$A$1:$I$1,'SI - Resources'!$A$2:$I$2,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IF(Table13[[#This Row],[Type]]="Co-product", "No", "")</f>
        <v/>
      </c>
      <c r="J101" s="10"/>
      <c r="K101" s="10" t="str">
        <f>IF(Table13[[#This Row],[Category]]="Transportation", _xlfn.XLOOKUP(Table13[[#This Row],[Resource]], 'SI - Payload'!$A$10:$A$35,'SI - Payload'!$B$10:$B$35,"",0), "")</f>
        <v/>
      </c>
      <c r="L101" s="10" t="str">
        <f>IF(Table13[[#This Row],[Category]]="Transportation",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Resources'!$A$1:$I$1,'SI - Resources'!$A$2:$I$2,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IF(Table13[[#This Row],[Type]]="Co-product", "No", "")</f>
        <v/>
      </c>
      <c r="J102" s="26"/>
      <c r="K102" s="26" t="str">
        <f>IF(Table13[[#This Row],[Category]]="Transportation", _xlfn.XLOOKUP(Table13[[#This Row],[Resource]], 'SI - Payload'!$A$10:$A$35,'SI - Payload'!$B$10:$B$35,"",0), "")</f>
        <v/>
      </c>
      <c r="L102" s="10" t="str">
        <f>IF(Table13[[#This Row],[Category]]="Transportation",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Units'!$B$24:$B$72,'SI - Units'!$C$24:$C$72),'SI - Units'!$A$2:$A$8,'SI - Units'!$B$2:$R$8))</xm:f>
          </x14:formula1>
          <xm:sqref>F5:F102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C5:C102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Units'!$B$24:$B$72,'SI - Units'!$C$24:$C$72),'SI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Units'!$B$24:$B$72,'SI - Units'!$C$24:$C$72),'SI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Use'!$B$2:$B$51,'SI - End Use'!$C$2:$N$51)</xm:f>
          </x14:formula1>
          <xm:sqref>P5:P102</xm:sqref>
        </x14:dataValidation>
        <x14:dataValidation type="list" allowBlank="1" showInputMessage="1" xr:uid="{241043C0-7945-40E0-A3DC-FA3CB68B8F87}">
          <x14:formula1>
            <xm:f>_xlfn.XLOOKUP($C5,'SI - End Use'!$B$2:$B$51,'SI - End Use'!$C$2:$N$51)</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workbookViewId="0">
      <pane ySplit="4" topLeftCell="A5" activePane="bottomLeft" state="frozen"/>
      <selection pane="bottomLeft" activeCell="H11" sqref="H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148</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242</v>
      </c>
      <c r="C5" s="10" t="str">
        <f>_xlfn.XLOOKUP($B5,'SI - Resources'!$A$1:$I$1,'SI - Resources'!$A$2:$I$2, "")</f>
        <v>Biocrude</v>
      </c>
      <c r="D5" s="27" t="str">
        <f>IF(_xlfn.XLOOKUP($C5,'SI - End Use'!$B$2:$B$51,'SI - End Use'!$C$2:$C$51, "")="", "", _xlfn.XLOOKUP($C5,'SI - End Use'!$B$2:$B$51,'SI - End Use'!$C$2:$C$51, ""))</f>
        <v/>
      </c>
      <c r="E5" s="23">
        <v>38962</v>
      </c>
      <c r="F5" s="27" t="s">
        <v>64</v>
      </c>
      <c r="G5" s="39"/>
      <c r="H5" s="39" t="s">
        <v>266</v>
      </c>
      <c r="I5" s="43"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Biocrude</v>
      </c>
      <c r="P5" s="10" t="str">
        <f>IF(_xlfn.XLOOKUP($O5,'SI - End Use'!$B$2:$B$51,'SI - End Use'!$C$2:$C$51, "")="", "", _xlfn.XLOOKUP($C5,'SI - End Use'!$B$2:$B$51,'SI - End Use'!$C$2:$C$51, ""))</f>
        <v/>
      </c>
      <c r="Q5" s="10"/>
      <c r="R5" s="10"/>
    </row>
    <row r="6" spans="1:18" x14ac:dyDescent="0.35">
      <c r="A6" s="10" t="s">
        <v>0</v>
      </c>
      <c r="B6" s="10" t="s">
        <v>271</v>
      </c>
      <c r="C6" s="10" t="s">
        <v>24</v>
      </c>
      <c r="D6" s="27" t="s">
        <v>257</v>
      </c>
      <c r="E6" s="23">
        <v>2182</v>
      </c>
      <c r="F6" s="27" t="s">
        <v>64</v>
      </c>
      <c r="G6" s="39"/>
      <c r="H6" s="39"/>
      <c r="I6" s="43"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1673</v>
      </c>
      <c r="F7" s="27" t="s">
        <v>73</v>
      </c>
      <c r="G7" s="39"/>
      <c r="H7" s="39"/>
      <c r="I7" s="43" t="str">
        <f>IF(Table16[[#This Row],[Type]]="Co-product", "No", "")</f>
        <v/>
      </c>
      <c r="J7" s="10"/>
      <c r="K7" s="10" t="str">
        <f>IF(Table16[[#This Row],[Type]]="Transportation", _xlfn.XLOOKUP(Table16[[#This Row],[Resource]], 'SI - Payload'!$A$10:$A$35,'SI - Payload'!$B$10:$B$35,"",0), "")</f>
        <v/>
      </c>
      <c r="L7" s="10" t="str">
        <f>IF(Table16[[#This Row],[Type]]="Transportation", "ton", "")</f>
        <v/>
      </c>
      <c r="M7" s="10"/>
      <c r="N7" s="10"/>
      <c r="O7" s="10" t="str">
        <f>Table16[[#This Row],[Resource]]</f>
        <v>Electricity</v>
      </c>
      <c r="P7" s="10" t="str">
        <f>IF(_xlfn.XLOOKUP($O7,'SI - End Use'!$B$2:$B$51,'SI - End Use'!$C$2:$C$51, "")="", "", _xlfn.XLOOKUP($C7,'SI - End Use'!$B$2:$B$51,'SI - End Use'!$C$2:$C$51, ""))</f>
        <v>U.S. Mix</v>
      </c>
      <c r="Q7" s="10"/>
      <c r="R7" s="10"/>
    </row>
    <row r="8" spans="1:18" x14ac:dyDescent="0.35">
      <c r="A8" s="10" t="s">
        <v>0</v>
      </c>
      <c r="B8" s="10" t="s">
        <v>38</v>
      </c>
      <c r="C8" s="10" t="s">
        <v>260</v>
      </c>
      <c r="D8" s="27" t="str">
        <f>IF(_xlfn.XLOOKUP($C8,'SI - End Use'!$B$2:$B$51,'SI - End Use'!$C$2:$C$51, "")="", "", _xlfn.XLOOKUP($C8,'SI - End Use'!$B$2:$B$51,'SI - End Use'!$C$2:$C$51, ""))</f>
        <v/>
      </c>
      <c r="E8" s="23">
        <v>29.843721144967688</v>
      </c>
      <c r="F8" s="27" t="s">
        <v>64</v>
      </c>
      <c r="G8" s="39"/>
      <c r="H8" s="39"/>
      <c r="I8" s="43" t="str">
        <f>IF(Table16[[#This Row],[Type]]="Co-product", "No", "")</f>
        <v/>
      </c>
      <c r="J8" s="10"/>
      <c r="K8" s="10" t="str">
        <f>IF(Table16[[#This Row],[Type]]="Transportation", _xlfn.XLOOKUP(Table16[[#This Row],[Resource]], 'SI - Payload'!$A$10:$A$35,'SI - Payload'!$B$10:$B$35,"",0), "")</f>
        <v/>
      </c>
      <c r="L8" s="10" t="str">
        <f>IF(Table16[[#This Row],[Type]]="Transportation", "ton", "")</f>
        <v/>
      </c>
      <c r="M8" s="10"/>
      <c r="N8" s="10"/>
      <c r="O8" s="10" t="str">
        <f>Table16[[#This Row],[Resource]]</f>
        <v>CoMo/γ-Al2O3 Catalyst</v>
      </c>
      <c r="P8" s="10" t="str">
        <f>IF(_xlfn.XLOOKUP($O8,'SI - End Use'!$B$2:$B$51,'SI - End Use'!$C$2:$C$51, "")="", "", _xlfn.XLOOKUP($C8,'SI - End Use'!$B$2:$B$51,'SI - End Use'!$C$2:$C$51, ""))</f>
        <v/>
      </c>
      <c r="Q8" s="10"/>
      <c r="R8" s="10"/>
    </row>
    <row r="9" spans="1:18" x14ac:dyDescent="0.35">
      <c r="A9" s="10" t="s">
        <v>0</v>
      </c>
      <c r="B9" s="10" t="s">
        <v>38</v>
      </c>
      <c r="C9" s="10" t="s">
        <v>261</v>
      </c>
      <c r="D9" s="27" t="str">
        <f>IF(_xlfn.XLOOKUP($C9,'SI - End Use'!$B$2:$B$51,'SI - End Use'!$C$2:$C$51, "")="", "", _xlfn.XLOOKUP($C9,'SI - End Use'!$B$2:$B$51,'SI - End Use'!$C$2:$C$51, ""))</f>
        <v/>
      </c>
      <c r="E9" s="23">
        <v>4.8088410991636801</v>
      </c>
      <c r="F9" s="27" t="s">
        <v>64</v>
      </c>
      <c r="G9" s="39"/>
      <c r="H9" s="39"/>
      <c r="I9" s="43"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NiMo/γ-Al2O3 Catalyst</v>
      </c>
      <c r="P9" s="10" t="str">
        <f>IF(_xlfn.XLOOKUP($O9,'SI - End Use'!$B$2:$B$51,'SI - End Use'!$C$2:$C$51, "")="", "", _xlfn.XLOOKUP($C9,'SI - End Use'!$B$2:$B$51,'SI - End Use'!$C$2:$C$51, ""))</f>
        <v/>
      </c>
      <c r="Q9" s="10"/>
      <c r="R9" s="10"/>
    </row>
    <row r="10" spans="1:18" x14ac:dyDescent="0.35">
      <c r="A10" s="10" t="s">
        <v>0</v>
      </c>
      <c r="B10" s="10" t="s">
        <v>38</v>
      </c>
      <c r="C10" s="10" t="s">
        <v>262</v>
      </c>
      <c r="D10" s="27" t="str">
        <f>IF(_xlfn.XLOOKUP($C10,'SI - End Use'!$B$2:$B$51,'SI - End Use'!$C$2:$C$51, "")="", "", _xlfn.XLOOKUP($C10,'SI - End Use'!$B$2:$B$51,'SI - End Use'!$C$2:$C$51, ""))</f>
        <v/>
      </c>
      <c r="E10" s="23">
        <v>0.24611221499130057</v>
      </c>
      <c r="F10" s="27" t="s">
        <v>64</v>
      </c>
      <c r="G10" s="39"/>
      <c r="H10" s="39"/>
      <c r="I10" s="43"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Pt/ Gamma Al2O3 Catalyst</v>
      </c>
      <c r="P10" s="10" t="str">
        <f>IF(_xlfn.XLOOKUP($O10,'SI - End Use'!$B$2:$B$51,'SI - End Use'!$C$2:$C$51, "")="", "", _xlfn.XLOOKUP($C10,'SI - End Use'!$B$2:$B$51,'SI - End Use'!$C$2:$C$51, ""))</f>
        <v/>
      </c>
      <c r="Q10" s="10"/>
      <c r="R10" s="10"/>
    </row>
    <row r="11" spans="1:18" x14ac:dyDescent="0.35">
      <c r="A11" s="10" t="s">
        <v>0</v>
      </c>
      <c r="B11" s="10" t="s">
        <v>38</v>
      </c>
      <c r="C11" s="10" t="s">
        <v>263</v>
      </c>
      <c r="D11" s="27" t="str">
        <f>IF(_xlfn.XLOOKUP($C11,'SI - End Use'!$B$2:$B$51,'SI - End Use'!$C$2:$C$51, "")="", "", _xlfn.XLOOKUP($C11,'SI - End Use'!$B$2:$B$51,'SI - End Use'!$C$2:$C$51, ""))</f>
        <v/>
      </c>
      <c r="E11" s="23">
        <v>0.4</v>
      </c>
      <c r="F11" s="27" t="s">
        <v>64</v>
      </c>
      <c r="G11" s="39"/>
      <c r="H11" s="39"/>
      <c r="I11" s="43"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Ni</v>
      </c>
      <c r="P11" s="10" t="str">
        <f>IF(_xlfn.XLOOKUP($O11,'SI - End Use'!$B$2:$B$51,'SI - End Use'!$C$2:$C$51, "")="", "", _xlfn.XLOOKUP($C11,'SI - End Use'!$B$2:$B$51,'SI - End Use'!$C$2:$C$51, ""))</f>
        <v/>
      </c>
      <c r="Q11" s="10"/>
      <c r="R11" s="10"/>
    </row>
    <row r="12" spans="1:18" x14ac:dyDescent="0.35">
      <c r="A12" s="10" t="s">
        <v>0</v>
      </c>
      <c r="B12" s="10" t="s">
        <v>29</v>
      </c>
      <c r="C12" s="10" t="s">
        <v>29</v>
      </c>
      <c r="D12" s="27" t="str">
        <f>IF(_xlfn.XLOOKUP($C12,'SI - End Use'!$B$2:$B$51,'SI - End Use'!$C$2:$C$51, "")="", "", _xlfn.XLOOKUP($C12,'SI - End Use'!$B$2:$B$51,'SI - End Use'!$C$2:$C$51, ""))</f>
        <v/>
      </c>
      <c r="E12" s="23">
        <v>25049.700867629836</v>
      </c>
      <c r="F12" s="27" t="s">
        <v>64</v>
      </c>
      <c r="G12" s="39"/>
      <c r="H12" s="39"/>
      <c r="I12" s="43"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Water</v>
      </c>
      <c r="P12" s="10" t="str">
        <f>IF(_xlfn.XLOOKUP($O12,'SI - End Use'!$B$2:$B$51,'SI - End Use'!$C$2:$C$51, "")="", "", _xlfn.XLOOKUP($C12,'SI - End Use'!$B$2:$B$51,'SI - End Use'!$C$2:$C$51, ""))</f>
        <v/>
      </c>
      <c r="Q12" s="10"/>
      <c r="R12" s="10"/>
    </row>
    <row r="13" spans="1:18" x14ac:dyDescent="0.35">
      <c r="A13" s="10" t="s">
        <v>0</v>
      </c>
      <c r="B13" s="10" t="s">
        <v>29</v>
      </c>
      <c r="C13" s="10" t="s">
        <v>29</v>
      </c>
      <c r="D13" s="27" t="str">
        <f>IF(_xlfn.XLOOKUP($C13,'SI - End Use'!$B$2:$B$51,'SI - End Use'!$C$2:$C$51, "")="", "", _xlfn.XLOOKUP($C13,'SI - End Use'!$B$2:$B$51,'SI - End Use'!$C$2:$C$51, ""))</f>
        <v/>
      </c>
      <c r="E13" s="23">
        <v>11021</v>
      </c>
      <c r="F13" s="27" t="s">
        <v>64</v>
      </c>
      <c r="G13" s="39"/>
      <c r="H13" s="39"/>
      <c r="I13" s="43"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Water</v>
      </c>
      <c r="P13" s="10" t="str">
        <f>IF(_xlfn.XLOOKUP($O13,'SI - End Use'!$B$2:$B$51,'SI - End Use'!$C$2:$C$51, "")="", "", _xlfn.XLOOKUP($C13,'SI - End Use'!$B$2:$B$51,'SI - End Use'!$C$2:$C$51, ""))</f>
        <v/>
      </c>
      <c r="Q13" s="10"/>
      <c r="R13" s="10"/>
    </row>
    <row r="14" spans="1:18" x14ac:dyDescent="0.35">
      <c r="A14" s="10" t="s">
        <v>120</v>
      </c>
      <c r="B14" s="10" t="s">
        <v>271</v>
      </c>
      <c r="C14" s="10" t="s">
        <v>76</v>
      </c>
      <c r="D14" s="27" t="s">
        <v>269</v>
      </c>
      <c r="E14" s="23">
        <v>554.91562999999996</v>
      </c>
      <c r="F14" s="27" t="s">
        <v>75</v>
      </c>
      <c r="G14" s="39"/>
      <c r="H14" s="39"/>
      <c r="I14" s="43"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
        <v>2</v>
      </c>
      <c r="P14" s="10" t="s">
        <v>40</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27" t="str">
        <f>Table16[[#This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27" t="str">
        <f>Table16[[#This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IF(Table16[[#This Row],[Type]]="Co-product", "No", "")</f>
        <v/>
      </c>
      <c r="J100" s="26"/>
      <c r="K100" s="26" t="str">
        <f>IF(Table16[[#This Row],[Type]]="Transportation", _xlfn.XLOOKUP(Table16[[#This Row],[Resource]], 'SI - Payload'!$A$10:$A$35,'SI - Payload'!$B$10:$B$35,"",0), "")</f>
        <v/>
      </c>
      <c r="L100" s="26" t="str">
        <f>IF(Table16[[#This Row],[Type]]="Transportation", "ton", "")</f>
        <v/>
      </c>
      <c r="M100" s="26"/>
      <c r="N100" s="26"/>
      <c r="O100" s="26" t="str">
        <f>Table16[[#This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Units'!$B$24:$B$72,'SI - Units'!$C$24:$C$72),'SI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Units'!$B$24:$B$72,'SI - Units'!$C$24:$C$72),'SI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Units'!$B$24:$B$72,'SI - Units'!$C$24:$C$72),'SI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Use'!$B$2:$B$51,'SI - End Use'!$C$2:$N$51)</xm:f>
          </x14:formula1>
          <xm:sqref>P5:P100</xm:sqref>
        </x14:dataValidation>
        <x14:dataValidation type="list" allowBlank="1" showInputMessage="1" xr:uid="{2DE88688-96A5-4B63-BEE7-602C6677FB8D}">
          <x14:formula1>
            <xm:f>_xlfn.XLOOKUP($C5,'SI - End Use'!$B$2:$B$51,'SI - End Use'!$C$2:$N$51)</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2022-06-19T16:42:57Z</dcterms:modified>
</cp:coreProperties>
</file>