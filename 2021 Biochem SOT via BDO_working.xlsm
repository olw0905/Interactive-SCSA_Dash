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oul\Documents\dash_development_in_github\"/>
    </mc:Choice>
  </mc:AlternateContent>
  <xr:revisionPtr revIDLastSave="0" documentId="13_ncr:1_{FD2D043C-C1B1-454B-9D61-76202ECCF073}" xr6:coauthVersionLast="47" xr6:coauthVersionMax="47" xr10:uidLastSave="{00000000-0000-0000-0000-000000000000}"/>
  <bookViews>
    <workbookView xWindow="28680" yWindow="-120" windowWidth="29040" windowHeight="15840" activeTab="2" xr2:uid="{CD6380C4-55CF-4A2B-8B40-E0431B51BF74}"/>
  </bookViews>
  <sheets>
    <sheet name="Introduction" sheetId="16" r:id="rId1"/>
    <sheet name="Template" sheetId="10" r:id="rId2"/>
    <sheet name="Feedstock Harvest" sheetId="23" r:id="rId3"/>
    <sheet name="Preprocessing" sheetId="5" r:id="rId4"/>
    <sheet name="Fuel Production" sheetId="4" r:id="rId5"/>
    <sheet name="SI - Resources" sheetId="6" r:id="rId6"/>
    <sheet name="SI - End Use" sheetId="7" r:id="rId7"/>
    <sheet name="SI - Units" sheetId="8" state="hidden" r:id="rId8"/>
    <sheet name="SI - Co-products" sheetId="9" r:id="rId9"/>
  </sheets>
  <externalReferences>
    <externalReference r:id="rId10"/>
  </externalReferences>
  <definedNames>
    <definedName name="kWh2Btu">#REF!</definedName>
    <definedName name="mmkcal2mmbtu">[1]SI!$B$1</definedName>
    <definedName name="NGLHV">#REF!</definedName>
  </definedNames>
  <calcPr calcId="191029"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28" i="4" l="1"/>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C8" i="23"/>
  <c r="D8" i="23" s="1"/>
  <c r="F98" i="10" l="1" a="1"/>
  <c r="F98" i="10" s="1"/>
  <c r="F97" i="10" a="1"/>
  <c r="F97" i="10" s="1"/>
  <c r="K98" i="10"/>
  <c r="L98" i="10" s="1"/>
  <c r="K97" i="10"/>
  <c r="L97" i="10" s="1"/>
  <c r="K99" i="10"/>
  <c r="L99" i="10" s="1"/>
  <c r="F99" i="10" a="1"/>
  <c r="F99" i="10" s="1"/>
  <c r="C9" i="23"/>
  <c r="F7" i="23" a="1"/>
  <c r="F7" i="23" s="1"/>
  <c r="C6" i="23"/>
  <c r="F6" i="23" s="1" a="1"/>
  <c r="F6" i="23" s="1"/>
  <c r="C5" i="23"/>
  <c r="D5" i="23" s="1"/>
  <c r="C5" i="10"/>
  <c r="C96" i="10"/>
  <c r="C100" i="10"/>
  <c r="C87" i="10"/>
  <c r="C88" i="10"/>
  <c r="C89" i="10"/>
  <c r="C90" i="10"/>
  <c r="C91" i="10"/>
  <c r="C92" i="10"/>
  <c r="C93" i="10"/>
  <c r="C94" i="10"/>
  <c r="C95"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D63"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C9" i="5"/>
  <c r="F8" i="4"/>
  <c r="F9" i="4"/>
  <c r="F10" i="4"/>
  <c r="F11" i="4"/>
  <c r="F12" i="4"/>
  <c r="F13" i="4"/>
  <c r="F14" i="4"/>
  <c r="F15" i="4"/>
  <c r="F16" i="4"/>
  <c r="F17" i="4"/>
  <c r="F18" i="4"/>
  <c r="F19" i="4"/>
  <c r="F21" i="4"/>
  <c r="F22" i="4"/>
  <c r="F23" i="4"/>
  <c r="C8" i="5"/>
  <c r="C5" i="5"/>
  <c r="D7" i="5"/>
  <c r="D26" i="4"/>
  <c r="D8" i="4"/>
  <c r="D9" i="4"/>
  <c r="D10" i="4"/>
  <c r="D11" i="4"/>
  <c r="D12" i="4"/>
  <c r="D13" i="4"/>
  <c r="D14" i="4"/>
  <c r="D15" i="4"/>
  <c r="D16" i="4"/>
  <c r="D17" i="4"/>
  <c r="D18" i="4"/>
  <c r="D19" i="4"/>
  <c r="D20" i="4"/>
  <c r="D21" i="4"/>
  <c r="D22" i="4"/>
  <c r="D23" i="4"/>
  <c r="D24" i="4"/>
  <c r="D29" i="4"/>
  <c r="D28" i="4"/>
  <c r="C5" i="4"/>
  <c r="D57" i="10" l="1"/>
  <c r="K57" i="10"/>
  <c r="L57" i="10" s="1"/>
  <c r="F66" i="10" a="1"/>
  <c r="F66" i="10" s="1"/>
  <c r="K66" i="10"/>
  <c r="L66" i="10" s="1"/>
  <c r="D87" i="10"/>
  <c r="K87" i="10"/>
  <c r="L87" i="10" s="1"/>
  <c r="F9" i="10" a="1"/>
  <c r="F9" i="10" s="1"/>
  <c r="K9" i="10"/>
  <c r="L9" i="10" s="1"/>
  <c r="F30" i="10" a="1"/>
  <c r="F30" i="10" s="1"/>
  <c r="K30" i="10"/>
  <c r="L30" i="10" s="1"/>
  <c r="D22" i="10"/>
  <c r="K22" i="10"/>
  <c r="L22" i="10" s="1"/>
  <c r="D56" i="10"/>
  <c r="K56" i="10"/>
  <c r="L56" i="10" s="1"/>
  <c r="F48" i="10" a="1"/>
  <c r="F48" i="10" s="1"/>
  <c r="K48" i="10"/>
  <c r="L48" i="10" s="1"/>
  <c r="D40" i="10"/>
  <c r="K40" i="10"/>
  <c r="L40" i="10" s="1"/>
  <c r="F32" i="10" a="1"/>
  <c r="F32" i="10" s="1"/>
  <c r="K32" i="10"/>
  <c r="L32" i="10" s="1"/>
  <c r="F81" i="10" a="1"/>
  <c r="F81" i="10" s="1"/>
  <c r="K81" i="10"/>
  <c r="L81" i="10" s="1"/>
  <c r="D73" i="10"/>
  <c r="K73" i="10"/>
  <c r="L73" i="10" s="1"/>
  <c r="D65" i="10"/>
  <c r="K65" i="10"/>
  <c r="L65" i="10" s="1"/>
  <c r="D94" i="10"/>
  <c r="K94" i="10"/>
  <c r="L94" i="10" s="1"/>
  <c r="F100" i="10" a="1"/>
  <c r="F100" i="10" s="1"/>
  <c r="K100" i="10"/>
  <c r="L100" i="10" s="1"/>
  <c r="D41" i="10"/>
  <c r="K41" i="10"/>
  <c r="L41" i="10" s="1"/>
  <c r="D95" i="10"/>
  <c r="K95" i="10"/>
  <c r="L95" i="10" s="1"/>
  <c r="F10" i="10" a="1"/>
  <c r="F10" i="10" s="1"/>
  <c r="K10" i="10"/>
  <c r="L10" i="10" s="1"/>
  <c r="D29" i="10"/>
  <c r="K29" i="10"/>
  <c r="L29" i="10" s="1"/>
  <c r="F21" i="10" a="1"/>
  <c r="F21" i="10" s="1"/>
  <c r="K21" i="10"/>
  <c r="L21" i="10" s="1"/>
  <c r="F55" i="10" a="1"/>
  <c r="F55" i="10" s="1"/>
  <c r="K55" i="10"/>
  <c r="L55" i="10" s="1"/>
  <c r="D47" i="10"/>
  <c r="K47" i="10"/>
  <c r="L47" i="10" s="1"/>
  <c r="D39" i="10"/>
  <c r="K39" i="10"/>
  <c r="L39" i="10" s="1"/>
  <c r="F31" i="10" a="1"/>
  <c r="F31" i="10" s="1"/>
  <c r="K31" i="10"/>
  <c r="L31" i="10" s="1"/>
  <c r="D80" i="10"/>
  <c r="K80" i="10"/>
  <c r="L80" i="10" s="1"/>
  <c r="D72" i="10"/>
  <c r="K72" i="10"/>
  <c r="L72" i="10" s="1"/>
  <c r="D64" i="10"/>
  <c r="K64" i="10"/>
  <c r="L64" i="10" s="1"/>
  <c r="D93" i="10"/>
  <c r="K93" i="10"/>
  <c r="L93" i="10" s="1"/>
  <c r="D96" i="10"/>
  <c r="K96" i="10"/>
  <c r="L96" i="10" s="1"/>
  <c r="F49" i="10" a="1"/>
  <c r="F49" i="10" s="1"/>
  <c r="K49" i="10"/>
  <c r="L49" i="10" s="1"/>
  <c r="F11" i="10" a="1"/>
  <c r="F11" i="10" s="1"/>
  <c r="K11" i="10"/>
  <c r="L11" i="10" s="1"/>
  <c r="D38" i="10"/>
  <c r="K38" i="10"/>
  <c r="L38" i="10" s="1"/>
  <c r="F79" i="10" a="1"/>
  <c r="F79" i="10" s="1"/>
  <c r="K79" i="10"/>
  <c r="L79" i="10" s="1"/>
  <c r="D71" i="10"/>
  <c r="K71" i="10"/>
  <c r="L71" i="10" s="1"/>
  <c r="F63" i="10" a="1"/>
  <c r="F63" i="10" s="1"/>
  <c r="K63" i="10"/>
  <c r="L63" i="10" s="1"/>
  <c r="D92" i="10"/>
  <c r="K92" i="10"/>
  <c r="L92" i="10" s="1"/>
  <c r="D5" i="10"/>
  <c r="K5" i="10"/>
  <c r="L5" i="10" s="1"/>
  <c r="D46" i="10"/>
  <c r="K46" i="10"/>
  <c r="L46" i="10" s="1"/>
  <c r="D12" i="10"/>
  <c r="K12" i="10"/>
  <c r="L12" i="10" s="1"/>
  <c r="D27" i="10"/>
  <c r="K27" i="10"/>
  <c r="L27" i="10" s="1"/>
  <c r="F19" i="10" a="1"/>
  <c r="F19" i="10" s="1"/>
  <c r="K19" i="10"/>
  <c r="L19" i="10" s="1"/>
  <c r="D53" i="10"/>
  <c r="K53" i="10"/>
  <c r="L53" i="10" s="1"/>
  <c r="F45" i="10" a="1"/>
  <c r="F45" i="10" s="1"/>
  <c r="K45" i="10"/>
  <c r="L45" i="10" s="1"/>
  <c r="D37" i="10"/>
  <c r="K37" i="10"/>
  <c r="L37" i="10" s="1"/>
  <c r="F86" i="10" a="1"/>
  <c r="F86" i="10" s="1"/>
  <c r="K86" i="10"/>
  <c r="L86" i="10" s="1"/>
  <c r="F78" i="10" a="1"/>
  <c r="F78" i="10" s="1"/>
  <c r="K78" i="10"/>
  <c r="L78" i="10" s="1"/>
  <c r="F70" i="10" a="1"/>
  <c r="F70" i="10" s="1"/>
  <c r="K70" i="10"/>
  <c r="L70" i="10" s="1"/>
  <c r="F62" i="10" a="1"/>
  <c r="F62" i="10" s="1"/>
  <c r="K62" i="10"/>
  <c r="L62" i="10" s="1"/>
  <c r="F91" i="10" a="1"/>
  <c r="F91" i="10" s="1"/>
  <c r="K91" i="10"/>
  <c r="L91" i="10" s="1"/>
  <c r="D16" i="10"/>
  <c r="K16" i="10"/>
  <c r="L16" i="10" s="1"/>
  <c r="D33" i="10"/>
  <c r="K33" i="10"/>
  <c r="L33" i="10" s="1"/>
  <c r="F20" i="10" a="1"/>
  <c r="F20" i="10" s="1"/>
  <c r="K20" i="10"/>
  <c r="L20" i="10" s="1"/>
  <c r="F13" i="10" a="1"/>
  <c r="F13" i="10" s="1"/>
  <c r="K13" i="10"/>
  <c r="L13" i="10" s="1"/>
  <c r="F26" i="10" a="1"/>
  <c r="F26" i="10" s="1"/>
  <c r="K26" i="10"/>
  <c r="L26" i="10" s="1"/>
  <c r="D18" i="10"/>
  <c r="K18" i="10"/>
  <c r="L18" i="10" s="1"/>
  <c r="D52" i="10"/>
  <c r="K52" i="10"/>
  <c r="L52" i="10" s="1"/>
  <c r="D44" i="10"/>
  <c r="K44" i="10"/>
  <c r="L44" i="10" s="1"/>
  <c r="D36" i="10"/>
  <c r="K36" i="10"/>
  <c r="L36" i="10" s="1"/>
  <c r="D85" i="10"/>
  <c r="K85" i="10"/>
  <c r="L85" i="10" s="1"/>
  <c r="D77" i="10"/>
  <c r="K77" i="10"/>
  <c r="L77" i="10" s="1"/>
  <c r="D69" i="10"/>
  <c r="K69" i="10"/>
  <c r="L69" i="10" s="1"/>
  <c r="D61" i="10"/>
  <c r="K61" i="10"/>
  <c r="L61" i="10" s="1"/>
  <c r="F90" i="10" a="1"/>
  <c r="F90" i="10" s="1"/>
  <c r="K90" i="10"/>
  <c r="L90" i="10" s="1"/>
  <c r="F8" i="10" a="1"/>
  <c r="F8" i="10" s="1"/>
  <c r="K8" i="10"/>
  <c r="L8" i="10" s="1"/>
  <c r="F82" i="10" a="1"/>
  <c r="F82" i="10" s="1"/>
  <c r="K82" i="10"/>
  <c r="L82" i="10" s="1"/>
  <c r="D28" i="10"/>
  <c r="K28" i="10"/>
  <c r="L28" i="10" s="1"/>
  <c r="D6" i="10"/>
  <c r="K6" i="10"/>
  <c r="L6" i="10" s="1"/>
  <c r="F14" i="10" a="1"/>
  <c r="F14" i="10" s="1"/>
  <c r="K14" i="10"/>
  <c r="L14" i="10" s="1"/>
  <c r="D25" i="10"/>
  <c r="K25" i="10"/>
  <c r="L25" i="10" s="1"/>
  <c r="D17" i="10"/>
  <c r="K17" i="10"/>
  <c r="L17" i="10" s="1"/>
  <c r="F51" i="10" a="1"/>
  <c r="F51" i="10" s="1"/>
  <c r="K51" i="10"/>
  <c r="L51" i="10" s="1"/>
  <c r="F43" i="10" a="1"/>
  <c r="F43" i="10" s="1"/>
  <c r="K43" i="10"/>
  <c r="L43" i="10" s="1"/>
  <c r="D35" i="10"/>
  <c r="K35" i="10"/>
  <c r="L35" i="10" s="1"/>
  <c r="F84" i="10" a="1"/>
  <c r="F84" i="10" s="1"/>
  <c r="K84" i="10"/>
  <c r="L84" i="10" s="1"/>
  <c r="F76" i="10" a="1"/>
  <c r="F76" i="10" s="1"/>
  <c r="K76" i="10"/>
  <c r="L76" i="10" s="1"/>
  <c r="D68" i="10"/>
  <c r="K68" i="10"/>
  <c r="L68" i="10" s="1"/>
  <c r="D60" i="10"/>
  <c r="K60" i="10"/>
  <c r="L60" i="10" s="1"/>
  <c r="F89" i="10" a="1"/>
  <c r="F89" i="10" s="1"/>
  <c r="K89" i="10"/>
  <c r="L89" i="10" s="1"/>
  <c r="F23" i="10" a="1"/>
  <c r="F23" i="10" s="1"/>
  <c r="K23" i="10"/>
  <c r="L23" i="10" s="1"/>
  <c r="F74" i="10" a="1"/>
  <c r="F74" i="10" s="1"/>
  <c r="K74" i="10"/>
  <c r="L74" i="10" s="1"/>
  <c r="D54" i="10"/>
  <c r="K54" i="10"/>
  <c r="L54" i="10" s="1"/>
  <c r="F7" i="10" a="1"/>
  <c r="F7" i="10" s="1"/>
  <c r="K7" i="10"/>
  <c r="L7" i="10" s="1"/>
  <c r="D15" i="10"/>
  <c r="K15" i="10"/>
  <c r="L15" i="10" s="1"/>
  <c r="F24" i="10" a="1"/>
  <c r="F24" i="10" s="1"/>
  <c r="K24" i="10"/>
  <c r="L24" i="10" s="1"/>
  <c r="F58" i="10" a="1"/>
  <c r="F58" i="10" s="1"/>
  <c r="K58" i="10"/>
  <c r="L58" i="10" s="1"/>
  <c r="F50" i="10" a="1"/>
  <c r="F50" i="10" s="1"/>
  <c r="K50" i="10"/>
  <c r="L50" i="10" s="1"/>
  <c r="D42" i="10"/>
  <c r="K42" i="10"/>
  <c r="L42" i="10" s="1"/>
  <c r="D34" i="10"/>
  <c r="K34" i="10"/>
  <c r="L34" i="10" s="1"/>
  <c r="F83" i="10" a="1"/>
  <c r="F83" i="10" s="1"/>
  <c r="K83" i="10"/>
  <c r="L83" i="10" s="1"/>
  <c r="F75" i="10" a="1"/>
  <c r="F75" i="10" s="1"/>
  <c r="K75" i="10"/>
  <c r="L75" i="10" s="1"/>
  <c r="D67" i="10"/>
  <c r="K67" i="10"/>
  <c r="L67" i="10" s="1"/>
  <c r="D59" i="10"/>
  <c r="K59" i="10"/>
  <c r="L59" i="10" s="1"/>
  <c r="F88" i="10" a="1"/>
  <c r="F88" i="10" s="1"/>
  <c r="K88" i="10"/>
  <c r="L88" i="10" s="1"/>
  <c r="D76" i="10"/>
  <c r="D84" i="10"/>
  <c r="D88" i="10"/>
  <c r="D23" i="10"/>
  <c r="F41" i="10" a="1"/>
  <c r="F41" i="10" s="1"/>
  <c r="F33" i="10" a="1"/>
  <c r="F33" i="10" s="1"/>
  <c r="F57" i="10" a="1"/>
  <c r="F57" i="10" s="1"/>
  <c r="D49" i="10"/>
  <c r="D79" i="10"/>
  <c r="D7" i="23"/>
  <c r="D9" i="23"/>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<sst xmlns="http://schemas.openxmlformats.org/spreadsheetml/2006/main" count="552" uniqueCount="165">
  <si>
    <t>Input</t>
  </si>
  <si>
    <t>Category</t>
  </si>
  <si>
    <t>Fuel</t>
  </si>
  <si>
    <t>Diesel</t>
  </si>
  <si>
    <t>Electricity</t>
  </si>
  <si>
    <t>Note</t>
  </si>
  <si>
    <t>End Use</t>
  </si>
  <si>
    <t>Type</t>
  </si>
  <si>
    <t>Amount</t>
  </si>
  <si>
    <t>Unit</t>
  </si>
  <si>
    <t>Main product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</si>
  <si>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</si>
  <si>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</si>
  <si>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</si>
  <si>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</si>
  <si>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</si>
  <si>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</si>
  <si>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</si>
  <si>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</si>
  <si>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</si>
  <si>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</si>
  <si>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</si>
  <si>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</si>
  <si>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</si>
  <si>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</si>
  <si>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</si>
  <si>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</si>
  <si>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</si>
  <si>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</si>
  <si>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</si>
  <si>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</si>
  <si>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</si>
  <si>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</si>
  <si>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</si>
  <si>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</si>
  <si>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</si>
  <si>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</si>
  <si>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</si>
  <si>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Preprocessing</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</si>
  <si>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</si>
  <si>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</si>
  <si>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</si>
  <si>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</si>
  <si>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</si>
  <si>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</si>
  <si>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</si>
  <si>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</si>
  <si>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</si>
  <si>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</si>
  <si>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</si>
  <si>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</si>
  <si>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</si>
  <si>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</si>
  <si>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</si>
  <si>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</si>
  <si>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</si>
  <si>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</si>
  <si>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</si>
  <si>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</si>
  <si>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</si>
  <si>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</si>
  <si>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</si>
  <si>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</si>
  <si>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</si>
  <si>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</si>
  <si>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</si>
  <si>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metric tonne</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</si>
  <si>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</si>
  <si>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</si>
  <si>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</si>
  <si>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</si>
  <si>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</si>
  <si>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</si>
  <si>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</si>
  <si>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</si>
  <si>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</si>
  <si>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</si>
  <si>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</si>
  <si>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</si>
  <si>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</si>
  <si>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</si>
  <si>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</si>
  <si>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</si>
  <si>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</si>
  <si>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</si>
  <si>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</si>
  <si>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</si>
  <si>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</si>
  <si>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</si>
  <si>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</si>
  <si>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</si>
  <si>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</si>
  <si>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</si>
  <si>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</si>
  <si>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</si>
  <si>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</si>
  <si>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</si>
  <si>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</si>
  <si>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</si>
  <si>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</si>
  <si>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</si>
  <si>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</si>
  <si>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</si>
  <si>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</si>
  <si>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</si>
  <si>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</si>
  <si>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</si>
  <si>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</si>
  <si>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</si>
  <si>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</si>
  <si>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</si>
  <si>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</si>
  <si>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</si>
  <si>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</si>
  <si>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</si>
  <si>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</si>
  <si>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</si>
  <si>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</si>
  <si>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</si>
  <si>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</si>
  <si>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</si>
  <si>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Previous Process</t>
  </si>
  <si>
    <t>Product Train</t>
  </si>
  <si>
    <t>Main Product</t>
  </si>
  <si>
    <t>Secondary Co-product</t>
  </si>
  <si>
    <t>Does this process produce the end product</t>
  </si>
  <si>
    <t>No</t>
  </si>
  <si>
    <t>Feedstock Harvest</t>
  </si>
  <si>
    <t>External input.The resource is from outside the modeled pathway.</t>
  </si>
  <si>
    <t>Input from another process</t>
  </si>
  <si>
    <t>The input/output resource.</t>
  </si>
  <si>
    <t>Specify whether the item is an input or output of the process. There are two input types and three output types defined:</t>
  </si>
  <si>
    <r>
      <t xml:space="preserve">Specify the end use of the selected resource. For instance, natural gas can be burned in large- and small-scale industrial boilders, which affect the emissions from the end use. If left empty, the emissions from the end use are nto accouted for in the LCA calculation. </t>
    </r>
    <r>
      <rPr>
        <b/>
        <sz val="11"/>
        <color rgb="FFC00000"/>
        <rFont val="Calibri"/>
        <family val="2"/>
        <scheme val="minor"/>
      </rPr>
      <t>For electricity, this column specifies the gird mix (e.g., U.S. mix, etc.) and cannot be left empty.</t>
    </r>
  </si>
  <si>
    <t>The unit of the item.</t>
  </si>
  <si>
    <r>
      <t xml:space="preserve">Input from another process in the modeled pathway. </t>
    </r>
    <r>
      <rPr>
        <b/>
        <sz val="11"/>
        <color rgb="FFC00000"/>
        <rFont val="Calibri"/>
        <family val="2"/>
        <scheme val="minor"/>
      </rPr>
      <t>The name of the source process must be specified in the "Previous Process" column.</t>
    </r>
  </si>
  <si>
    <t>The moisture content of the item. For instance, if the amount of biomass feedstock is 100 ton and the moisture content is 20%, it will be converted to 80 dry ton. The moisture content can also be used specify the moisture of a transportation process.</t>
  </si>
  <si>
    <t xml:space="preserve">This column is only used when the "Type" column is "Input from another process". It is used to specify the name of the source process. The provided process name must exist (i.e., the provided name must be identical to the B1 Cell of the spreadsheet for the source process). </t>
  </si>
  <si>
    <t>Specify the product train of the item. The column is only used when using the process-level allocation method.</t>
  </si>
  <si>
    <t>The amount of the item. For transportation, specify the tranportation distance.</t>
  </si>
  <si>
    <t>The category of the resource (i.e., fuel, chemicals and catalysts, etc.). For transportation, select "Transportation".</t>
  </si>
  <si>
    <t>2. Introduction of the required inputs for each process</t>
  </si>
  <si>
    <r>
      <rPr>
        <sz val="11"/>
        <color theme="1"/>
        <rFont val="Calibri"/>
        <family val="2"/>
        <scheme val="minor"/>
      </rPr>
      <t xml:space="preserve">The end product is the product for which the LCA results are calculated. If "Yes", the main product of this process is the end product of this pathway. </t>
    </r>
    <r>
      <rPr>
        <b/>
        <sz val="11"/>
        <color rgb="FFC00000"/>
        <rFont val="Calibri"/>
        <family val="2"/>
        <scheme val="minor"/>
      </rPr>
      <t>There can be only one end product for each pathway.</t>
    </r>
    <r>
      <rPr>
        <sz val="11"/>
        <color theme="1"/>
        <rFont val="Calibri"/>
        <family val="2"/>
        <scheme val="minor"/>
      </rPr>
      <t xml:space="preserve"> For insance, if the end product is renewable diesel, the LCA resutls are calculated for 1 mmBtu of electricity.</t>
    </r>
  </si>
  <si>
    <t>The Co-product of a process. When the displacement method is used,  co-products will generate credits by displacing their incumbent counterparts. When process-level allocation methods are used, a portion of emission burdens are allocated to the co-products depending on the basis for the allocation method (mass-, energy- or market-value-based allocation).</t>
  </si>
  <si>
    <r>
      <t xml:space="preserve">The Main product of a process for which LCA results are calculated. </t>
    </r>
    <r>
      <rPr>
        <b/>
        <sz val="11"/>
        <color rgb="FFC00000"/>
        <rFont val="Calibri"/>
        <family val="2"/>
        <scheme val="minor"/>
      </rPr>
      <t>Each process must have one and only one main product.</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</si>
  <si>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secondary co-product of a process. When the displacement method is used,  secondary co-products are treated in the same way as co-products (i.e., they generate credits by displacing their incumbent counterparts). When process-level allocation methods are used, secondary co-products should </t>
    </r>
    <r>
      <rPr>
        <b/>
        <sz val="11"/>
        <color rgb="FFC00000"/>
        <rFont val="Calibri"/>
        <family val="2"/>
        <scheme val="minor"/>
      </rPr>
      <t>NOT</t>
    </r>
    <r>
      <rPr>
        <sz val="11"/>
        <color theme="1"/>
        <rFont val="Calibri"/>
        <family val="2"/>
        <scheme val="minor"/>
      </rPr>
      <t xml:space="preserve"> be accounted for when calculating the allocation ratio for the main product. Instead, they will generate credits by displacing their incumbent counterparts, and the credits are allocated between the main product and co-product.</t>
    </r>
  </si>
  <si>
    <r>
      <rPr>
        <b/>
        <sz val="16"/>
        <color theme="1"/>
        <rFont val="Calibri"/>
        <family val="2"/>
        <scheme val="minor"/>
      </rPr>
      <t>1. Overview</t>
    </r>
    <r>
      <rPr>
        <sz val="11"/>
        <color theme="1"/>
        <rFont val="Calibri"/>
        <family val="2"/>
        <scheme val="minor"/>
      </rPr>
      <t xml:space="preserve">
This tool is developed for streamlined life-cycle analysis (LCA) calculations for state-of-technology (SOT) pathways. It is used to generate input files that can be uploaded to a web-based application taht is under development for fast and convenient LCA calculation. Each pathway consists of one or more "processes". Each spreadsheet models a process. The users are free to deterimine the level of breakdown for the pathway. For instance, the pathway may include only one process that covers conversion of the feedstock to the final product. Alternatively, the pathway may be broken down into three processes: feedstock production, feedstock preprocessing, and fuel production. </t>
    </r>
  </si>
  <si>
    <t>2.1 General Inputs</t>
  </si>
  <si>
    <t>2.2 Life Cycle Inventory Inputs</t>
  </si>
  <si>
    <t>Add notes for the item. This column is not used in the LCA calculation.</t>
  </si>
  <si>
    <t>Input from Another Process</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</si>
  <si>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</si>
  <si>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</si>
  <si>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</si>
  <si>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</si>
  <si>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</si>
  <si>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</si>
  <si>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</si>
  <si>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</si>
  <si>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</si>
  <si>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</si>
  <si>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</si>
  <si>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Incumbent Resource</t>
  </si>
  <si>
    <t>Incumbent End Use</t>
  </si>
  <si>
    <t>Incumbent Product</t>
  </si>
  <si>
    <t>End Use of Incumbent Product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</si>
</sst>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F400]h:mm:ss\ AM/PM"/>
    <numFmt numFmtId="165" formatCode="_(* #,##0_);_(* \(#,##0\);_(* &quot;-&quot;??_);_(@_)"/>
  </numFmts>
  <fonts count="21"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b/>
      <sz val="10"/>
      <color rgb="FF000000"/>
      <name val="Arial"/>
      <family val="2"/>
    </font>
    <font>
      <sz val="10"/>
      <color theme="1"/>
      <name val="Arial"/>
      <family val="2"/>
    </font>
    <font>
      <sz val="10"/>
      <color rgb="FF000000"/>
      <name val="Arial"/>
      <family val="2"/>
    </font>
    <font>
      <sz val="10"/>
      <color rgb="FFFF0000"/>
      <name val="Arial"/>
      <family val="2"/>
    </font>
    <font>
      <sz val="8"/>
      <name val="Calibri"/>
      <family val="2"/>
      <scheme val="minor"/>
    </font>
    <font>
      <sz val="9"/>
      <color theme="1"/>
      <name val="Segoe UI"/>
      <family val="2"/>
    </font>
  </fonts>
  <fills count="4">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s>
  <borders count="4">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9">
    <xf numFmtId="0" fontId="0" fillId="0" borderId="0" xfId="0"/>
    <xf numFmtId="0" fontId="0" fillId="0" borderId="0" xfId="0" applyFill="1" applyBorder="1"/>
    <xf numFmtId="0" fontId="0" fillId="0" borderId="0" xfId="0" applyFill="1"/>
    <xf numFmtId="164" fontId="0" fillId="0" borderId="0" xfId="0" applyNumberFormat="1" applyFill="1" applyBorder="1"/>
    <xf numFmtId="0" fontId="3" fillId="0" borderId="0" xfId="0" applyFont="1"/>
    <xf numFmtId="0" fontId="0" fillId="0" borderId="0" xfId="0" applyAlignment="1">
      <alignment horizontal="left"/>
    </xf>
    <xf numFmtId="0" fontId="4" fillId="0" borderId="0" xfId="0" applyFont="1" applyAlignment="1">
      <alignment horizontal="left" wrapText="1"/>
    </xf>
    <xf numFmtId="0" fontId="0" fillId="0" borderId="0" xfId="0" applyFont="1" applyAlignment="1">
      <alignment horizontal="left"/>
    </xf>
    <xf numFmtId="0" fontId="0" fillId="0" borderId="0" xfId="0" applyFont="1"/>
    <xf numFmtId="0" fontId="4" fillId="0" borderId="0" xfId="0" applyFont="1" applyAlignment="1">
      <alignment horizontal="left"/>
    </xf>
    <xf numFmtId="0" fontId="0" fillId="3" borderId="2" xfId="0" applyFont="1" applyFill="1" applyBorder="1"/>
    <xf numFmtId="0" fontId="0" fillId="0" borderId="2" xfId="0" applyFont="1" applyBorder="1"/>
    <xf numFmtId="0" fontId="2" fillId="2" borderId="0" xfId="0" applyFont="1" applyFill="1" applyBorder="1"/>
    <xf numFmtId="0" fontId="5" fillId="2" borderId="0" xfId="0" applyFont="1" applyFill="1" applyBorder="1"/>
    <xf numFmtId="0" fontId="5" fillId="2" borderId="0" xfId="0" applyFont="1" applyFill="1"/>
    <xf numFmtId="164" fontId="0" fillId="0" borderId="0" xfId="0" applyNumberFormat="1" applyFill="1"/>
    <xf numFmtId="0" fontId="2" fillId="0" borderId="0" xfId="0" applyFont="1" applyFill="1" applyBorder="1"/>
    <xf numFmtId="0" fontId="2" fillId="0" borderId="0" xfId="0" applyFont="1" applyFill="1" applyBorder="1" applyAlignment="1">
      <alignment horizontal="left"/>
    </xf>
    <xf numFmtId="0" fontId="3" fillId="0" borderId="0" xfId="0" applyFont="1" applyFill="1" applyBorder="1"/>
    <xf numFmtId="0" fontId="0" fillId="0" borderId="0" xfId="0" applyFont="1" applyFill="1" applyBorder="1"/>
    <xf numFmtId="0" fontId="0" fillId="0" borderId="0" xfId="0" applyFont="1" applyFill="1" applyBorder="1" applyAlignment="1">
      <alignment horizontal="left"/>
    </xf>
    <xf numFmtId="164" fontId="0" fillId="0" borderId="0" xfId="0" applyNumberFormat="1" applyFont="1" applyFill="1" applyBorder="1"/>
    <xf numFmtId="0" fontId="0" fillId="3" borderId="1" xfId="0" applyFont="1" applyFill="1" applyBorder="1" applyAlignment="1">
      <alignment horizontal="left"/>
    </xf>
    <xf numFmtId="0" fontId="0" fillId="0" borderId="1" xfId="0" applyFont="1" applyFill="1" applyBorder="1" applyAlignment="1">
      <alignment horizontal="left"/>
    </xf>
    <xf numFmtId="165" fontId="0" fillId="3" borderId="2" xfId="1" applyNumberFormat="1" applyFont="1" applyFill="1" applyBorder="1"/>
    <xf numFmtId="165" fontId="0" fillId="0" borderId="2" xfId="1" applyNumberFormat="1" applyFont="1" applyBorder="1"/>
    <xf numFmtId="43" fontId="0" fillId="3" borderId="2" xfId="1" applyNumberFormat="1" applyFont="1" applyFill="1" applyBorder="1"/>
    <xf numFmtId="9" fontId="0" fillId="3" borderId="2" xfId="0" applyNumberFormat="1" applyFont="1" applyFill="1" applyBorder="1"/>
    <xf numFmtId="9" fontId="0" fillId="0" borderId="0" xfId="0" applyNumberFormat="1"/>
    <xf numFmtId="9" fontId="0" fillId="3" borderId="2" xfId="2" applyFont="1" applyFill="1" applyBorder="1"/>
    <xf numFmtId="9" fontId="0" fillId="0" borderId="2" xfId="2" applyFont="1" applyBorder="1"/>
    <xf numFmtId="9" fontId="0" fillId="0" borderId="2" xfId="0" applyNumberFormat="1" applyFont="1" applyBorder="1"/>
    <xf numFmtId="0" fontId="6" fillId="0" borderId="0" xfId="0" applyFont="1"/>
    <xf numFmtId="0" fontId="0" fillId="0" borderId="0" xfId="0" applyAlignment="1">
      <alignment horizontal="right"/>
    </xf>
    <xf numFmtId="0" fontId="0" fillId="0" borderId="1" xfId="0" applyFont="1" applyBorder="1"/>
    <xf numFmtId="0" fontId="0" fillId="3" borderId="2" xfId="0" applyNumberFormat="1" applyFont="1" applyFill="1" applyBorder="1"/>
    <xf numFmtId="0" fontId="0" fillId="0" borderId="2" xfId="0" applyNumberFormat="1" applyFont="1" applyBorder="1"/>
    <xf numFmtId="0" fontId="0" fillId="0" borderId="1" xfId="0" applyNumberFormat="1" applyFont="1" applyBorder="1"/>
    <xf numFmtId="0" fontId="0" fillId="0" borderId="0" xfId="0" applyAlignment="1">
      <alignment wrapText="1"/>
    </xf>
    <xf numFmtId="0" fontId="9" fillId="0" borderId="0" xfId="0" applyFont="1" applyFill="1" applyBorder="1" applyAlignment="1">
      <alignment vertical="center"/>
    </xf>
    <xf numFmtId="0" fontId="10" fillId="0" borderId="0" xfId="0" applyFont="1" applyFill="1" applyBorder="1" applyAlignment="1">
      <alignment vertical="center"/>
    </xf>
    <xf numFmtId="0" fontId="11" fillId="0" borderId="0" xfId="0" applyFont="1" applyFill="1" applyBorder="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17" fillId="0" borderId="0" xfId="0" applyFont="1" applyFill="1" applyBorder="1" applyAlignment="1">
      <alignment vertical="center"/>
    </xf>
    <xf numFmtId="0" fontId="15" fillId="0" borderId="0" xfId="0" applyFont="1" applyFill="1" applyBorder="1" applyAlignment="1">
      <alignment vertical="center"/>
    </xf>
    <xf numFmtId="3" fontId="17" fillId="0" borderId="0" xfId="0" applyNumberFormat="1" applyFont="1" applyFill="1" applyBorder="1" applyAlignment="1">
      <alignment vertical="center"/>
    </xf>
    <xf numFmtId="3" fontId="18" fillId="0" borderId="0" xfId="0" applyNumberFormat="1" applyFont="1" applyFill="1" applyBorder="1" applyAlignment="1">
      <alignment vertical="center"/>
    </xf>
    <xf numFmtId="0" fontId="17" fillId="0" borderId="0" xfId="0" applyFont="1" applyFill="1" applyBorder="1" applyAlignment="1">
      <alignment horizontal="right" vertical="center"/>
    </xf>
    <xf numFmtId="3" fontId="16" fillId="0" borderId="0" xfId="0" applyNumberFormat="1" applyFont="1" applyFill="1" applyBorder="1" applyAlignment="1">
      <alignment vertical="center"/>
    </xf>
    <xf numFmtId="3" fontId="15" fillId="0" borderId="0" xfId="0" applyNumberFormat="1" applyFont="1" applyFill="1" applyBorder="1" applyAlignment="1">
      <alignment vertical="center" wrapText="1"/>
    </xf>
    <xf numFmtId="0" fontId="0" fillId="0" borderId="0" xfId="0" quotePrefix="1" applyFill="1" applyBorder="1"/>
    <xf numFmtId="3" fontId="17" fillId="0" borderId="0" xfId="0" applyNumberFormat="1" applyFont="1" applyFill="1" applyBorder="1" applyAlignment="1">
      <alignment horizontal="center" vertical="center" wrapText="1"/>
    </xf>
    <xf numFmtId="3" fontId="18" fillId="0" borderId="0" xfId="0" applyNumberFormat="1" applyFont="1" applyFill="1" applyBorder="1" applyAlignment="1">
      <alignment horizontal="center" vertical="center" wrapText="1"/>
    </xf>
    <xf numFmtId="0" fontId="17" fillId="0" borderId="0" xfId="0" applyFont="1" applyFill="1" applyBorder="1" applyAlignment="1">
      <alignment vertical="center" wrapText="1"/>
    </xf>
    <xf numFmtId="0" fontId="7" fillId="0" borderId="0" xfId="0" applyFont="1" applyAlignment="1">
      <alignment horizontal="center"/>
    </xf>
    <xf numFmtId="9" fontId="0" fillId="0" borderId="2" xfId="2" applyNumberFormat="1" applyFont="1" applyBorder="1"/>
    <xf numFmtId="165" fontId="0" fillId="0" borderId="3" xfId="1" applyNumberFormat="1" applyFont="1" applyBorder="1"/>
    <xf numFmtId="9" fontId="0" fillId="0" borderId="1" xfId="2" applyNumberFormat="1" applyFont="1" applyBorder="1"/>
    <xf numFmtId="0" fontId="0" fillId="0" borderId="3" xfId="0" applyFont="1" applyBorder="1"/>
    <xf numFmtId="0" fontId="0" fillId="0" borderId="2" xfId="2" applyNumberFormat="1" applyFont="1" applyBorder="1"/>
    <xf numFmtId="0" fontId="0" fillId="0" borderId="3" xfId="2" applyNumberFormat="1" applyFont="1" applyBorder="1"/>
    <xf numFmtId="0" fontId="20" fillId="0" borderId="0" xfId="0" applyFont="1"/>
    <xf numFmtId="0" fontId="0" fillId="0" borderId="0" xfId="0" applyAlignment="1">
      <alignment horizontal="left" vertical="center" wrapText="1"/>
    </xf>
    <xf numFmtId="0" fontId="8" fillId="0" borderId="0" xfId="0" applyFont="1" applyAlignment="1">
      <alignment horizontal="left" vertical="center" wrapText="1"/>
    </xf>
    <xf numFmtId="3" fontId="15" fillId="0" borderId="0" xfId="0" applyNumberFormat="1" applyFont="1" applyFill="1" applyBorder="1" applyAlignment="1">
      <alignment vertical="center" wrapText="1"/>
    </xf>
  </cellXfs>
  <cellStyles count="3">
    <cellStyle name="Comma" xfId="1" builtinId="3"/>
    <cellStyle name="Normal" xfId="0" builtinId="0"/>
    <cellStyle name="Percent" xfId="2" builtinId="5"/>
  </cellStyles>
  <dxfs count="81">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0</xdr:row>
          <xdr:rowOff>266700</xdr:rowOff>
        </xdr:from>
        <xdr:to>
          <xdr:col>1</xdr:col>
          <xdr:colOff>1609725</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1371600</xdr:colOff>
          <xdr:row>0</xdr:row>
          <xdr:rowOff>0</xdr:rowOff>
        </xdr:from>
        <xdr:to>
          <xdr:col>5</xdr:col>
          <xdr:colOff>19050</xdr:colOff>
          <xdr:row>0</xdr:row>
          <xdr:rowOff>228600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1371600</xdr:colOff>
          <xdr:row>0</xdr:row>
          <xdr:rowOff>0</xdr:rowOff>
        </xdr:from>
        <xdr:to>
          <xdr:col>5</xdr:col>
          <xdr:colOff>19050</xdr:colOff>
          <xdr:row>1</xdr:row>
          <xdr:rowOff>228600</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200-000003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1371600</xdr:colOff>
          <xdr:row>0</xdr:row>
          <xdr:rowOff>0</xdr:rowOff>
        </xdr:from>
        <xdr:to>
          <xdr:col>5</xdr:col>
          <xdr:colOff>19050</xdr:colOff>
          <xdr:row>1</xdr:row>
          <xdr:rowOff>228600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1371600</xdr:colOff>
          <xdr:row>0</xdr:row>
          <xdr:rowOff>0</xdr:rowOff>
        </xdr:from>
        <xdr:to>
          <xdr:col>5</xdr:col>
          <xdr:colOff>19050</xdr:colOff>
          <xdr:row>1</xdr:row>
          <xdr:rowOff>228600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4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M100" totalsRowShown="0" headerRowDxfId="80" dataDxfId="79" tableBorderDxfId="78" dataCellStyle="Percent">
  <autoFilter ref="A4:M100" xr:uid="{1644AED8-49DE-4A1D-989C-1566C9A522B9}"/>
  <tableColumns count="13">
    <tableColumn id="1" xr3:uid="{3C4E83C1-4DAF-4B93-AE9A-B658DBA43631}" name="Type" dataDxfId="77"/>
    <tableColumn id="2" xr3:uid="{7AC9B54E-C457-49EC-A7D6-0ED656B6CFE9}" name="Category" dataDxfId="76"/>
    <tableColumn id="3" xr3:uid="{350F9A14-F368-49FE-AF21-19555EB999FB}" name="Resource" dataDxfId="75">
      <calculatedColumnFormula>_xlfn.XLOOKUP($B5,'SI - Resources'!$A$1:$F$1,'SI - Resources'!$A$2:$F$2, "")</calculatedColumnFormula>
    </tableColumn>
    <tableColumn id="4" xr3:uid="{A0B55D89-6640-4C29-88AC-93188C5097C5}" name="End Use" dataDxfId="74">
      <calculatedColumnFormula>IF(_xlfn.XLOOKUP($C5,'SI - End Use'!$B$2:$B$30,'SI - End Use'!$C$2:$C$30, "")="", "", _xlfn.XLOOKUP($C5,'SI - End Use'!$B$2:$B$30,'SI - End Use'!$C$2:$C$30, ""))</calculatedColumnFormula>
    </tableColumn>
    <tableColumn id="5" xr3:uid="{5ADDDF1D-4510-4428-A882-8D5C8F52BE8C}" name="Amount" dataDxfId="73" dataCellStyle="Comma"/>
    <tableColumn id="6" xr3:uid="{341D427F-5F42-4F22-98AD-9D6883E4330B}" name="Unit" dataDxfId="72">
      <calculatedColumnFormula array="1">IF($B5="Transportation",  'SI - Units'!$B$9:$B$9, _xlfn.XLOOKUP(_xlfn.XLOOKUP($C5,'SI - Units'!$B$12:$B$39,'SI - Units'!$C$12:$C$39, ""),'SI - Units'!$A$2:$A$8,'SI - Units'!$B$2:$B$8, ""))</calculatedColumnFormula>
    </tableColumn>
    <tableColumn id="7" xr3:uid="{515C4DB0-B187-40B1-8F47-45FF3483AEC1}" name="Moisture" dataDxfId="71" dataCellStyle="Percent"/>
    <tableColumn id="8" xr3:uid="{294BC856-42BB-4049-BD49-6A865E88E771}" name="Previous Process" dataDxfId="70" dataCellStyle="Percent"/>
    <tableColumn id="9" xr3:uid="{CDA23678-EB57-4035-9101-F29AA45C63EE}" name="Always Use Displacement Method for Co-Product?" dataDxfId="69" dataCellStyle="Percent">
      <calculatedColumnFormula>IF(Table1[[#This Row],[Type]]="Co-product", "No", "")</calculatedColumnFormula>
    </tableColumn>
    <tableColumn id="10" xr3:uid="{0E5BF4B8-8667-40EE-B9EF-BC9E06D72AAB}" name="Product Train" dataDxfId="68"/>
    <tableColumn id="12" xr3:uid="{0A5A1CE9-5C17-482C-ACCA-BB3BA789761E}" name="Incumbent Resource" dataDxfId="67">
      <calculatedColumnFormula>Table1[[#This Row],[Resource]]</calculatedColumnFormula>
    </tableColumn>
    <tableColumn id="13" xr3:uid="{A8C514D4-4EE9-4BFC-A5D9-1A3B1C61CAF3}" name="Incumbent End Use" dataDxfId="66">
      <calculatedColumnFormula>IF(_xlfn.XLOOKUP($K5,'SI - End Use'!$B$2:$B$30,'SI - End Use'!$C$2:$C$30, "")="", "", _xlfn.XLOOKUP($C5,'SI - End Use'!$B$2:$B$30,'SI - End Use'!$C$2:$C$30, ""))</calculatedColumnFormula>
    </tableColumn>
    <tableColumn id="11" xr3:uid="{34D8D993-53F9-46B7-8FE9-32F1A6F2DFD2}" name="Note" dataDxfId="6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CE19B3F-425A-40BE-8462-29C336690144}" name="Table211220" displayName="Table211220" ref="A4:M9" totalsRowShown="0" headerRowDxfId="64" dataDxfId="63" tableBorderDxfId="62">
  <autoFilter ref="A4:M9" xr:uid="{BEF6D7E1-A694-48AB-AC8B-1C7AA086EE8E}"/>
  <tableColumns count="13">
    <tableColumn id="1" xr3:uid="{BD851642-A4CA-4BA3-A3E9-3F5F0CE5D647}" name="Type" dataDxfId="61"/>
    <tableColumn id="3" xr3:uid="{2CB1425E-68F4-46A3-AD93-A8DAC64CF60D}" name="Category" dataDxfId="60"/>
    <tableColumn id="4" xr3:uid="{5F965709-F111-4B0B-86A5-8F2DCE9CAB42}" name="Resource" dataDxfId="59">
      <calculatedColumnFormula>_xlfn.XLOOKUP($B5,'SI - Resources'!$A$1:$F$1,'SI - Resources'!$A$2:$F$2, "")</calculatedColumnFormula>
    </tableColumn>
    <tableColumn id="5" xr3:uid="{BCC985C0-AA6A-4565-8AE1-2E790BB56422}" name="End Use" dataDxfId="58">
      <calculatedColumnFormula>IF(_xlfn.XLOOKUP($C5,'SI - End Use'!$B$2:$B$30,'SI - End Use'!$C$2:$C$30, "")="", "", _xlfn.XLOOKUP($C5,'SI - End Use'!$B$2:$B$30,'SI - End Use'!$C$2:$C$30, ""))</calculatedColumnFormula>
    </tableColumn>
    <tableColumn id="6" xr3:uid="{5D5DFDE7-3778-4FD1-8507-2E6BF6B3CA90}" name="Amount" dataDxfId="57" dataCellStyle="Comma"/>
    <tableColumn id="7" xr3:uid="{98404483-AAB4-49F9-89F5-5D8DADD357A9}" name="Unit" dataDxfId="56">
      <calculatedColumnFormula array="1">IF($B5="Transportation",  'SI - Units'!$B$9:$B$9, _xlfn.XLOOKUP(_xlfn.XLOOKUP($C5,'SI - Units'!$B$12:$B$39,'SI - Units'!$C$12:$C$39, ""),'SI - Units'!$A$2:$A$8,'SI - Units'!$B$2:$B$8, ""))</calculatedColumnFormula>
    </tableColumn>
    <tableColumn id="10" xr3:uid="{A069B4FB-89AF-41AE-9171-114F49794D38}" name="Moisture" dataDxfId="55" dataCellStyle="Percent"/>
    <tableColumn id="11" xr3:uid="{498734A2-2612-4DEC-8A6F-9FB6272842D7}" name="Previous Process" dataDxfId="54" dataCellStyle="Percent"/>
    <tableColumn id="2" xr3:uid="{3B803AE0-E585-40C1-BF18-E23B25905D8B}" name="Always Use Displacement Method for Co-Product?" dataDxfId="53" dataCellStyle="Percent"/>
    <tableColumn id="8" xr3:uid="{4227D621-6FE3-400B-A2F6-91FE6929FA93}" name="Product Train" dataDxfId="52"/>
    <tableColumn id="12" xr3:uid="{2BBCD9BC-2F5F-47FE-800D-185FE8584FD4}" name="Incumbent Product" dataDxfId="51"/>
    <tableColumn id="13" xr3:uid="{8B0BF0FE-ED36-4F02-AEF0-6759CB686FB7}" name="End Use of Incumbent Product" dataDxfId="50"/>
    <tableColumn id="9" xr3:uid="{A4BBB41A-2E74-45A3-B505-B617086C3DAC}" name="Note" dataDxfId="4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EF6D7E1-A694-48AB-AC8B-1C7AA086EE8E}" name="Table211" displayName="Table211" ref="A4:M9" totalsRowShown="0" headerRowDxfId="48" dataDxfId="47" tableBorderDxfId="46">
  <autoFilter ref="A4:M9" xr:uid="{BEF6D7E1-A694-48AB-AC8B-1C7AA086EE8E}"/>
  <tableColumns count="13">
    <tableColumn id="1" xr3:uid="{B8E42D13-5F0C-4FF9-A314-F464C71CBCC9}" name="Type" dataDxfId="45"/>
    <tableColumn id="3" xr3:uid="{8BE24D39-FD94-46C7-ABA3-7D99485E92B9}" name="Category" dataDxfId="44"/>
    <tableColumn id="4" xr3:uid="{7D8934E4-9255-4D4B-893C-FDDD0CCC12F8}" name="Resource" dataDxfId="43">
      <calculatedColumnFormula>_xlfn.XLOOKUP($B5,'SI - Resources'!$A$1:$F$1,'SI - Resources'!$A$2:$F$2)</calculatedColumnFormula>
    </tableColumn>
    <tableColumn id="5" xr3:uid="{EAE9CE41-EB8E-4B13-87CA-06BA4464F3C3}" name="End Use" dataDxfId="42">
      <calculatedColumnFormula>IF(_xlfn.XLOOKUP(Table211[[#This Row],[Resource]], 'SI - End Use'!$B$2:$B$30,'SI - End Use'!$C$2:$C$30, "")="", "", _xlfn.XLOOKUP(Table211[[#This Row],[Resource]], 'SI - End Use'!$B$2:$B$30,'SI - End Use'!$C$2:$C$30, ""))</calculatedColumnFormula>
    </tableColumn>
    <tableColumn id="6" xr3:uid="{3AA2126E-4F0E-4BCE-B5BC-0C05FFEB4E7C}" name="Amount" dataDxfId="41" dataCellStyle="Comma"/>
    <tableColumn id="7" xr3:uid="{CAB17D17-FA62-4E81-AFD0-BE5A36610B01}" name="Unit" dataDxfId="40">
      <calculatedColumnFormula>_xlfn.XLOOKUP(_xlfn.XLOOKUP($C5,'SI - Units'!$B$12:$B$39,'SI - Units'!$C$12:$C$39),'SI - Units'!$A$2:$A$9,'SI - Units'!$B$2:$B$9)</calculatedColumnFormula>
    </tableColumn>
    <tableColumn id="10" xr3:uid="{0FB349F2-C992-4B9D-8BB4-A54C53FA0B97}" name="Moisture" dataDxfId="39" dataCellStyle="Percent"/>
    <tableColumn id="11" xr3:uid="{61AC8951-8D68-4AAC-9B07-AAE8BDB538DF}" name="Previous Process" dataDxfId="38" dataCellStyle="Percent"/>
    <tableColumn id="2" xr3:uid="{E1013150-8CCD-4BD6-8A33-0B7B7372B4F5}" name="Always Use Displacement Method for Co-Product?" dataDxfId="37" dataCellStyle="Percent"/>
    <tableColumn id="8" xr3:uid="{D97978A3-66F4-41BD-BE4C-5C444DDCF58E}" name="Product Train" dataDxfId="36"/>
    <tableColumn id="12" xr3:uid="{7F39911C-0D36-443D-89F9-98378C042A76}" name="Incumbent Product" dataDxfId="35"/>
    <tableColumn id="13" xr3:uid="{284E9CC2-7D6D-4B22-A824-5F67F29D8A59}" name="End Use of Incumbent Product" dataDxfId="34"/>
    <tableColumn id="9" xr3:uid="{D9FC2827-16AC-40D5-8D92-3F09E2A1D819}" name="Note" dataDxfId="3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BD2FE0-9DD3-4828-B687-4B999BD2D5A8}" name="Table2" displayName="Table2" ref="A4:M29" totalsRowShown="0" headerRowDxfId="32" dataDxfId="31" tableBorderDxfId="30">
  <autoFilter ref="A4:M29" xr:uid="{5DBD2FE0-9DD3-4828-B687-4B999BD2D5A8}"/>
  <tableColumns count="13">
    <tableColumn id="1" xr3:uid="{11648CB4-16F9-49A5-8B28-FF8FC6A77F4B}" name="Type" dataDxfId="29"/>
    <tableColumn id="3" xr3:uid="{5A5511AC-FD38-466C-B178-89A4D01B4A4F}" name="Category" dataDxfId="28"/>
    <tableColumn id="4" xr3:uid="{DA9451CA-9BDC-4698-A349-0E70E128C657}" name="Resource" dataDxfId="27">
      <calculatedColumnFormula>_xlfn.XLOOKUP(Table2[[#This Row],[Category]],'SI - Resources'!$A$1:$E$1,'SI - Resources'!$A$2:$E$2, "")</calculatedColumnFormula>
    </tableColumn>
    <tableColumn id="5" xr3:uid="{C572E3B6-37D1-418C-B718-3541859C7085}" name="End Use" dataDxfId="26">
      <calculatedColumnFormula>IF(_xlfn.XLOOKUP(Table2[[#This Row],[Resource]], 'SI - End Use'!$B$2:$B$30,'SI - End Use'!$C$2:$C$30, "")="", "", _xlfn.XLOOKUP(Table2[[#This Row],[Resource]], 'SI - End Use'!$B$2:$B$30,'SI - End Use'!$C$2:$C$30, ""))</calculatedColumnFormula>
    </tableColumn>
    <tableColumn id="6" xr3:uid="{A2C0CAA2-95B1-4978-AFE5-653E6A69643E}" name="Amount" dataDxfId="25" dataCellStyle="Comma"/>
    <tableColumn id="7" xr3:uid="{2B1897B5-E780-497B-9D2F-5D59B85232C1}" name="Unit" dataDxfId="24">
      <calculatedColumnFormula>_xlfn.XLOOKUP(_xlfn.XLOOKUP($C5,'SI - Units'!$B$12:$B$39,'SI - Units'!$C$12:$C$39),'SI - Units'!$A$2:$A$9,'SI - Units'!$B$2:$B$9)</calculatedColumnFormula>
    </tableColumn>
    <tableColumn id="10" xr3:uid="{6B521339-90EC-443F-BD88-380B50CE4E6D}" name="Moisture" dataDxfId="23"/>
    <tableColumn id="11" xr3:uid="{744E9A4C-6ACB-46E3-89F7-F794E0BF2F01}" name="Previous Process" dataDxfId="22"/>
    <tableColumn id="2" xr3:uid="{84C0483A-79B2-4811-8F6A-6ADF24C68B1E}" name="Always Use Displacement Method for Co-Product?" dataDxfId="21"/>
    <tableColumn id="8" xr3:uid="{3CD8A249-E990-40D3-A10A-CE099D7D543A}" name="Product Train" dataDxfId="20"/>
    <tableColumn id="12" xr3:uid="{CAA5CF84-C2D1-44C8-ACE6-DA566407987F}" name="Incumbent Product" dataDxfId="19"/>
    <tableColumn id="13" xr3:uid="{EBE5B188-4764-45FC-A981-77FBA50BD3F3}" name="End Use of Incumbent Product" dataDxfId="18"/>
    <tableColumn id="9" xr3:uid="{43F43CA3-F12F-4D5D-8C53-23336889663F}" name="Note" dataDxfId="1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F21" totalsRowShown="0" headerRowDxfId="16">
  <autoFilter ref="A1:F21" xr:uid="{BF352F56-F627-4A8D-9B22-DA497E2644FC}"/>
  <tableColumns count="6">
    <tableColumn id="1" xr3:uid="{B4C1BEA4-EC08-4542-9BC0-5CAC3303F1DE}" name="Biomass"/>
    <tableColumn id="2" xr3:uid="{16936180-7E0F-4E08-BEC7-75346859C647}" name="Fuel"/>
    <tableColumn id="6" xr3:uid="{8ABA29FD-C6B0-4B51-8840-E17193E077EC}" name="Electricity"/>
    <tableColumn id="3" xr3:uid="{C1A34163-30E4-47F2-BE75-A919CC80E9BF}" name="Chemicals and catalysts" dataDxfId="15"/>
    <tableColumn id="4" xr3:uid="{CA7E12F4-CA42-4C30-8167-75EC0AE0646A}" name="Water"/>
    <tableColumn id="5" xr3:uid="{FBD24046-BCD6-418A-8FDF-2918685E10CE}" name="Transportatio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N30" totalsRowShown="0">
  <autoFilter ref="A1:N30" xr:uid="{A2520818-4902-482A-9E88-A7A4D5A1D5DD}"/>
  <tableColumns count="14">
    <tableColumn id="1" xr3:uid="{75A5F75F-64ED-4232-9A1E-4D41B091D006}" name="Column1"/>
    <tableColumn id="2" xr3:uid="{18B5F0AA-5D76-44C7-A951-0327634C6CCB}" name="Column2"/>
    <tableColumn id="3" xr3:uid="{ECDC9495-57EB-459F-8C28-D2BCDB1550C0}" name="Column3" dataDxfId="14"/>
    <tableColumn id="4" xr3:uid="{066E5028-FE97-46DD-94DD-3F5362889CC8}" name="Column4" dataDxfId="13"/>
    <tableColumn id="5" xr3:uid="{518CF11D-9FC1-41DC-A48E-08F72F35ADAA}" name="Column5" dataDxfId="12"/>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4" xr3:uid="{7173F36F-1B8C-45EF-B379-6303B592BBF7}" name="Column1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9" totalsRowShown="0" headerRowDxfId="11">
  <autoFilter ref="A1:R9" xr:uid="{A38095DD-9874-4EE7-A8C2-2706165CCEBD}"/>
  <tableColumns count="18">
    <tableColumn id="1" xr3:uid="{65B7BBF3-4BCE-43A4-9B03-83AE412598EC}" name="Column1"/>
    <tableColumn id="2" xr3:uid="{FFDF068B-D532-4DC4-904E-48D00A60A52E}" name="Column2" dataDxfId="10"/>
    <tableColumn id="3" xr3:uid="{22885E79-E7D2-4EEE-B0A6-74B1C5779681}" name="Column3" dataDxfId="9"/>
    <tableColumn id="4" xr3:uid="{C1DEFD79-EA05-47FD-8251-B29B3BCC06B2}" name="Column4" dataDxfId="8"/>
    <tableColumn id="5" xr3:uid="{29AEEBB1-E43B-4691-B73C-A8FA6D80443C}" name="Column5" dataDxfId="7"/>
    <tableColumn id="6" xr3:uid="{CC08C1F9-C485-4200-A0F9-C8E59BA65B97}" name="Column6" dataDxfId="6"/>
    <tableColumn id="7" xr3:uid="{6C28381F-6253-4E2E-A800-FF075582292A}" name="Column7" dataDxfId="5"/>
    <tableColumn id="8" xr3:uid="{CA3D0B6B-B24F-4751-A1CE-28D7D0B98174}" name="Column8" dataDxfId="4"/>
    <tableColumn id="9" xr3:uid="{7057E753-ED12-407E-950F-CC59E808A2BF}" name="Column9" dataDxfId="3"/>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11:C39" totalsRowShown="0" dataDxfId="2">
  <autoFilter ref="B11:C39" xr:uid="{09147A22-E822-45D3-B3C2-ABDDF48EE5E6}"/>
  <tableColumns count="2">
    <tableColumn id="1" xr3:uid="{CDC0A0AC-3BED-4650-82CE-403A1BF28367}" name="Column1" dataDxfId="1"/>
    <tableColumn id="2" xr3:uid="{B6F8A3B9-3868-4A35-8F6E-BA3E60A1529E}" name="Column2"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table" Target="../tables/table4.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23"/>
  <sheetViews>
    <sheetView workbookViewId="0">
      <pane ySplit="1" topLeftCell="A2" activePane="bottomLeft" state="frozen"/>
      <selection pane="bottomLeft" activeCell="B1" sqref="B1"/>
    </sheetView>
  </sheetViews>
  <sheetFormatPr defaultRowHeight="15" x14ac:dyDescent="0.25"/>
  <cols>
    <col min="1" max="1" width="46.140625" customWidth="1"/>
    <col min="2" max="2" width="139.5703125" customWidth="1"/>
  </cols>
  <sheetData>
    <row r="1" spans="1:3" ht="63.95" customHeight="1" x14ac:dyDescent="0.25"/>
    <row r="2" spans="1:3" ht="103.5" customHeight="1" x14ac:dyDescent="0.25">
      <c r="A2" s="66" t="s">
        <v>145</v>
      </c>
      <c r="B2" s="66"/>
    </row>
    <row r="3" spans="1:3" ht="27.95" customHeight="1" x14ac:dyDescent="0.25">
      <c r="A3" s="42"/>
      <c r="B3" s="42"/>
    </row>
    <row r="4" spans="1:3" ht="27.95" customHeight="1" x14ac:dyDescent="0.25">
      <c r="A4" s="67" t="s">
        <v>140</v>
      </c>
      <c r="B4" s="67"/>
    </row>
    <row r="5" spans="1:3" ht="27.95" customHeight="1" x14ac:dyDescent="0.25">
      <c r="A5" s="44" t="s">
        <v>146</v>
      </c>
      <c r="B5" s="43"/>
    </row>
    <row r="6" spans="1:3" ht="45" x14ac:dyDescent="0.25">
      <c r="A6" s="46" t="s">
        <v>125</v>
      </c>
      <c r="B6" s="45" t="s">
        <v>141</v>
      </c>
      <c r="C6" s="33"/>
    </row>
    <row r="7" spans="1:3" ht="21" x14ac:dyDescent="0.25">
      <c r="A7" s="43"/>
      <c r="B7" s="43"/>
    </row>
    <row r="8" spans="1:3" ht="27.95" customHeight="1" x14ac:dyDescent="0.25">
      <c r="A8" s="44" t="s">
        <v>147</v>
      </c>
      <c r="B8" s="43"/>
    </row>
    <row r="9" spans="1:3" x14ac:dyDescent="0.25">
      <c r="A9" s="39" t="s">
        <v>7</v>
      </c>
      <c r="B9" s="38" t="s">
        <v>131</v>
      </c>
    </row>
    <row r="10" spans="1:3" x14ac:dyDescent="0.25">
      <c r="A10" s="41" t="s">
        <v>0</v>
      </c>
      <c r="B10" s="38" t="s">
        <v>128</v>
      </c>
    </row>
    <row r="11" spans="1:3" x14ac:dyDescent="0.25">
      <c r="A11" s="41" t="s">
        <v>129</v>
      </c>
      <c r="B11" s="38" t="s">
        <v>134</v>
      </c>
    </row>
    <row r="12" spans="1:3" ht="60" x14ac:dyDescent="0.25">
      <c r="A12" s="41" t="s">
        <v>123</v>
      </c>
      <c r="B12" s="38" t="s">
        <v>143</v>
      </c>
    </row>
    <row r="13" spans="1:3" ht="45" x14ac:dyDescent="0.25">
      <c r="A13" s="41" t="s">
        <v>93</v>
      </c>
      <c r="B13" s="38" t="s">
        <v>142</v>
      </c>
    </row>
    <row r="14" spans="1:3" ht="60" x14ac:dyDescent="0.25">
      <c r="A14" s="41" t="s">
        <v>124</v>
      </c>
      <c r="B14" s="38" t="s">
        <v>144</v>
      </c>
    </row>
    <row r="15" spans="1:3" x14ac:dyDescent="0.25">
      <c r="A15" s="40" t="s">
        <v>1</v>
      </c>
      <c r="B15" s="38" t="s">
        <v>139</v>
      </c>
    </row>
    <row r="16" spans="1:3" x14ac:dyDescent="0.25">
      <c r="A16" s="40" t="s">
        <v>39</v>
      </c>
      <c r="B16" s="38" t="s">
        <v>130</v>
      </c>
    </row>
    <row r="17" spans="1:2" ht="45" x14ac:dyDescent="0.25">
      <c r="A17" s="40" t="s">
        <v>6</v>
      </c>
      <c r="B17" s="38" t="s">
        <v>132</v>
      </c>
    </row>
    <row r="18" spans="1:2" x14ac:dyDescent="0.25">
      <c r="A18" s="40" t="s">
        <v>8</v>
      </c>
      <c r="B18" s="38" t="s">
        <v>138</v>
      </c>
    </row>
    <row r="19" spans="1:2" x14ac:dyDescent="0.25">
      <c r="A19" s="40" t="s">
        <v>9</v>
      </c>
      <c r="B19" s="38" t="s">
        <v>133</v>
      </c>
    </row>
    <row r="20" spans="1:2" ht="30" x14ac:dyDescent="0.25">
      <c r="A20" s="40" t="s">
        <v>120</v>
      </c>
      <c r="B20" s="38" t="s">
        <v>135</v>
      </c>
    </row>
    <row r="21" spans="1:2" ht="30" x14ac:dyDescent="0.25">
      <c r="A21" s="40" t="s">
        <v>121</v>
      </c>
      <c r="B21" s="38" t="s">
        <v>136</v>
      </c>
    </row>
    <row r="22" spans="1:2" x14ac:dyDescent="0.25">
      <c r="A22" s="40" t="s">
        <v>92</v>
      </c>
      <c r="B22" s="38" t="s">
        <v>137</v>
      </c>
    </row>
    <row r="23" spans="1:2" x14ac:dyDescent="0.25">
      <c r="A23" s="40" t="s">
        <v>5</v>
      </c>
      <c r="B23" s="38" t="s">
        <v>148</v>
      </c>
    </row>
  </sheetData>
  <mergeCells count="2">
    <mergeCell ref="A2:B2"/>
    <mergeCell ref="A4:B4"/>
  </mergeCells>
  <dataValidations disablePrompts="1" count="1">
    <dataValidation type="custom" allowBlank="1" showInputMessage="1" showErrorMessage="1" sqref="A20" xr:uid="{6BD3DB0C-AE19-4CCC-B043-8DB6748088F6}">
      <formula1>ISNUMBER(A20)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409575</xdr:colOff>
                    <xdr:row>0</xdr:row>
                    <xdr:rowOff>266700</xdr:rowOff>
                  </from>
                  <to>
                    <xdr:col>1</xdr:col>
                    <xdr:colOff>1609725</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_xlfn.XLOOKUP(_xlfn.XLOOKUP($C20,'SI - Units'!$B$12:$B$39,'SI - Units'!$C$12:$C$39),'SI - Units'!$A$2:$A$8,'SI - Units'!$B$2:$R$8)</xm:f>
          </x14:formula1>
          <xm:sqref>A19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M100"/>
  <sheetViews>
    <sheetView workbookViewId="0">
      <pane ySplit="4" topLeftCell="A5" activePane="bottomLeft" state="frozen"/>
      <selection pane="bottomLeft" activeCell="K4" sqref="K4:L4"/>
    </sheetView>
  </sheetViews>
  <sheetFormatPr defaultRowHeight="15" x14ac:dyDescent="0.25"/>
  <cols>
    <col min="1" max="1" width="38.140625" bestFit="1" customWidth="1"/>
    <col min="2" max="2" width="10.7109375" bestFit="1" customWidth="1"/>
    <col min="3" max="3" width="23" bestFit="1" customWidth="1"/>
    <col min="4" max="4" width="28.140625" bestFit="1" customWidth="1"/>
    <col min="5" max="5" width="10.140625" bestFit="1" customWidth="1"/>
    <col min="6" max="6" width="11.85546875" bestFit="1" customWidth="1"/>
    <col min="7" max="7" width="10.5703125" customWidth="1"/>
    <col min="8" max="8" width="17.5703125" bestFit="1" customWidth="1"/>
    <col min="9" max="9" width="45.42578125" customWidth="1"/>
    <col min="10" max="10" width="17.5703125" bestFit="1" customWidth="1"/>
    <col min="11" max="12" width="17.5703125" customWidth="1"/>
  </cols>
  <sheetData>
    <row r="1" spans="1:13" ht="18.75" x14ac:dyDescent="0.3">
      <c r="A1" s="32" t="s">
        <v>153</v>
      </c>
      <c r="B1" s="58"/>
      <c r="C1" s="33" t="s">
        <v>154</v>
      </c>
    </row>
    <row r="2" spans="1:13" x14ac:dyDescent="0.25">
      <c r="A2" s="32" t="s">
        <v>125</v>
      </c>
      <c r="B2" s="32"/>
      <c r="C2" s="33" t="s">
        <v>126</v>
      </c>
    </row>
    <row r="4" spans="1:13" x14ac:dyDescent="0.25">
      <c r="A4" s="12" t="s">
        <v>7</v>
      </c>
      <c r="B4" s="13" t="s">
        <v>1</v>
      </c>
      <c r="C4" s="13" t="s">
        <v>39</v>
      </c>
      <c r="D4" s="13" t="s">
        <v>6</v>
      </c>
      <c r="E4" s="13" t="s">
        <v>8</v>
      </c>
      <c r="F4" s="13" t="s">
        <v>9</v>
      </c>
      <c r="G4" s="13" t="s">
        <v>120</v>
      </c>
      <c r="H4" s="13" t="s">
        <v>121</v>
      </c>
      <c r="I4" s="13" t="s">
        <v>150</v>
      </c>
      <c r="J4" s="13" t="s">
        <v>122</v>
      </c>
      <c r="K4" s="13" t="s">
        <v>161</v>
      </c>
      <c r="L4" s="13" t="s">
        <v>162</v>
      </c>
      <c r="M4" s="13" t="s">
        <v>5</v>
      </c>
    </row>
    <row r="5" spans="1:13" x14ac:dyDescent="0.25">
      <c r="A5" s="11"/>
      <c r="B5" s="11"/>
      <c r="C5" s="11" t="str">
        <f>_xlfn.XLOOKUP($B5,'SI - Resources'!$A$1:$F$1,'SI - Resources'!$A$2:$F$2, "")</f>
        <v/>
      </c>
      <c r="D5" s="36" t="str">
        <f>IF(_xlfn.XLOOKUP($C5,'SI - End Use'!$B$2:$B$30,'SI - End Use'!$C$2:$C$30, "")="", "", _xlfn.XLOOKUP($C5,'SI - End Use'!$B$2:$B$30,'SI - End Use'!$C$2:$C$30, ""))</f>
        <v/>
      </c>
      <c r="E5" s="25"/>
      <c r="F5" s="36" t="str" cm="1">
        <f t="array" ref="F5">IF($B5="Transportation",  'SI - Units'!$B$9:$B$9, _xlfn.XLOOKUP(_xlfn.XLOOKUP($C5,'SI - Units'!$B$12:$B$39,'SI - Units'!$C$12:$C$39, ""),'SI - Units'!$A$2:$A$8,'SI - Units'!$B$2:$B$8, ""))</f>
        <v/>
      </c>
      <c r="G5" s="59"/>
      <c r="H5" s="59"/>
      <c r="I5" s="63" t="str">
        <f>IF(Table1[[#This Row],[Type]]="Co-product", "No", "")</f>
        <v/>
      </c>
      <c r="J5" s="11"/>
      <c r="K5" s="11" t="str">
        <f>Table1[[#This Row],[Resource]]</f>
        <v/>
      </c>
      <c r="L5" s="11" t="str">
        <f>IF(_xlfn.XLOOKUP($K5,'SI - End Use'!$B$2:$B$30,'SI - End Use'!$C$2:$C$30, "")="", "", _xlfn.XLOOKUP($C5,'SI - End Use'!$B$2:$B$30,'SI - End Use'!$C$2:$C$30, ""))</f>
        <v/>
      </c>
      <c r="M5" s="11"/>
    </row>
    <row r="6" spans="1:13" x14ac:dyDescent="0.25">
      <c r="A6" s="11"/>
      <c r="B6" s="11"/>
      <c r="C6" s="11" t="str">
        <f>_xlfn.XLOOKUP($B6,'SI - Resources'!$A$1:$F$1,'SI - Resources'!$A$2:$F$2, "")</f>
        <v/>
      </c>
      <c r="D6" s="36" t="str">
        <f>IF(_xlfn.XLOOKUP($C6,'SI - End Use'!$B$2:$B$30,'SI - End Use'!$C$2:$C$30, "")="", "", _xlfn.XLOOKUP($C6,'SI - End Use'!$B$2:$B$30,'SI - End Use'!$C$2:$C$30, ""))</f>
        <v/>
      </c>
      <c r="E6" s="25"/>
      <c r="F6" s="36" t="str" cm="1">
        <f t="array" ref="F6">IF($B6="Transportation",  'SI - Units'!$B$9:$B$9, _xlfn.XLOOKUP(_xlfn.XLOOKUP($C6,'SI - Units'!$B$12:$B$39,'SI - Units'!$C$12:$C$39, ""),'SI - Units'!$A$2:$A$8,'SI - Units'!$B$2:$B$8, ""))</f>
        <v/>
      </c>
      <c r="G6" s="59"/>
      <c r="H6" s="59"/>
      <c r="I6" s="63" t="str">
        <f>IF(Table1[[#This Row],[Type]]="Co-product", "No", "")</f>
        <v/>
      </c>
      <c r="J6" s="11"/>
      <c r="K6" s="11" t="str">
        <f>Table1[[#This Row],[Resource]]</f>
        <v/>
      </c>
      <c r="L6" s="11" t="str">
        <f>IF(_xlfn.XLOOKUP($K6,'SI - End Use'!$B$2:$B$30,'SI - End Use'!$C$2:$C$30, "")="", "", _xlfn.XLOOKUP($C6,'SI - End Use'!$B$2:$B$30,'SI - End Use'!$C$2:$C$30, ""))</f>
        <v/>
      </c>
      <c r="M6" s="11"/>
    </row>
    <row r="7" spans="1:13" x14ac:dyDescent="0.25">
      <c r="A7" s="11"/>
      <c r="B7" s="11"/>
      <c r="C7" s="11" t="str">
        <f>_xlfn.XLOOKUP($B7,'SI - Resources'!$A$1:$F$1,'SI - Resources'!$A$2:$F$2, "")</f>
        <v/>
      </c>
      <c r="D7" s="36" t="str">
        <f>IF(_xlfn.XLOOKUP($C7,'SI - End Use'!$B$2:$B$30,'SI - End Use'!$C$2:$C$30, "")="", "", _xlfn.XLOOKUP($C7,'SI - End Use'!$B$2:$B$30,'SI - End Use'!$C$2:$C$30, ""))</f>
        <v/>
      </c>
      <c r="E7" s="25"/>
      <c r="F7" s="36" t="str" cm="1">
        <f t="array" ref="F7">IF($B7="Transportation",  'SI - Units'!$B$9:$B$9, _xlfn.XLOOKUP(_xlfn.XLOOKUP($C7,'SI - Units'!$B$12:$B$39,'SI - Units'!$C$12:$C$39, ""),'SI - Units'!$A$2:$A$8,'SI - Units'!$B$2:$B$8, ""))</f>
        <v/>
      </c>
      <c r="G7" s="59"/>
      <c r="H7" s="59"/>
      <c r="I7" s="63" t="str">
        <f>IF(Table1[[#This Row],[Type]]="Co-product", "No", "")</f>
        <v/>
      </c>
      <c r="J7" s="11"/>
      <c r="K7" s="11" t="str">
        <f>Table1[[#This Row],[Resource]]</f>
        <v/>
      </c>
      <c r="L7" s="11" t="str">
        <f>IF(_xlfn.XLOOKUP($K7,'SI - End Use'!$B$2:$B$30,'SI - End Use'!$C$2:$C$30, "")="", "", _xlfn.XLOOKUP($C7,'SI - End Use'!$B$2:$B$30,'SI - End Use'!$C$2:$C$30, ""))</f>
        <v/>
      </c>
      <c r="M7" s="11"/>
    </row>
    <row r="8" spans="1:13" x14ac:dyDescent="0.25">
      <c r="A8" s="11"/>
      <c r="B8" s="11"/>
      <c r="C8" s="11" t="str">
        <f>_xlfn.XLOOKUP($B8,'SI - Resources'!$A$1:$F$1,'SI - Resources'!$A$2:$F$2, "")</f>
        <v/>
      </c>
      <c r="D8" s="36" t="str">
        <f>IF(_xlfn.XLOOKUP($C8,'SI - End Use'!$B$2:$B$30,'SI - End Use'!$C$2:$C$30, "")="", "", _xlfn.XLOOKUP($C8,'SI - End Use'!$B$2:$B$30,'SI - End Use'!$C$2:$C$30, ""))</f>
        <v/>
      </c>
      <c r="E8" s="25"/>
      <c r="F8" s="36" t="str" cm="1">
        <f t="array" ref="F8">IF($B8="Transportation",  'SI - Units'!$B$9:$B$9, _xlfn.XLOOKUP(_xlfn.XLOOKUP($C8,'SI - Units'!$B$12:$B$39,'SI - Units'!$C$12:$C$39, ""),'SI - Units'!$A$2:$A$8,'SI - Units'!$B$2:$B$8, ""))</f>
        <v/>
      </c>
      <c r="G8" s="59"/>
      <c r="H8" s="59"/>
      <c r="I8" s="63" t="str">
        <f>IF(Table1[[#This Row],[Type]]="Co-product", "No", "")</f>
        <v/>
      </c>
      <c r="J8" s="11"/>
      <c r="K8" s="11" t="str">
        <f>Table1[[#This Row],[Resource]]</f>
        <v/>
      </c>
      <c r="L8" s="11" t="str">
        <f>IF(_xlfn.XLOOKUP($K8,'SI - End Use'!$B$2:$B$30,'SI - End Use'!$C$2:$C$30, "")="", "", _xlfn.XLOOKUP($C8,'SI - End Use'!$B$2:$B$30,'SI - End Use'!$C$2:$C$30, ""))</f>
        <v/>
      </c>
      <c r="M8" s="11"/>
    </row>
    <row r="9" spans="1:13" x14ac:dyDescent="0.25">
      <c r="A9" s="11"/>
      <c r="B9" s="11"/>
      <c r="C9" s="11" t="str">
        <f>_xlfn.XLOOKUP($B9,'SI - Resources'!$A$1:$F$1,'SI - Resources'!$A$2:$F$2, "")</f>
        <v/>
      </c>
      <c r="D9" s="36" t="str">
        <f>IF(_xlfn.XLOOKUP($C9,'SI - End Use'!$B$2:$B$30,'SI - End Use'!$C$2:$C$30, "")="", "", _xlfn.XLOOKUP($C9,'SI - End Use'!$B$2:$B$30,'SI - End Use'!$C$2:$C$30, ""))</f>
        <v/>
      </c>
      <c r="E9" s="25"/>
      <c r="F9" s="36" t="str" cm="1">
        <f t="array" ref="F9">IF($B9="Transportation",  'SI - Units'!$B$9:$B$9, _xlfn.XLOOKUP(_xlfn.XLOOKUP($C9,'SI - Units'!$B$12:$B$39,'SI - Units'!$C$12:$C$39, ""),'SI - Units'!$A$2:$A$8,'SI - Units'!$B$2:$B$8, ""))</f>
        <v/>
      </c>
      <c r="G9" s="59"/>
      <c r="H9" s="59"/>
      <c r="I9" s="63" t="str">
        <f>IF(Table1[[#This Row],[Type]]="Co-product", "No", "")</f>
        <v/>
      </c>
      <c r="J9" s="11"/>
      <c r="K9" s="11" t="str">
        <f>Table1[[#This Row],[Resource]]</f>
        <v/>
      </c>
      <c r="L9" s="11" t="str">
        <f>IF(_xlfn.XLOOKUP($K9,'SI - End Use'!$B$2:$B$30,'SI - End Use'!$C$2:$C$30, "")="", "", _xlfn.XLOOKUP($C9,'SI - End Use'!$B$2:$B$30,'SI - End Use'!$C$2:$C$30, ""))</f>
        <v/>
      </c>
      <c r="M9" s="11"/>
    </row>
    <row r="10" spans="1:13" x14ac:dyDescent="0.25">
      <c r="A10" s="11"/>
      <c r="B10" s="11"/>
      <c r="C10" s="11" t="str">
        <f>_xlfn.XLOOKUP($B10,'SI - Resources'!$A$1:$F$1,'SI - Resources'!$A$2:$F$2, "")</f>
        <v/>
      </c>
      <c r="D10" s="36" t="str">
        <f>IF(_xlfn.XLOOKUP($C10,'SI - End Use'!$B$2:$B$30,'SI - End Use'!$C$2:$C$30, "")="", "", _xlfn.XLOOKUP($C10,'SI - End Use'!$B$2:$B$30,'SI - End Use'!$C$2:$C$30, ""))</f>
        <v/>
      </c>
      <c r="E10" s="25"/>
      <c r="F10" s="36" t="str" cm="1">
        <f t="array" ref="F10">IF($B10="Transportation",  'SI - Units'!$B$9:$B$9, _xlfn.XLOOKUP(_xlfn.XLOOKUP($C10,'SI - Units'!$B$12:$B$39,'SI - Units'!$C$12:$C$39, ""),'SI - Units'!$A$2:$A$8,'SI - Units'!$B$2:$B$8, ""))</f>
        <v/>
      </c>
      <c r="G10" s="59"/>
      <c r="H10" s="59"/>
      <c r="I10" s="63" t="str">
        <f>IF(Table1[[#This Row],[Type]]="Co-product", "No", "")</f>
        <v/>
      </c>
      <c r="J10" s="11"/>
      <c r="K10" s="11" t="str">
        <f>Table1[[#This Row],[Resource]]</f>
        <v/>
      </c>
      <c r="L10" s="11" t="str">
        <f>IF(_xlfn.XLOOKUP($K10,'SI - End Use'!$B$2:$B$30,'SI - End Use'!$C$2:$C$30, "")="", "", _xlfn.XLOOKUP($C10,'SI - End Use'!$B$2:$B$30,'SI - End Use'!$C$2:$C$30, ""))</f>
        <v/>
      </c>
      <c r="M10" s="11"/>
    </row>
    <row r="11" spans="1:13" x14ac:dyDescent="0.25">
      <c r="A11" s="11"/>
      <c r="B11" s="11"/>
      <c r="C11" s="11" t="str">
        <f>_xlfn.XLOOKUP($B11,'SI - Resources'!$A$1:$F$1,'SI - Resources'!$A$2:$F$2, "")</f>
        <v/>
      </c>
      <c r="D11" s="36" t="str">
        <f>IF(_xlfn.XLOOKUP($C11,'SI - End Use'!$B$2:$B$30,'SI - End Use'!$C$2:$C$30, "")="", "", _xlfn.XLOOKUP($C11,'SI - End Use'!$B$2:$B$30,'SI - End Use'!$C$2:$C$30, ""))</f>
        <v/>
      </c>
      <c r="E11" s="25"/>
      <c r="F11" s="36" t="str" cm="1">
        <f t="array" ref="F11">IF($B11="Transportation",  'SI - Units'!$B$9:$B$9, _xlfn.XLOOKUP(_xlfn.XLOOKUP($C11,'SI - Units'!$B$12:$B$39,'SI - Units'!$C$12:$C$39, ""),'SI - Units'!$A$2:$A$8,'SI - Units'!$B$2:$B$8, ""))</f>
        <v/>
      </c>
      <c r="G11" s="59"/>
      <c r="H11" s="59"/>
      <c r="I11" s="63" t="str">
        <f>IF(Table1[[#This Row],[Type]]="Co-product", "No", "")</f>
        <v/>
      </c>
      <c r="J11" s="11"/>
      <c r="K11" s="11" t="str">
        <f>Table1[[#This Row],[Resource]]</f>
        <v/>
      </c>
      <c r="L11" s="11" t="str">
        <f>IF(_xlfn.XLOOKUP($K11,'SI - End Use'!$B$2:$B$30,'SI - End Use'!$C$2:$C$30, "")="", "", _xlfn.XLOOKUP($C11,'SI - End Use'!$B$2:$B$30,'SI - End Use'!$C$2:$C$30, ""))</f>
        <v/>
      </c>
      <c r="M11" s="11"/>
    </row>
    <row r="12" spans="1:13" x14ac:dyDescent="0.25">
      <c r="A12" s="11"/>
      <c r="B12" s="11"/>
      <c r="C12" s="11" t="str">
        <f>_xlfn.XLOOKUP($B12,'SI - Resources'!$A$1:$F$1,'SI - Resources'!$A$2:$F$2, "")</f>
        <v/>
      </c>
      <c r="D12" s="36" t="str">
        <f>IF(_xlfn.XLOOKUP($C12,'SI - End Use'!$B$2:$B$30,'SI - End Use'!$C$2:$C$30, "")="", "", _xlfn.XLOOKUP($C12,'SI - End Use'!$B$2:$B$30,'SI - End Use'!$C$2:$C$30, ""))</f>
        <v/>
      </c>
      <c r="E12" s="25"/>
      <c r="F12" s="36" t="str" cm="1">
        <f t="array" ref="F12">IF($B12="Transportation",  'SI - Units'!$B$9:$B$9, _xlfn.XLOOKUP(_xlfn.XLOOKUP($C12,'SI - Units'!$B$12:$B$39,'SI - Units'!$C$12:$C$39, ""),'SI - Units'!$A$2:$A$8,'SI - Units'!$B$2:$B$8, ""))</f>
        <v/>
      </c>
      <c r="G12" s="59"/>
      <c r="H12" s="59"/>
      <c r="I12" s="63" t="str">
        <f>IF(Table1[[#This Row],[Type]]="Co-product", "No", "")</f>
        <v/>
      </c>
      <c r="J12" s="11"/>
      <c r="K12" s="11" t="str">
        <f>Table1[[#This Row],[Resource]]</f>
        <v/>
      </c>
      <c r="L12" s="11" t="str">
        <f>IF(_xlfn.XLOOKUP($K12,'SI - End Use'!$B$2:$B$30,'SI - End Use'!$C$2:$C$30, "")="", "", _xlfn.XLOOKUP($C12,'SI - End Use'!$B$2:$B$30,'SI - End Use'!$C$2:$C$30, ""))</f>
        <v/>
      </c>
      <c r="M12" s="11"/>
    </row>
    <row r="13" spans="1:13" x14ac:dyDescent="0.25">
      <c r="A13" s="11"/>
      <c r="B13" s="11"/>
      <c r="C13" s="11" t="str">
        <f>_xlfn.XLOOKUP($B13,'SI - Resources'!$A$1:$F$1,'SI - Resources'!$A$2:$F$2, "")</f>
        <v/>
      </c>
      <c r="D13" s="36" t="str">
        <f>IF(_xlfn.XLOOKUP($C13,'SI - End Use'!$B$2:$B$30,'SI - End Use'!$C$2:$C$30, "")="", "", _xlfn.XLOOKUP($C13,'SI - End Use'!$B$2:$B$30,'SI - End Use'!$C$2:$C$30, ""))</f>
        <v/>
      </c>
      <c r="E13" s="25"/>
      <c r="F13" s="36" t="str" cm="1">
        <f t="array" ref="F13">IF($B13="Transportation",  'SI - Units'!$B$9:$B$9, _xlfn.XLOOKUP(_xlfn.XLOOKUP($C13,'SI - Units'!$B$12:$B$39,'SI - Units'!$C$12:$C$39, ""),'SI - Units'!$A$2:$A$8,'SI - Units'!$B$2:$B$8, ""))</f>
        <v/>
      </c>
      <c r="G13" s="59"/>
      <c r="H13" s="59"/>
      <c r="I13" s="63" t="str">
        <f>IF(Table1[[#This Row],[Type]]="Co-product", "No", "")</f>
        <v/>
      </c>
      <c r="J13" s="11"/>
      <c r="K13" s="11" t="str">
        <f>Table1[[#This Row],[Resource]]</f>
        <v/>
      </c>
      <c r="L13" s="11" t="str">
        <f>IF(_xlfn.XLOOKUP($K13,'SI - End Use'!$B$2:$B$30,'SI - End Use'!$C$2:$C$30, "")="", "", _xlfn.XLOOKUP($C13,'SI - End Use'!$B$2:$B$30,'SI - End Use'!$C$2:$C$30, ""))</f>
        <v/>
      </c>
      <c r="M13" s="11"/>
    </row>
    <row r="14" spans="1:13" x14ac:dyDescent="0.25">
      <c r="A14" s="11"/>
      <c r="B14" s="11"/>
      <c r="C14" s="11" t="str">
        <f>_xlfn.XLOOKUP($B14,'SI - Resources'!$A$1:$F$1,'SI - Resources'!$A$2:$F$2, "")</f>
        <v/>
      </c>
      <c r="D14" s="36" t="str">
        <f>IF(_xlfn.XLOOKUP($C14,'SI - End Use'!$B$2:$B$30,'SI - End Use'!$C$2:$C$30, "")="", "", _xlfn.XLOOKUP($C14,'SI - End Use'!$B$2:$B$30,'SI - End Use'!$C$2:$C$30, ""))</f>
        <v/>
      </c>
      <c r="E14" s="25"/>
      <c r="F14" s="36" t="str" cm="1">
        <f t="array" ref="F14">IF($B14="Transportation",  'SI - Units'!$B$9:$B$9, _xlfn.XLOOKUP(_xlfn.XLOOKUP($C14,'SI - Units'!$B$12:$B$39,'SI - Units'!$C$12:$C$39, ""),'SI - Units'!$A$2:$A$8,'SI - Units'!$B$2:$B$8, ""))</f>
        <v/>
      </c>
      <c r="G14" s="59"/>
      <c r="H14" s="59"/>
      <c r="I14" s="63" t="str">
        <f>IF(Table1[[#This Row],[Type]]="Co-product", "No", "")</f>
        <v/>
      </c>
      <c r="J14" s="11"/>
      <c r="K14" s="11" t="str">
        <f>Table1[[#This Row],[Resource]]</f>
        <v/>
      </c>
      <c r="L14" s="11" t="str">
        <f>IF(_xlfn.XLOOKUP($K14,'SI - End Use'!$B$2:$B$30,'SI - End Use'!$C$2:$C$30, "")="", "", _xlfn.XLOOKUP($C14,'SI - End Use'!$B$2:$B$30,'SI - End Use'!$C$2:$C$30, ""))</f>
        <v/>
      </c>
      <c r="M14" s="11"/>
    </row>
    <row r="15" spans="1:13" x14ac:dyDescent="0.25">
      <c r="A15" s="11"/>
      <c r="B15" s="11"/>
      <c r="C15" s="11" t="str">
        <f>_xlfn.XLOOKUP($B15,'SI - Resources'!$A$1:$F$1,'SI - Resources'!$A$2:$F$2, "")</f>
        <v/>
      </c>
      <c r="D15" s="36" t="str">
        <f>IF(_xlfn.XLOOKUP($C15,'SI - End Use'!$B$2:$B$30,'SI - End Use'!$C$2:$C$30, "")="", "", _xlfn.XLOOKUP($C15,'SI - End Use'!$B$2:$B$30,'SI - End Use'!$C$2:$C$30, ""))</f>
        <v/>
      </c>
      <c r="E15" s="25"/>
      <c r="F15" s="36" t="str" cm="1">
        <f t="array" ref="F15">IF($B15="Transportation",  'SI - Units'!$B$9:$B$9, _xlfn.XLOOKUP(_xlfn.XLOOKUP($C15,'SI - Units'!$B$12:$B$39,'SI - Units'!$C$12:$C$39, ""),'SI - Units'!$A$2:$A$8,'SI - Units'!$B$2:$B$8, ""))</f>
        <v/>
      </c>
      <c r="G15" s="59"/>
      <c r="H15" s="59"/>
      <c r="I15" s="63" t="str">
        <f>IF(Table1[[#This Row],[Type]]="Co-product", "No", "")</f>
        <v/>
      </c>
      <c r="J15" s="11"/>
      <c r="K15" s="11" t="str">
        <f>Table1[[#This Row],[Resource]]</f>
        <v/>
      </c>
      <c r="L15" s="11" t="str">
        <f>IF(_xlfn.XLOOKUP($K15,'SI - End Use'!$B$2:$B$30,'SI - End Use'!$C$2:$C$30, "")="", "", _xlfn.XLOOKUP($C15,'SI - End Use'!$B$2:$B$30,'SI - End Use'!$C$2:$C$30, ""))</f>
        <v/>
      </c>
      <c r="M15" s="11"/>
    </row>
    <row r="16" spans="1:13" x14ac:dyDescent="0.25">
      <c r="A16" s="11"/>
      <c r="B16" s="11"/>
      <c r="C16" s="11" t="str">
        <f>_xlfn.XLOOKUP($B16,'SI - Resources'!$A$1:$F$1,'SI - Resources'!$A$2:$F$2, "")</f>
        <v/>
      </c>
      <c r="D16" s="36" t="str">
        <f>IF(_xlfn.XLOOKUP($C16,'SI - End Use'!$B$2:$B$30,'SI - End Use'!$C$2:$C$30, "")="", "", _xlfn.XLOOKUP($C16,'SI - End Use'!$B$2:$B$30,'SI - End Use'!$C$2:$C$30, ""))</f>
        <v/>
      </c>
      <c r="E16" s="25"/>
      <c r="F16" s="36" t="str" cm="1">
        <f t="array" ref="F16">IF($B16="Transportation",  'SI - Units'!$B$9:$B$9, _xlfn.XLOOKUP(_xlfn.XLOOKUP($C16,'SI - Units'!$B$12:$B$39,'SI - Units'!$C$12:$C$39, ""),'SI - Units'!$A$2:$A$8,'SI - Units'!$B$2:$B$8, ""))</f>
        <v/>
      </c>
      <c r="G16" s="59"/>
      <c r="H16" s="59"/>
      <c r="I16" s="63" t="str">
        <f>IF(Table1[[#This Row],[Type]]="Co-product", "No", "")</f>
        <v/>
      </c>
      <c r="J16" s="11"/>
      <c r="K16" s="11" t="str">
        <f>Table1[[#This Row],[Resource]]</f>
        <v/>
      </c>
      <c r="L16" s="11" t="str">
        <f>IF(_xlfn.XLOOKUP($K16,'SI - End Use'!$B$2:$B$30,'SI - End Use'!$C$2:$C$30, "")="", "", _xlfn.XLOOKUP($C16,'SI - End Use'!$B$2:$B$30,'SI - End Use'!$C$2:$C$30, ""))</f>
        <v/>
      </c>
      <c r="M16" s="11"/>
    </row>
    <row r="17" spans="1:13" x14ac:dyDescent="0.25">
      <c r="A17" s="11"/>
      <c r="B17" s="11"/>
      <c r="C17" s="11" t="str">
        <f>_xlfn.XLOOKUP($B17,'SI - Resources'!$A$1:$F$1,'SI - Resources'!$A$2:$F$2, "")</f>
        <v/>
      </c>
      <c r="D17" s="36" t="str">
        <f>IF(_xlfn.XLOOKUP($C17,'SI - End Use'!$B$2:$B$30,'SI - End Use'!$C$2:$C$30, "")="", "", _xlfn.XLOOKUP($C17,'SI - End Use'!$B$2:$B$30,'SI - End Use'!$C$2:$C$30, ""))</f>
        <v/>
      </c>
      <c r="E17" s="25"/>
      <c r="F17" s="36" t="str" cm="1">
        <f t="array" ref="F17">IF($B17="Transportation",  'SI - Units'!$B$9:$B$9, _xlfn.XLOOKUP(_xlfn.XLOOKUP($C17,'SI - Units'!$B$12:$B$39,'SI - Units'!$C$12:$C$39, ""),'SI - Units'!$A$2:$A$8,'SI - Units'!$B$2:$B$8, ""))</f>
        <v/>
      </c>
      <c r="G17" s="59"/>
      <c r="H17" s="59"/>
      <c r="I17" s="63" t="str">
        <f>IF(Table1[[#This Row],[Type]]="Co-product", "No", "")</f>
        <v/>
      </c>
      <c r="J17" s="11"/>
      <c r="K17" s="11" t="str">
        <f>Table1[[#This Row],[Resource]]</f>
        <v/>
      </c>
      <c r="L17" s="11" t="str">
        <f>IF(_xlfn.XLOOKUP($K17,'SI - End Use'!$B$2:$B$30,'SI - End Use'!$C$2:$C$30, "")="", "", _xlfn.XLOOKUP($C17,'SI - End Use'!$B$2:$B$30,'SI - End Use'!$C$2:$C$30, ""))</f>
        <v/>
      </c>
      <c r="M17" s="11"/>
    </row>
    <row r="18" spans="1:13" x14ac:dyDescent="0.25">
      <c r="A18" s="11"/>
      <c r="B18" s="11"/>
      <c r="C18" s="11" t="str">
        <f>_xlfn.XLOOKUP($B18,'SI - Resources'!$A$1:$F$1,'SI - Resources'!$A$2:$F$2, "")</f>
        <v/>
      </c>
      <c r="D18" s="36" t="str">
        <f>IF(_xlfn.XLOOKUP($C18,'SI - End Use'!$B$2:$B$30,'SI - End Use'!$C$2:$C$30, "")="", "", _xlfn.XLOOKUP($C18,'SI - End Use'!$B$2:$B$30,'SI - End Use'!$C$2:$C$30, ""))</f>
        <v/>
      </c>
      <c r="E18" s="25"/>
      <c r="F18" s="36" t="str" cm="1">
        <f t="array" ref="F18">IF($B18="Transportation",  'SI - Units'!$B$9:$B$9, _xlfn.XLOOKUP(_xlfn.XLOOKUP($C18,'SI - Units'!$B$12:$B$39,'SI - Units'!$C$12:$C$39, ""),'SI - Units'!$A$2:$A$8,'SI - Units'!$B$2:$B$8, ""))</f>
        <v/>
      </c>
      <c r="G18" s="59"/>
      <c r="H18" s="59"/>
      <c r="I18" s="63" t="str">
        <f>IF(Table1[[#This Row],[Type]]="Co-product", "No", "")</f>
        <v/>
      </c>
      <c r="J18" s="11"/>
      <c r="K18" s="11" t="str">
        <f>Table1[[#This Row],[Resource]]</f>
        <v/>
      </c>
      <c r="L18" s="11" t="str">
        <f>IF(_xlfn.XLOOKUP($K18,'SI - End Use'!$B$2:$B$30,'SI - End Use'!$C$2:$C$30, "")="", "", _xlfn.XLOOKUP($C18,'SI - End Use'!$B$2:$B$30,'SI - End Use'!$C$2:$C$30, ""))</f>
        <v/>
      </c>
      <c r="M18" s="11"/>
    </row>
    <row r="19" spans="1:13" x14ac:dyDescent="0.25">
      <c r="A19" s="11"/>
      <c r="B19" s="11"/>
      <c r="C19" s="11" t="str">
        <f>_xlfn.XLOOKUP($B19,'SI - Resources'!$A$1:$F$1,'SI - Resources'!$A$2:$F$2, "")</f>
        <v/>
      </c>
      <c r="D19" s="36" t="str">
        <f>IF(_xlfn.XLOOKUP($C19,'SI - End Use'!$B$2:$B$30,'SI - End Use'!$C$2:$C$30, "")="", "", _xlfn.XLOOKUP($C19,'SI - End Use'!$B$2:$B$30,'SI - End Use'!$C$2:$C$30, ""))</f>
        <v/>
      </c>
      <c r="E19" s="25"/>
      <c r="F19" s="36" t="str" cm="1">
        <f t="array" ref="F19">IF($B19="Transportation",  'SI - Units'!$B$9:$B$9, _xlfn.XLOOKUP(_xlfn.XLOOKUP($C19,'SI - Units'!$B$12:$B$39,'SI - Units'!$C$12:$C$39, ""),'SI - Units'!$A$2:$A$8,'SI - Units'!$B$2:$B$8, ""))</f>
        <v/>
      </c>
      <c r="G19" s="59"/>
      <c r="H19" s="59"/>
      <c r="I19" s="63" t="str">
        <f>IF(Table1[[#This Row],[Type]]="Co-product", "No", "")</f>
        <v/>
      </c>
      <c r="J19" s="11"/>
      <c r="K19" s="11" t="str">
        <f>Table1[[#This Row],[Resource]]</f>
        <v/>
      </c>
      <c r="L19" s="11" t="str">
        <f>IF(_xlfn.XLOOKUP($K19,'SI - End Use'!$B$2:$B$30,'SI - End Use'!$C$2:$C$30, "")="", "", _xlfn.XLOOKUP($C19,'SI - End Use'!$B$2:$B$30,'SI - End Use'!$C$2:$C$30, ""))</f>
        <v/>
      </c>
      <c r="M19" s="11"/>
    </row>
    <row r="20" spans="1:13" x14ac:dyDescent="0.25">
      <c r="A20" s="11"/>
      <c r="B20" s="11"/>
      <c r="C20" s="11" t="str">
        <f>_xlfn.XLOOKUP($B20,'SI - Resources'!$A$1:$F$1,'SI - Resources'!$A$2:$F$2, "")</f>
        <v/>
      </c>
      <c r="D20" s="36" t="str">
        <f>IF(_xlfn.XLOOKUP($C20,'SI - End Use'!$B$2:$B$30,'SI - End Use'!$C$2:$C$30, "")="", "", _xlfn.XLOOKUP($C20,'SI - End Use'!$B$2:$B$30,'SI - End Use'!$C$2:$C$30, ""))</f>
        <v/>
      </c>
      <c r="E20" s="25"/>
      <c r="F20" s="36" t="str" cm="1">
        <f t="array" ref="F20">IF($B20="Transportation",  'SI - Units'!$B$9:$B$9, _xlfn.XLOOKUP(_xlfn.XLOOKUP($C20,'SI - Units'!$B$12:$B$39,'SI - Units'!$C$12:$C$39, ""),'SI - Units'!$A$2:$A$8,'SI - Units'!$B$2:$B$8, ""))</f>
        <v/>
      </c>
      <c r="G20" s="59"/>
      <c r="H20" s="59"/>
      <c r="I20" s="63" t="str">
        <f>IF(Table1[[#This Row],[Type]]="Co-product", "No", "")</f>
        <v/>
      </c>
      <c r="J20" s="11"/>
      <c r="K20" s="11" t="str">
        <f>Table1[[#This Row],[Resource]]</f>
        <v/>
      </c>
      <c r="L20" s="11" t="str">
        <f>IF(_xlfn.XLOOKUP($K20,'SI - End Use'!$B$2:$B$30,'SI - End Use'!$C$2:$C$30, "")="", "", _xlfn.XLOOKUP($C20,'SI - End Use'!$B$2:$B$30,'SI - End Use'!$C$2:$C$30, ""))</f>
        <v/>
      </c>
      <c r="M20" s="11"/>
    </row>
    <row r="21" spans="1:13" x14ac:dyDescent="0.25">
      <c r="A21" s="11"/>
      <c r="B21" s="11"/>
      <c r="C21" s="11" t="str">
        <f>_xlfn.XLOOKUP($B21,'SI - Resources'!$A$1:$F$1,'SI - Resources'!$A$2:$F$2, "")</f>
        <v/>
      </c>
      <c r="D21" s="36" t="str">
        <f>IF(_xlfn.XLOOKUP($C21,'SI - End Use'!$B$2:$B$30,'SI - End Use'!$C$2:$C$30, "")="", "", _xlfn.XLOOKUP($C21,'SI - End Use'!$B$2:$B$30,'SI - End Use'!$C$2:$C$30, ""))</f>
        <v/>
      </c>
      <c r="E21" s="25"/>
      <c r="F21" s="36" t="str" cm="1">
        <f t="array" ref="F21">IF($B21="Transportation",  'SI - Units'!$B$9:$B$9, _xlfn.XLOOKUP(_xlfn.XLOOKUP($C21,'SI - Units'!$B$12:$B$39,'SI - Units'!$C$12:$C$39, ""),'SI - Units'!$A$2:$A$8,'SI - Units'!$B$2:$B$8, ""))</f>
        <v/>
      </c>
      <c r="G21" s="59"/>
      <c r="H21" s="59"/>
      <c r="I21" s="63" t="str">
        <f>IF(Table1[[#This Row],[Type]]="Co-product", "No", "")</f>
        <v/>
      </c>
      <c r="J21" s="11"/>
      <c r="K21" s="11" t="str">
        <f>Table1[[#This Row],[Resource]]</f>
        <v/>
      </c>
      <c r="L21" s="11" t="str">
        <f>IF(_xlfn.XLOOKUP($K21,'SI - End Use'!$B$2:$B$30,'SI - End Use'!$C$2:$C$30, "")="", "", _xlfn.XLOOKUP($C21,'SI - End Use'!$B$2:$B$30,'SI - End Use'!$C$2:$C$30, ""))</f>
        <v/>
      </c>
      <c r="M21" s="11"/>
    </row>
    <row r="22" spans="1:13" x14ac:dyDescent="0.25">
      <c r="A22" s="11"/>
      <c r="B22" s="11"/>
      <c r="C22" s="11" t="str">
        <f>_xlfn.XLOOKUP($B22,'SI - Resources'!$A$1:$F$1,'SI - Resources'!$A$2:$F$2, "")</f>
        <v/>
      </c>
      <c r="D22" s="36" t="str">
        <f>IF(_xlfn.XLOOKUP($C22,'SI - End Use'!$B$2:$B$30,'SI - End Use'!$C$2:$C$30, "")="", "", _xlfn.XLOOKUP($C22,'SI - End Use'!$B$2:$B$30,'SI - End Use'!$C$2:$C$30, ""))</f>
        <v/>
      </c>
      <c r="E22" s="25"/>
      <c r="F22" s="36" t="str" cm="1">
        <f t="array" ref="F22">IF($B22="Transportation",  'SI - Units'!$B$9:$B$9, _xlfn.XLOOKUP(_xlfn.XLOOKUP($C22,'SI - Units'!$B$12:$B$39,'SI - Units'!$C$12:$C$39, ""),'SI - Units'!$A$2:$A$8,'SI - Units'!$B$2:$B$8, ""))</f>
        <v/>
      </c>
      <c r="G22" s="59"/>
      <c r="H22" s="59"/>
      <c r="I22" s="63" t="str">
        <f>IF(Table1[[#This Row],[Type]]="Co-product", "No", "")</f>
        <v/>
      </c>
      <c r="J22" s="11"/>
      <c r="K22" s="11" t="str">
        <f>Table1[[#This Row],[Resource]]</f>
        <v/>
      </c>
      <c r="L22" s="11" t="str">
        <f>IF(_xlfn.XLOOKUP($K22,'SI - End Use'!$B$2:$B$30,'SI - End Use'!$C$2:$C$30, "")="", "", _xlfn.XLOOKUP($C22,'SI - End Use'!$B$2:$B$30,'SI - End Use'!$C$2:$C$30, ""))</f>
        <v/>
      </c>
      <c r="M22" s="11"/>
    </row>
    <row r="23" spans="1:13" x14ac:dyDescent="0.25">
      <c r="A23" s="11"/>
      <c r="B23" s="11"/>
      <c r="C23" s="11" t="str">
        <f>_xlfn.XLOOKUP($B23,'SI - Resources'!$A$1:$F$1,'SI - Resources'!$A$2:$F$2, "")</f>
        <v/>
      </c>
      <c r="D23" s="36" t="str">
        <f>IF(_xlfn.XLOOKUP($C23,'SI - End Use'!$B$2:$B$30,'SI - End Use'!$C$2:$C$30, "")="", "", _xlfn.XLOOKUP($C23,'SI - End Use'!$B$2:$B$30,'SI - End Use'!$C$2:$C$30, ""))</f>
        <v/>
      </c>
      <c r="E23" s="25"/>
      <c r="F23" s="36" t="str" cm="1">
        <f t="array" ref="F23">IF($B23="Transportation",  'SI - Units'!$B$9:$B$9, _xlfn.XLOOKUP(_xlfn.XLOOKUP($C23,'SI - Units'!$B$12:$B$39,'SI - Units'!$C$12:$C$39, ""),'SI - Units'!$A$2:$A$8,'SI - Units'!$B$2:$B$8, ""))</f>
        <v/>
      </c>
      <c r="G23" s="59"/>
      <c r="H23" s="59"/>
      <c r="I23" s="63" t="str">
        <f>IF(Table1[[#This Row],[Type]]="Co-product", "No", "")</f>
        <v/>
      </c>
      <c r="J23" s="11"/>
      <c r="K23" s="11" t="str">
        <f>Table1[[#This Row],[Resource]]</f>
        <v/>
      </c>
      <c r="L23" s="11" t="str">
        <f>IF(_xlfn.XLOOKUP($K23,'SI - End Use'!$B$2:$B$30,'SI - End Use'!$C$2:$C$30, "")="", "", _xlfn.XLOOKUP($C23,'SI - End Use'!$B$2:$B$30,'SI - End Use'!$C$2:$C$30, ""))</f>
        <v/>
      </c>
      <c r="M23" s="11"/>
    </row>
    <row r="24" spans="1:13" x14ac:dyDescent="0.25">
      <c r="A24" s="11"/>
      <c r="B24" s="11"/>
      <c r="C24" s="11" t="str">
        <f>_xlfn.XLOOKUP($B24,'SI - Resources'!$A$1:$F$1,'SI - Resources'!$A$2:$F$2, "")</f>
        <v/>
      </c>
      <c r="D24" s="36" t="str">
        <f>IF(_xlfn.XLOOKUP($C24,'SI - End Use'!$B$2:$B$30,'SI - End Use'!$C$2:$C$30, "")="", "", _xlfn.XLOOKUP($C24,'SI - End Use'!$B$2:$B$30,'SI - End Use'!$C$2:$C$30, ""))</f>
        <v/>
      </c>
      <c r="E24" s="25"/>
      <c r="F24" s="36" t="str" cm="1">
        <f t="array" ref="F24">IF($B24="Transportation",  'SI - Units'!$B$9:$B$9, _xlfn.XLOOKUP(_xlfn.XLOOKUP($C24,'SI - Units'!$B$12:$B$39,'SI - Units'!$C$12:$C$39, ""),'SI - Units'!$A$2:$A$8,'SI - Units'!$B$2:$B$8, ""))</f>
        <v/>
      </c>
      <c r="G24" s="59"/>
      <c r="H24" s="59"/>
      <c r="I24" s="63" t="str">
        <f>IF(Table1[[#This Row],[Type]]="Co-product", "No", "")</f>
        <v/>
      </c>
      <c r="J24" s="11"/>
      <c r="K24" s="11" t="str">
        <f>Table1[[#This Row],[Resource]]</f>
        <v/>
      </c>
      <c r="L24" s="11" t="str">
        <f>IF(_xlfn.XLOOKUP($K24,'SI - End Use'!$B$2:$B$30,'SI - End Use'!$C$2:$C$30, "")="", "", _xlfn.XLOOKUP($C24,'SI - End Use'!$B$2:$B$30,'SI - End Use'!$C$2:$C$30, ""))</f>
        <v/>
      </c>
      <c r="M24" s="11"/>
    </row>
    <row r="25" spans="1:13" x14ac:dyDescent="0.25">
      <c r="A25" s="11"/>
      <c r="B25" s="11"/>
      <c r="C25" s="11" t="str">
        <f>_xlfn.XLOOKUP($B25,'SI - Resources'!$A$1:$F$1,'SI - Resources'!$A$2:$F$2, "")</f>
        <v/>
      </c>
      <c r="D25" s="36" t="str">
        <f>IF(_xlfn.XLOOKUP($C25,'SI - End Use'!$B$2:$B$30,'SI - End Use'!$C$2:$C$30, "")="", "", _xlfn.XLOOKUP($C25,'SI - End Use'!$B$2:$B$30,'SI - End Use'!$C$2:$C$30, ""))</f>
        <v/>
      </c>
      <c r="E25" s="25"/>
      <c r="F25" s="36" t="str" cm="1">
        <f t="array" ref="F25">IF($B25="Transportation",  'SI - Units'!$B$9:$B$9, _xlfn.XLOOKUP(_xlfn.XLOOKUP($C25,'SI - Units'!$B$12:$B$39,'SI - Units'!$C$12:$C$39, ""),'SI - Units'!$A$2:$A$8,'SI - Units'!$B$2:$B$8, ""))</f>
        <v/>
      </c>
      <c r="G25" s="59"/>
      <c r="H25" s="59"/>
      <c r="I25" s="63" t="str">
        <f>IF(Table1[[#This Row],[Type]]="Co-product", "No", "")</f>
        <v/>
      </c>
      <c r="J25" s="11"/>
      <c r="K25" s="11" t="str">
        <f>Table1[[#This Row],[Resource]]</f>
        <v/>
      </c>
      <c r="L25" s="11" t="str">
        <f>IF(_xlfn.XLOOKUP($K25,'SI - End Use'!$B$2:$B$30,'SI - End Use'!$C$2:$C$30, "")="", "", _xlfn.XLOOKUP($C25,'SI - End Use'!$B$2:$B$30,'SI - End Use'!$C$2:$C$30, ""))</f>
        <v/>
      </c>
      <c r="M25" s="11"/>
    </row>
    <row r="26" spans="1:13" x14ac:dyDescent="0.25">
      <c r="A26" s="11"/>
      <c r="B26" s="11"/>
      <c r="C26" s="11" t="str">
        <f>_xlfn.XLOOKUP($B26,'SI - Resources'!$A$1:$F$1,'SI - Resources'!$A$2:$F$2, "")</f>
        <v/>
      </c>
      <c r="D26" s="36" t="str">
        <f>IF(_xlfn.XLOOKUP($C26,'SI - End Use'!$B$2:$B$30,'SI - End Use'!$C$2:$C$30, "")="", "", _xlfn.XLOOKUP($C26,'SI - End Use'!$B$2:$B$30,'SI - End Use'!$C$2:$C$30, ""))</f>
        <v/>
      </c>
      <c r="E26" s="25"/>
      <c r="F26" s="36" t="str" cm="1">
        <f t="array" ref="F26">IF($B26="Transportation",  'SI - Units'!$B$9:$B$9, _xlfn.XLOOKUP(_xlfn.XLOOKUP($C26,'SI - Units'!$B$12:$B$39,'SI - Units'!$C$12:$C$39, ""),'SI - Units'!$A$2:$A$8,'SI - Units'!$B$2:$B$8, ""))</f>
        <v/>
      </c>
      <c r="G26" s="59"/>
      <c r="H26" s="59"/>
      <c r="I26" s="63" t="str">
        <f>IF(Table1[[#This Row],[Type]]="Co-product", "No", "")</f>
        <v/>
      </c>
      <c r="J26" s="11"/>
      <c r="K26" s="11" t="str">
        <f>Table1[[#This Row],[Resource]]</f>
        <v/>
      </c>
      <c r="L26" s="11" t="str">
        <f>IF(_xlfn.XLOOKUP($K26,'SI - End Use'!$B$2:$B$30,'SI - End Use'!$C$2:$C$30, "")="", "", _xlfn.XLOOKUP($C26,'SI - End Use'!$B$2:$B$30,'SI - End Use'!$C$2:$C$30, ""))</f>
        <v/>
      </c>
      <c r="M26" s="11"/>
    </row>
    <row r="27" spans="1:13" x14ac:dyDescent="0.25">
      <c r="A27" s="11"/>
      <c r="B27" s="11"/>
      <c r="C27" s="11" t="str">
        <f>_xlfn.XLOOKUP($B27,'SI - Resources'!$A$1:$F$1,'SI - Resources'!$A$2:$F$2, "")</f>
        <v/>
      </c>
      <c r="D27" s="36" t="str">
        <f>IF(_xlfn.XLOOKUP($C27,'SI - End Use'!$B$2:$B$30,'SI - End Use'!$C$2:$C$30, "")="", "", _xlfn.XLOOKUP($C27,'SI - End Use'!$B$2:$B$30,'SI - End Use'!$C$2:$C$30, ""))</f>
        <v/>
      </c>
      <c r="E27" s="25"/>
      <c r="F27" s="36" t="str" cm="1">
        <f t="array" ref="F27">IF($B27="Transportation",  'SI - Units'!$B$9:$B$9, _xlfn.XLOOKUP(_xlfn.XLOOKUP($C27,'SI - Units'!$B$12:$B$39,'SI - Units'!$C$12:$C$39, ""),'SI - Units'!$A$2:$A$8,'SI - Units'!$B$2:$B$8, ""))</f>
        <v/>
      </c>
      <c r="G27" s="59"/>
      <c r="H27" s="59"/>
      <c r="I27" s="63" t="str">
        <f>IF(Table1[[#This Row],[Type]]="Co-product", "No", "")</f>
        <v/>
      </c>
      <c r="J27" s="11"/>
      <c r="K27" s="11" t="str">
        <f>Table1[[#This Row],[Resource]]</f>
        <v/>
      </c>
      <c r="L27" s="11" t="str">
        <f>IF(_xlfn.XLOOKUP($K27,'SI - End Use'!$B$2:$B$30,'SI - End Use'!$C$2:$C$30, "")="", "", _xlfn.XLOOKUP($C27,'SI - End Use'!$B$2:$B$30,'SI - End Use'!$C$2:$C$30, ""))</f>
        <v/>
      </c>
      <c r="M27" s="11"/>
    </row>
    <row r="28" spans="1:13" x14ac:dyDescent="0.25">
      <c r="A28" s="11"/>
      <c r="B28" s="11"/>
      <c r="C28" s="11" t="str">
        <f>_xlfn.XLOOKUP($B28,'SI - Resources'!$A$1:$F$1,'SI - Resources'!$A$2:$F$2, "")</f>
        <v/>
      </c>
      <c r="D28" s="36" t="str">
        <f>IF(_xlfn.XLOOKUP($C28,'SI - End Use'!$B$2:$B$30,'SI - End Use'!$C$2:$C$30, "")="", "", _xlfn.XLOOKUP($C28,'SI - End Use'!$B$2:$B$30,'SI - End Use'!$C$2:$C$30, ""))</f>
        <v/>
      </c>
      <c r="E28" s="25"/>
      <c r="F28" s="36" t="str" cm="1">
        <f t="array" ref="F28">IF($B28="Transportation",  'SI - Units'!$B$9:$B$9, _xlfn.XLOOKUP(_xlfn.XLOOKUP($C28,'SI - Units'!$B$12:$B$39,'SI - Units'!$C$12:$C$39, ""),'SI - Units'!$A$2:$A$8,'SI - Units'!$B$2:$B$8, ""))</f>
        <v/>
      </c>
      <c r="G28" s="59"/>
      <c r="H28" s="59"/>
      <c r="I28" s="63" t="str">
        <f>IF(Table1[[#This Row],[Type]]="Co-product", "No", "")</f>
        <v/>
      </c>
      <c r="J28" s="11"/>
      <c r="K28" s="11" t="str">
        <f>Table1[[#This Row],[Resource]]</f>
        <v/>
      </c>
      <c r="L28" s="11" t="str">
        <f>IF(_xlfn.XLOOKUP($K28,'SI - End Use'!$B$2:$B$30,'SI - End Use'!$C$2:$C$30, "")="", "", _xlfn.XLOOKUP($C28,'SI - End Use'!$B$2:$B$30,'SI - End Use'!$C$2:$C$30, ""))</f>
        <v/>
      </c>
      <c r="M28" s="11"/>
    </row>
    <row r="29" spans="1:13" x14ac:dyDescent="0.25">
      <c r="A29" s="11"/>
      <c r="B29" s="11"/>
      <c r="C29" s="11" t="str">
        <f>_xlfn.XLOOKUP($B29,'SI - Resources'!$A$1:$F$1,'SI - Resources'!$A$2:$F$2, "")</f>
        <v/>
      </c>
      <c r="D29" s="36" t="str">
        <f>IF(_xlfn.XLOOKUP($C29,'SI - End Use'!$B$2:$B$30,'SI - End Use'!$C$2:$C$30, "")="", "", _xlfn.XLOOKUP($C29,'SI - End Use'!$B$2:$B$30,'SI - End Use'!$C$2:$C$30, ""))</f>
        <v/>
      </c>
      <c r="E29" s="25"/>
      <c r="F29" s="36" t="str" cm="1">
        <f t="array" ref="F29">IF($B29="Transportation",  'SI - Units'!$B$9:$B$9, _xlfn.XLOOKUP(_xlfn.XLOOKUP($C29,'SI - Units'!$B$12:$B$39,'SI - Units'!$C$12:$C$39, ""),'SI - Units'!$A$2:$A$8,'SI - Units'!$B$2:$B$8, ""))</f>
        <v/>
      </c>
      <c r="G29" s="59"/>
      <c r="H29" s="59"/>
      <c r="I29" s="63" t="str">
        <f>IF(Table1[[#This Row],[Type]]="Co-product", "No", "")</f>
        <v/>
      </c>
      <c r="J29" s="11"/>
      <c r="K29" s="11" t="str">
        <f>Table1[[#This Row],[Resource]]</f>
        <v/>
      </c>
      <c r="L29" s="11" t="str">
        <f>IF(_xlfn.XLOOKUP($K29,'SI - End Use'!$B$2:$B$30,'SI - End Use'!$C$2:$C$30, "")="", "", _xlfn.XLOOKUP($C29,'SI - End Use'!$B$2:$B$30,'SI - End Use'!$C$2:$C$30, ""))</f>
        <v/>
      </c>
      <c r="M29" s="11"/>
    </row>
    <row r="30" spans="1:13" x14ac:dyDescent="0.25">
      <c r="A30" s="11"/>
      <c r="B30" s="11"/>
      <c r="C30" s="11" t="str">
        <f>_xlfn.XLOOKUP($B30,'SI - Resources'!$A$1:$F$1,'SI - Resources'!$A$2:$F$2, "")</f>
        <v/>
      </c>
      <c r="D30" s="36" t="str">
        <f>IF(_xlfn.XLOOKUP($C30,'SI - End Use'!$B$2:$B$30,'SI - End Use'!$C$2:$C$30, "")="", "", _xlfn.XLOOKUP($C30,'SI - End Use'!$B$2:$B$30,'SI - End Use'!$C$2:$C$30, ""))</f>
        <v/>
      </c>
      <c r="E30" s="25"/>
      <c r="F30" s="36" t="str" cm="1">
        <f t="array" ref="F30">IF($B30="Transportation",  'SI - Units'!$B$9:$B$9, _xlfn.XLOOKUP(_xlfn.XLOOKUP($C30,'SI - Units'!$B$12:$B$39,'SI - Units'!$C$12:$C$39, ""),'SI - Units'!$A$2:$A$8,'SI - Units'!$B$2:$B$8, ""))</f>
        <v/>
      </c>
      <c r="G30" s="59"/>
      <c r="H30" s="59"/>
      <c r="I30" s="63" t="str">
        <f>IF(Table1[[#This Row],[Type]]="Co-product", "No", "")</f>
        <v/>
      </c>
      <c r="J30" s="11"/>
      <c r="K30" s="11" t="str">
        <f>Table1[[#This Row],[Resource]]</f>
        <v/>
      </c>
      <c r="L30" s="11" t="str">
        <f>IF(_xlfn.XLOOKUP($K30,'SI - End Use'!$B$2:$B$30,'SI - End Use'!$C$2:$C$30, "")="", "", _xlfn.XLOOKUP($C30,'SI - End Use'!$B$2:$B$30,'SI - End Use'!$C$2:$C$30, ""))</f>
        <v/>
      </c>
      <c r="M30" s="11"/>
    </row>
    <row r="31" spans="1:13" x14ac:dyDescent="0.25">
      <c r="A31" s="11"/>
      <c r="B31" s="11"/>
      <c r="C31" s="11" t="str">
        <f>_xlfn.XLOOKUP($B31,'SI - Resources'!$A$1:$F$1,'SI - Resources'!$A$2:$F$2, "")</f>
        <v/>
      </c>
      <c r="D31" s="36" t="str">
        <f>IF(_xlfn.XLOOKUP($C31,'SI - End Use'!$B$2:$B$30,'SI - End Use'!$C$2:$C$30, "")="", "", _xlfn.XLOOKUP($C31,'SI - End Use'!$B$2:$B$30,'SI - End Use'!$C$2:$C$30, ""))</f>
        <v/>
      </c>
      <c r="E31" s="25"/>
      <c r="F31" s="36" t="str" cm="1">
        <f t="array" ref="F31">IF($B31="Transportation",  'SI - Units'!$B$9:$B$9, _xlfn.XLOOKUP(_xlfn.XLOOKUP($C31,'SI - Units'!$B$12:$B$39,'SI - Units'!$C$12:$C$39, ""),'SI - Units'!$A$2:$A$8,'SI - Units'!$B$2:$B$8, ""))</f>
        <v/>
      </c>
      <c r="G31" s="59"/>
      <c r="H31" s="59"/>
      <c r="I31" s="63" t="str">
        <f>IF(Table1[[#This Row],[Type]]="Co-product", "No", "")</f>
        <v/>
      </c>
      <c r="J31" s="11"/>
      <c r="K31" s="11" t="str">
        <f>Table1[[#This Row],[Resource]]</f>
        <v/>
      </c>
      <c r="L31" s="11" t="str">
        <f>IF(_xlfn.XLOOKUP($K31,'SI - End Use'!$B$2:$B$30,'SI - End Use'!$C$2:$C$30, "")="", "", _xlfn.XLOOKUP($C31,'SI - End Use'!$B$2:$B$30,'SI - End Use'!$C$2:$C$30, ""))</f>
        <v/>
      </c>
      <c r="M31" s="11"/>
    </row>
    <row r="32" spans="1:13" x14ac:dyDescent="0.25">
      <c r="A32" s="11"/>
      <c r="B32" s="11"/>
      <c r="C32" s="11" t="str">
        <f>_xlfn.XLOOKUP($B32,'SI - Resources'!$A$1:$F$1,'SI - Resources'!$A$2:$F$2, "")</f>
        <v/>
      </c>
      <c r="D32" s="36" t="str">
        <f>IF(_xlfn.XLOOKUP($C32,'SI - End Use'!$B$2:$B$30,'SI - End Use'!$C$2:$C$30, "")="", "", _xlfn.XLOOKUP($C32,'SI - End Use'!$B$2:$B$30,'SI - End Use'!$C$2:$C$30, ""))</f>
        <v/>
      </c>
      <c r="E32" s="25"/>
      <c r="F32" s="36" t="str" cm="1">
        <f t="array" ref="F32">IF($B32="Transportation",  'SI - Units'!$B$9:$B$9, _xlfn.XLOOKUP(_xlfn.XLOOKUP($C32,'SI - Units'!$B$12:$B$39,'SI - Units'!$C$12:$C$39, ""),'SI - Units'!$A$2:$A$8,'SI - Units'!$B$2:$B$8, ""))</f>
        <v/>
      </c>
      <c r="G32" s="59"/>
      <c r="H32" s="59"/>
      <c r="I32" s="63" t="str">
        <f>IF(Table1[[#This Row],[Type]]="Co-product", "No", "")</f>
        <v/>
      </c>
      <c r="J32" s="11"/>
      <c r="K32" s="11" t="str">
        <f>Table1[[#This Row],[Resource]]</f>
        <v/>
      </c>
      <c r="L32" s="11" t="str">
        <f>IF(_xlfn.XLOOKUP($K32,'SI - End Use'!$B$2:$B$30,'SI - End Use'!$C$2:$C$30, "")="", "", _xlfn.XLOOKUP($C32,'SI - End Use'!$B$2:$B$30,'SI - End Use'!$C$2:$C$30, ""))</f>
        <v/>
      </c>
      <c r="M32" s="11"/>
    </row>
    <row r="33" spans="1:13" x14ac:dyDescent="0.25">
      <c r="A33" s="11"/>
      <c r="B33" s="11"/>
      <c r="C33" s="11" t="str">
        <f>_xlfn.XLOOKUP($B33,'SI - Resources'!$A$1:$F$1,'SI - Resources'!$A$2:$F$2, "")</f>
        <v/>
      </c>
      <c r="D33" s="36" t="str">
        <f>IF(_xlfn.XLOOKUP($C33,'SI - End Use'!$B$2:$B$30,'SI - End Use'!$C$2:$C$30, "")="", "", _xlfn.XLOOKUP($C33,'SI - End Use'!$B$2:$B$30,'SI - End Use'!$C$2:$C$30, ""))</f>
        <v/>
      </c>
      <c r="E33" s="25"/>
      <c r="F33" s="36" t="str" cm="1">
        <f t="array" ref="F33">IF($B33="Transportation",  'SI - Units'!$B$9:$B$9, _xlfn.XLOOKUP(_xlfn.XLOOKUP($C33,'SI - Units'!$B$12:$B$39,'SI - Units'!$C$12:$C$39, ""),'SI - Units'!$A$2:$A$8,'SI - Units'!$B$2:$B$8, ""))</f>
        <v/>
      </c>
      <c r="G33" s="59"/>
      <c r="H33" s="59"/>
      <c r="I33" s="63" t="str">
        <f>IF(Table1[[#This Row],[Type]]="Co-product", "No", "")</f>
        <v/>
      </c>
      <c r="J33" s="11"/>
      <c r="K33" s="11" t="str">
        <f>Table1[[#This Row],[Resource]]</f>
        <v/>
      </c>
      <c r="L33" s="11" t="str">
        <f>IF(_xlfn.XLOOKUP($K33,'SI - End Use'!$B$2:$B$30,'SI - End Use'!$C$2:$C$30, "")="", "", _xlfn.XLOOKUP($C33,'SI - End Use'!$B$2:$B$30,'SI - End Use'!$C$2:$C$30, ""))</f>
        <v/>
      </c>
      <c r="M33" s="11"/>
    </row>
    <row r="34" spans="1:13" x14ac:dyDescent="0.25">
      <c r="A34" s="11"/>
      <c r="B34" s="11"/>
      <c r="C34" s="11" t="str">
        <f>_xlfn.XLOOKUP($B34,'SI - Resources'!$A$1:$F$1,'SI - Resources'!$A$2:$F$2, "")</f>
        <v/>
      </c>
      <c r="D34" s="36" t="str">
        <f>IF(_xlfn.XLOOKUP($C34,'SI - End Use'!$B$2:$B$30,'SI - End Use'!$C$2:$C$30, "")="", "", _xlfn.XLOOKUP($C34,'SI - End Use'!$B$2:$B$30,'SI - End Use'!$C$2:$C$30, ""))</f>
        <v/>
      </c>
      <c r="E34" s="25"/>
      <c r="F34" s="36" t="str" cm="1">
        <f t="array" ref="F34">IF($B34="Transportation",  'SI - Units'!$B$9:$B$9, _xlfn.XLOOKUP(_xlfn.XLOOKUP($C34,'SI - Units'!$B$12:$B$39,'SI - Units'!$C$12:$C$39, ""),'SI - Units'!$A$2:$A$8,'SI - Units'!$B$2:$B$8, ""))</f>
        <v/>
      </c>
      <c r="G34" s="59"/>
      <c r="H34" s="59"/>
      <c r="I34" s="63" t="str">
        <f>IF(Table1[[#This Row],[Type]]="Co-product", "No", "")</f>
        <v/>
      </c>
      <c r="J34" s="11"/>
      <c r="K34" s="11" t="str">
        <f>Table1[[#This Row],[Resource]]</f>
        <v/>
      </c>
      <c r="L34" s="11" t="str">
        <f>IF(_xlfn.XLOOKUP($K34,'SI - End Use'!$B$2:$B$30,'SI - End Use'!$C$2:$C$30, "")="", "", _xlfn.XLOOKUP($C34,'SI - End Use'!$B$2:$B$30,'SI - End Use'!$C$2:$C$30, ""))</f>
        <v/>
      </c>
      <c r="M34" s="11"/>
    </row>
    <row r="35" spans="1:13" x14ac:dyDescent="0.25">
      <c r="A35" s="11"/>
      <c r="B35" s="11"/>
      <c r="C35" s="11" t="str">
        <f>_xlfn.XLOOKUP($B35,'SI - Resources'!$A$1:$F$1,'SI - Resources'!$A$2:$F$2, "")</f>
        <v/>
      </c>
      <c r="D35" s="36" t="str">
        <f>IF(_xlfn.XLOOKUP($C35,'SI - End Use'!$B$2:$B$30,'SI - End Use'!$C$2:$C$30, "")="", "", _xlfn.XLOOKUP($C35,'SI - End Use'!$B$2:$B$30,'SI - End Use'!$C$2:$C$30, ""))</f>
        <v/>
      </c>
      <c r="E35" s="25"/>
      <c r="F35" s="36" t="str" cm="1">
        <f t="array" ref="F35">IF($B35="Transportation",  'SI - Units'!$B$9:$B$9, _xlfn.XLOOKUP(_xlfn.XLOOKUP($C35,'SI - Units'!$B$12:$B$39,'SI - Units'!$C$12:$C$39, ""),'SI - Units'!$A$2:$A$8,'SI - Units'!$B$2:$B$8, ""))</f>
        <v/>
      </c>
      <c r="G35" s="59"/>
      <c r="H35" s="59"/>
      <c r="I35" s="63" t="str">
        <f>IF(Table1[[#This Row],[Type]]="Co-product", "No", "")</f>
        <v/>
      </c>
      <c r="J35" s="11"/>
      <c r="K35" s="11" t="str">
        <f>Table1[[#This Row],[Resource]]</f>
        <v/>
      </c>
      <c r="L35" s="11" t="str">
        <f>IF(_xlfn.XLOOKUP($K35,'SI - End Use'!$B$2:$B$30,'SI - End Use'!$C$2:$C$30, "")="", "", _xlfn.XLOOKUP($C35,'SI - End Use'!$B$2:$B$30,'SI - End Use'!$C$2:$C$30, ""))</f>
        <v/>
      </c>
      <c r="M35" s="11"/>
    </row>
    <row r="36" spans="1:13" x14ac:dyDescent="0.25">
      <c r="A36" s="11"/>
      <c r="B36" s="11"/>
      <c r="C36" s="11" t="str">
        <f>_xlfn.XLOOKUP($B36,'SI - Resources'!$A$1:$F$1,'SI - Resources'!$A$2:$F$2, "")</f>
        <v/>
      </c>
      <c r="D36" s="36" t="str">
        <f>IF(_xlfn.XLOOKUP($C36,'SI - End Use'!$B$2:$B$30,'SI - End Use'!$C$2:$C$30, "")="", "", _xlfn.XLOOKUP($C36,'SI - End Use'!$B$2:$B$30,'SI - End Use'!$C$2:$C$30, ""))</f>
        <v/>
      </c>
      <c r="E36" s="25"/>
      <c r="F36" s="36" t="str" cm="1">
        <f t="array" ref="F36">IF($B36="Transportation",  'SI - Units'!$B$9:$B$9, _xlfn.XLOOKUP(_xlfn.XLOOKUP($C36,'SI - Units'!$B$12:$B$39,'SI - Units'!$C$12:$C$39, ""),'SI - Units'!$A$2:$A$8,'SI - Units'!$B$2:$B$8, ""))</f>
        <v/>
      </c>
      <c r="G36" s="59"/>
      <c r="H36" s="59"/>
      <c r="I36" s="63" t="str">
        <f>IF(Table1[[#This Row],[Type]]="Co-product", "No", "")</f>
        <v/>
      </c>
      <c r="J36" s="11"/>
      <c r="K36" s="11" t="str">
        <f>Table1[[#This Row],[Resource]]</f>
        <v/>
      </c>
      <c r="L36" s="11" t="str">
        <f>IF(_xlfn.XLOOKUP($K36,'SI - End Use'!$B$2:$B$30,'SI - End Use'!$C$2:$C$30, "")="", "", _xlfn.XLOOKUP($C36,'SI - End Use'!$B$2:$B$30,'SI - End Use'!$C$2:$C$30, ""))</f>
        <v/>
      </c>
      <c r="M36" s="11"/>
    </row>
    <row r="37" spans="1:13" x14ac:dyDescent="0.25">
      <c r="A37" s="11"/>
      <c r="B37" s="11"/>
      <c r="C37" s="11" t="str">
        <f>_xlfn.XLOOKUP($B37,'SI - Resources'!$A$1:$F$1,'SI - Resources'!$A$2:$F$2, "")</f>
        <v/>
      </c>
      <c r="D37" s="36" t="str">
        <f>IF(_xlfn.XLOOKUP($C37,'SI - End Use'!$B$2:$B$30,'SI - End Use'!$C$2:$C$30, "")="", "", _xlfn.XLOOKUP($C37,'SI - End Use'!$B$2:$B$30,'SI - End Use'!$C$2:$C$30, ""))</f>
        <v/>
      </c>
      <c r="E37" s="25"/>
      <c r="F37" s="36" t="str" cm="1">
        <f t="array" ref="F37">IF($B37="Transportation",  'SI - Units'!$B$9:$B$9, _xlfn.XLOOKUP(_xlfn.XLOOKUP($C37,'SI - Units'!$B$12:$B$39,'SI - Units'!$C$12:$C$39, ""),'SI - Units'!$A$2:$A$8,'SI - Units'!$B$2:$B$8, ""))</f>
        <v/>
      </c>
      <c r="G37" s="59"/>
      <c r="H37" s="59"/>
      <c r="I37" s="63" t="str">
        <f>IF(Table1[[#This Row],[Type]]="Co-product", "No", "")</f>
        <v/>
      </c>
      <c r="J37" s="11"/>
      <c r="K37" s="11" t="str">
        <f>Table1[[#This Row],[Resource]]</f>
        <v/>
      </c>
      <c r="L37" s="11" t="str">
        <f>IF(_xlfn.XLOOKUP($K37,'SI - End Use'!$B$2:$B$30,'SI - End Use'!$C$2:$C$30, "")="", "", _xlfn.XLOOKUP($C37,'SI - End Use'!$B$2:$B$30,'SI - End Use'!$C$2:$C$30, ""))</f>
        <v/>
      </c>
      <c r="M37" s="11"/>
    </row>
    <row r="38" spans="1:13" x14ac:dyDescent="0.25">
      <c r="A38" s="11"/>
      <c r="B38" s="11"/>
      <c r="C38" s="11" t="str">
        <f>_xlfn.XLOOKUP($B38,'SI - Resources'!$A$1:$F$1,'SI - Resources'!$A$2:$F$2, "")</f>
        <v/>
      </c>
      <c r="D38" s="36" t="str">
        <f>IF(_xlfn.XLOOKUP($C38,'SI - End Use'!$B$2:$B$30,'SI - End Use'!$C$2:$C$30, "")="", "", _xlfn.XLOOKUP($C38,'SI - End Use'!$B$2:$B$30,'SI - End Use'!$C$2:$C$30, ""))</f>
        <v/>
      </c>
      <c r="E38" s="25"/>
      <c r="F38" s="36" t="str" cm="1">
        <f t="array" ref="F38">IF($B38="Transportation",  'SI - Units'!$B$9:$B$9, _xlfn.XLOOKUP(_xlfn.XLOOKUP($C38,'SI - Units'!$B$12:$B$39,'SI - Units'!$C$12:$C$39, ""),'SI - Units'!$A$2:$A$8,'SI - Units'!$B$2:$B$8, ""))</f>
        <v/>
      </c>
      <c r="G38" s="59"/>
      <c r="H38" s="59"/>
      <c r="I38" s="63" t="str">
        <f>IF(Table1[[#This Row],[Type]]="Co-product", "No", "")</f>
        <v/>
      </c>
      <c r="J38" s="11"/>
      <c r="K38" s="11" t="str">
        <f>Table1[[#This Row],[Resource]]</f>
        <v/>
      </c>
      <c r="L38" s="11" t="str">
        <f>IF(_xlfn.XLOOKUP($K38,'SI - End Use'!$B$2:$B$30,'SI - End Use'!$C$2:$C$30, "")="", "", _xlfn.XLOOKUP($C38,'SI - End Use'!$B$2:$B$30,'SI - End Use'!$C$2:$C$30, ""))</f>
        <v/>
      </c>
      <c r="M38" s="11"/>
    </row>
    <row r="39" spans="1:13" x14ac:dyDescent="0.25">
      <c r="A39" s="11"/>
      <c r="B39" s="11"/>
      <c r="C39" s="11" t="str">
        <f>_xlfn.XLOOKUP($B39,'SI - Resources'!$A$1:$F$1,'SI - Resources'!$A$2:$F$2, "")</f>
        <v/>
      </c>
      <c r="D39" s="36" t="str">
        <f>IF(_xlfn.XLOOKUP($C39,'SI - End Use'!$B$2:$B$30,'SI - End Use'!$C$2:$C$30, "")="", "", _xlfn.XLOOKUP($C39,'SI - End Use'!$B$2:$B$30,'SI - End Use'!$C$2:$C$30, ""))</f>
        <v/>
      </c>
      <c r="E39" s="25"/>
      <c r="F39" s="36" t="str" cm="1">
        <f t="array" ref="F39">IF($B39="Transportation",  'SI - Units'!$B$9:$B$9, _xlfn.XLOOKUP(_xlfn.XLOOKUP($C39,'SI - Units'!$B$12:$B$39,'SI - Units'!$C$12:$C$39, ""),'SI - Units'!$A$2:$A$8,'SI - Units'!$B$2:$B$8, ""))</f>
        <v/>
      </c>
      <c r="G39" s="59"/>
      <c r="H39" s="59"/>
      <c r="I39" s="63" t="str">
        <f>IF(Table1[[#This Row],[Type]]="Co-product", "No", "")</f>
        <v/>
      </c>
      <c r="J39" s="11"/>
      <c r="K39" s="11" t="str">
        <f>Table1[[#This Row],[Resource]]</f>
        <v/>
      </c>
      <c r="L39" s="11" t="str">
        <f>IF(_xlfn.XLOOKUP($K39,'SI - End Use'!$B$2:$B$30,'SI - End Use'!$C$2:$C$30, "")="", "", _xlfn.XLOOKUP($C39,'SI - End Use'!$B$2:$B$30,'SI - End Use'!$C$2:$C$30, ""))</f>
        <v/>
      </c>
      <c r="M39" s="11"/>
    </row>
    <row r="40" spans="1:13" x14ac:dyDescent="0.25">
      <c r="A40" s="11"/>
      <c r="B40" s="11"/>
      <c r="C40" s="11" t="str">
        <f>_xlfn.XLOOKUP($B40,'SI - Resources'!$A$1:$F$1,'SI - Resources'!$A$2:$F$2, "")</f>
        <v/>
      </c>
      <c r="D40" s="36" t="str">
        <f>IF(_xlfn.XLOOKUP($C40,'SI - End Use'!$B$2:$B$30,'SI - End Use'!$C$2:$C$30, "")="", "", _xlfn.XLOOKUP($C40,'SI - End Use'!$B$2:$B$30,'SI - End Use'!$C$2:$C$30, ""))</f>
        <v/>
      </c>
      <c r="E40" s="25"/>
      <c r="F40" s="36" t="str" cm="1">
        <f t="array" ref="F40">IF($B40="Transportation",  'SI - Units'!$B$9:$B$9, _xlfn.XLOOKUP(_xlfn.XLOOKUP($C40,'SI - Units'!$B$12:$B$39,'SI - Units'!$C$12:$C$39, ""),'SI - Units'!$A$2:$A$8,'SI - Units'!$B$2:$B$8, ""))</f>
        <v/>
      </c>
      <c r="G40" s="59"/>
      <c r="H40" s="59"/>
      <c r="I40" s="63" t="str">
        <f>IF(Table1[[#This Row],[Type]]="Co-product", "No", "")</f>
        <v/>
      </c>
      <c r="J40" s="11"/>
      <c r="K40" s="11" t="str">
        <f>Table1[[#This Row],[Resource]]</f>
        <v/>
      </c>
      <c r="L40" s="11" t="str">
        <f>IF(_xlfn.XLOOKUP($K40,'SI - End Use'!$B$2:$B$30,'SI - End Use'!$C$2:$C$30, "")="", "", _xlfn.XLOOKUP($C40,'SI - End Use'!$B$2:$B$30,'SI - End Use'!$C$2:$C$30, ""))</f>
        <v/>
      </c>
      <c r="M40" s="11"/>
    </row>
    <row r="41" spans="1:13" x14ac:dyDescent="0.25">
      <c r="A41" s="11"/>
      <c r="B41" s="11"/>
      <c r="C41" s="11" t="str">
        <f>_xlfn.XLOOKUP($B41,'SI - Resources'!$A$1:$F$1,'SI - Resources'!$A$2:$F$2, "")</f>
        <v/>
      </c>
      <c r="D41" s="36" t="str">
        <f>IF(_xlfn.XLOOKUP($C41,'SI - End Use'!$B$2:$B$30,'SI - End Use'!$C$2:$C$30, "")="", "", _xlfn.XLOOKUP($C41,'SI - End Use'!$B$2:$B$30,'SI - End Use'!$C$2:$C$30, ""))</f>
        <v/>
      </c>
      <c r="E41" s="25"/>
      <c r="F41" s="36" t="str" cm="1">
        <f t="array" ref="F41">IF($B41="Transportation",  'SI - Units'!$B$9:$B$9, _xlfn.XLOOKUP(_xlfn.XLOOKUP($C41,'SI - Units'!$B$12:$B$39,'SI - Units'!$C$12:$C$39, ""),'SI - Units'!$A$2:$A$8,'SI - Units'!$B$2:$B$8, ""))</f>
        <v/>
      </c>
      <c r="G41" s="59"/>
      <c r="H41" s="59"/>
      <c r="I41" s="63" t="str">
        <f>IF(Table1[[#This Row],[Type]]="Co-product", "No", "")</f>
        <v/>
      </c>
      <c r="J41" s="11"/>
      <c r="K41" s="11" t="str">
        <f>Table1[[#This Row],[Resource]]</f>
        <v/>
      </c>
      <c r="L41" s="11" t="str">
        <f>IF(_xlfn.XLOOKUP($K41,'SI - End Use'!$B$2:$B$30,'SI - End Use'!$C$2:$C$30, "")="", "", _xlfn.XLOOKUP($C41,'SI - End Use'!$B$2:$B$30,'SI - End Use'!$C$2:$C$30, ""))</f>
        <v/>
      </c>
      <c r="M41" s="11"/>
    </row>
    <row r="42" spans="1:13" x14ac:dyDescent="0.25">
      <c r="A42" s="11"/>
      <c r="B42" s="11"/>
      <c r="C42" s="11" t="str">
        <f>_xlfn.XLOOKUP($B42,'SI - Resources'!$A$1:$F$1,'SI - Resources'!$A$2:$F$2, "")</f>
        <v/>
      </c>
      <c r="D42" s="36" t="str">
        <f>IF(_xlfn.XLOOKUP($C42,'SI - End Use'!$B$2:$B$30,'SI - End Use'!$C$2:$C$30, "")="", "", _xlfn.XLOOKUP($C42,'SI - End Use'!$B$2:$B$30,'SI - End Use'!$C$2:$C$30, ""))</f>
        <v/>
      </c>
      <c r="E42" s="25"/>
      <c r="F42" s="36" t="str" cm="1">
        <f t="array" ref="F42">IF($B42="Transportation",  'SI - Units'!$B$9:$B$9, _xlfn.XLOOKUP(_xlfn.XLOOKUP($C42,'SI - Units'!$B$12:$B$39,'SI - Units'!$C$12:$C$39, ""),'SI - Units'!$A$2:$A$8,'SI - Units'!$B$2:$B$8, ""))</f>
        <v/>
      </c>
      <c r="G42" s="59"/>
      <c r="H42" s="59"/>
      <c r="I42" s="63" t="str">
        <f>IF(Table1[[#This Row],[Type]]="Co-product", "No", "")</f>
        <v/>
      </c>
      <c r="J42" s="11"/>
      <c r="K42" s="11" t="str">
        <f>Table1[[#This Row],[Resource]]</f>
        <v/>
      </c>
      <c r="L42" s="11" t="str">
        <f>IF(_xlfn.XLOOKUP($K42,'SI - End Use'!$B$2:$B$30,'SI - End Use'!$C$2:$C$30, "")="", "", _xlfn.XLOOKUP($C42,'SI - End Use'!$B$2:$B$30,'SI - End Use'!$C$2:$C$30, ""))</f>
        <v/>
      </c>
      <c r="M42" s="11"/>
    </row>
    <row r="43" spans="1:13" x14ac:dyDescent="0.25">
      <c r="A43" s="11"/>
      <c r="B43" s="11"/>
      <c r="C43" s="11" t="str">
        <f>_xlfn.XLOOKUP($B43,'SI - Resources'!$A$1:$F$1,'SI - Resources'!$A$2:$F$2, "")</f>
        <v/>
      </c>
      <c r="D43" s="36" t="str">
        <f>IF(_xlfn.XLOOKUP($C43,'SI - End Use'!$B$2:$B$30,'SI - End Use'!$C$2:$C$30, "")="", "", _xlfn.XLOOKUP($C43,'SI - End Use'!$B$2:$B$30,'SI - End Use'!$C$2:$C$30, ""))</f>
        <v/>
      </c>
      <c r="E43" s="25"/>
      <c r="F43" s="36" t="str" cm="1">
        <f t="array" ref="F43">IF($B43="Transportation",  'SI - Units'!$B$9:$B$9, _xlfn.XLOOKUP(_xlfn.XLOOKUP($C43,'SI - Units'!$B$12:$B$39,'SI - Units'!$C$12:$C$39, ""),'SI - Units'!$A$2:$A$8,'SI - Units'!$B$2:$B$8, ""))</f>
        <v/>
      </c>
      <c r="G43" s="59"/>
      <c r="H43" s="59"/>
      <c r="I43" s="63" t="str">
        <f>IF(Table1[[#This Row],[Type]]="Co-product", "No", "")</f>
        <v/>
      </c>
      <c r="J43" s="11"/>
      <c r="K43" s="11" t="str">
        <f>Table1[[#This Row],[Resource]]</f>
        <v/>
      </c>
      <c r="L43" s="11" t="str">
        <f>IF(_xlfn.XLOOKUP($K43,'SI - End Use'!$B$2:$B$30,'SI - End Use'!$C$2:$C$30, "")="", "", _xlfn.XLOOKUP($C43,'SI - End Use'!$B$2:$B$30,'SI - End Use'!$C$2:$C$30, ""))</f>
        <v/>
      </c>
      <c r="M43" s="11"/>
    </row>
    <row r="44" spans="1:13" x14ac:dyDescent="0.25">
      <c r="A44" s="11"/>
      <c r="B44" s="11"/>
      <c r="C44" s="11" t="str">
        <f>_xlfn.XLOOKUP($B44,'SI - Resources'!$A$1:$F$1,'SI - Resources'!$A$2:$F$2, "")</f>
        <v/>
      </c>
      <c r="D44" s="36" t="str">
        <f>IF(_xlfn.XLOOKUP($C44,'SI - End Use'!$B$2:$B$30,'SI - End Use'!$C$2:$C$30, "")="", "", _xlfn.XLOOKUP($C44,'SI - End Use'!$B$2:$B$30,'SI - End Use'!$C$2:$C$30, ""))</f>
        <v/>
      </c>
      <c r="E44" s="25"/>
      <c r="F44" s="36" t="str" cm="1">
        <f t="array" ref="F44">IF($B44="Transportation",  'SI - Units'!$B$9:$B$9, _xlfn.XLOOKUP(_xlfn.XLOOKUP($C44,'SI - Units'!$B$12:$B$39,'SI - Units'!$C$12:$C$39, ""),'SI - Units'!$A$2:$A$8,'SI - Units'!$B$2:$B$8, ""))</f>
        <v/>
      </c>
      <c r="G44" s="59"/>
      <c r="H44" s="59"/>
      <c r="I44" s="63" t="str">
        <f>IF(Table1[[#This Row],[Type]]="Co-product", "No", "")</f>
        <v/>
      </c>
      <c r="J44" s="11"/>
      <c r="K44" s="11" t="str">
        <f>Table1[[#This Row],[Resource]]</f>
        <v/>
      </c>
      <c r="L44" s="11" t="str">
        <f>IF(_xlfn.XLOOKUP($K44,'SI - End Use'!$B$2:$B$30,'SI - End Use'!$C$2:$C$30, "")="", "", _xlfn.XLOOKUP($C44,'SI - End Use'!$B$2:$B$30,'SI - End Use'!$C$2:$C$30, ""))</f>
        <v/>
      </c>
      <c r="M44" s="11"/>
    </row>
    <row r="45" spans="1:13" x14ac:dyDescent="0.25">
      <c r="A45" s="11"/>
      <c r="B45" s="11"/>
      <c r="C45" s="11" t="str">
        <f>_xlfn.XLOOKUP($B45,'SI - Resources'!$A$1:$F$1,'SI - Resources'!$A$2:$F$2, "")</f>
        <v/>
      </c>
      <c r="D45" s="36" t="str">
        <f>IF(_xlfn.XLOOKUP($C45,'SI - End Use'!$B$2:$B$30,'SI - End Use'!$C$2:$C$30, "")="", "", _xlfn.XLOOKUP($C45,'SI - End Use'!$B$2:$B$30,'SI - End Use'!$C$2:$C$30, ""))</f>
        <v/>
      </c>
      <c r="E45" s="25"/>
      <c r="F45" s="36" t="str" cm="1">
        <f t="array" ref="F45">IF($B45="Transportation",  'SI - Units'!$B$9:$B$9, _xlfn.XLOOKUP(_xlfn.XLOOKUP($C45,'SI - Units'!$B$12:$B$39,'SI - Units'!$C$12:$C$39, ""),'SI - Units'!$A$2:$A$8,'SI - Units'!$B$2:$B$8, ""))</f>
        <v/>
      </c>
      <c r="G45" s="59"/>
      <c r="H45" s="59"/>
      <c r="I45" s="63" t="str">
        <f>IF(Table1[[#This Row],[Type]]="Co-product", "No", "")</f>
        <v/>
      </c>
      <c r="J45" s="11"/>
      <c r="K45" s="11" t="str">
        <f>Table1[[#This Row],[Resource]]</f>
        <v/>
      </c>
      <c r="L45" s="11" t="str">
        <f>IF(_xlfn.XLOOKUP($K45,'SI - End Use'!$B$2:$B$30,'SI - End Use'!$C$2:$C$30, "")="", "", _xlfn.XLOOKUP($C45,'SI - End Use'!$B$2:$B$30,'SI - End Use'!$C$2:$C$30, ""))</f>
        <v/>
      </c>
      <c r="M45" s="11"/>
    </row>
    <row r="46" spans="1:13" x14ac:dyDescent="0.25">
      <c r="A46" s="11"/>
      <c r="B46" s="11"/>
      <c r="C46" s="11" t="str">
        <f>_xlfn.XLOOKUP($B46,'SI - Resources'!$A$1:$F$1,'SI - Resources'!$A$2:$F$2, "")</f>
        <v/>
      </c>
      <c r="D46" s="36" t="str">
        <f>IF(_xlfn.XLOOKUP($C46,'SI - End Use'!$B$2:$B$30,'SI - End Use'!$C$2:$C$30, "")="", "", _xlfn.XLOOKUP($C46,'SI - End Use'!$B$2:$B$30,'SI - End Use'!$C$2:$C$30, ""))</f>
        <v/>
      </c>
      <c r="E46" s="25"/>
      <c r="F46" s="36" t="str" cm="1">
        <f t="array" ref="F46">IF($B46="Transportation",  'SI - Units'!$B$9:$B$9, _xlfn.XLOOKUP(_xlfn.XLOOKUP($C46,'SI - Units'!$B$12:$B$39,'SI - Units'!$C$12:$C$39, ""),'SI - Units'!$A$2:$A$8,'SI - Units'!$B$2:$B$8, ""))</f>
        <v/>
      </c>
      <c r="G46" s="59"/>
      <c r="H46" s="59"/>
      <c r="I46" s="63" t="str">
        <f>IF(Table1[[#This Row],[Type]]="Co-product", "No", "")</f>
        <v/>
      </c>
      <c r="J46" s="11"/>
      <c r="K46" s="11" t="str">
        <f>Table1[[#This Row],[Resource]]</f>
        <v/>
      </c>
      <c r="L46" s="11" t="str">
        <f>IF(_xlfn.XLOOKUP($K46,'SI - End Use'!$B$2:$B$30,'SI - End Use'!$C$2:$C$30, "")="", "", _xlfn.XLOOKUP($C46,'SI - End Use'!$B$2:$B$30,'SI - End Use'!$C$2:$C$30, ""))</f>
        <v/>
      </c>
      <c r="M46" s="11"/>
    </row>
    <row r="47" spans="1:13" x14ac:dyDescent="0.25">
      <c r="A47" s="11"/>
      <c r="B47" s="11"/>
      <c r="C47" s="11" t="str">
        <f>_xlfn.XLOOKUP($B47,'SI - Resources'!$A$1:$F$1,'SI - Resources'!$A$2:$F$2, "")</f>
        <v/>
      </c>
      <c r="D47" s="36" t="str">
        <f>IF(_xlfn.XLOOKUP($C47,'SI - End Use'!$B$2:$B$30,'SI - End Use'!$C$2:$C$30, "")="", "", _xlfn.XLOOKUP($C47,'SI - End Use'!$B$2:$B$30,'SI - End Use'!$C$2:$C$30, ""))</f>
        <v/>
      </c>
      <c r="E47" s="25"/>
      <c r="F47" s="36" t="str" cm="1">
        <f t="array" ref="F47">IF($B47="Transportation",  'SI - Units'!$B$9:$B$9, _xlfn.XLOOKUP(_xlfn.XLOOKUP($C47,'SI - Units'!$B$12:$B$39,'SI - Units'!$C$12:$C$39, ""),'SI - Units'!$A$2:$A$8,'SI - Units'!$B$2:$B$8, ""))</f>
        <v/>
      </c>
      <c r="G47" s="59"/>
      <c r="H47" s="59"/>
      <c r="I47" s="63" t="str">
        <f>IF(Table1[[#This Row],[Type]]="Co-product", "No", "")</f>
        <v/>
      </c>
      <c r="J47" s="11"/>
      <c r="K47" s="11" t="str">
        <f>Table1[[#This Row],[Resource]]</f>
        <v/>
      </c>
      <c r="L47" s="11" t="str">
        <f>IF(_xlfn.XLOOKUP($K47,'SI - End Use'!$B$2:$B$30,'SI - End Use'!$C$2:$C$30, "")="", "", _xlfn.XLOOKUP($C47,'SI - End Use'!$B$2:$B$30,'SI - End Use'!$C$2:$C$30, ""))</f>
        <v/>
      </c>
      <c r="M47" s="11"/>
    </row>
    <row r="48" spans="1:13" x14ac:dyDescent="0.25">
      <c r="A48" s="11"/>
      <c r="B48" s="11"/>
      <c r="C48" s="11" t="str">
        <f>_xlfn.XLOOKUP($B48,'SI - Resources'!$A$1:$F$1,'SI - Resources'!$A$2:$F$2, "")</f>
        <v/>
      </c>
      <c r="D48" s="36" t="str">
        <f>IF(_xlfn.XLOOKUP($C48,'SI - End Use'!$B$2:$B$30,'SI - End Use'!$C$2:$C$30, "")="", "", _xlfn.XLOOKUP($C48,'SI - End Use'!$B$2:$B$30,'SI - End Use'!$C$2:$C$30, ""))</f>
        <v/>
      </c>
      <c r="E48" s="25"/>
      <c r="F48" s="36" t="str" cm="1">
        <f t="array" ref="F48">IF($B48="Transportation",  'SI - Units'!$B$9:$B$9, _xlfn.XLOOKUP(_xlfn.XLOOKUP($C48,'SI - Units'!$B$12:$B$39,'SI - Units'!$C$12:$C$39, ""),'SI - Units'!$A$2:$A$8,'SI - Units'!$B$2:$B$8, ""))</f>
        <v/>
      </c>
      <c r="G48" s="59"/>
      <c r="H48" s="59"/>
      <c r="I48" s="63" t="str">
        <f>IF(Table1[[#This Row],[Type]]="Co-product", "No", "")</f>
        <v/>
      </c>
      <c r="J48" s="11"/>
      <c r="K48" s="11" t="str">
        <f>Table1[[#This Row],[Resource]]</f>
        <v/>
      </c>
      <c r="L48" s="11" t="str">
        <f>IF(_xlfn.XLOOKUP($K48,'SI - End Use'!$B$2:$B$30,'SI - End Use'!$C$2:$C$30, "")="", "", _xlfn.XLOOKUP($C48,'SI - End Use'!$B$2:$B$30,'SI - End Use'!$C$2:$C$30, ""))</f>
        <v/>
      </c>
      <c r="M48" s="11"/>
    </row>
    <row r="49" spans="1:13" x14ac:dyDescent="0.25">
      <c r="A49" s="11"/>
      <c r="B49" s="11"/>
      <c r="C49" s="11" t="str">
        <f>_xlfn.XLOOKUP($B49,'SI - Resources'!$A$1:$F$1,'SI - Resources'!$A$2:$F$2, "")</f>
        <v/>
      </c>
      <c r="D49" s="36" t="str">
        <f>IF(_xlfn.XLOOKUP($C49,'SI - End Use'!$B$2:$B$30,'SI - End Use'!$C$2:$C$30, "")="", "", _xlfn.XLOOKUP($C49,'SI - End Use'!$B$2:$B$30,'SI - End Use'!$C$2:$C$30, ""))</f>
        <v/>
      </c>
      <c r="E49" s="25"/>
      <c r="F49" s="36" t="str" cm="1">
        <f t="array" ref="F49">IF($B49="Transportation",  'SI - Units'!$B$9:$B$9, _xlfn.XLOOKUP(_xlfn.XLOOKUP($C49,'SI - Units'!$B$12:$B$39,'SI - Units'!$C$12:$C$39, ""),'SI - Units'!$A$2:$A$8,'SI - Units'!$B$2:$B$8, ""))</f>
        <v/>
      </c>
      <c r="G49" s="59"/>
      <c r="H49" s="59"/>
      <c r="I49" s="63" t="str">
        <f>IF(Table1[[#This Row],[Type]]="Co-product", "No", "")</f>
        <v/>
      </c>
      <c r="J49" s="11"/>
      <c r="K49" s="11" t="str">
        <f>Table1[[#This Row],[Resource]]</f>
        <v/>
      </c>
      <c r="L49" s="11" t="str">
        <f>IF(_xlfn.XLOOKUP($K49,'SI - End Use'!$B$2:$B$30,'SI - End Use'!$C$2:$C$30, "")="", "", _xlfn.XLOOKUP($C49,'SI - End Use'!$B$2:$B$30,'SI - End Use'!$C$2:$C$30, ""))</f>
        <v/>
      </c>
      <c r="M49" s="11"/>
    </row>
    <row r="50" spans="1:13" x14ac:dyDescent="0.25">
      <c r="A50" s="11"/>
      <c r="B50" s="11"/>
      <c r="C50" s="11" t="str">
        <f>_xlfn.XLOOKUP($B50,'SI - Resources'!$A$1:$F$1,'SI - Resources'!$A$2:$F$2, "")</f>
        <v/>
      </c>
      <c r="D50" s="36" t="str">
        <f>IF(_xlfn.XLOOKUP($C50,'SI - End Use'!$B$2:$B$30,'SI - End Use'!$C$2:$C$30, "")="", "", _xlfn.XLOOKUP($C50,'SI - End Use'!$B$2:$B$30,'SI - End Use'!$C$2:$C$30, ""))</f>
        <v/>
      </c>
      <c r="E50" s="25"/>
      <c r="F50" s="36" t="str" cm="1">
        <f t="array" ref="F50">IF($B50="Transportation",  'SI - Units'!$B$9:$B$9, _xlfn.XLOOKUP(_xlfn.XLOOKUP($C50,'SI - Units'!$B$12:$B$39,'SI - Units'!$C$12:$C$39, ""),'SI - Units'!$A$2:$A$8,'SI - Units'!$B$2:$B$8, ""))</f>
        <v/>
      </c>
      <c r="G50" s="59"/>
      <c r="H50" s="59"/>
      <c r="I50" s="63" t="str">
        <f>IF(Table1[[#This Row],[Type]]="Co-product", "No", "")</f>
        <v/>
      </c>
      <c r="J50" s="11"/>
      <c r="K50" s="11" t="str">
        <f>Table1[[#This Row],[Resource]]</f>
        <v/>
      </c>
      <c r="L50" s="11" t="str">
        <f>IF(_xlfn.XLOOKUP($K50,'SI - End Use'!$B$2:$B$30,'SI - End Use'!$C$2:$C$30, "")="", "", _xlfn.XLOOKUP($C50,'SI - End Use'!$B$2:$B$30,'SI - End Use'!$C$2:$C$30, ""))</f>
        <v/>
      </c>
      <c r="M50" s="11"/>
    </row>
    <row r="51" spans="1:13" x14ac:dyDescent="0.25">
      <c r="A51" s="11"/>
      <c r="B51" s="11"/>
      <c r="C51" s="11" t="str">
        <f>_xlfn.XLOOKUP($B51,'SI - Resources'!$A$1:$F$1,'SI - Resources'!$A$2:$F$2, "")</f>
        <v/>
      </c>
      <c r="D51" s="36" t="str">
        <f>IF(_xlfn.XLOOKUP($C51,'SI - End Use'!$B$2:$B$30,'SI - End Use'!$C$2:$C$30, "")="", "", _xlfn.XLOOKUP($C51,'SI - End Use'!$B$2:$B$30,'SI - End Use'!$C$2:$C$30, ""))</f>
        <v/>
      </c>
      <c r="E51" s="25"/>
      <c r="F51" s="36" t="str" cm="1">
        <f t="array" ref="F51">IF($B51="Transportation",  'SI - Units'!$B$9:$B$9, _xlfn.XLOOKUP(_xlfn.XLOOKUP($C51,'SI - Units'!$B$12:$B$39,'SI - Units'!$C$12:$C$39, ""),'SI - Units'!$A$2:$A$8,'SI - Units'!$B$2:$B$8, ""))</f>
        <v/>
      </c>
      <c r="G51" s="59"/>
      <c r="H51" s="59"/>
      <c r="I51" s="63" t="str">
        <f>IF(Table1[[#This Row],[Type]]="Co-product", "No", "")</f>
        <v/>
      </c>
      <c r="J51" s="11"/>
      <c r="K51" s="11" t="str">
        <f>Table1[[#This Row],[Resource]]</f>
        <v/>
      </c>
      <c r="L51" s="11" t="str">
        <f>IF(_xlfn.XLOOKUP($K51,'SI - End Use'!$B$2:$B$30,'SI - End Use'!$C$2:$C$30, "")="", "", _xlfn.XLOOKUP($C51,'SI - End Use'!$B$2:$B$30,'SI - End Use'!$C$2:$C$30, ""))</f>
        <v/>
      </c>
      <c r="M51" s="11"/>
    </row>
    <row r="52" spans="1:13" x14ac:dyDescent="0.25">
      <c r="A52" s="11"/>
      <c r="B52" s="11"/>
      <c r="C52" s="11" t="str">
        <f>_xlfn.XLOOKUP($B52,'SI - Resources'!$A$1:$F$1,'SI - Resources'!$A$2:$F$2, "")</f>
        <v/>
      </c>
      <c r="D52" s="36" t="str">
        <f>IF(_xlfn.XLOOKUP($C52,'SI - End Use'!$B$2:$B$30,'SI - End Use'!$C$2:$C$30, "")="", "", _xlfn.XLOOKUP($C52,'SI - End Use'!$B$2:$B$30,'SI - End Use'!$C$2:$C$30, ""))</f>
        <v/>
      </c>
      <c r="E52" s="25"/>
      <c r="F52" s="36" t="str" cm="1">
        <f t="array" ref="F52">IF($B52="Transportation",  'SI - Units'!$B$9:$B$9, _xlfn.XLOOKUP(_xlfn.XLOOKUP($C52,'SI - Units'!$B$12:$B$39,'SI - Units'!$C$12:$C$39, ""),'SI - Units'!$A$2:$A$8,'SI - Units'!$B$2:$B$8, ""))</f>
        <v/>
      </c>
      <c r="G52" s="59"/>
      <c r="H52" s="59"/>
      <c r="I52" s="63" t="str">
        <f>IF(Table1[[#This Row],[Type]]="Co-product", "No", "")</f>
        <v/>
      </c>
      <c r="J52" s="11"/>
      <c r="K52" s="11" t="str">
        <f>Table1[[#This Row],[Resource]]</f>
        <v/>
      </c>
      <c r="L52" s="11" t="str">
        <f>IF(_xlfn.XLOOKUP($K52,'SI - End Use'!$B$2:$B$30,'SI - End Use'!$C$2:$C$30, "")="", "", _xlfn.XLOOKUP($C52,'SI - End Use'!$B$2:$B$30,'SI - End Use'!$C$2:$C$30, ""))</f>
        <v/>
      </c>
      <c r="M52" s="11"/>
    </row>
    <row r="53" spans="1:13" x14ac:dyDescent="0.25">
      <c r="A53" s="11"/>
      <c r="B53" s="11"/>
      <c r="C53" s="11" t="str">
        <f>_xlfn.XLOOKUP($B53,'SI - Resources'!$A$1:$F$1,'SI - Resources'!$A$2:$F$2, "")</f>
        <v/>
      </c>
      <c r="D53" s="36" t="str">
        <f>IF(_xlfn.XLOOKUP($C53,'SI - End Use'!$B$2:$B$30,'SI - End Use'!$C$2:$C$30, "")="", "", _xlfn.XLOOKUP($C53,'SI - End Use'!$B$2:$B$30,'SI - End Use'!$C$2:$C$30, ""))</f>
        <v/>
      </c>
      <c r="E53" s="25"/>
      <c r="F53" s="36" t="str" cm="1">
        <f t="array" ref="F53">IF($B53="Transportation",  'SI - Units'!$B$9:$B$9, _xlfn.XLOOKUP(_xlfn.XLOOKUP($C53,'SI - Units'!$B$12:$B$39,'SI - Units'!$C$12:$C$39, ""),'SI - Units'!$A$2:$A$8,'SI - Units'!$B$2:$B$8, ""))</f>
        <v/>
      </c>
      <c r="G53" s="59"/>
      <c r="H53" s="59"/>
      <c r="I53" s="63" t="str">
        <f>IF(Table1[[#This Row],[Type]]="Co-product", "No", "")</f>
        <v/>
      </c>
      <c r="J53" s="11"/>
      <c r="K53" s="11" t="str">
        <f>Table1[[#This Row],[Resource]]</f>
        <v/>
      </c>
      <c r="L53" s="11" t="str">
        <f>IF(_xlfn.XLOOKUP($K53,'SI - End Use'!$B$2:$B$30,'SI - End Use'!$C$2:$C$30, "")="", "", _xlfn.XLOOKUP($C53,'SI - End Use'!$B$2:$B$30,'SI - End Use'!$C$2:$C$30, ""))</f>
        <v/>
      </c>
      <c r="M53" s="11"/>
    </row>
    <row r="54" spans="1:13" x14ac:dyDescent="0.25">
      <c r="A54" s="11"/>
      <c r="B54" s="11"/>
      <c r="C54" s="11" t="str">
        <f>_xlfn.XLOOKUP($B54,'SI - Resources'!$A$1:$F$1,'SI - Resources'!$A$2:$F$2, "")</f>
        <v/>
      </c>
      <c r="D54" s="36" t="str">
        <f>IF(_xlfn.XLOOKUP($C54,'SI - End Use'!$B$2:$B$30,'SI - End Use'!$C$2:$C$30, "")="", "", _xlfn.XLOOKUP($C54,'SI - End Use'!$B$2:$B$30,'SI - End Use'!$C$2:$C$30, ""))</f>
        <v/>
      </c>
      <c r="E54" s="25"/>
      <c r="F54" s="36" t="str" cm="1">
        <f t="array" ref="F54">IF($B54="Transportation",  'SI - Units'!$B$9:$B$9, _xlfn.XLOOKUP(_xlfn.XLOOKUP($C54,'SI - Units'!$B$12:$B$39,'SI - Units'!$C$12:$C$39, ""),'SI - Units'!$A$2:$A$8,'SI - Units'!$B$2:$B$8, ""))</f>
        <v/>
      </c>
      <c r="G54" s="59"/>
      <c r="H54" s="59"/>
      <c r="I54" s="63" t="str">
        <f>IF(Table1[[#This Row],[Type]]="Co-product", "No", "")</f>
        <v/>
      </c>
      <c r="J54" s="11"/>
      <c r="K54" s="11" t="str">
        <f>Table1[[#This Row],[Resource]]</f>
        <v/>
      </c>
      <c r="L54" s="11" t="str">
        <f>IF(_xlfn.XLOOKUP($K54,'SI - End Use'!$B$2:$B$30,'SI - End Use'!$C$2:$C$30, "")="", "", _xlfn.XLOOKUP($C54,'SI - End Use'!$B$2:$B$30,'SI - End Use'!$C$2:$C$30, ""))</f>
        <v/>
      </c>
      <c r="M54" s="11"/>
    </row>
    <row r="55" spans="1:13" x14ac:dyDescent="0.25">
      <c r="A55" s="11"/>
      <c r="B55" s="11"/>
      <c r="C55" s="11" t="str">
        <f>_xlfn.XLOOKUP($B55,'SI - Resources'!$A$1:$F$1,'SI - Resources'!$A$2:$F$2, "")</f>
        <v/>
      </c>
      <c r="D55" s="36" t="str">
        <f>IF(_xlfn.XLOOKUP($C55,'SI - End Use'!$B$2:$B$30,'SI - End Use'!$C$2:$C$30, "")="", "", _xlfn.XLOOKUP($C55,'SI - End Use'!$B$2:$B$30,'SI - End Use'!$C$2:$C$30, ""))</f>
        <v/>
      </c>
      <c r="E55" s="25"/>
      <c r="F55" s="36" t="str" cm="1">
        <f t="array" ref="F55">IF($B55="Transportation",  'SI - Units'!$B$9:$B$9, _xlfn.XLOOKUP(_xlfn.XLOOKUP($C55,'SI - Units'!$B$12:$B$39,'SI - Units'!$C$12:$C$39, ""),'SI - Units'!$A$2:$A$8,'SI - Units'!$B$2:$B$8, ""))</f>
        <v/>
      </c>
      <c r="G55" s="59"/>
      <c r="H55" s="59"/>
      <c r="I55" s="63" t="str">
        <f>IF(Table1[[#This Row],[Type]]="Co-product", "No", "")</f>
        <v/>
      </c>
      <c r="J55" s="11"/>
      <c r="K55" s="11" t="str">
        <f>Table1[[#This Row],[Resource]]</f>
        <v/>
      </c>
      <c r="L55" s="11" t="str">
        <f>IF(_xlfn.XLOOKUP($K55,'SI - End Use'!$B$2:$B$30,'SI - End Use'!$C$2:$C$30, "")="", "", _xlfn.XLOOKUP($C55,'SI - End Use'!$B$2:$B$30,'SI - End Use'!$C$2:$C$30, ""))</f>
        <v/>
      </c>
      <c r="M55" s="11"/>
    </row>
    <row r="56" spans="1:13" x14ac:dyDescent="0.25">
      <c r="A56" s="11"/>
      <c r="B56" s="11"/>
      <c r="C56" s="11" t="str">
        <f>_xlfn.XLOOKUP($B56,'SI - Resources'!$A$1:$F$1,'SI - Resources'!$A$2:$F$2, "")</f>
        <v/>
      </c>
      <c r="D56" s="36" t="str">
        <f>IF(_xlfn.XLOOKUP($C56,'SI - End Use'!$B$2:$B$30,'SI - End Use'!$C$2:$C$30, "")="", "", _xlfn.XLOOKUP($C56,'SI - End Use'!$B$2:$B$30,'SI - End Use'!$C$2:$C$30, ""))</f>
        <v/>
      </c>
      <c r="E56" s="25"/>
      <c r="F56" s="36" t="str" cm="1">
        <f t="array" ref="F56">IF($B56="Transportation",  'SI - Units'!$B$9:$B$9, _xlfn.XLOOKUP(_xlfn.XLOOKUP($C56,'SI - Units'!$B$12:$B$39,'SI - Units'!$C$12:$C$39, ""),'SI - Units'!$A$2:$A$8,'SI - Units'!$B$2:$B$8, ""))</f>
        <v/>
      </c>
      <c r="G56" s="59"/>
      <c r="H56" s="59"/>
      <c r="I56" s="63" t="str">
        <f>IF(Table1[[#This Row],[Type]]="Co-product", "No", "")</f>
        <v/>
      </c>
      <c r="J56" s="11"/>
      <c r="K56" s="11" t="str">
        <f>Table1[[#This Row],[Resource]]</f>
        <v/>
      </c>
      <c r="L56" s="11" t="str">
        <f>IF(_xlfn.XLOOKUP($K56,'SI - End Use'!$B$2:$B$30,'SI - End Use'!$C$2:$C$30, "")="", "", _xlfn.XLOOKUP($C56,'SI - End Use'!$B$2:$B$30,'SI - End Use'!$C$2:$C$30, ""))</f>
        <v/>
      </c>
      <c r="M56" s="11"/>
    </row>
    <row r="57" spans="1:13" x14ac:dyDescent="0.25">
      <c r="A57" s="11"/>
      <c r="B57" s="11"/>
      <c r="C57" s="11" t="str">
        <f>_xlfn.XLOOKUP($B57,'SI - Resources'!$A$1:$F$1,'SI - Resources'!$A$2:$F$2, "")</f>
        <v/>
      </c>
      <c r="D57" s="36" t="str">
        <f>IF(_xlfn.XLOOKUP($C57,'SI - End Use'!$B$2:$B$30,'SI - End Use'!$C$2:$C$30, "")="", "", _xlfn.XLOOKUP($C57,'SI - End Use'!$B$2:$B$30,'SI - End Use'!$C$2:$C$30, ""))</f>
        <v/>
      </c>
      <c r="E57" s="25"/>
      <c r="F57" s="36" t="str" cm="1">
        <f t="array" ref="F57">IF($B57="Transportation",  'SI - Units'!$B$9:$B$9, _xlfn.XLOOKUP(_xlfn.XLOOKUP($C57,'SI - Units'!$B$12:$B$39,'SI - Units'!$C$12:$C$39, ""),'SI - Units'!$A$2:$A$8,'SI - Units'!$B$2:$B$8, ""))</f>
        <v/>
      </c>
      <c r="G57" s="59"/>
      <c r="H57" s="59"/>
      <c r="I57" s="63" t="str">
        <f>IF(Table1[[#This Row],[Type]]="Co-product", "No", "")</f>
        <v/>
      </c>
      <c r="J57" s="11"/>
      <c r="K57" s="11" t="str">
        <f>Table1[[#This Row],[Resource]]</f>
        <v/>
      </c>
      <c r="L57" s="11" t="str">
        <f>IF(_xlfn.XLOOKUP($K57,'SI - End Use'!$B$2:$B$30,'SI - End Use'!$C$2:$C$30, "")="", "", _xlfn.XLOOKUP($C57,'SI - End Use'!$B$2:$B$30,'SI - End Use'!$C$2:$C$30, ""))</f>
        <v/>
      </c>
      <c r="M57" s="11"/>
    </row>
    <row r="58" spans="1:13" x14ac:dyDescent="0.25">
      <c r="A58" s="11"/>
      <c r="B58" s="11"/>
      <c r="C58" s="11" t="str">
        <f>_xlfn.XLOOKUP($B58,'SI - Resources'!$A$1:$F$1,'SI - Resources'!$A$2:$F$2, "")</f>
        <v/>
      </c>
      <c r="D58" s="36" t="str">
        <f>IF(_xlfn.XLOOKUP($C58,'SI - End Use'!$B$2:$B$30,'SI - End Use'!$C$2:$C$30, "")="", "", _xlfn.XLOOKUP($C58,'SI - End Use'!$B$2:$B$30,'SI - End Use'!$C$2:$C$30, ""))</f>
        <v/>
      </c>
      <c r="E58" s="25"/>
      <c r="F58" s="36" t="str" cm="1">
        <f t="array" ref="F58">IF($B58="Transportation",  'SI - Units'!$B$9:$B$9, _xlfn.XLOOKUP(_xlfn.XLOOKUP($C58,'SI - Units'!$B$12:$B$39,'SI - Units'!$C$12:$C$39, ""),'SI - Units'!$A$2:$A$8,'SI - Units'!$B$2:$B$8, ""))</f>
        <v/>
      </c>
      <c r="G58" s="59"/>
      <c r="H58" s="59"/>
      <c r="I58" s="63" t="str">
        <f>IF(Table1[[#This Row],[Type]]="Co-product", "No", "")</f>
        <v/>
      </c>
      <c r="J58" s="11"/>
      <c r="K58" s="11" t="str">
        <f>Table1[[#This Row],[Resource]]</f>
        <v/>
      </c>
      <c r="L58" s="11" t="str">
        <f>IF(_xlfn.XLOOKUP($K58,'SI - End Use'!$B$2:$B$30,'SI - End Use'!$C$2:$C$30, "")="", "", _xlfn.XLOOKUP($C58,'SI - End Use'!$B$2:$B$30,'SI - End Use'!$C$2:$C$30, ""))</f>
        <v/>
      </c>
      <c r="M58" s="11"/>
    </row>
    <row r="59" spans="1:13" x14ac:dyDescent="0.25">
      <c r="A59" s="11"/>
      <c r="B59" s="11"/>
      <c r="C59" s="11" t="str">
        <f>_xlfn.XLOOKUP($B59,'SI - Resources'!$A$1:$F$1,'SI - Resources'!$A$2:$F$2, "")</f>
        <v/>
      </c>
      <c r="D59" s="36" t="str">
        <f>IF(_xlfn.XLOOKUP($C59,'SI - End Use'!$B$2:$B$30,'SI - End Use'!$C$2:$C$30, "")="", "", _xlfn.XLOOKUP($C59,'SI - End Use'!$B$2:$B$30,'SI - End Use'!$C$2:$C$30, ""))</f>
        <v/>
      </c>
      <c r="E59" s="25"/>
      <c r="F59" s="36" t="str" cm="1">
        <f t="array" ref="F59">IF($B59="Transportation",  'SI - Units'!$B$9:$B$9, _xlfn.XLOOKUP(_xlfn.XLOOKUP($C59,'SI - Units'!$B$12:$B$39,'SI - Units'!$C$12:$C$39, ""),'SI - Units'!$A$2:$A$8,'SI - Units'!$B$2:$B$8, ""))</f>
        <v/>
      </c>
      <c r="G59" s="59"/>
      <c r="H59" s="59"/>
      <c r="I59" s="63" t="str">
        <f>IF(Table1[[#This Row],[Type]]="Co-product", "No", "")</f>
        <v/>
      </c>
      <c r="J59" s="11"/>
      <c r="K59" s="11" t="str">
        <f>Table1[[#This Row],[Resource]]</f>
        <v/>
      </c>
      <c r="L59" s="11" t="str">
        <f>IF(_xlfn.XLOOKUP($K59,'SI - End Use'!$B$2:$B$30,'SI - End Use'!$C$2:$C$30, "")="", "", _xlfn.XLOOKUP($C59,'SI - End Use'!$B$2:$B$30,'SI - End Use'!$C$2:$C$30, ""))</f>
        <v/>
      </c>
      <c r="M59" s="11"/>
    </row>
    <row r="60" spans="1:13" x14ac:dyDescent="0.25">
      <c r="A60" s="11"/>
      <c r="B60" s="11"/>
      <c r="C60" s="11" t="str">
        <f>_xlfn.XLOOKUP($B60,'SI - Resources'!$A$1:$F$1,'SI - Resources'!$A$2:$F$2, "")</f>
        <v/>
      </c>
      <c r="D60" s="36" t="str">
        <f>IF(_xlfn.XLOOKUP($C60,'SI - End Use'!$B$2:$B$30,'SI - End Use'!$C$2:$C$30, "")="", "", _xlfn.XLOOKUP($C60,'SI - End Use'!$B$2:$B$30,'SI - End Use'!$C$2:$C$30, ""))</f>
        <v/>
      </c>
      <c r="E60" s="25"/>
      <c r="F60" s="36" t="str" cm="1">
        <f t="array" ref="F60">IF($B60="Transportation",  'SI - Units'!$B$9:$B$9, _xlfn.XLOOKUP(_xlfn.XLOOKUP($C60,'SI - Units'!$B$12:$B$39,'SI - Units'!$C$12:$C$39, ""),'SI - Units'!$A$2:$A$8,'SI - Units'!$B$2:$B$8, ""))</f>
        <v/>
      </c>
      <c r="G60" s="59"/>
      <c r="H60" s="59"/>
      <c r="I60" s="63" t="str">
        <f>IF(Table1[[#This Row],[Type]]="Co-product", "No", "")</f>
        <v/>
      </c>
      <c r="J60" s="11"/>
      <c r="K60" s="11" t="str">
        <f>Table1[[#This Row],[Resource]]</f>
        <v/>
      </c>
      <c r="L60" s="11" t="str">
        <f>IF(_xlfn.XLOOKUP($K60,'SI - End Use'!$B$2:$B$30,'SI - End Use'!$C$2:$C$30, "")="", "", _xlfn.XLOOKUP($C60,'SI - End Use'!$B$2:$B$30,'SI - End Use'!$C$2:$C$30, ""))</f>
        <v/>
      </c>
      <c r="M60" s="11"/>
    </row>
    <row r="61" spans="1:13" x14ac:dyDescent="0.25">
      <c r="A61" s="11"/>
      <c r="B61" s="11"/>
      <c r="C61" s="11" t="str">
        <f>_xlfn.XLOOKUP($B61,'SI - Resources'!$A$1:$F$1,'SI - Resources'!$A$2:$F$2, "")</f>
        <v/>
      </c>
      <c r="D61" s="36" t="str">
        <f>IF(_xlfn.XLOOKUP($C61,'SI - End Use'!$B$2:$B$30,'SI - End Use'!$C$2:$C$30, "")="", "", _xlfn.XLOOKUP($C61,'SI - End Use'!$B$2:$B$30,'SI - End Use'!$C$2:$C$30, ""))</f>
        <v/>
      </c>
      <c r="E61" s="25"/>
      <c r="F61" s="36" t="str" cm="1">
        <f t="array" ref="F61">IF($B61="Transportation",  'SI - Units'!$B$9:$B$9, _xlfn.XLOOKUP(_xlfn.XLOOKUP($C61,'SI - Units'!$B$12:$B$39,'SI - Units'!$C$12:$C$39, ""),'SI - Units'!$A$2:$A$8,'SI - Units'!$B$2:$B$8, ""))</f>
        <v/>
      </c>
      <c r="G61" s="59"/>
      <c r="H61" s="59"/>
      <c r="I61" s="63" t="str">
        <f>IF(Table1[[#This Row],[Type]]="Co-product", "No", "")</f>
        <v/>
      </c>
      <c r="J61" s="11"/>
      <c r="K61" s="11" t="str">
        <f>Table1[[#This Row],[Resource]]</f>
        <v/>
      </c>
      <c r="L61" s="11" t="str">
        <f>IF(_xlfn.XLOOKUP($K61,'SI - End Use'!$B$2:$B$30,'SI - End Use'!$C$2:$C$30, "")="", "", _xlfn.XLOOKUP($C61,'SI - End Use'!$B$2:$B$30,'SI - End Use'!$C$2:$C$30, ""))</f>
        <v/>
      </c>
      <c r="M61" s="11"/>
    </row>
    <row r="62" spans="1:13" x14ac:dyDescent="0.25">
      <c r="A62" s="11"/>
      <c r="B62" s="11"/>
      <c r="C62" s="11" t="str">
        <f>_xlfn.XLOOKUP($B62,'SI - Resources'!$A$1:$F$1,'SI - Resources'!$A$2:$F$2, "")</f>
        <v/>
      </c>
      <c r="D62" s="36" t="str">
        <f>IF(_xlfn.XLOOKUP($C62,'SI - End Use'!$B$2:$B$30,'SI - End Use'!$C$2:$C$30, "")="", "", _xlfn.XLOOKUP($C62,'SI - End Use'!$B$2:$B$30,'SI - End Use'!$C$2:$C$30, ""))</f>
        <v/>
      </c>
      <c r="E62" s="25"/>
      <c r="F62" s="36" t="str" cm="1">
        <f t="array" ref="F62">IF($B62="Transportation",  'SI - Units'!$B$9:$B$9, _xlfn.XLOOKUP(_xlfn.XLOOKUP($C62,'SI - Units'!$B$12:$B$39,'SI - Units'!$C$12:$C$39, ""),'SI - Units'!$A$2:$A$8,'SI - Units'!$B$2:$B$8, ""))</f>
        <v/>
      </c>
      <c r="G62" s="59"/>
      <c r="H62" s="59"/>
      <c r="I62" s="63" t="str">
        <f>IF(Table1[[#This Row],[Type]]="Co-product", "No", "")</f>
        <v/>
      </c>
      <c r="J62" s="11"/>
      <c r="K62" s="11" t="str">
        <f>Table1[[#This Row],[Resource]]</f>
        <v/>
      </c>
      <c r="L62" s="11" t="str">
        <f>IF(_xlfn.XLOOKUP($K62,'SI - End Use'!$B$2:$B$30,'SI - End Use'!$C$2:$C$30, "")="", "", _xlfn.XLOOKUP($C62,'SI - End Use'!$B$2:$B$30,'SI - End Use'!$C$2:$C$30, ""))</f>
        <v/>
      </c>
      <c r="M62" s="11"/>
    </row>
    <row r="63" spans="1:13" x14ac:dyDescent="0.25">
      <c r="A63" s="11"/>
      <c r="B63" s="11"/>
      <c r="C63" s="11" t="str">
        <f>_xlfn.XLOOKUP($B63,'SI - Resources'!$A$1:$F$1,'SI - Resources'!$A$2:$F$2, "")</f>
        <v/>
      </c>
      <c r="D63" s="36" t="str">
        <f>IF(_xlfn.XLOOKUP($C63,'SI - End Use'!$B$2:$B$30,'SI - End Use'!$C$2:$C$30, "")="", "", _xlfn.XLOOKUP($C63,'SI - End Use'!$B$2:$B$30,'SI - End Use'!$C$2:$C$30, ""))</f>
        <v/>
      </c>
      <c r="E63" s="25"/>
      <c r="F63" s="36" t="str" cm="1">
        <f t="array" ref="F63">IF($B63="Transportation",  'SI - Units'!$B$9:$B$9, _xlfn.XLOOKUP(_xlfn.XLOOKUP($C63,'SI - Units'!$B$12:$B$39,'SI - Units'!$C$12:$C$39, ""),'SI - Units'!$A$2:$A$8,'SI - Units'!$B$2:$B$8, ""))</f>
        <v/>
      </c>
      <c r="G63" s="59"/>
      <c r="H63" s="59"/>
      <c r="I63" s="63" t="str">
        <f>IF(Table1[[#This Row],[Type]]="Co-product", "No", "")</f>
        <v/>
      </c>
      <c r="J63" s="11"/>
      <c r="K63" s="11" t="str">
        <f>Table1[[#This Row],[Resource]]</f>
        <v/>
      </c>
      <c r="L63" s="11" t="str">
        <f>IF(_xlfn.XLOOKUP($K63,'SI - End Use'!$B$2:$B$30,'SI - End Use'!$C$2:$C$30, "")="", "", _xlfn.XLOOKUP($C63,'SI - End Use'!$B$2:$B$30,'SI - End Use'!$C$2:$C$30, ""))</f>
        <v/>
      </c>
      <c r="M63" s="11"/>
    </row>
    <row r="64" spans="1:13" x14ac:dyDescent="0.25">
      <c r="A64" s="11"/>
      <c r="B64" s="11"/>
      <c r="C64" s="11" t="str">
        <f>_xlfn.XLOOKUP($B64,'SI - Resources'!$A$1:$F$1,'SI - Resources'!$A$2:$F$2, "")</f>
        <v/>
      </c>
      <c r="D64" s="36" t="str">
        <f>IF(_xlfn.XLOOKUP($C64,'SI - End Use'!$B$2:$B$30,'SI - End Use'!$C$2:$C$30, "")="", "", _xlfn.XLOOKUP($C64,'SI - End Use'!$B$2:$B$30,'SI - End Use'!$C$2:$C$30, ""))</f>
        <v/>
      </c>
      <c r="E64" s="25"/>
      <c r="F64" s="36" t="str" cm="1">
        <f t="array" ref="F64">IF($B64="Transportation",  'SI - Units'!$B$9:$B$9, _xlfn.XLOOKUP(_xlfn.XLOOKUP($C64,'SI - Units'!$B$12:$B$39,'SI - Units'!$C$12:$C$39, ""),'SI - Units'!$A$2:$A$8,'SI - Units'!$B$2:$B$8, ""))</f>
        <v/>
      </c>
      <c r="G64" s="59"/>
      <c r="H64" s="59"/>
      <c r="I64" s="63" t="str">
        <f>IF(Table1[[#This Row],[Type]]="Co-product", "No", "")</f>
        <v/>
      </c>
      <c r="J64" s="11"/>
      <c r="K64" s="11" t="str">
        <f>Table1[[#This Row],[Resource]]</f>
        <v/>
      </c>
      <c r="L64" s="11" t="str">
        <f>IF(_xlfn.XLOOKUP($K64,'SI - End Use'!$B$2:$B$30,'SI - End Use'!$C$2:$C$30, "")="", "", _xlfn.XLOOKUP($C64,'SI - End Use'!$B$2:$B$30,'SI - End Use'!$C$2:$C$30, ""))</f>
        <v/>
      </c>
      <c r="M64" s="11"/>
    </row>
    <row r="65" spans="1:13" x14ac:dyDescent="0.25">
      <c r="A65" s="11"/>
      <c r="B65" s="11"/>
      <c r="C65" s="11" t="str">
        <f>_xlfn.XLOOKUP($B65,'SI - Resources'!$A$1:$F$1,'SI - Resources'!$A$2:$F$2, "")</f>
        <v/>
      </c>
      <c r="D65" s="36" t="str">
        <f>IF(_xlfn.XLOOKUP($C65,'SI - End Use'!$B$2:$B$30,'SI - End Use'!$C$2:$C$30, "")="", "", _xlfn.XLOOKUP($C65,'SI - End Use'!$B$2:$B$30,'SI - End Use'!$C$2:$C$30, ""))</f>
        <v/>
      </c>
      <c r="E65" s="25"/>
      <c r="F65" s="36" t="str" cm="1">
        <f t="array" ref="F65">IF($B65="Transportation",  'SI - Units'!$B$9:$B$9, _xlfn.XLOOKUP(_xlfn.XLOOKUP($C65,'SI - Units'!$B$12:$B$39,'SI - Units'!$C$12:$C$39, ""),'SI - Units'!$A$2:$A$8,'SI - Units'!$B$2:$B$8, ""))</f>
        <v/>
      </c>
      <c r="G65" s="59"/>
      <c r="H65" s="59"/>
      <c r="I65" s="63" t="str">
        <f>IF(Table1[[#This Row],[Type]]="Co-product", "No", "")</f>
        <v/>
      </c>
      <c r="J65" s="11"/>
      <c r="K65" s="11" t="str">
        <f>Table1[[#This Row],[Resource]]</f>
        <v/>
      </c>
      <c r="L65" s="11" t="str">
        <f>IF(_xlfn.XLOOKUP($K65,'SI - End Use'!$B$2:$B$30,'SI - End Use'!$C$2:$C$30, "")="", "", _xlfn.XLOOKUP($C65,'SI - End Use'!$B$2:$B$30,'SI - End Use'!$C$2:$C$30, ""))</f>
        <v/>
      </c>
      <c r="M65" s="11"/>
    </row>
    <row r="66" spans="1:13" x14ac:dyDescent="0.25">
      <c r="A66" s="11"/>
      <c r="B66" s="11"/>
      <c r="C66" s="11" t="str">
        <f>_xlfn.XLOOKUP($B66,'SI - Resources'!$A$1:$F$1,'SI - Resources'!$A$2:$F$2, "")</f>
        <v/>
      </c>
      <c r="D66" s="36" t="str">
        <f>IF(_xlfn.XLOOKUP($C66,'SI - End Use'!$B$2:$B$30,'SI - End Use'!$C$2:$C$30, "")="", "", _xlfn.XLOOKUP($C66,'SI - End Use'!$B$2:$B$30,'SI - End Use'!$C$2:$C$30, ""))</f>
        <v/>
      </c>
      <c r="E66" s="25"/>
      <c r="F66" s="36" t="str" cm="1">
        <f t="array" ref="F66">IF($B66="Transportation",  'SI - Units'!$B$9:$B$9, _xlfn.XLOOKUP(_xlfn.XLOOKUP($C66,'SI - Units'!$B$12:$B$39,'SI - Units'!$C$12:$C$39, ""),'SI - Units'!$A$2:$A$8,'SI - Units'!$B$2:$B$8, ""))</f>
        <v/>
      </c>
      <c r="G66" s="59"/>
      <c r="H66" s="59"/>
      <c r="I66" s="63" t="str">
        <f>IF(Table1[[#This Row],[Type]]="Co-product", "No", "")</f>
        <v/>
      </c>
      <c r="J66" s="11"/>
      <c r="K66" s="11" t="str">
        <f>Table1[[#This Row],[Resource]]</f>
        <v/>
      </c>
      <c r="L66" s="11" t="str">
        <f>IF(_xlfn.XLOOKUP($K66,'SI - End Use'!$B$2:$B$30,'SI - End Use'!$C$2:$C$30, "")="", "", _xlfn.XLOOKUP($C66,'SI - End Use'!$B$2:$B$30,'SI - End Use'!$C$2:$C$30, ""))</f>
        <v/>
      </c>
      <c r="M66" s="11"/>
    </row>
    <row r="67" spans="1:13" x14ac:dyDescent="0.25">
      <c r="A67" s="11"/>
      <c r="B67" s="11"/>
      <c r="C67" s="11" t="str">
        <f>_xlfn.XLOOKUP($B67,'SI - Resources'!$A$1:$F$1,'SI - Resources'!$A$2:$F$2, "")</f>
        <v/>
      </c>
      <c r="D67" s="36" t="str">
        <f>IF(_xlfn.XLOOKUP($C67,'SI - End Use'!$B$2:$B$30,'SI - End Use'!$C$2:$C$30, "")="", "", _xlfn.XLOOKUP($C67,'SI - End Use'!$B$2:$B$30,'SI - End Use'!$C$2:$C$30, ""))</f>
        <v/>
      </c>
      <c r="E67" s="25"/>
      <c r="F67" s="36" t="str" cm="1">
        <f t="array" ref="F67">IF($B67="Transportation",  'SI - Units'!$B$9:$B$9, _xlfn.XLOOKUP(_xlfn.XLOOKUP($C67,'SI - Units'!$B$12:$B$39,'SI - Units'!$C$12:$C$39, ""),'SI - Units'!$A$2:$A$8,'SI - Units'!$B$2:$B$8, ""))</f>
        <v/>
      </c>
      <c r="G67" s="59"/>
      <c r="H67" s="59"/>
      <c r="I67" s="63" t="str">
        <f>IF(Table1[[#This Row],[Type]]="Co-product", "No", "")</f>
        <v/>
      </c>
      <c r="J67" s="11"/>
      <c r="K67" s="11" t="str">
        <f>Table1[[#This Row],[Resource]]</f>
        <v/>
      </c>
      <c r="L67" s="11" t="str">
        <f>IF(_xlfn.XLOOKUP($K67,'SI - End Use'!$B$2:$B$30,'SI - End Use'!$C$2:$C$30, "")="", "", _xlfn.XLOOKUP($C67,'SI - End Use'!$B$2:$B$30,'SI - End Use'!$C$2:$C$30, ""))</f>
        <v/>
      </c>
      <c r="M67" s="11"/>
    </row>
    <row r="68" spans="1:13" x14ac:dyDescent="0.25">
      <c r="A68" s="11"/>
      <c r="B68" s="11"/>
      <c r="C68" s="11" t="str">
        <f>_xlfn.XLOOKUP($B68,'SI - Resources'!$A$1:$F$1,'SI - Resources'!$A$2:$F$2, "")</f>
        <v/>
      </c>
      <c r="D68" s="36" t="str">
        <f>IF(_xlfn.XLOOKUP($C68,'SI - End Use'!$B$2:$B$30,'SI - End Use'!$C$2:$C$30, "")="", "", _xlfn.XLOOKUP($C68,'SI - End Use'!$B$2:$B$30,'SI - End Use'!$C$2:$C$30, ""))</f>
        <v/>
      </c>
      <c r="E68" s="25"/>
      <c r="F68" s="36" t="str" cm="1">
        <f t="array" ref="F68">IF($B68="Transportation",  'SI - Units'!$B$9:$B$9, _xlfn.XLOOKUP(_xlfn.XLOOKUP($C68,'SI - Units'!$B$12:$B$39,'SI - Units'!$C$12:$C$39, ""),'SI - Units'!$A$2:$A$8,'SI - Units'!$B$2:$B$8, ""))</f>
        <v/>
      </c>
      <c r="G68" s="59"/>
      <c r="H68" s="59"/>
      <c r="I68" s="63" t="str">
        <f>IF(Table1[[#This Row],[Type]]="Co-product", "No", "")</f>
        <v/>
      </c>
      <c r="J68" s="11"/>
      <c r="K68" s="11" t="str">
        <f>Table1[[#This Row],[Resource]]</f>
        <v/>
      </c>
      <c r="L68" s="11" t="str">
        <f>IF(_xlfn.XLOOKUP($K68,'SI - End Use'!$B$2:$B$30,'SI - End Use'!$C$2:$C$30, "")="", "", _xlfn.XLOOKUP($C68,'SI - End Use'!$B$2:$B$30,'SI - End Use'!$C$2:$C$30, ""))</f>
        <v/>
      </c>
      <c r="M68" s="11"/>
    </row>
    <row r="69" spans="1:13" x14ac:dyDescent="0.25">
      <c r="A69" s="11"/>
      <c r="B69" s="11"/>
      <c r="C69" s="11" t="str">
        <f>_xlfn.XLOOKUP($B69,'SI - Resources'!$A$1:$F$1,'SI - Resources'!$A$2:$F$2, "")</f>
        <v/>
      </c>
      <c r="D69" s="36" t="str">
        <f>IF(_xlfn.XLOOKUP($C69,'SI - End Use'!$B$2:$B$30,'SI - End Use'!$C$2:$C$30, "")="", "", _xlfn.XLOOKUP($C69,'SI - End Use'!$B$2:$B$30,'SI - End Use'!$C$2:$C$30, ""))</f>
        <v/>
      </c>
      <c r="E69" s="25"/>
      <c r="F69" s="36" t="str" cm="1">
        <f t="array" ref="F69">IF($B69="Transportation",  'SI - Units'!$B$9:$B$9, _xlfn.XLOOKUP(_xlfn.XLOOKUP($C69,'SI - Units'!$B$12:$B$39,'SI - Units'!$C$12:$C$39, ""),'SI - Units'!$A$2:$A$8,'SI - Units'!$B$2:$B$8, ""))</f>
        <v/>
      </c>
      <c r="G69" s="59"/>
      <c r="H69" s="59"/>
      <c r="I69" s="63" t="str">
        <f>IF(Table1[[#This Row],[Type]]="Co-product", "No", "")</f>
        <v/>
      </c>
      <c r="J69" s="11"/>
      <c r="K69" s="11" t="str">
        <f>Table1[[#This Row],[Resource]]</f>
        <v/>
      </c>
      <c r="L69" s="11" t="str">
        <f>IF(_xlfn.XLOOKUP($K69,'SI - End Use'!$B$2:$B$30,'SI - End Use'!$C$2:$C$30, "")="", "", _xlfn.XLOOKUP($C69,'SI - End Use'!$B$2:$B$30,'SI - End Use'!$C$2:$C$30, ""))</f>
        <v/>
      </c>
      <c r="M69" s="11"/>
    </row>
    <row r="70" spans="1:13" x14ac:dyDescent="0.25">
      <c r="A70" s="11"/>
      <c r="B70" s="11"/>
      <c r="C70" s="11" t="str">
        <f>_xlfn.XLOOKUP($B70,'SI - Resources'!$A$1:$F$1,'SI - Resources'!$A$2:$F$2, "")</f>
        <v/>
      </c>
      <c r="D70" s="36" t="str">
        <f>IF(_xlfn.XLOOKUP($C70,'SI - End Use'!$B$2:$B$30,'SI - End Use'!$C$2:$C$30, "")="", "", _xlfn.XLOOKUP($C70,'SI - End Use'!$B$2:$B$30,'SI - End Use'!$C$2:$C$30, ""))</f>
        <v/>
      </c>
      <c r="E70" s="25"/>
      <c r="F70" s="36" t="str" cm="1">
        <f t="array" ref="F70">IF($B70="Transportation",  'SI - Units'!$B$9:$B$9, _xlfn.XLOOKUP(_xlfn.XLOOKUP($C70,'SI - Units'!$B$12:$B$39,'SI - Units'!$C$12:$C$39, ""),'SI - Units'!$A$2:$A$8,'SI - Units'!$B$2:$B$8, ""))</f>
        <v/>
      </c>
      <c r="G70" s="59"/>
      <c r="H70" s="59"/>
      <c r="I70" s="63" t="str">
        <f>IF(Table1[[#This Row],[Type]]="Co-product", "No", "")</f>
        <v/>
      </c>
      <c r="J70" s="11"/>
      <c r="K70" s="11" t="str">
        <f>Table1[[#This Row],[Resource]]</f>
        <v/>
      </c>
      <c r="L70" s="11" t="str">
        <f>IF(_xlfn.XLOOKUP($K70,'SI - End Use'!$B$2:$B$30,'SI - End Use'!$C$2:$C$30, "")="", "", _xlfn.XLOOKUP($C70,'SI - End Use'!$B$2:$B$30,'SI - End Use'!$C$2:$C$30, ""))</f>
        <v/>
      </c>
      <c r="M70" s="11"/>
    </row>
    <row r="71" spans="1:13" x14ac:dyDescent="0.25">
      <c r="A71" s="11"/>
      <c r="B71" s="11"/>
      <c r="C71" s="11" t="str">
        <f>_xlfn.XLOOKUP($B71,'SI - Resources'!$A$1:$F$1,'SI - Resources'!$A$2:$F$2, "")</f>
        <v/>
      </c>
      <c r="D71" s="36" t="str">
        <f>IF(_xlfn.XLOOKUP($C71,'SI - End Use'!$B$2:$B$30,'SI - End Use'!$C$2:$C$30, "")="", "", _xlfn.XLOOKUP($C71,'SI - End Use'!$B$2:$B$30,'SI - End Use'!$C$2:$C$30, ""))</f>
        <v/>
      </c>
      <c r="E71" s="25"/>
      <c r="F71" s="36" t="str" cm="1">
        <f t="array" ref="F71">IF($B71="Transportation",  'SI - Units'!$B$9:$B$9, _xlfn.XLOOKUP(_xlfn.XLOOKUP($C71,'SI - Units'!$B$12:$B$39,'SI - Units'!$C$12:$C$39, ""),'SI - Units'!$A$2:$A$8,'SI - Units'!$B$2:$B$8, ""))</f>
        <v/>
      </c>
      <c r="G71" s="59"/>
      <c r="H71" s="59"/>
      <c r="I71" s="63" t="str">
        <f>IF(Table1[[#This Row],[Type]]="Co-product", "No", "")</f>
        <v/>
      </c>
      <c r="J71" s="11"/>
      <c r="K71" s="11" t="str">
        <f>Table1[[#This Row],[Resource]]</f>
        <v/>
      </c>
      <c r="L71" s="11" t="str">
        <f>IF(_xlfn.XLOOKUP($K71,'SI - End Use'!$B$2:$B$30,'SI - End Use'!$C$2:$C$30, "")="", "", _xlfn.XLOOKUP($C71,'SI - End Use'!$B$2:$B$30,'SI - End Use'!$C$2:$C$30, ""))</f>
        <v/>
      </c>
      <c r="M71" s="11"/>
    </row>
    <row r="72" spans="1:13" x14ac:dyDescent="0.25">
      <c r="A72" s="11"/>
      <c r="B72" s="11"/>
      <c r="C72" s="11" t="str">
        <f>_xlfn.XLOOKUP($B72,'SI - Resources'!$A$1:$F$1,'SI - Resources'!$A$2:$F$2, "")</f>
        <v/>
      </c>
      <c r="D72" s="36" t="str">
        <f>IF(_xlfn.XLOOKUP($C72,'SI - End Use'!$B$2:$B$30,'SI - End Use'!$C$2:$C$30, "")="", "", _xlfn.XLOOKUP($C72,'SI - End Use'!$B$2:$B$30,'SI - End Use'!$C$2:$C$30, ""))</f>
        <v/>
      </c>
      <c r="E72" s="25"/>
      <c r="F72" s="36" t="str" cm="1">
        <f t="array" ref="F72">IF($B72="Transportation",  'SI - Units'!$B$9:$B$9, _xlfn.XLOOKUP(_xlfn.XLOOKUP($C72,'SI - Units'!$B$12:$B$39,'SI - Units'!$C$12:$C$39, ""),'SI - Units'!$A$2:$A$8,'SI - Units'!$B$2:$B$8, ""))</f>
        <v/>
      </c>
      <c r="G72" s="59"/>
      <c r="H72" s="59"/>
      <c r="I72" s="63" t="str">
        <f>IF(Table1[[#This Row],[Type]]="Co-product", "No", "")</f>
        <v/>
      </c>
      <c r="J72" s="11"/>
      <c r="K72" s="11" t="str">
        <f>Table1[[#This Row],[Resource]]</f>
        <v/>
      </c>
      <c r="L72" s="11" t="str">
        <f>IF(_xlfn.XLOOKUP($K72,'SI - End Use'!$B$2:$B$30,'SI - End Use'!$C$2:$C$30, "")="", "", _xlfn.XLOOKUP($C72,'SI - End Use'!$B$2:$B$30,'SI - End Use'!$C$2:$C$30, ""))</f>
        <v/>
      </c>
      <c r="M72" s="11"/>
    </row>
    <row r="73" spans="1:13" x14ac:dyDescent="0.25">
      <c r="A73" s="11"/>
      <c r="B73" s="11"/>
      <c r="C73" s="11" t="str">
        <f>_xlfn.XLOOKUP($B73,'SI - Resources'!$A$1:$F$1,'SI - Resources'!$A$2:$F$2, "")</f>
        <v/>
      </c>
      <c r="D73" s="36" t="str">
        <f>IF(_xlfn.XLOOKUP($C73,'SI - End Use'!$B$2:$B$30,'SI - End Use'!$C$2:$C$30, "")="", "", _xlfn.XLOOKUP($C73,'SI - End Use'!$B$2:$B$30,'SI - End Use'!$C$2:$C$30, ""))</f>
        <v/>
      </c>
      <c r="E73" s="25"/>
      <c r="F73" s="36" t="str" cm="1">
        <f t="array" ref="F73">IF($B73="Transportation",  'SI - Units'!$B$9:$B$9, _xlfn.XLOOKUP(_xlfn.XLOOKUP($C73,'SI - Units'!$B$12:$B$39,'SI - Units'!$C$12:$C$39, ""),'SI - Units'!$A$2:$A$8,'SI - Units'!$B$2:$B$8, ""))</f>
        <v/>
      </c>
      <c r="G73" s="59"/>
      <c r="H73" s="59"/>
      <c r="I73" s="63" t="str">
        <f>IF(Table1[[#This Row],[Type]]="Co-product", "No", "")</f>
        <v/>
      </c>
      <c r="J73" s="11"/>
      <c r="K73" s="11" t="str">
        <f>Table1[[#This Row],[Resource]]</f>
        <v/>
      </c>
      <c r="L73" s="11" t="str">
        <f>IF(_xlfn.XLOOKUP($K73,'SI - End Use'!$B$2:$B$30,'SI - End Use'!$C$2:$C$30, "")="", "", _xlfn.XLOOKUP($C73,'SI - End Use'!$B$2:$B$30,'SI - End Use'!$C$2:$C$30, ""))</f>
        <v/>
      </c>
      <c r="M73" s="11"/>
    </row>
    <row r="74" spans="1:13" x14ac:dyDescent="0.25">
      <c r="A74" s="11"/>
      <c r="B74" s="11"/>
      <c r="C74" s="11" t="str">
        <f>_xlfn.XLOOKUP($B74,'SI - Resources'!$A$1:$F$1,'SI - Resources'!$A$2:$F$2, "")</f>
        <v/>
      </c>
      <c r="D74" s="36" t="str">
        <f>IF(_xlfn.XLOOKUP($C74,'SI - End Use'!$B$2:$B$30,'SI - End Use'!$C$2:$C$30, "")="", "", _xlfn.XLOOKUP($C74,'SI - End Use'!$B$2:$B$30,'SI - End Use'!$C$2:$C$30, ""))</f>
        <v/>
      </c>
      <c r="E74" s="25"/>
      <c r="F74" s="36" t="str" cm="1">
        <f t="array" ref="F74">IF($B74="Transportation",  'SI - Units'!$B$9:$B$9, _xlfn.XLOOKUP(_xlfn.XLOOKUP($C74,'SI - Units'!$B$12:$B$39,'SI - Units'!$C$12:$C$39, ""),'SI - Units'!$A$2:$A$8,'SI - Units'!$B$2:$B$8, ""))</f>
        <v/>
      </c>
      <c r="G74" s="59"/>
      <c r="H74" s="59"/>
      <c r="I74" s="63" t="str">
        <f>IF(Table1[[#This Row],[Type]]="Co-product", "No", "")</f>
        <v/>
      </c>
      <c r="J74" s="11"/>
      <c r="K74" s="11" t="str">
        <f>Table1[[#This Row],[Resource]]</f>
        <v/>
      </c>
      <c r="L74" s="11" t="str">
        <f>IF(_xlfn.XLOOKUP($K74,'SI - End Use'!$B$2:$B$30,'SI - End Use'!$C$2:$C$30, "")="", "", _xlfn.XLOOKUP($C74,'SI - End Use'!$B$2:$B$30,'SI - End Use'!$C$2:$C$30, ""))</f>
        <v/>
      </c>
      <c r="M74" s="11"/>
    </row>
    <row r="75" spans="1:13" x14ac:dyDescent="0.25">
      <c r="A75" s="11"/>
      <c r="B75" s="11"/>
      <c r="C75" s="11" t="str">
        <f>_xlfn.XLOOKUP($B75,'SI - Resources'!$A$1:$F$1,'SI - Resources'!$A$2:$F$2, "")</f>
        <v/>
      </c>
      <c r="D75" s="36" t="str">
        <f>IF(_xlfn.XLOOKUP($C75,'SI - End Use'!$B$2:$B$30,'SI - End Use'!$C$2:$C$30, "")="", "", _xlfn.XLOOKUP($C75,'SI - End Use'!$B$2:$B$30,'SI - End Use'!$C$2:$C$30, ""))</f>
        <v/>
      </c>
      <c r="E75" s="25"/>
      <c r="F75" s="36" t="str" cm="1">
        <f t="array" ref="F75">IF($B75="Transportation",  'SI - Units'!$B$9:$B$9, _xlfn.XLOOKUP(_xlfn.XLOOKUP($C75,'SI - Units'!$B$12:$B$39,'SI - Units'!$C$12:$C$39, ""),'SI - Units'!$A$2:$A$8,'SI - Units'!$B$2:$B$8, ""))</f>
        <v/>
      </c>
      <c r="G75" s="59"/>
      <c r="H75" s="59"/>
      <c r="I75" s="63" t="str">
        <f>IF(Table1[[#This Row],[Type]]="Co-product", "No", "")</f>
        <v/>
      </c>
      <c r="J75" s="11"/>
      <c r="K75" s="11" t="str">
        <f>Table1[[#This Row],[Resource]]</f>
        <v/>
      </c>
      <c r="L75" s="11" t="str">
        <f>IF(_xlfn.XLOOKUP($K75,'SI - End Use'!$B$2:$B$30,'SI - End Use'!$C$2:$C$30, "")="", "", _xlfn.XLOOKUP($C75,'SI - End Use'!$B$2:$B$30,'SI - End Use'!$C$2:$C$30, ""))</f>
        <v/>
      </c>
      <c r="M75" s="11"/>
    </row>
    <row r="76" spans="1:13" x14ac:dyDescent="0.25">
      <c r="A76" s="11"/>
      <c r="B76" s="11"/>
      <c r="C76" s="11" t="str">
        <f>_xlfn.XLOOKUP($B76,'SI - Resources'!$A$1:$F$1,'SI - Resources'!$A$2:$F$2, "")</f>
        <v/>
      </c>
      <c r="D76" s="36" t="str">
        <f>IF(_xlfn.XLOOKUP($C76,'SI - End Use'!$B$2:$B$30,'SI - End Use'!$C$2:$C$30, "")="", "", _xlfn.XLOOKUP($C76,'SI - End Use'!$B$2:$B$30,'SI - End Use'!$C$2:$C$30, ""))</f>
        <v/>
      </c>
      <c r="E76" s="25"/>
      <c r="F76" s="36" t="str" cm="1">
        <f t="array" ref="F76">IF($B76="Transportation",  'SI - Units'!$B$9:$B$9, _xlfn.XLOOKUP(_xlfn.XLOOKUP($C76,'SI - Units'!$B$12:$B$39,'SI - Units'!$C$12:$C$39, ""),'SI - Units'!$A$2:$A$8,'SI - Units'!$B$2:$B$8, ""))</f>
        <v/>
      </c>
      <c r="G76" s="59"/>
      <c r="H76" s="59"/>
      <c r="I76" s="63" t="str">
        <f>IF(Table1[[#This Row],[Type]]="Co-product", "No", "")</f>
        <v/>
      </c>
      <c r="J76" s="11"/>
      <c r="K76" s="11" t="str">
        <f>Table1[[#This Row],[Resource]]</f>
        <v/>
      </c>
      <c r="L76" s="11" t="str">
        <f>IF(_xlfn.XLOOKUP($K76,'SI - End Use'!$B$2:$B$30,'SI - End Use'!$C$2:$C$30, "")="", "", _xlfn.XLOOKUP($C76,'SI - End Use'!$B$2:$B$30,'SI - End Use'!$C$2:$C$30, ""))</f>
        <v/>
      </c>
      <c r="M76" s="11"/>
    </row>
    <row r="77" spans="1:13" x14ac:dyDescent="0.25">
      <c r="A77" s="11"/>
      <c r="B77" s="11"/>
      <c r="C77" s="11" t="str">
        <f>_xlfn.XLOOKUP($B77,'SI - Resources'!$A$1:$F$1,'SI - Resources'!$A$2:$F$2, "")</f>
        <v/>
      </c>
      <c r="D77" s="36" t="str">
        <f>IF(_xlfn.XLOOKUP($C77,'SI - End Use'!$B$2:$B$30,'SI - End Use'!$C$2:$C$30, "")="", "", _xlfn.XLOOKUP($C77,'SI - End Use'!$B$2:$B$30,'SI - End Use'!$C$2:$C$30, ""))</f>
        <v/>
      </c>
      <c r="E77" s="25"/>
      <c r="F77" s="36" t="str" cm="1">
        <f t="array" ref="F77">IF($B77="Transportation",  'SI - Units'!$B$9:$B$9, _xlfn.XLOOKUP(_xlfn.XLOOKUP($C77,'SI - Units'!$B$12:$B$39,'SI - Units'!$C$12:$C$39, ""),'SI - Units'!$A$2:$A$8,'SI - Units'!$B$2:$B$8, ""))</f>
        <v/>
      </c>
      <c r="G77" s="59"/>
      <c r="H77" s="59"/>
      <c r="I77" s="63" t="str">
        <f>IF(Table1[[#This Row],[Type]]="Co-product", "No", "")</f>
        <v/>
      </c>
      <c r="J77" s="11"/>
      <c r="K77" s="11" t="str">
        <f>Table1[[#This Row],[Resource]]</f>
        <v/>
      </c>
      <c r="L77" s="11" t="str">
        <f>IF(_xlfn.XLOOKUP($K77,'SI - End Use'!$B$2:$B$30,'SI - End Use'!$C$2:$C$30, "")="", "", _xlfn.XLOOKUP($C77,'SI - End Use'!$B$2:$B$30,'SI - End Use'!$C$2:$C$30, ""))</f>
        <v/>
      </c>
      <c r="M77" s="11"/>
    </row>
    <row r="78" spans="1:13" x14ac:dyDescent="0.25">
      <c r="A78" s="11"/>
      <c r="B78" s="11"/>
      <c r="C78" s="11" t="str">
        <f>_xlfn.XLOOKUP($B78,'SI - Resources'!$A$1:$F$1,'SI - Resources'!$A$2:$F$2, "")</f>
        <v/>
      </c>
      <c r="D78" s="36" t="str">
        <f>IF(_xlfn.XLOOKUP($C78,'SI - End Use'!$B$2:$B$30,'SI - End Use'!$C$2:$C$30, "")="", "", _xlfn.XLOOKUP($C78,'SI - End Use'!$B$2:$B$30,'SI - End Use'!$C$2:$C$30, ""))</f>
        <v/>
      </c>
      <c r="E78" s="25"/>
      <c r="F78" s="36" t="str" cm="1">
        <f t="array" ref="F78">IF($B78="Transportation",  'SI - Units'!$B$9:$B$9, _xlfn.XLOOKUP(_xlfn.XLOOKUP($C78,'SI - Units'!$B$12:$B$39,'SI - Units'!$C$12:$C$39, ""),'SI - Units'!$A$2:$A$8,'SI - Units'!$B$2:$B$8, ""))</f>
        <v/>
      </c>
      <c r="G78" s="59"/>
      <c r="H78" s="59"/>
      <c r="I78" s="63" t="str">
        <f>IF(Table1[[#This Row],[Type]]="Co-product", "No", "")</f>
        <v/>
      </c>
      <c r="J78" s="11"/>
      <c r="K78" s="11" t="str">
        <f>Table1[[#This Row],[Resource]]</f>
        <v/>
      </c>
      <c r="L78" s="11" t="str">
        <f>IF(_xlfn.XLOOKUP($K78,'SI - End Use'!$B$2:$B$30,'SI - End Use'!$C$2:$C$30, "")="", "", _xlfn.XLOOKUP($C78,'SI - End Use'!$B$2:$B$30,'SI - End Use'!$C$2:$C$30, ""))</f>
        <v/>
      </c>
      <c r="M78" s="11"/>
    </row>
    <row r="79" spans="1:13" x14ac:dyDescent="0.25">
      <c r="A79" s="11"/>
      <c r="B79" s="11"/>
      <c r="C79" s="11" t="str">
        <f>_xlfn.XLOOKUP($B79,'SI - Resources'!$A$1:$F$1,'SI - Resources'!$A$2:$F$2, "")</f>
        <v/>
      </c>
      <c r="D79" s="36" t="str">
        <f>IF(_xlfn.XLOOKUP($C79,'SI - End Use'!$B$2:$B$30,'SI - End Use'!$C$2:$C$30, "")="", "", _xlfn.XLOOKUP($C79,'SI - End Use'!$B$2:$B$30,'SI - End Use'!$C$2:$C$30, ""))</f>
        <v/>
      </c>
      <c r="E79" s="25"/>
      <c r="F79" s="36" t="str" cm="1">
        <f t="array" ref="F79">IF($B79="Transportation",  'SI - Units'!$B$9:$B$9, _xlfn.XLOOKUP(_xlfn.XLOOKUP($C79,'SI - Units'!$B$12:$B$39,'SI - Units'!$C$12:$C$39, ""),'SI - Units'!$A$2:$A$8,'SI - Units'!$B$2:$B$8, ""))</f>
        <v/>
      </c>
      <c r="G79" s="59"/>
      <c r="H79" s="59"/>
      <c r="I79" s="63" t="str">
        <f>IF(Table1[[#This Row],[Type]]="Co-product", "No", "")</f>
        <v/>
      </c>
      <c r="J79" s="11"/>
      <c r="K79" s="11" t="str">
        <f>Table1[[#This Row],[Resource]]</f>
        <v/>
      </c>
      <c r="L79" s="11" t="str">
        <f>IF(_xlfn.XLOOKUP($K79,'SI - End Use'!$B$2:$B$30,'SI - End Use'!$C$2:$C$30, "")="", "", _xlfn.XLOOKUP($C79,'SI - End Use'!$B$2:$B$30,'SI - End Use'!$C$2:$C$30, ""))</f>
        <v/>
      </c>
      <c r="M79" s="11"/>
    </row>
    <row r="80" spans="1:13" x14ac:dyDescent="0.25">
      <c r="A80" s="11"/>
      <c r="B80" s="11"/>
      <c r="C80" s="11" t="str">
        <f>_xlfn.XLOOKUP($B80,'SI - Resources'!$A$1:$F$1,'SI - Resources'!$A$2:$F$2, "")</f>
        <v/>
      </c>
      <c r="D80" s="36" t="str">
        <f>IF(_xlfn.XLOOKUP($C80,'SI - End Use'!$B$2:$B$30,'SI - End Use'!$C$2:$C$30, "")="", "", _xlfn.XLOOKUP($C80,'SI - End Use'!$B$2:$B$30,'SI - End Use'!$C$2:$C$30, ""))</f>
        <v/>
      </c>
      <c r="E80" s="25"/>
      <c r="F80" s="36" t="str" cm="1">
        <f t="array" ref="F80">IF($B80="Transportation",  'SI - Units'!$B$9:$B$9, _xlfn.XLOOKUP(_xlfn.XLOOKUP($C80,'SI - Units'!$B$12:$B$39,'SI - Units'!$C$12:$C$39, ""),'SI - Units'!$A$2:$A$8,'SI - Units'!$B$2:$B$8, ""))</f>
        <v/>
      </c>
      <c r="G80" s="59"/>
      <c r="H80" s="59"/>
      <c r="I80" s="63" t="str">
        <f>IF(Table1[[#This Row],[Type]]="Co-product", "No", "")</f>
        <v/>
      </c>
      <c r="J80" s="11"/>
      <c r="K80" s="11" t="str">
        <f>Table1[[#This Row],[Resource]]</f>
        <v/>
      </c>
      <c r="L80" s="11" t="str">
        <f>IF(_xlfn.XLOOKUP($K80,'SI - End Use'!$B$2:$B$30,'SI - End Use'!$C$2:$C$30, "")="", "", _xlfn.XLOOKUP($C80,'SI - End Use'!$B$2:$B$30,'SI - End Use'!$C$2:$C$30, ""))</f>
        <v/>
      </c>
      <c r="M80" s="11"/>
    </row>
    <row r="81" spans="1:13" x14ac:dyDescent="0.25">
      <c r="A81" s="11"/>
      <c r="B81" s="11"/>
      <c r="C81" s="11" t="str">
        <f>_xlfn.XLOOKUP($B81,'SI - Resources'!$A$1:$F$1,'SI - Resources'!$A$2:$F$2, "")</f>
        <v/>
      </c>
      <c r="D81" s="36" t="str">
        <f>IF(_xlfn.XLOOKUP($C81,'SI - End Use'!$B$2:$B$30,'SI - End Use'!$C$2:$C$30, "")="", "", _xlfn.XLOOKUP($C81,'SI - End Use'!$B$2:$B$30,'SI - End Use'!$C$2:$C$30, ""))</f>
        <v/>
      </c>
      <c r="E81" s="25"/>
      <c r="F81" s="36" t="str" cm="1">
        <f t="array" ref="F81">IF($B81="Transportation",  'SI - Units'!$B$9:$B$9, _xlfn.XLOOKUP(_xlfn.XLOOKUP($C81,'SI - Units'!$B$12:$B$39,'SI - Units'!$C$12:$C$39, ""),'SI - Units'!$A$2:$A$8,'SI - Units'!$B$2:$B$8, ""))</f>
        <v/>
      </c>
      <c r="G81" s="59"/>
      <c r="H81" s="59"/>
      <c r="I81" s="63" t="str">
        <f>IF(Table1[[#This Row],[Type]]="Co-product", "No", "")</f>
        <v/>
      </c>
      <c r="J81" s="11"/>
      <c r="K81" s="11" t="str">
        <f>Table1[[#This Row],[Resource]]</f>
        <v/>
      </c>
      <c r="L81" s="11" t="str">
        <f>IF(_xlfn.XLOOKUP($K81,'SI - End Use'!$B$2:$B$30,'SI - End Use'!$C$2:$C$30, "")="", "", _xlfn.XLOOKUP($C81,'SI - End Use'!$B$2:$B$30,'SI - End Use'!$C$2:$C$30, ""))</f>
        <v/>
      </c>
      <c r="M81" s="11"/>
    </row>
    <row r="82" spans="1:13" x14ac:dyDescent="0.25">
      <c r="A82" s="11"/>
      <c r="B82" s="11"/>
      <c r="C82" s="11" t="str">
        <f>_xlfn.XLOOKUP($B82,'SI - Resources'!$A$1:$F$1,'SI - Resources'!$A$2:$F$2, "")</f>
        <v/>
      </c>
      <c r="D82" s="36" t="str">
        <f>IF(_xlfn.XLOOKUP($C82,'SI - End Use'!$B$2:$B$30,'SI - End Use'!$C$2:$C$30, "")="", "", _xlfn.XLOOKUP($C82,'SI - End Use'!$B$2:$B$30,'SI - End Use'!$C$2:$C$30, ""))</f>
        <v/>
      </c>
      <c r="E82" s="25"/>
      <c r="F82" s="36" t="str" cm="1">
        <f t="array" ref="F82">IF($B82="Transportation",  'SI - Units'!$B$9:$B$9, _xlfn.XLOOKUP(_xlfn.XLOOKUP($C82,'SI - Units'!$B$12:$B$39,'SI - Units'!$C$12:$C$39, ""),'SI - Units'!$A$2:$A$8,'SI - Units'!$B$2:$B$8, ""))</f>
        <v/>
      </c>
      <c r="G82" s="59"/>
      <c r="H82" s="59"/>
      <c r="I82" s="63" t="str">
        <f>IF(Table1[[#This Row],[Type]]="Co-product", "No", "")</f>
        <v/>
      </c>
      <c r="J82" s="11"/>
      <c r="K82" s="11" t="str">
        <f>Table1[[#This Row],[Resource]]</f>
        <v/>
      </c>
      <c r="L82" s="11" t="str">
        <f>IF(_xlfn.XLOOKUP($K82,'SI - End Use'!$B$2:$B$30,'SI - End Use'!$C$2:$C$30, "")="", "", _xlfn.XLOOKUP($C82,'SI - End Use'!$B$2:$B$30,'SI - End Use'!$C$2:$C$30, ""))</f>
        <v/>
      </c>
      <c r="M82" s="11"/>
    </row>
    <row r="83" spans="1:13" x14ac:dyDescent="0.25">
      <c r="A83" s="11"/>
      <c r="B83" s="11"/>
      <c r="C83" s="11" t="str">
        <f>_xlfn.XLOOKUP($B83,'SI - Resources'!$A$1:$F$1,'SI - Resources'!$A$2:$F$2, "")</f>
        <v/>
      </c>
      <c r="D83" s="36" t="str">
        <f>IF(_xlfn.XLOOKUP($C83,'SI - End Use'!$B$2:$B$30,'SI - End Use'!$C$2:$C$30, "")="", "", _xlfn.XLOOKUP($C83,'SI - End Use'!$B$2:$B$30,'SI - End Use'!$C$2:$C$30, ""))</f>
        <v/>
      </c>
      <c r="E83" s="25"/>
      <c r="F83" s="36" t="str" cm="1">
        <f t="array" ref="F83">IF($B83="Transportation",  'SI - Units'!$B$9:$B$9, _xlfn.XLOOKUP(_xlfn.XLOOKUP($C83,'SI - Units'!$B$12:$B$39,'SI - Units'!$C$12:$C$39, ""),'SI - Units'!$A$2:$A$8,'SI - Units'!$B$2:$B$8, ""))</f>
        <v/>
      </c>
      <c r="G83" s="59"/>
      <c r="H83" s="59"/>
      <c r="I83" s="63" t="str">
        <f>IF(Table1[[#This Row],[Type]]="Co-product", "No", "")</f>
        <v/>
      </c>
      <c r="J83" s="11"/>
      <c r="K83" s="11" t="str">
        <f>Table1[[#This Row],[Resource]]</f>
        <v/>
      </c>
      <c r="L83" s="11" t="str">
        <f>IF(_xlfn.XLOOKUP($K83,'SI - End Use'!$B$2:$B$30,'SI - End Use'!$C$2:$C$30, "")="", "", _xlfn.XLOOKUP($C83,'SI - End Use'!$B$2:$B$30,'SI - End Use'!$C$2:$C$30, ""))</f>
        <v/>
      </c>
      <c r="M83" s="11"/>
    </row>
    <row r="84" spans="1:13" x14ac:dyDescent="0.25">
      <c r="A84" s="11"/>
      <c r="B84" s="11"/>
      <c r="C84" s="11" t="str">
        <f>_xlfn.XLOOKUP($B84,'SI - Resources'!$A$1:$F$1,'SI - Resources'!$A$2:$F$2, "")</f>
        <v/>
      </c>
      <c r="D84" s="36" t="str">
        <f>IF(_xlfn.XLOOKUP($C84,'SI - End Use'!$B$2:$B$30,'SI - End Use'!$C$2:$C$30, "")="", "", _xlfn.XLOOKUP($C84,'SI - End Use'!$B$2:$B$30,'SI - End Use'!$C$2:$C$30, ""))</f>
        <v/>
      </c>
      <c r="E84" s="25"/>
      <c r="F84" s="36" t="str" cm="1">
        <f t="array" ref="F84">IF($B84="Transportation",  'SI - Units'!$B$9:$B$9, _xlfn.XLOOKUP(_xlfn.XLOOKUP($C84,'SI - Units'!$B$12:$B$39,'SI - Units'!$C$12:$C$39, ""),'SI - Units'!$A$2:$A$8,'SI - Units'!$B$2:$B$8, ""))</f>
        <v/>
      </c>
      <c r="G84" s="59"/>
      <c r="H84" s="59"/>
      <c r="I84" s="63" t="str">
        <f>IF(Table1[[#This Row],[Type]]="Co-product", "No", "")</f>
        <v/>
      </c>
      <c r="J84" s="11"/>
      <c r="K84" s="11" t="str">
        <f>Table1[[#This Row],[Resource]]</f>
        <v/>
      </c>
      <c r="L84" s="11" t="str">
        <f>IF(_xlfn.XLOOKUP($K84,'SI - End Use'!$B$2:$B$30,'SI - End Use'!$C$2:$C$30, "")="", "", _xlfn.XLOOKUP($C84,'SI - End Use'!$B$2:$B$30,'SI - End Use'!$C$2:$C$30, ""))</f>
        <v/>
      </c>
      <c r="M84" s="11"/>
    </row>
    <row r="85" spans="1:13" x14ac:dyDescent="0.25">
      <c r="A85" s="11"/>
      <c r="B85" s="11"/>
      <c r="C85" s="11" t="str">
        <f>_xlfn.XLOOKUP($B85,'SI - Resources'!$A$1:$F$1,'SI - Resources'!$A$2:$F$2, "")</f>
        <v/>
      </c>
      <c r="D85" s="36" t="str">
        <f>IF(_xlfn.XLOOKUP($C85,'SI - End Use'!$B$2:$B$30,'SI - End Use'!$C$2:$C$30, "")="", "", _xlfn.XLOOKUP($C85,'SI - End Use'!$B$2:$B$30,'SI - End Use'!$C$2:$C$30, ""))</f>
        <v/>
      </c>
      <c r="E85" s="25"/>
      <c r="F85" s="36" t="str" cm="1">
        <f t="array" ref="F85">IF($B85="Transportation",  'SI - Units'!$B$9:$B$9, _xlfn.XLOOKUP(_xlfn.XLOOKUP($C85,'SI - Units'!$B$12:$B$39,'SI - Units'!$C$12:$C$39, ""),'SI - Units'!$A$2:$A$8,'SI - Units'!$B$2:$B$8, ""))</f>
        <v/>
      </c>
      <c r="G85" s="59"/>
      <c r="H85" s="59"/>
      <c r="I85" s="63" t="str">
        <f>IF(Table1[[#This Row],[Type]]="Co-product", "No", "")</f>
        <v/>
      </c>
      <c r="J85" s="11"/>
      <c r="K85" s="11" t="str">
        <f>Table1[[#This Row],[Resource]]</f>
        <v/>
      </c>
      <c r="L85" s="11" t="str">
        <f>IF(_xlfn.XLOOKUP($K85,'SI - End Use'!$B$2:$B$30,'SI - End Use'!$C$2:$C$30, "")="", "", _xlfn.XLOOKUP($C85,'SI - End Use'!$B$2:$B$30,'SI - End Use'!$C$2:$C$30, ""))</f>
        <v/>
      </c>
      <c r="M85" s="11"/>
    </row>
    <row r="86" spans="1:13" x14ac:dyDescent="0.25">
      <c r="A86" s="11"/>
      <c r="B86" s="11"/>
      <c r="C86" s="11" t="str">
        <f>_xlfn.XLOOKUP($B86,'SI - Resources'!$A$1:$F$1,'SI - Resources'!$A$2:$F$2, "")</f>
        <v/>
      </c>
      <c r="D86" s="36" t="str">
        <f>IF(_xlfn.XLOOKUP($C86,'SI - End Use'!$B$2:$B$30,'SI - End Use'!$C$2:$C$30, "")="", "", _xlfn.XLOOKUP($C86,'SI - End Use'!$B$2:$B$30,'SI - End Use'!$C$2:$C$30, ""))</f>
        <v/>
      </c>
      <c r="E86" s="25"/>
      <c r="F86" s="36" t="str" cm="1">
        <f t="array" ref="F86">IF($B86="Transportation",  'SI - Units'!$B$9:$B$9, _xlfn.XLOOKUP(_xlfn.XLOOKUP($C86,'SI - Units'!$B$12:$B$39,'SI - Units'!$C$12:$C$39, ""),'SI - Units'!$A$2:$A$8,'SI - Units'!$B$2:$B$8, ""))</f>
        <v/>
      </c>
      <c r="G86" s="59"/>
      <c r="H86" s="59"/>
      <c r="I86" s="63" t="str">
        <f>IF(Table1[[#This Row],[Type]]="Co-product", "No", "")</f>
        <v/>
      </c>
      <c r="J86" s="11"/>
      <c r="K86" s="11" t="str">
        <f>Table1[[#This Row],[Resource]]</f>
        <v/>
      </c>
      <c r="L86" s="11" t="str">
        <f>IF(_xlfn.XLOOKUP($K86,'SI - End Use'!$B$2:$B$30,'SI - End Use'!$C$2:$C$30, "")="", "", _xlfn.XLOOKUP($C86,'SI - End Use'!$B$2:$B$30,'SI - End Use'!$C$2:$C$30, ""))</f>
        <v/>
      </c>
      <c r="M86" s="11"/>
    </row>
    <row r="87" spans="1:13" x14ac:dyDescent="0.25">
      <c r="A87" s="11"/>
      <c r="B87" s="11"/>
      <c r="C87" s="11" t="str">
        <f>_xlfn.XLOOKUP($B87,'SI - Resources'!$A$1:$F$1,'SI - Resources'!$A$2:$F$2, "")</f>
        <v/>
      </c>
      <c r="D87" s="36" t="str">
        <f>IF(_xlfn.XLOOKUP($C87,'SI - End Use'!$B$2:$B$30,'SI - End Use'!$C$2:$C$30, "")="", "", _xlfn.XLOOKUP($C87,'SI - End Use'!$B$2:$B$30,'SI - End Use'!$C$2:$C$30, ""))</f>
        <v/>
      </c>
      <c r="E87" s="25"/>
      <c r="F87" s="36" t="str" cm="1">
        <f t="array" ref="F87">IF($B87="Transportation",  'SI - Units'!$B$9:$B$9, _xlfn.XLOOKUP(_xlfn.XLOOKUP($C87,'SI - Units'!$B$12:$B$39,'SI - Units'!$C$12:$C$39, ""),'SI - Units'!$A$2:$A$8,'SI - Units'!$B$2:$B$8, ""))</f>
        <v/>
      </c>
      <c r="G87" s="59"/>
      <c r="H87" s="59"/>
      <c r="I87" s="63" t="str">
        <f>IF(Table1[[#This Row],[Type]]="Co-product", "No", "")</f>
        <v/>
      </c>
      <c r="J87" s="11"/>
      <c r="K87" s="11" t="str">
        <f>Table1[[#This Row],[Resource]]</f>
        <v/>
      </c>
      <c r="L87" s="11" t="str">
        <f>IF(_xlfn.XLOOKUP($K87,'SI - End Use'!$B$2:$B$30,'SI - End Use'!$C$2:$C$30, "")="", "", _xlfn.XLOOKUP($C87,'SI - End Use'!$B$2:$B$30,'SI - End Use'!$C$2:$C$30, ""))</f>
        <v/>
      </c>
      <c r="M87" s="11"/>
    </row>
    <row r="88" spans="1:13" x14ac:dyDescent="0.25">
      <c r="A88" s="11"/>
      <c r="B88" s="11"/>
      <c r="C88" s="11" t="str">
        <f>_xlfn.XLOOKUP($B88,'SI - Resources'!$A$1:$F$1,'SI - Resources'!$A$2:$F$2, "")</f>
        <v/>
      </c>
      <c r="D88" s="36" t="str">
        <f>IF(_xlfn.XLOOKUP($C88,'SI - End Use'!$B$2:$B$30,'SI - End Use'!$C$2:$C$30, "")="", "", _xlfn.XLOOKUP($C88,'SI - End Use'!$B$2:$B$30,'SI - End Use'!$C$2:$C$30, ""))</f>
        <v/>
      </c>
      <c r="E88" s="25"/>
      <c r="F88" s="36" t="str" cm="1">
        <f t="array" ref="F88">IF($B88="Transportation",  'SI - Units'!$B$9:$B$9, _xlfn.XLOOKUP(_xlfn.XLOOKUP($C88,'SI - Units'!$B$12:$B$39,'SI - Units'!$C$12:$C$39, ""),'SI - Units'!$A$2:$A$8,'SI - Units'!$B$2:$B$8, ""))</f>
        <v/>
      </c>
      <c r="G88" s="59"/>
      <c r="H88" s="59"/>
      <c r="I88" s="63" t="str">
        <f>IF(Table1[[#This Row],[Type]]="Co-product", "No", "")</f>
        <v/>
      </c>
      <c r="J88" s="11"/>
      <c r="K88" s="11" t="str">
        <f>Table1[[#This Row],[Resource]]</f>
        <v/>
      </c>
      <c r="L88" s="11" t="str">
        <f>IF(_xlfn.XLOOKUP($K88,'SI - End Use'!$B$2:$B$30,'SI - End Use'!$C$2:$C$30, "")="", "", _xlfn.XLOOKUP($C88,'SI - End Use'!$B$2:$B$30,'SI - End Use'!$C$2:$C$30, ""))</f>
        <v/>
      </c>
      <c r="M88" s="11"/>
    </row>
    <row r="89" spans="1:13" x14ac:dyDescent="0.25">
      <c r="A89" s="11"/>
      <c r="B89" s="11"/>
      <c r="C89" s="11" t="str">
        <f>_xlfn.XLOOKUP($B89,'SI - Resources'!$A$1:$F$1,'SI - Resources'!$A$2:$F$2, "")</f>
        <v/>
      </c>
      <c r="D89" s="36" t="str">
        <f>IF(_xlfn.XLOOKUP($C89,'SI - End Use'!$B$2:$B$30,'SI - End Use'!$C$2:$C$30, "")="", "", _xlfn.XLOOKUP($C89,'SI - End Use'!$B$2:$B$30,'SI - End Use'!$C$2:$C$30, ""))</f>
        <v/>
      </c>
      <c r="E89" s="25"/>
      <c r="F89" s="36" t="str" cm="1">
        <f t="array" ref="F89">IF($B89="Transportation",  'SI - Units'!$B$9:$B$9, _xlfn.XLOOKUP(_xlfn.XLOOKUP($C89,'SI - Units'!$B$12:$B$39,'SI - Units'!$C$12:$C$39, ""),'SI - Units'!$A$2:$A$8,'SI - Units'!$B$2:$B$8, ""))</f>
        <v/>
      </c>
      <c r="G89" s="59"/>
      <c r="H89" s="59"/>
      <c r="I89" s="63" t="str">
        <f>IF(Table1[[#This Row],[Type]]="Co-product", "No", "")</f>
        <v/>
      </c>
      <c r="J89" s="11"/>
      <c r="K89" s="11" t="str">
        <f>Table1[[#This Row],[Resource]]</f>
        <v/>
      </c>
      <c r="L89" s="11" t="str">
        <f>IF(_xlfn.XLOOKUP($K89,'SI - End Use'!$B$2:$B$30,'SI - End Use'!$C$2:$C$30, "")="", "", _xlfn.XLOOKUP($C89,'SI - End Use'!$B$2:$B$30,'SI - End Use'!$C$2:$C$30, ""))</f>
        <v/>
      </c>
      <c r="M89" s="11"/>
    </row>
    <row r="90" spans="1:13" x14ac:dyDescent="0.25">
      <c r="A90" s="11"/>
      <c r="B90" s="11"/>
      <c r="C90" s="11" t="str">
        <f>_xlfn.XLOOKUP($B90,'SI - Resources'!$A$1:$F$1,'SI - Resources'!$A$2:$F$2, "")</f>
        <v/>
      </c>
      <c r="D90" s="36" t="str">
        <f>IF(_xlfn.XLOOKUP($C90,'SI - End Use'!$B$2:$B$30,'SI - End Use'!$C$2:$C$30, "")="", "", _xlfn.XLOOKUP($C90,'SI - End Use'!$B$2:$B$30,'SI - End Use'!$C$2:$C$30, ""))</f>
        <v/>
      </c>
      <c r="E90" s="25"/>
      <c r="F90" s="36" t="str" cm="1">
        <f t="array" ref="F90">IF($B90="Transportation",  'SI - Units'!$B$9:$B$9, _xlfn.XLOOKUP(_xlfn.XLOOKUP($C90,'SI - Units'!$B$12:$B$39,'SI - Units'!$C$12:$C$39, ""),'SI - Units'!$A$2:$A$8,'SI - Units'!$B$2:$B$8, ""))</f>
        <v/>
      </c>
      <c r="G90" s="59"/>
      <c r="H90" s="59"/>
      <c r="I90" s="63" t="str">
        <f>IF(Table1[[#This Row],[Type]]="Co-product", "No", "")</f>
        <v/>
      </c>
      <c r="J90" s="11"/>
      <c r="K90" s="11" t="str">
        <f>Table1[[#This Row],[Resource]]</f>
        <v/>
      </c>
      <c r="L90" s="11" t="str">
        <f>IF(_xlfn.XLOOKUP($K90,'SI - End Use'!$B$2:$B$30,'SI - End Use'!$C$2:$C$30, "")="", "", _xlfn.XLOOKUP($C90,'SI - End Use'!$B$2:$B$30,'SI - End Use'!$C$2:$C$30, ""))</f>
        <v/>
      </c>
      <c r="M90" s="11"/>
    </row>
    <row r="91" spans="1:13" x14ac:dyDescent="0.25">
      <c r="A91" s="11"/>
      <c r="B91" s="11"/>
      <c r="C91" s="11" t="str">
        <f>_xlfn.XLOOKUP($B91,'SI - Resources'!$A$1:$F$1,'SI - Resources'!$A$2:$F$2, "")</f>
        <v/>
      </c>
      <c r="D91" s="36" t="str">
        <f>IF(_xlfn.XLOOKUP($C91,'SI - End Use'!$B$2:$B$30,'SI - End Use'!$C$2:$C$30, "")="", "", _xlfn.XLOOKUP($C91,'SI - End Use'!$B$2:$B$30,'SI - End Use'!$C$2:$C$30, ""))</f>
        <v/>
      </c>
      <c r="E91" s="25"/>
      <c r="F91" s="36" t="str" cm="1">
        <f t="array" ref="F91">IF($B91="Transportation",  'SI - Units'!$B$9:$B$9, _xlfn.XLOOKUP(_xlfn.XLOOKUP($C91,'SI - Units'!$B$12:$B$39,'SI - Units'!$C$12:$C$39, ""),'SI - Units'!$A$2:$A$8,'SI - Units'!$B$2:$B$8, ""))</f>
        <v/>
      </c>
      <c r="G91" s="59"/>
      <c r="H91" s="59"/>
      <c r="I91" s="63" t="str">
        <f>IF(Table1[[#This Row],[Type]]="Co-product", "No", "")</f>
        <v/>
      </c>
      <c r="J91" s="11"/>
      <c r="K91" s="11" t="str">
        <f>Table1[[#This Row],[Resource]]</f>
        <v/>
      </c>
      <c r="L91" s="11" t="str">
        <f>IF(_xlfn.XLOOKUP($K91,'SI - End Use'!$B$2:$B$30,'SI - End Use'!$C$2:$C$30, "")="", "", _xlfn.XLOOKUP($C91,'SI - End Use'!$B$2:$B$30,'SI - End Use'!$C$2:$C$30, ""))</f>
        <v/>
      </c>
      <c r="M91" s="11"/>
    </row>
    <row r="92" spans="1:13" x14ac:dyDescent="0.25">
      <c r="A92" s="11"/>
      <c r="B92" s="11"/>
      <c r="C92" s="11" t="str">
        <f>_xlfn.XLOOKUP($B92,'SI - Resources'!$A$1:$F$1,'SI - Resources'!$A$2:$F$2, "")</f>
        <v/>
      </c>
      <c r="D92" s="36" t="str">
        <f>IF(_xlfn.XLOOKUP($C92,'SI - End Use'!$B$2:$B$30,'SI - End Use'!$C$2:$C$30, "")="", "", _xlfn.XLOOKUP($C92,'SI - End Use'!$B$2:$B$30,'SI - End Use'!$C$2:$C$30, ""))</f>
        <v/>
      </c>
      <c r="E92" s="25"/>
      <c r="F92" s="36" t="str" cm="1">
        <f t="array" ref="F92">IF($B92="Transportation",  'SI - Units'!$B$9:$B$9, _xlfn.XLOOKUP(_xlfn.XLOOKUP($C92,'SI - Units'!$B$12:$B$39,'SI - Units'!$C$12:$C$39, ""),'SI - Units'!$A$2:$A$8,'SI - Units'!$B$2:$B$8, ""))</f>
        <v/>
      </c>
      <c r="G92" s="59"/>
      <c r="H92" s="59"/>
      <c r="I92" s="63" t="str">
        <f>IF(Table1[[#This Row],[Type]]="Co-product", "No", "")</f>
        <v/>
      </c>
      <c r="J92" s="11"/>
      <c r="K92" s="11" t="str">
        <f>Table1[[#This Row],[Resource]]</f>
        <v/>
      </c>
      <c r="L92" s="11" t="str">
        <f>IF(_xlfn.XLOOKUP($K92,'SI - End Use'!$B$2:$B$30,'SI - End Use'!$C$2:$C$30, "")="", "", _xlfn.XLOOKUP($C92,'SI - End Use'!$B$2:$B$30,'SI - End Use'!$C$2:$C$30, ""))</f>
        <v/>
      </c>
      <c r="M92" s="11"/>
    </row>
    <row r="93" spans="1:13" x14ac:dyDescent="0.25">
      <c r="A93" s="11"/>
      <c r="B93" s="11"/>
      <c r="C93" s="11" t="str">
        <f>_xlfn.XLOOKUP($B93,'SI - Resources'!$A$1:$F$1,'SI - Resources'!$A$2:$F$2, "")</f>
        <v/>
      </c>
      <c r="D93" s="36" t="str">
        <f>IF(_xlfn.XLOOKUP($C93,'SI - End Use'!$B$2:$B$30,'SI - End Use'!$C$2:$C$30, "")="", "", _xlfn.XLOOKUP($C93,'SI - End Use'!$B$2:$B$30,'SI - End Use'!$C$2:$C$30, ""))</f>
        <v/>
      </c>
      <c r="E93" s="25"/>
      <c r="F93" s="36" t="str" cm="1">
        <f t="array" ref="F93">IF($B93="Transportation",  'SI - Units'!$B$9:$B$9, _xlfn.XLOOKUP(_xlfn.XLOOKUP($C93,'SI - Units'!$B$12:$B$39,'SI - Units'!$C$12:$C$39, ""),'SI - Units'!$A$2:$A$8,'SI - Units'!$B$2:$B$8, ""))</f>
        <v/>
      </c>
      <c r="G93" s="59"/>
      <c r="H93" s="59"/>
      <c r="I93" s="63" t="str">
        <f>IF(Table1[[#This Row],[Type]]="Co-product", "No", "")</f>
        <v/>
      </c>
      <c r="J93" s="11"/>
      <c r="K93" s="11" t="str">
        <f>Table1[[#This Row],[Resource]]</f>
        <v/>
      </c>
      <c r="L93" s="11" t="str">
        <f>IF(_xlfn.XLOOKUP($K93,'SI - End Use'!$B$2:$B$30,'SI - End Use'!$C$2:$C$30, "")="", "", _xlfn.XLOOKUP($C93,'SI - End Use'!$B$2:$B$30,'SI - End Use'!$C$2:$C$30, ""))</f>
        <v/>
      </c>
      <c r="M93" s="11"/>
    </row>
    <row r="94" spans="1:13" x14ac:dyDescent="0.25">
      <c r="A94" s="11"/>
      <c r="B94" s="11"/>
      <c r="C94" s="11" t="str">
        <f>_xlfn.XLOOKUP($B94,'SI - Resources'!$A$1:$F$1,'SI - Resources'!$A$2:$F$2, "")</f>
        <v/>
      </c>
      <c r="D94" s="36" t="str">
        <f>IF(_xlfn.XLOOKUP($C94,'SI - End Use'!$B$2:$B$30,'SI - End Use'!$C$2:$C$30, "")="", "", _xlfn.XLOOKUP($C94,'SI - End Use'!$B$2:$B$30,'SI - End Use'!$C$2:$C$30, ""))</f>
        <v/>
      </c>
      <c r="E94" s="25"/>
      <c r="F94" s="36" t="str" cm="1">
        <f t="array" ref="F94">IF($B94="Transportation",  'SI - Units'!$B$9:$B$9, _xlfn.XLOOKUP(_xlfn.XLOOKUP($C94,'SI - Units'!$B$12:$B$39,'SI - Units'!$C$12:$C$39, ""),'SI - Units'!$A$2:$A$8,'SI - Units'!$B$2:$B$8, ""))</f>
        <v/>
      </c>
      <c r="G94" s="59"/>
      <c r="H94" s="59"/>
      <c r="I94" s="63" t="str">
        <f>IF(Table1[[#This Row],[Type]]="Co-product", "No", "")</f>
        <v/>
      </c>
      <c r="J94" s="11"/>
      <c r="K94" s="11" t="str">
        <f>Table1[[#This Row],[Resource]]</f>
        <v/>
      </c>
      <c r="L94" s="11" t="str">
        <f>IF(_xlfn.XLOOKUP($K94,'SI - End Use'!$B$2:$B$30,'SI - End Use'!$C$2:$C$30, "")="", "", _xlfn.XLOOKUP($C94,'SI - End Use'!$B$2:$B$30,'SI - End Use'!$C$2:$C$30, ""))</f>
        <v/>
      </c>
      <c r="M94" s="11"/>
    </row>
    <row r="95" spans="1:13" x14ac:dyDescent="0.25">
      <c r="A95" s="11"/>
      <c r="B95" s="11"/>
      <c r="C95" s="11" t="str">
        <f>_xlfn.XLOOKUP($B95,'SI - Resources'!$A$1:$F$1,'SI - Resources'!$A$2:$F$2, "")</f>
        <v/>
      </c>
      <c r="D95" s="36" t="str">
        <f>IF(_xlfn.XLOOKUP($C95,'SI - End Use'!$B$2:$B$30,'SI - End Use'!$C$2:$C$30, "")="", "", _xlfn.XLOOKUP($C95,'SI - End Use'!$B$2:$B$30,'SI - End Use'!$C$2:$C$30, ""))</f>
        <v/>
      </c>
      <c r="E95" s="25"/>
      <c r="F95" s="36" t="str" cm="1">
        <f t="array" ref="F95">IF($B95="Transportation",  'SI - Units'!$B$9:$B$9, _xlfn.XLOOKUP(_xlfn.XLOOKUP($C95,'SI - Units'!$B$12:$B$39,'SI - Units'!$C$12:$C$39, ""),'SI - Units'!$A$2:$A$8,'SI - Units'!$B$2:$B$8, ""))</f>
        <v/>
      </c>
      <c r="G95" s="59"/>
      <c r="H95" s="59"/>
      <c r="I95" s="63" t="str">
        <f>IF(Table1[[#This Row],[Type]]="Co-product", "No", "")</f>
        <v/>
      </c>
      <c r="J95" s="11"/>
      <c r="K95" s="11" t="str">
        <f>Table1[[#This Row],[Resource]]</f>
        <v/>
      </c>
      <c r="L95" s="11" t="str">
        <f>IF(_xlfn.XLOOKUP($K95,'SI - End Use'!$B$2:$B$30,'SI - End Use'!$C$2:$C$30, "")="", "", _xlfn.XLOOKUP($C95,'SI - End Use'!$B$2:$B$30,'SI - End Use'!$C$2:$C$30, ""))</f>
        <v/>
      </c>
      <c r="M95" s="11"/>
    </row>
    <row r="96" spans="1:13" x14ac:dyDescent="0.25">
      <c r="A96" s="11"/>
      <c r="B96" s="11"/>
      <c r="C96" s="36" t="str">
        <f>_xlfn.XLOOKUP($B96,'SI - Resources'!$A$1:$F$1,'SI - Resources'!$A$2:$F$2, "")</f>
        <v/>
      </c>
      <c r="D96" s="36" t="str">
        <f>IF(_xlfn.XLOOKUP($C96,'SI - End Use'!$B$2:$B$30,'SI - End Use'!$C$2:$C$30, "")="", "", _xlfn.XLOOKUP($C96,'SI - End Use'!$B$2:$B$30,'SI - End Use'!$C$2:$C$30, ""))</f>
        <v/>
      </c>
      <c r="E96" s="25"/>
      <c r="F96" s="36" t="str" cm="1">
        <f t="array" ref="F96">IF($B96="Transportation",  'SI - Units'!$B$9:$B$9, _xlfn.XLOOKUP(_xlfn.XLOOKUP($C96,'SI - Units'!$B$12:$B$39,'SI - Units'!$C$12:$C$39, ""),'SI - Units'!$A$2:$A$8,'SI - Units'!$B$2:$B$8, ""))</f>
        <v/>
      </c>
      <c r="G96" s="59"/>
      <c r="H96" s="59"/>
      <c r="I96" s="63" t="str">
        <f>IF(Table1[[#This Row],[Type]]="Co-product", "No", "")</f>
        <v/>
      </c>
      <c r="J96" s="11"/>
      <c r="K96" s="11" t="str">
        <f>Table1[[#This Row],[Resource]]</f>
        <v/>
      </c>
      <c r="L96" s="11" t="str">
        <f>IF(_xlfn.XLOOKUP($K96,'SI - End Use'!$B$2:$B$30,'SI - End Use'!$C$2:$C$30, "")="", "", _xlfn.XLOOKUP($C96,'SI - End Use'!$B$2:$B$30,'SI - End Use'!$C$2:$C$30, ""))</f>
        <v/>
      </c>
      <c r="M96" s="11"/>
    </row>
    <row r="97" spans="1:13" x14ac:dyDescent="0.25">
      <c r="A97" s="11"/>
      <c r="B97" s="11"/>
      <c r="C97" s="36" t="str">
        <f>_xlfn.XLOOKUP($B97,'SI - Resources'!$A$1:$F$1,'SI - Resources'!$A$2:$F$2, "")</f>
        <v/>
      </c>
      <c r="D97" s="36" t="str">
        <f>IF(_xlfn.XLOOKUP($C97,'SI - End Use'!$B$2:$B$30,'SI - End Use'!$C$2:$C$30, "")="", "", _xlfn.XLOOKUP($C97,'SI - End Use'!$B$2:$B$30,'SI - End Use'!$C$2:$C$30, ""))</f>
        <v/>
      </c>
      <c r="E97" s="25"/>
      <c r="F97" s="36" t="str" cm="1">
        <f t="array" ref="F97">IF($B97="Transportation",  'SI - Units'!$B$9:$B$9, _xlfn.XLOOKUP(_xlfn.XLOOKUP($C97,'SI - Units'!$B$12:$B$39,'SI - Units'!$C$12:$C$39, ""),'SI - Units'!$A$2:$A$8,'SI - Units'!$B$2:$B$8, ""))</f>
        <v/>
      </c>
      <c r="G97" s="59"/>
      <c r="H97" s="59"/>
      <c r="I97" s="63" t="str">
        <f>IF(Table1[[#This Row],[Type]]="Co-product", "No", "")</f>
        <v/>
      </c>
      <c r="J97" s="11"/>
      <c r="K97" s="36" t="str">
        <f>Table1[[#This Row],[Resource]]</f>
        <v/>
      </c>
      <c r="L97" s="36" t="str">
        <f>IF(_xlfn.XLOOKUP($K97,'SI - End Use'!$B$2:$B$30,'SI - End Use'!$C$2:$C$30, "")="", "", _xlfn.XLOOKUP($C97,'SI - End Use'!$B$2:$B$30,'SI - End Use'!$C$2:$C$30, ""))</f>
        <v/>
      </c>
      <c r="M97" s="11"/>
    </row>
    <row r="98" spans="1:13" x14ac:dyDescent="0.25">
      <c r="A98" s="11"/>
      <c r="B98" s="11"/>
      <c r="C98" s="36" t="str">
        <f>_xlfn.XLOOKUP($B98,'SI - Resources'!$A$1:$F$1,'SI - Resources'!$A$2:$F$2, "")</f>
        <v/>
      </c>
      <c r="D98" s="36" t="str">
        <f>IF(_xlfn.XLOOKUP($C98,'SI - End Use'!$B$2:$B$30,'SI - End Use'!$C$2:$C$30, "")="", "", _xlfn.XLOOKUP($C98,'SI - End Use'!$B$2:$B$30,'SI - End Use'!$C$2:$C$30, ""))</f>
        <v/>
      </c>
      <c r="E98" s="25"/>
      <c r="F98" s="36" t="str" cm="1">
        <f t="array" ref="F98">IF($B98="Transportation",  'SI - Units'!$B$9:$B$9, _xlfn.XLOOKUP(_xlfn.XLOOKUP($C98,'SI - Units'!$B$12:$B$39,'SI - Units'!$C$12:$C$39, ""),'SI - Units'!$A$2:$A$8,'SI - Units'!$B$2:$B$8, ""))</f>
        <v/>
      </c>
      <c r="G98" s="59"/>
      <c r="H98" s="59"/>
      <c r="I98" s="63" t="str">
        <f>IF(Table1[[#This Row],[Type]]="Co-product", "No", "")</f>
        <v/>
      </c>
      <c r="J98" s="11"/>
      <c r="K98" s="36" t="str">
        <f>Table1[[#This Row],[Resource]]</f>
        <v/>
      </c>
      <c r="L98" s="36" t="str">
        <f>IF(_xlfn.XLOOKUP($K98,'SI - End Use'!$B$2:$B$30,'SI - End Use'!$C$2:$C$30, "")="", "", _xlfn.XLOOKUP($C98,'SI - End Use'!$B$2:$B$30,'SI - End Use'!$C$2:$C$30, ""))</f>
        <v/>
      </c>
      <c r="M98" s="11"/>
    </row>
    <row r="99" spans="1:13" x14ac:dyDescent="0.25">
      <c r="A99" s="11"/>
      <c r="B99" s="11"/>
      <c r="C99" s="36" t="str">
        <f>_xlfn.XLOOKUP($B99,'SI - Resources'!$A$1:$F$1,'SI - Resources'!$A$2:$F$2, "")</f>
        <v/>
      </c>
      <c r="D99" s="36" t="str">
        <f>IF(_xlfn.XLOOKUP($C99,'SI - End Use'!$B$2:$B$30,'SI - End Use'!$C$2:$C$30, "")="", "", _xlfn.XLOOKUP($C99,'SI - End Use'!$B$2:$B$30,'SI - End Use'!$C$2:$C$30, ""))</f>
        <v/>
      </c>
      <c r="E99" s="25"/>
      <c r="F99" s="36" t="str" cm="1">
        <f t="array" ref="F99">IF($B99="Transportation",  'SI - Units'!$B$9:$B$9, _xlfn.XLOOKUP(_xlfn.XLOOKUP($C99,'SI - Units'!$B$12:$B$39,'SI - Units'!$C$12:$C$39, ""),'SI - Units'!$A$2:$A$8,'SI - Units'!$B$2:$B$8, ""))</f>
        <v/>
      </c>
      <c r="G99" s="59"/>
      <c r="H99" s="59"/>
      <c r="I99" s="63" t="str">
        <f>IF(Table1[[#This Row],[Type]]="Co-product", "No", "")</f>
        <v/>
      </c>
      <c r="J99" s="11"/>
      <c r="K99" s="36" t="str">
        <f>Table1[[#This Row],[Resource]]</f>
        <v/>
      </c>
      <c r="L99" s="11" t="str">
        <f>IF(_xlfn.XLOOKUP($K99,'SI - End Use'!$B$2:$B$30,'SI - End Use'!$C$2:$C$30, "")="", "", _xlfn.XLOOKUP($C99,'SI - End Use'!$B$2:$B$30,'SI - End Use'!$C$2:$C$30, ""))</f>
        <v/>
      </c>
      <c r="M99" s="11"/>
    </row>
    <row r="100" spans="1:13" x14ac:dyDescent="0.25">
      <c r="A100" s="62"/>
      <c r="B100" s="34"/>
      <c r="C100" s="34" t="str">
        <f>_xlfn.XLOOKUP($B100,'SI - Resources'!$A$1:$F$1,'SI - Resources'!$A$2:$F$2, "")</f>
        <v/>
      </c>
      <c r="D100" s="37" t="str">
        <f>IF(_xlfn.XLOOKUP($C100,'SI - End Use'!$B$2:$B$30,'SI - End Use'!$C$2:$C$30, "")="", "", _xlfn.XLOOKUP($C100,'SI - End Use'!$B$2:$B$30,'SI - End Use'!$C$2:$C$30, ""))</f>
        <v/>
      </c>
      <c r="E100" s="60"/>
      <c r="F100" s="37" t="str" cm="1">
        <f t="array" ref="F100">IF($B100="Transportation",  'SI - Units'!$B$9:$B$9, _xlfn.XLOOKUP(_xlfn.XLOOKUP($C100,'SI - Units'!$B$12:$B$39,'SI - Units'!$C$12:$C$39, ""),'SI - Units'!$A$2:$A$8,'SI - Units'!$B$2:$B$8, ""))</f>
        <v/>
      </c>
      <c r="G100" s="61"/>
      <c r="H100" s="61"/>
      <c r="I100" s="64" t="str">
        <f>IF(Table1[[#This Row],[Type]]="Co-product", "No", "")</f>
        <v/>
      </c>
      <c r="J100" s="34"/>
      <c r="K100" s="34" t="str">
        <f>Table1[[#This Row],[Resource]]</f>
        <v/>
      </c>
      <c r="L100" s="34" t="str">
        <f>IF(_xlfn.XLOOKUP($K100,'SI - End Use'!$B$2:$B$30,'SI - End Use'!$C$2:$C$30, "")="", "", _xlfn.XLOOKUP($C100,'SI - End Use'!$B$2:$B$30,'SI - End Use'!$C$2:$C$30, ""))</f>
        <v/>
      </c>
      <c r="M100" s="34"/>
    </row>
  </sheetData>
  <phoneticPr fontId="19" type="noConversion"/>
  <dataValidations count="2">
    <dataValidation type="list" allowBlank="1" showInputMessage="1" showErrorMessage="1" sqref="C2" xr:uid="{73449F48-79DC-469F-BA4A-33C89F8E76C2}">
      <formula1>"Yes, No"</formula1>
    </dataValidation>
    <dataValidation type="custom" allowBlank="1" showInputMessage="1" showErrorMessage="1" sqref="G5:G100 E5:E100" xr:uid="{0628AE1A-88FC-4B0C-B79D-862BD1EDF44B}">
      <formula1>ISNUMBER(E5)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3</xdr:col>
                    <xdr:colOff>1371600</xdr:colOff>
                    <xdr:row>0</xdr:row>
                    <xdr:rowOff>0</xdr:rowOff>
                  </from>
                  <to>
                    <xdr:col>5</xdr:col>
                    <xdr:colOff>19050</xdr:colOff>
                    <xdr:row>0</xdr:row>
                    <xdr:rowOff>228600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0">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Units'!$B$12:$B$39,'SI - Units'!$C$12:$C$39),'SI - Units'!$A$2:$A$8,'SI - Units'!$B$2:$R$8)</xm:f>
          </x14:formula1>
          <xm:sqref>F4</xm:sqref>
        </x14:dataValidation>
        <x14:dataValidation type="list" allowBlank="1" showInputMessage="1" showErrorMessage="1" xr:uid="{8A3E68E7-60EC-4BD9-8B2B-6DBC01684E36}">
          <x14:formula1>
            <xm:f>'SI - Resources'!$A$1:$F$1</xm:f>
          </x14:formula1>
          <xm:sqref>B5:B100</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DFA65AA2-143E-45D6-800D-4F4D60300930}">
          <x14:formula1>
            <xm:f>_xlfn.XLOOKUP($B5,'SI - Resources'!$A$1:$F$1,INDIRECT("Resource"))</xm:f>
          </x14:formula1>
          <xm:sqref>C5:C100 K5:K100</xm:sqref>
        </x14:dataValidation>
        <x14:dataValidation type="list" allowBlank="1" showInputMessage="1" showErrorMessage="1" xr:uid="{CE4F3BE5-4A30-4B88-911F-8304175FD33C}">
          <x14:formula1>
            <xm:f>IF($B5="Transportation",  'SI - Units'!$B$9:$E$9, _xlfn.XLOOKUP(_xlfn.XLOOKUP($C5,'SI - Units'!$B$12:$B$39,'SI - Units'!$C$12:$C$39),'SI - Units'!$A$2:$A$8,'SI - Units'!$B$2:$R$8))</xm:f>
          </x14:formula1>
          <xm:sqref>F5:F100</xm:sqref>
        </x14:dataValidation>
        <x14:dataValidation type="list" allowBlank="1" showInputMessage="1" xr:uid="{E72F2434-6FC6-48BC-A1D3-F7F1254C28A5}">
          <x14:formula1>
            <xm:f>_xlfn.XLOOKUP($C5,'SI - End Use'!$B$2:$B$30,'SI - End Use'!$C$2:$N$30)</xm:f>
          </x14:formula1>
          <xm:sqref>D5:D100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7278667E-A56C-4614-A6ED-00C2D0D6E674}">
          <x14:formula1>
            <xm:f>'SI - Co-products'!$B$2:$B$5</xm:f>
          </x14:formula1>
          <xm:sqref>A5:A100</xm:sqref>
        </x14:dataValidation>
        <x14:dataValidation type="list" allowBlank="1" showInputMessage="1" showErrorMessage="1" xr:uid="{DC2C16C8-CE07-4FE6-9DEE-2F41BAAE693C}">
          <x14:formula1>
            <xm:f>_xlfn.XLOOKUP($K5,'SI - End Use'!$B$2:$B$30,'SI - End Use'!$C$2:$N$30)</xm:f>
          </x14:formula1>
          <xm:sqref>L5:L100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99EEE-7C69-46BD-B881-F7E5DD73E7F6}">
  <sheetPr codeName="Sheet9"/>
  <dimension ref="A1:M9"/>
  <sheetViews>
    <sheetView tabSelected="1" topLeftCell="B1" workbookViewId="0">
      <pane ySplit="4" topLeftCell="A5" activePane="bottomLeft" state="frozen"/>
      <selection pane="bottomLeft" activeCell="K13" sqref="K13"/>
    </sheetView>
  </sheetViews>
  <sheetFormatPr defaultRowHeight="15" x14ac:dyDescent="0.25"/>
  <cols>
    <col min="1" max="1" width="16" customWidth="1"/>
    <col min="2" max="2" width="51.5703125" customWidth="1"/>
    <col min="3" max="3" width="23" bestFit="1" customWidth="1"/>
    <col min="4" max="4" width="28.140625" bestFit="1" customWidth="1"/>
    <col min="5" max="5" width="10.140625" bestFit="1" customWidth="1"/>
    <col min="6" max="6" width="11.85546875" bestFit="1" customWidth="1"/>
    <col min="8" max="8" width="17.5703125" bestFit="1" customWidth="1"/>
    <col min="9" max="9" width="17.5703125" customWidth="1"/>
    <col min="10" max="10" width="17.5703125" bestFit="1" customWidth="1"/>
    <col min="11" max="12" width="17.5703125" customWidth="1"/>
  </cols>
  <sheetData>
    <row r="1" spans="1:13" ht="18.75" x14ac:dyDescent="0.3">
      <c r="A1" s="32" t="s">
        <v>153</v>
      </c>
      <c r="B1" s="58"/>
      <c r="C1" s="33" t="s">
        <v>154</v>
      </c>
    </row>
    <row r="2" spans="1:13" x14ac:dyDescent="0.25">
      <c r="A2" s="32" t="s">
        <v>125</v>
      </c>
      <c r="B2" s="32"/>
      <c r="C2" s="33" t="s">
        <v>126</v>
      </c>
    </row>
    <row r="4" spans="1:13" x14ac:dyDescent="0.25">
      <c r="A4" s="12" t="s">
        <v>7</v>
      </c>
      <c r="B4" s="13" t="s">
        <v>1</v>
      </c>
      <c r="C4" s="13" t="s">
        <v>39</v>
      </c>
      <c r="D4" s="13" t="s">
        <v>6</v>
      </c>
      <c r="E4" s="13" t="s">
        <v>8</v>
      </c>
      <c r="F4" s="13" t="s">
        <v>9</v>
      </c>
      <c r="G4" s="13" t="s">
        <v>120</v>
      </c>
      <c r="H4" s="13" t="s">
        <v>121</v>
      </c>
      <c r="I4" s="13" t="s">
        <v>150</v>
      </c>
      <c r="J4" s="14" t="s">
        <v>122</v>
      </c>
      <c r="K4" s="14" t="s">
        <v>163</v>
      </c>
      <c r="L4" s="14" t="s">
        <v>164</v>
      </c>
      <c r="M4" s="14" t="s">
        <v>5</v>
      </c>
    </row>
    <row r="5" spans="1:13" x14ac:dyDescent="0.25">
      <c r="A5" s="10" t="s">
        <v>0</v>
      </c>
      <c r="B5" s="10" t="s">
        <v>42</v>
      </c>
      <c r="C5" s="10" t="str">
        <f>_xlfn.XLOOKUP($B5,'SI - Resources'!$A$1:$F$1,'SI - Resources'!$A$2:$F$2, "")</f>
        <v>Corn Stover</v>
      </c>
      <c r="D5" s="10" t="str">
        <f>IF(_xlfn.XLOOKUP($C5,'SI - End Use'!$B$2:$B$30,'SI - End Use'!$C$2:$C$30, "")="", "", _xlfn.XLOOKUP($C5,'SI - End Use'!$B$2:$B$30,'SI - End Use'!$C$2:$C$30, ""))</f>
        <v/>
      </c>
      <c r="E5" s="26">
        <v>1</v>
      </c>
      <c r="F5" s="10" t="s">
        <v>13</v>
      </c>
      <c r="G5" s="29">
        <v>0.2</v>
      </c>
      <c r="H5" s="29"/>
      <c r="I5" s="29"/>
      <c r="J5" s="10"/>
      <c r="K5" s="10"/>
      <c r="L5" s="10"/>
      <c r="M5" s="10"/>
    </row>
    <row r="6" spans="1:13" x14ac:dyDescent="0.25">
      <c r="A6" s="11" t="s">
        <v>0</v>
      </c>
      <c r="B6" s="11" t="s">
        <v>2</v>
      </c>
      <c r="C6" s="11" t="str">
        <f>_xlfn.XLOOKUP($B6,'SI - Resources'!$A$1:$F$1,'SI - Resources'!$A$2:$F$2, "")</f>
        <v>Diesel</v>
      </c>
      <c r="D6" s="36" t="s">
        <v>14</v>
      </c>
      <c r="E6" s="25">
        <v>10</v>
      </c>
      <c r="F6" s="36" t="str" cm="1">
        <f t="array" ref="F6">IF($B6="Transportation",  'SI - Units'!$B$9:$B$9, _xlfn.XLOOKUP(_xlfn.XLOOKUP($C6,'SI - Units'!$B$12:$B$39,'SI - Units'!$C$12:$C$39, ""),'SI - Units'!$A$2:$A$8,'SI - Units'!$B$2:$B$8, ""))</f>
        <v>BTU</v>
      </c>
      <c r="G6" s="30"/>
      <c r="H6" s="30"/>
      <c r="I6" s="30"/>
      <c r="J6" s="11"/>
      <c r="K6" s="11"/>
      <c r="L6" s="11"/>
      <c r="M6" s="11"/>
    </row>
    <row r="7" spans="1:13" x14ac:dyDescent="0.25">
      <c r="A7" s="11" t="s">
        <v>0</v>
      </c>
      <c r="B7" s="10" t="s">
        <v>2</v>
      </c>
      <c r="C7" s="10" t="s">
        <v>4</v>
      </c>
      <c r="D7" s="35" t="str">
        <f>IF(_xlfn.XLOOKUP($C7,'SI - End Use'!$B$2:$B$30,'SI - End Use'!$C$2:$C$30, "")="", "", _xlfn.XLOOKUP($C7,'SI - End Use'!$B$2:$B$30,'SI - End Use'!$C$2:$C$30, ""))</f>
        <v>U.S. Mix</v>
      </c>
      <c r="E7" s="24">
        <v>10</v>
      </c>
      <c r="F7" s="35" t="str" cm="1">
        <f t="array" ref="F7">IF($B7="Transportation",  'SI - Units'!$B$9:$B$9, _xlfn.XLOOKUP(_xlfn.XLOOKUP($C7,'SI - Units'!$B$12:$B$39,'SI - Units'!$C$12:$C$39, ""),'SI - Units'!$A$2:$A$8,'SI - Units'!$B$2:$B$8, ""))</f>
        <v>kWh</v>
      </c>
      <c r="G7" s="29"/>
      <c r="H7" s="29"/>
      <c r="I7" s="29"/>
      <c r="J7" s="10"/>
      <c r="K7" s="10"/>
      <c r="L7" s="10"/>
      <c r="M7" s="10"/>
    </row>
    <row r="8" spans="1:13" x14ac:dyDescent="0.25">
      <c r="A8" s="11" t="s">
        <v>0</v>
      </c>
      <c r="B8" s="11" t="s">
        <v>36</v>
      </c>
      <c r="C8" s="11" t="str">
        <f>_xlfn.XLOOKUP($B8,'SI - Resources'!$A$1:$F$1,'SI - Resources'!$A$2:$F$2, "")</f>
        <v>Corn Stover</v>
      </c>
      <c r="D8" s="36" t="str">
        <f>IF(_xlfn.XLOOKUP($C8,'SI - End Use'!$B$2:$B$30,'SI - End Use'!$C$2:$C$30, "")="", "", _xlfn.XLOOKUP($C8,'SI - End Use'!$B$2:$B$30,'SI - End Use'!$C$2:$C$30, ""))</f>
        <v/>
      </c>
      <c r="E8" s="25">
        <v>1</v>
      </c>
      <c r="F8" s="36" t="s">
        <v>37</v>
      </c>
      <c r="G8" s="30">
        <v>0.2</v>
      </c>
      <c r="H8" s="30"/>
      <c r="I8" s="30"/>
      <c r="J8" s="11"/>
      <c r="K8" s="11"/>
      <c r="L8" s="11"/>
      <c r="M8" s="11"/>
    </row>
    <row r="9" spans="1:13" x14ac:dyDescent="0.25">
      <c r="A9" s="11" t="s">
        <v>123</v>
      </c>
      <c r="B9" s="10" t="s">
        <v>42</v>
      </c>
      <c r="C9" s="10" t="str">
        <f>_xlfn.XLOOKUP($B9,'SI - Resources'!$A$1:$F$1,'SI - Resources'!$A$2:$F$2, "")</f>
        <v>Corn Stover</v>
      </c>
      <c r="D9" s="35" t="str">
        <f>IF(_xlfn.XLOOKUP($C9,'SI - End Use'!$B$2:$B$30,'SI - End Use'!$C$2:$C$30, "")="", "", _xlfn.XLOOKUP($C9,'SI - End Use'!$B$2:$B$30,'SI - End Use'!$C$2:$C$30, ""))</f>
        <v/>
      </c>
      <c r="E9" s="24">
        <v>907.18470000000002</v>
      </c>
      <c r="F9" s="35" t="s">
        <v>65</v>
      </c>
      <c r="G9" s="29">
        <v>0.2</v>
      </c>
      <c r="H9" s="29"/>
      <c r="I9" s="29"/>
      <c r="J9" s="10"/>
      <c r="K9" s="10"/>
      <c r="L9" s="10"/>
      <c r="M9" s="10"/>
    </row>
  </sheetData>
  <phoneticPr fontId="19" type="noConversion"/>
  <dataValidations count="2">
    <dataValidation type="custom" allowBlank="1" showInputMessage="1" showErrorMessage="1" sqref="E5:E9 G5:G9" xr:uid="{D8951A9F-B42C-406D-BA5C-8663A9453173}">
      <formula1>ISNUMBER(E5)</formula1>
    </dataValidation>
    <dataValidation type="list" allowBlank="1" showInputMessage="1" showErrorMessage="1" sqref="C2" xr:uid="{A3075C3D-FBD3-40A2-AC1D-A67BB882F76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Button 3">
              <controlPr defaultSize="0" print="0" autoFill="0" autoPict="0" macro="[0]!New_process">
                <anchor moveWithCells="1" sizeWithCells="1">
                  <from>
                    <xdr:col>3</xdr:col>
                    <xdr:colOff>1371600</xdr:colOff>
                    <xdr:row>0</xdr:row>
                    <xdr:rowOff>0</xdr:rowOff>
                  </from>
                  <to>
                    <xdr:col>5</xdr:col>
                    <xdr:colOff>19050</xdr:colOff>
                    <xdr:row>1</xdr:row>
                    <xdr:rowOff>228600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9">
        <x14:dataValidation type="list" allowBlank="1" showInputMessage="1" showErrorMessage="1" xr:uid="{8EC0DD24-B3E6-4134-9D01-414A1A6E9502}">
          <x14:formula1>
            <xm:f>_xlfn.XLOOKUP(_xlfn.XLOOKUP($C5,'SI - Units'!$B$12:$B$39,'SI - Units'!$C$12:$C$39),'SI - Units'!$A$2:$A$8,'SI - Units'!$B$2:$R$8)</xm:f>
          </x14:formula1>
          <xm:sqref>F4</xm:sqref>
        </x14:dataValidation>
        <x14:dataValidation type="list" allowBlank="1" showInputMessage="1" showErrorMessage="1" xr:uid="{242390A9-F249-4697-9652-08CAA4D833AB}">
          <x14:formula1>
            <xm:f>'SI - Co-products'!$A$2:$A$5</xm:f>
          </x14:formula1>
          <xm:sqref>J5:L9</xm:sqref>
        </x14:dataValidation>
        <x14:dataValidation type="list" allowBlank="1" showInputMessage="1" showErrorMessage="1" xr:uid="{1C0881B3-E5C2-46AF-9963-A65AA68FEE6C}">
          <x14:formula1>
            <xm:f>'SI - Resources'!$A$1:$F$1</xm:f>
          </x14:formula1>
          <xm:sqref>B5:B9</xm:sqref>
        </x14:dataValidation>
        <x14:dataValidation type="list" allowBlank="1" showInputMessage="1" showErrorMessage="1" xr:uid="{F97760FF-52DF-486B-B6E0-BF8A9A20B2F6}">
          <x14:formula1>
            <xm:f>IF($B5="Transportation",  'SI - Units'!$B$9:$E$9, _xlfn.XLOOKUP(_xlfn.XLOOKUP($C5,'SI - Units'!$B$12:$B$39,'SI - Units'!$C$12:$C$39),'SI - Units'!$A$2:$A$8,'SI - Units'!$B$2:$R$8))</xm:f>
          </x14:formula1>
          <xm:sqref>F5:F9</xm:sqref>
        </x14:dataValidation>
        <x14:dataValidation type="list" allowBlank="1" showInputMessage="1" showErrorMessage="1" xr:uid="{2313FE9B-D39E-4155-82BA-365452AD5B62}">
          <x14:formula1>
            <xm:f>_xlfn.XLOOKUP($B5,'SI - Resources'!$A$1:$F$1,INDIRECT("Resource"))</xm:f>
          </x14:formula1>
          <xm:sqref>C5:C9</xm:sqref>
        </x14:dataValidation>
        <x14:dataValidation type="list" allowBlank="1" showInputMessage="1" xr:uid="{867F136A-211E-4DA5-B781-798E449C8DB3}">
          <x14:formula1>
            <xm:f>_xlfn.XLOOKUP($C5,'SI - End Use'!$B$2:$B$30,'SI - End Use'!$C$2:$N$30)</xm:f>
          </x14:formula1>
          <xm:sqref>D5:D9</xm:sqref>
        </x14:dataValidation>
        <x14:dataValidation type="list" allowBlank="1" showInputMessage="1" showErrorMessage="1" xr:uid="{57AA8967-5486-4408-B4B8-703359E96833}">
          <x14:formula1>
            <xm:f>'SI - Co-products'!$C$3:$C$4</xm:f>
          </x14:formula1>
          <xm:sqref>I5:I9</xm:sqref>
        </x14:dataValidation>
        <x14:dataValidation type="list" allowBlank="1" showInputMessage="1" showErrorMessage="1" xr:uid="{1894C8C6-E422-4F91-A184-8D0C2EA64C57}">
          <x14:formula1>
            <xm:f>'SI - Co-products'!$B$2:$B$5</xm:f>
          </x14:formula1>
          <xm:sqref>A5:A9</xm:sqref>
        </x14:dataValidation>
        <x14:dataValidation type="list" allowBlank="1" showInputMessage="1" showErrorMessage="1" xr:uid="{2C813148-9DDE-4610-9FE4-30AD710E7440}">
          <x14:formula1>
            <xm:f>'SI - Co-products'!$D$2:$D$8</xm:f>
          </x14:formula1>
          <xm:sqref>C1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301416-E9E8-425C-990B-D8A1619A9037}">
  <sheetPr codeName="Sheet2"/>
  <dimension ref="A1:Q9"/>
  <sheetViews>
    <sheetView zoomScaleNormal="100" workbookViewId="0">
      <pane ySplit="4" topLeftCell="A5" activePane="bottomLeft" state="frozen"/>
      <selection pane="bottomLeft" activeCell="K4" sqref="K4:L4"/>
    </sheetView>
  </sheetViews>
  <sheetFormatPr defaultRowHeight="15" x14ac:dyDescent="0.25"/>
  <cols>
    <col min="1" max="1" width="15.140625" customWidth="1"/>
    <col min="2" max="2" width="51.85546875" customWidth="1"/>
    <col min="3" max="3" width="23" bestFit="1" customWidth="1"/>
    <col min="4" max="4" width="28.140625" bestFit="1" customWidth="1"/>
    <col min="5" max="5" width="10.140625" bestFit="1" customWidth="1"/>
    <col min="6" max="6" width="11.85546875" bestFit="1" customWidth="1"/>
    <col min="8" max="8" width="17.5703125" bestFit="1" customWidth="1"/>
    <col min="9" max="9" width="17.5703125" customWidth="1"/>
    <col min="10" max="10" width="17.5703125" bestFit="1" customWidth="1"/>
    <col min="11" max="12" width="17.5703125" customWidth="1"/>
  </cols>
  <sheetData>
    <row r="1" spans="1:17" ht="18.75" x14ac:dyDescent="0.3">
      <c r="A1" s="32" t="s">
        <v>153</v>
      </c>
      <c r="B1" s="58"/>
      <c r="C1" s="33" t="s">
        <v>154</v>
      </c>
    </row>
    <row r="2" spans="1:17" x14ac:dyDescent="0.25">
      <c r="A2" s="32" t="s">
        <v>125</v>
      </c>
      <c r="B2" s="32"/>
      <c r="C2" s="33" t="s">
        <v>126</v>
      </c>
    </row>
    <row r="4" spans="1:17" x14ac:dyDescent="0.25">
      <c r="A4" s="12" t="s">
        <v>7</v>
      </c>
      <c r="B4" s="13" t="s">
        <v>1</v>
      </c>
      <c r="C4" s="13" t="s">
        <v>39</v>
      </c>
      <c r="D4" s="13" t="s">
        <v>6</v>
      </c>
      <c r="E4" s="13" t="s">
        <v>8</v>
      </c>
      <c r="F4" s="13" t="s">
        <v>9</v>
      </c>
      <c r="G4" s="13" t="s">
        <v>120</v>
      </c>
      <c r="H4" s="13" t="s">
        <v>121</v>
      </c>
      <c r="I4" s="13" t="s">
        <v>150</v>
      </c>
      <c r="J4" s="14" t="s">
        <v>122</v>
      </c>
      <c r="K4" s="14" t="s">
        <v>163</v>
      </c>
      <c r="L4" s="14" t="s">
        <v>164</v>
      </c>
      <c r="M4" s="14" t="s">
        <v>5</v>
      </c>
    </row>
    <row r="5" spans="1:17" x14ac:dyDescent="0.25">
      <c r="A5" s="10" t="s">
        <v>149</v>
      </c>
      <c r="B5" s="10" t="s">
        <v>42</v>
      </c>
      <c r="C5" s="10" t="str">
        <f>_xlfn.XLOOKUP($B5,'SI - Resources'!$A$1:$F$1,'SI - Resources'!$A$2:$F$2)</f>
        <v>Corn Stover</v>
      </c>
      <c r="D5" s="10"/>
      <c r="E5" s="26">
        <v>2</v>
      </c>
      <c r="F5" s="10" t="s">
        <v>13</v>
      </c>
      <c r="G5" s="29">
        <v>0.2</v>
      </c>
      <c r="H5" s="29" t="s">
        <v>127</v>
      </c>
      <c r="I5" s="29"/>
      <c r="J5" s="10"/>
      <c r="K5" s="10"/>
      <c r="L5" s="10"/>
      <c r="M5" s="10"/>
    </row>
    <row r="6" spans="1:17" x14ac:dyDescent="0.25">
      <c r="A6" s="11" t="s">
        <v>0</v>
      </c>
      <c r="B6" s="11" t="s">
        <v>2</v>
      </c>
      <c r="C6" s="11" t="s">
        <v>3</v>
      </c>
      <c r="D6" s="11" t="s">
        <v>11</v>
      </c>
      <c r="E6" s="25">
        <v>100</v>
      </c>
      <c r="F6" s="11" t="s">
        <v>77</v>
      </c>
      <c r="G6" s="30"/>
      <c r="H6" s="30"/>
      <c r="I6" s="30"/>
      <c r="J6" s="11"/>
      <c r="K6" s="11"/>
      <c r="L6" s="11"/>
      <c r="M6" s="11"/>
      <c r="Q6" s="28"/>
    </row>
    <row r="7" spans="1:17" x14ac:dyDescent="0.25">
      <c r="A7" s="10" t="s">
        <v>0</v>
      </c>
      <c r="B7" s="10" t="s">
        <v>2</v>
      </c>
      <c r="C7" s="10" t="s">
        <v>4</v>
      </c>
      <c r="D7" s="10" t="str">
        <f>IF(_xlfn.XLOOKUP(Table211[[#This Row],[Resource]], 'SI - End Use'!$B$2:$B$30,'SI - End Use'!$C$2:$C$30, "")="", "", _xlfn.XLOOKUP(Table211[[#This Row],[Resource]], 'SI - End Use'!$B$2:$B$30,'SI - End Use'!$C$2:$C$30, ""))</f>
        <v>U.S. Mix</v>
      </c>
      <c r="E7" s="24">
        <v>200</v>
      </c>
      <c r="F7" s="11" t="s">
        <v>77</v>
      </c>
      <c r="G7" s="29"/>
      <c r="H7" s="29"/>
      <c r="I7" s="29"/>
      <c r="J7" s="10"/>
      <c r="K7" s="10"/>
      <c r="L7" s="10"/>
      <c r="M7" s="10"/>
    </row>
    <row r="8" spans="1:17" x14ac:dyDescent="0.25">
      <c r="A8" s="11" t="s">
        <v>0</v>
      </c>
      <c r="B8" s="11" t="s">
        <v>36</v>
      </c>
      <c r="C8" s="11" t="str">
        <f>_xlfn.XLOOKUP($B8,'SI - Resources'!$A$1:$F$1,'SI - Resources'!$A$2:$F$2)</f>
        <v>Corn Stover</v>
      </c>
      <c r="D8" s="11"/>
      <c r="E8" s="25">
        <v>1.6093440000000001</v>
      </c>
      <c r="F8" s="11" t="s">
        <v>118</v>
      </c>
      <c r="G8" s="30">
        <v>0.2</v>
      </c>
      <c r="H8" s="30"/>
      <c r="I8" s="30"/>
      <c r="J8" s="11"/>
      <c r="K8" s="11"/>
      <c r="L8" s="11"/>
      <c r="M8" s="11"/>
    </row>
    <row r="9" spans="1:17" x14ac:dyDescent="0.25">
      <c r="A9" s="11" t="s">
        <v>123</v>
      </c>
      <c r="B9" s="11" t="s">
        <v>42</v>
      </c>
      <c r="C9" s="11" t="str">
        <f>_xlfn.XLOOKUP($B9,'SI - Resources'!$A$1:$F$1,'SI - Resources'!$A$2:$F$2)</f>
        <v>Corn Stover</v>
      </c>
      <c r="D9" s="11"/>
      <c r="E9" s="25">
        <v>907.18470000000002</v>
      </c>
      <c r="F9" s="11" t="s">
        <v>65</v>
      </c>
      <c r="G9" s="30">
        <v>0.2</v>
      </c>
      <c r="H9" s="30"/>
      <c r="I9" s="30"/>
      <c r="J9" s="11"/>
      <c r="K9" s="11"/>
      <c r="L9" s="11"/>
      <c r="M9" s="11"/>
    </row>
  </sheetData>
  <phoneticPr fontId="19" type="noConversion"/>
  <dataValidations count="2">
    <dataValidation type="custom" allowBlank="1" showInputMessage="1" showErrorMessage="1" sqref="E5:E9 G5:G9" xr:uid="{C0FD6147-12E5-48CC-9C70-C974344FF0B4}">
      <formula1>ISNUMBER(E5)</formula1>
    </dataValidation>
    <dataValidation type="list" allowBlank="1" showInputMessage="1" showErrorMessage="1" sqref="C2" xr:uid="{403B32D6-C57F-44E6-984E-4A06D529A1CB}">
      <formula1>"Yes, 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New_process">
                <anchor moveWithCells="1" sizeWithCells="1">
                  <from>
                    <xdr:col>3</xdr:col>
                    <xdr:colOff>1371600</xdr:colOff>
                    <xdr:row>0</xdr:row>
                    <xdr:rowOff>0</xdr:rowOff>
                  </from>
                  <to>
                    <xdr:col>5</xdr:col>
                    <xdr:colOff>19050</xdr:colOff>
                    <xdr:row>1</xdr:row>
                    <xdr:rowOff>228600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8">
        <x14:dataValidation type="list" allowBlank="1" showInputMessage="1" showErrorMessage="1" xr:uid="{764B77F0-2A05-40FE-8C2B-806EB585170E}">
          <x14:formula1>
            <xm:f>_xlfn.XLOOKUP(_xlfn.XLOOKUP($C5,'SI - Units'!$B$12:$B$39,'SI - Units'!$C$12:$C$39),'SI - Units'!$A$2:$A$8,'SI - Units'!$B$2:$R$8)</xm:f>
          </x14:formula1>
          <xm:sqref>F4</xm:sqref>
        </x14:dataValidation>
        <x14:dataValidation type="list" allowBlank="1" showInputMessage="1" showErrorMessage="1" xr:uid="{423E2F21-E8A2-4D2D-9C4D-88F26666FC53}">
          <x14:formula1>
            <xm:f>'SI - Co-products'!$A$2:$A$5</xm:f>
          </x14:formula1>
          <xm:sqref>J5:L9</xm:sqref>
        </x14:dataValidation>
        <x14:dataValidation type="list" allowBlank="1" showInputMessage="1" showErrorMessage="1" xr:uid="{429504D9-26F5-483D-850F-5538E8FEF157}">
          <x14:formula1>
            <xm:f>'SI - Resources'!$A$1:$F$1</xm:f>
          </x14:formula1>
          <xm:sqref>B5:B9</xm:sqref>
        </x14:dataValidation>
        <x14:dataValidation type="list" allowBlank="1" showInputMessage="1" showErrorMessage="1" xr:uid="{0CCEC2F1-72DC-4E53-B973-E8F43D43727B}">
          <x14:formula1>
            <xm:f>IF($B5="Transportation",  'SI - Units'!$B$9:$E$9, _xlfn.XLOOKUP(_xlfn.XLOOKUP($C5,'SI - Units'!$B$12:$B$39,'SI - Units'!$C$12:$C$39),'SI - Units'!$A$2:$A$8,'SI - Units'!$B$2:$R$8))</xm:f>
          </x14:formula1>
          <xm:sqref>F5:F9</xm:sqref>
        </x14:dataValidation>
        <x14:dataValidation type="list" allowBlank="1" showInputMessage="1" showErrorMessage="1" xr:uid="{A4888E5E-F67C-4B55-8D73-B46F1645D77A}">
          <x14:formula1>
            <xm:f>_xlfn.XLOOKUP($B5,'SI - Resources'!$A$1:$F$1,INDIRECT("Resource"))</xm:f>
          </x14:formula1>
          <xm:sqref>C5:C9</xm:sqref>
        </x14:dataValidation>
        <x14:dataValidation type="list" allowBlank="1" showInputMessage="1" xr:uid="{F11CA342-4C37-4719-9D70-A8943217BD5F}">
          <x14:formula1>
            <xm:f>_xlfn.XLOOKUP($C5,'SI - End Use'!$B$2:$B$30,'SI - End Use'!$C$2:$N$30)</xm:f>
          </x14:formula1>
          <xm:sqref>D5:D9</xm:sqref>
        </x14:dataValidation>
        <x14:dataValidation type="list" allowBlank="1" showInputMessage="1" showErrorMessage="1" xr:uid="{B257B15E-EBF8-4AD7-B16F-3714538B5233}">
          <x14:formula1>
            <xm:f>'SI - Co-products'!$B$2:$B$5</xm:f>
          </x14:formula1>
          <xm:sqref>A5:A9</xm:sqref>
        </x14:dataValidation>
        <x14:dataValidation type="list" allowBlank="1" showInputMessage="1" showErrorMessage="1" xr:uid="{38BFA1F2-637C-4EBE-BD03-2487D9466E21}">
          <x14:formula1>
            <xm:f>'SI - Co-products'!$D$2:$D$8</xm:f>
          </x14:formula1>
          <xm:sqref>C1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6E821-1905-4D5B-BF06-E8E587BF167A}">
  <sheetPr codeName="Sheet3"/>
  <dimension ref="A1:W50"/>
  <sheetViews>
    <sheetView zoomScaleNormal="100" workbookViewId="0">
      <selection activeCell="K6" sqref="K6"/>
    </sheetView>
  </sheetViews>
  <sheetFormatPr defaultRowHeight="15" x14ac:dyDescent="0.25"/>
  <cols>
    <col min="1" max="1" width="28.140625" customWidth="1"/>
    <col min="2" max="2" width="39.42578125" customWidth="1"/>
    <col min="3" max="3" width="17.42578125" customWidth="1"/>
    <col min="4" max="4" width="25.7109375" customWidth="1"/>
    <col min="5" max="5" width="9.7109375" customWidth="1"/>
    <col min="8" max="8" width="17.5703125" bestFit="1" customWidth="1"/>
    <col min="9" max="9" width="17.5703125" customWidth="1"/>
    <col min="10" max="10" width="14.140625" bestFit="1" customWidth="1"/>
    <col min="11" max="12" width="14.140625" customWidth="1"/>
    <col min="16" max="16" width="9.140625" style="1"/>
    <col min="17" max="17" width="31.42578125" style="1" bestFit="1" customWidth="1"/>
    <col min="18" max="18" width="9.140625" style="1"/>
    <col min="19" max="19" width="8.7109375" style="1"/>
    <col min="20" max="20" width="9.140625" style="1"/>
    <col min="21" max="23" width="8.7109375" style="1"/>
  </cols>
  <sheetData>
    <row r="1" spans="1:23" ht="18.75" x14ac:dyDescent="0.3">
      <c r="A1" s="32" t="s">
        <v>153</v>
      </c>
      <c r="B1" s="58"/>
      <c r="C1" s="33" t="s">
        <v>158</v>
      </c>
      <c r="P1"/>
      <c r="Q1"/>
      <c r="R1"/>
      <c r="S1"/>
      <c r="T1"/>
      <c r="U1"/>
      <c r="V1"/>
      <c r="W1"/>
    </row>
    <row r="2" spans="1:23" x14ac:dyDescent="0.25">
      <c r="A2" s="32" t="s">
        <v>125</v>
      </c>
      <c r="B2" s="32"/>
      <c r="C2" s="33" t="s">
        <v>152</v>
      </c>
      <c r="P2"/>
      <c r="Q2"/>
      <c r="R2"/>
      <c r="S2"/>
      <c r="T2"/>
      <c r="U2"/>
      <c r="V2"/>
      <c r="W2"/>
    </row>
    <row r="3" spans="1:23" x14ac:dyDescent="0.25">
      <c r="P3"/>
      <c r="Q3"/>
      <c r="R3"/>
      <c r="S3"/>
      <c r="T3"/>
      <c r="U3"/>
      <c r="V3"/>
      <c r="W3"/>
    </row>
    <row r="4" spans="1:23" x14ac:dyDescent="0.25">
      <c r="A4" s="12" t="s">
        <v>7</v>
      </c>
      <c r="B4" s="13" t="s">
        <v>1</v>
      </c>
      <c r="C4" s="13" t="s">
        <v>39</v>
      </c>
      <c r="D4" s="13" t="s">
        <v>6</v>
      </c>
      <c r="E4" s="13" t="s">
        <v>8</v>
      </c>
      <c r="F4" s="13" t="s">
        <v>9</v>
      </c>
      <c r="G4" s="13" t="s">
        <v>120</v>
      </c>
      <c r="H4" s="13" t="s">
        <v>121</v>
      </c>
      <c r="I4" s="13" t="s">
        <v>150</v>
      </c>
      <c r="J4" s="14" t="s">
        <v>122</v>
      </c>
      <c r="K4" s="14" t="s">
        <v>163</v>
      </c>
      <c r="L4" s="14" t="s">
        <v>164</v>
      </c>
      <c r="M4" s="14" t="s">
        <v>5</v>
      </c>
      <c r="P4" s="47"/>
      <c r="Q4" s="47"/>
      <c r="R4" s="55"/>
      <c r="S4" s="49"/>
      <c r="T4" s="49"/>
      <c r="V4" s="54"/>
    </row>
    <row r="5" spans="1:23" x14ac:dyDescent="0.25">
      <c r="A5" s="10" t="s">
        <v>149</v>
      </c>
      <c r="B5" s="10" t="s">
        <v>42</v>
      </c>
      <c r="C5" s="10" t="str">
        <f>_xlfn.XLOOKUP(Table2[[#This Row],[Category]],'SI - Resources'!$A$1:$E$1,'SI - Resources'!$A$2:$E$2, "")</f>
        <v>Corn Stover</v>
      </c>
      <c r="D5" s="10"/>
      <c r="E5" s="24">
        <v>907.18470000000002</v>
      </c>
      <c r="F5" s="10" t="s">
        <v>65</v>
      </c>
      <c r="G5" s="27">
        <v>0.2</v>
      </c>
      <c r="H5" s="27" t="s">
        <v>38</v>
      </c>
      <c r="I5" s="27"/>
      <c r="J5" s="10" t="s">
        <v>94</v>
      </c>
      <c r="K5" s="10"/>
      <c r="L5" s="10"/>
      <c r="M5" s="10"/>
      <c r="P5" s="47"/>
      <c r="Q5" s="48"/>
      <c r="R5" s="56"/>
      <c r="S5" s="50"/>
      <c r="T5" s="50"/>
    </row>
    <row r="6" spans="1:23" x14ac:dyDescent="0.25">
      <c r="A6" s="11" t="s">
        <v>0</v>
      </c>
      <c r="B6" s="11" t="s">
        <v>41</v>
      </c>
      <c r="C6" s="11" t="s">
        <v>115</v>
      </c>
      <c r="D6" s="11"/>
      <c r="E6" s="25">
        <v>1</v>
      </c>
      <c r="F6" s="11" t="s">
        <v>65</v>
      </c>
      <c r="G6" s="31">
        <v>7.0000000000000007E-2</v>
      </c>
      <c r="H6" s="31"/>
      <c r="I6" s="31"/>
      <c r="J6" s="11" t="s">
        <v>93</v>
      </c>
      <c r="K6" s="11"/>
      <c r="L6" s="11"/>
      <c r="M6" s="11"/>
      <c r="P6" s="47"/>
      <c r="Q6" s="47"/>
      <c r="R6" s="55"/>
      <c r="S6" s="49"/>
      <c r="T6" s="49"/>
    </row>
    <row r="7" spans="1:23" x14ac:dyDescent="0.25">
      <c r="A7" s="10" t="s">
        <v>0</v>
      </c>
      <c r="B7" s="10" t="s">
        <v>41</v>
      </c>
      <c r="C7" s="10" t="s">
        <v>15</v>
      </c>
      <c r="D7" s="10"/>
      <c r="E7" s="24">
        <v>1</v>
      </c>
      <c r="F7" s="10" t="s">
        <v>65</v>
      </c>
      <c r="G7" s="10"/>
      <c r="H7" s="10"/>
      <c r="I7" s="10"/>
      <c r="J7" s="10" t="s">
        <v>93</v>
      </c>
      <c r="K7" s="10"/>
      <c r="L7" s="10"/>
      <c r="M7" s="10"/>
      <c r="P7" s="47"/>
      <c r="Q7" s="57"/>
      <c r="R7" s="55"/>
      <c r="S7" s="49"/>
      <c r="T7" s="49"/>
    </row>
    <row r="8" spans="1:23" x14ac:dyDescent="0.25">
      <c r="A8" s="11" t="s">
        <v>0</v>
      </c>
      <c r="B8" s="11" t="s">
        <v>41</v>
      </c>
      <c r="C8" s="11" t="s">
        <v>15</v>
      </c>
      <c r="D8" s="11" t="str">
        <f>IF(_xlfn.XLOOKUP(Table2[[#This Row],[Resource]], 'SI - End Use'!$B$2:$B$30,'SI - End Use'!$C$2:$C$30, "")="", "", _xlfn.XLOOKUP(Table2[[#This Row],[Resource]], 'SI - End Use'!$B$2:$B$30,'SI - End Use'!$C$2:$C$30, ""))</f>
        <v/>
      </c>
      <c r="E8" s="25">
        <v>1</v>
      </c>
      <c r="F8" s="11" t="str">
        <f>_xlfn.XLOOKUP(_xlfn.XLOOKUP($C8,'SI - Units'!$B$12:$B$39,'SI - Units'!$C$12:$C$39),'SI - Units'!$A$2:$A$9,'SI - Units'!$B$2:$B$9)</f>
        <v>kg</v>
      </c>
      <c r="G8" s="11"/>
      <c r="H8" s="11"/>
      <c r="I8" s="11"/>
      <c r="J8" s="11" t="s">
        <v>94</v>
      </c>
      <c r="K8" s="11"/>
      <c r="L8" s="11"/>
      <c r="M8" s="11"/>
      <c r="P8" s="47"/>
      <c r="Q8" s="47"/>
      <c r="R8" s="55"/>
      <c r="S8" s="49"/>
      <c r="T8" s="49"/>
    </row>
    <row r="9" spans="1:23" ht="15" customHeight="1" x14ac:dyDescent="0.25">
      <c r="A9" s="10" t="s">
        <v>0</v>
      </c>
      <c r="B9" s="10" t="s">
        <v>41</v>
      </c>
      <c r="C9" s="10" t="s">
        <v>28</v>
      </c>
      <c r="D9" s="10" t="str">
        <f>IF(_xlfn.XLOOKUP(Table2[[#This Row],[Resource]], 'SI - End Use'!$B$2:$B$30,'SI - End Use'!$C$2:$C$30, "")="", "", _xlfn.XLOOKUP(Table2[[#This Row],[Resource]], 'SI - End Use'!$B$2:$B$30,'SI - End Use'!$C$2:$C$30, ""))</f>
        <v>Use</v>
      </c>
      <c r="E9" s="24">
        <v>1</v>
      </c>
      <c r="F9" s="10" t="str">
        <f>_xlfn.XLOOKUP(_xlfn.XLOOKUP($C9,'SI - Units'!$B$12:$B$39,'SI - Units'!$C$12:$C$39),'SI - Units'!$A$2:$A$9,'SI - Units'!$B$2:$B$9)</f>
        <v>kg</v>
      </c>
      <c r="G9" s="10"/>
      <c r="H9" s="10"/>
      <c r="I9" s="10"/>
      <c r="J9" s="10" t="s">
        <v>94</v>
      </c>
      <c r="K9" s="10"/>
      <c r="L9" s="10"/>
      <c r="M9" s="10"/>
      <c r="P9" s="47"/>
      <c r="Q9" s="48"/>
      <c r="R9" s="68"/>
      <c r="S9" s="68"/>
      <c r="T9" s="53"/>
    </row>
    <row r="10" spans="1:23" ht="15" customHeight="1" x14ac:dyDescent="0.25">
      <c r="A10" s="11" t="s">
        <v>0</v>
      </c>
      <c r="B10" s="11" t="s">
        <v>41</v>
      </c>
      <c r="C10" s="11" t="s">
        <v>16</v>
      </c>
      <c r="D10" s="11" t="str">
        <f>IF(_xlfn.XLOOKUP(Table2[[#This Row],[Resource]], 'SI - End Use'!$B$2:$B$30,'SI - End Use'!$C$2:$C$30, "")="", "", _xlfn.XLOOKUP(Table2[[#This Row],[Resource]], 'SI - End Use'!$B$2:$B$30,'SI - End Use'!$C$2:$C$30, ""))</f>
        <v/>
      </c>
      <c r="E10" s="25">
        <v>1</v>
      </c>
      <c r="F10" s="11" t="str">
        <f>_xlfn.XLOOKUP(_xlfn.XLOOKUP($C10,'SI - Units'!$B$12:$B$39,'SI - Units'!$C$12:$C$39),'SI - Units'!$A$2:$A$9,'SI - Units'!$B$2:$B$9)</f>
        <v>kg</v>
      </c>
      <c r="G10" s="11"/>
      <c r="H10" s="11"/>
      <c r="I10" s="11"/>
      <c r="J10" s="11" t="s">
        <v>10</v>
      </c>
      <c r="K10" s="11"/>
      <c r="L10" s="11"/>
      <c r="M10" s="11"/>
      <c r="P10" s="47"/>
      <c r="Q10" s="47"/>
      <c r="R10" s="55"/>
      <c r="S10" s="49"/>
      <c r="T10" s="49"/>
    </row>
    <row r="11" spans="1:23" x14ac:dyDescent="0.25">
      <c r="A11" s="10" t="s">
        <v>0</v>
      </c>
      <c r="B11" s="10" t="s">
        <v>41</v>
      </c>
      <c r="C11" s="10" t="s">
        <v>16</v>
      </c>
      <c r="D11" s="10" t="str">
        <f>IF(_xlfn.XLOOKUP(Table2[[#This Row],[Resource]], 'SI - End Use'!$B$2:$B$30,'SI - End Use'!$C$2:$C$30, "")="", "", _xlfn.XLOOKUP(Table2[[#This Row],[Resource]], 'SI - End Use'!$B$2:$B$30,'SI - End Use'!$C$2:$C$30, ""))</f>
        <v/>
      </c>
      <c r="E11" s="24">
        <v>1</v>
      </c>
      <c r="F11" s="10" t="str">
        <f>_xlfn.XLOOKUP(_xlfn.XLOOKUP($C11,'SI - Units'!$B$12:$B$39,'SI - Units'!$C$12:$C$39),'SI - Units'!$A$2:$A$9,'SI - Units'!$B$2:$B$9)</f>
        <v>kg</v>
      </c>
      <c r="G11" s="10"/>
      <c r="H11" s="10"/>
      <c r="I11" s="10"/>
      <c r="J11" s="10" t="s">
        <v>93</v>
      </c>
      <c r="K11" s="10"/>
      <c r="L11" s="10"/>
      <c r="M11" s="10"/>
      <c r="P11" s="47"/>
      <c r="Q11" s="47"/>
      <c r="R11" s="55"/>
      <c r="S11" s="49"/>
      <c r="T11" s="49"/>
    </row>
    <row r="12" spans="1:23" x14ac:dyDescent="0.25">
      <c r="A12" s="11" t="s">
        <v>0</v>
      </c>
      <c r="B12" s="11" t="s">
        <v>41</v>
      </c>
      <c r="C12" s="11" t="s">
        <v>16</v>
      </c>
      <c r="D12" s="11" t="str">
        <f>IF(_xlfn.XLOOKUP(Table2[[#This Row],[Resource]], 'SI - End Use'!$B$2:$B$30,'SI - End Use'!$C$2:$C$30, "")="", "", _xlfn.XLOOKUP(Table2[[#This Row],[Resource]], 'SI - End Use'!$B$2:$B$30,'SI - End Use'!$C$2:$C$30, ""))</f>
        <v/>
      </c>
      <c r="E12" s="25">
        <v>1</v>
      </c>
      <c r="F12" s="11" t="str">
        <f>_xlfn.XLOOKUP(_xlfn.XLOOKUP($C12,'SI - Units'!$B$12:$B$39,'SI - Units'!$C$12:$C$39),'SI - Units'!$A$2:$A$9,'SI - Units'!$B$2:$B$9)</f>
        <v>kg</v>
      </c>
      <c r="G12" s="11"/>
      <c r="H12" s="11"/>
      <c r="I12" s="11"/>
      <c r="J12" s="11" t="s">
        <v>94</v>
      </c>
      <c r="K12" s="11"/>
      <c r="L12" s="11"/>
      <c r="M12" s="11"/>
      <c r="P12" s="47"/>
      <c r="Q12" s="47"/>
      <c r="R12" s="55"/>
      <c r="S12" s="49"/>
      <c r="T12" s="49"/>
    </row>
    <row r="13" spans="1:23" x14ac:dyDescent="0.25">
      <c r="A13" s="10" t="s">
        <v>0</v>
      </c>
      <c r="B13" s="10" t="s">
        <v>41</v>
      </c>
      <c r="C13" s="10" t="s">
        <v>21</v>
      </c>
      <c r="D13" s="10" t="str">
        <f>IF(_xlfn.XLOOKUP(Table2[[#This Row],[Resource]], 'SI - End Use'!$B$2:$B$30,'SI - End Use'!$C$2:$C$30, "")="", "", _xlfn.XLOOKUP(Table2[[#This Row],[Resource]], 'SI - End Use'!$B$2:$B$30,'SI - End Use'!$C$2:$C$30, ""))</f>
        <v/>
      </c>
      <c r="E13" s="24">
        <v>1</v>
      </c>
      <c r="F13" s="10" t="str">
        <f>_xlfn.XLOOKUP(_xlfn.XLOOKUP($C13,'SI - Units'!$B$12:$B$39,'SI - Units'!$C$12:$C$39),'SI - Units'!$A$2:$A$9,'SI - Units'!$B$2:$B$9)</f>
        <v>kg</v>
      </c>
      <c r="G13" s="10"/>
      <c r="H13" s="10"/>
      <c r="I13" s="10"/>
      <c r="J13" s="10" t="s">
        <v>10</v>
      </c>
      <c r="K13" s="10"/>
      <c r="L13" s="10"/>
      <c r="M13" s="10"/>
      <c r="P13" s="47"/>
      <c r="Q13" s="51"/>
      <c r="R13" s="55"/>
      <c r="S13" s="49"/>
      <c r="T13" s="49"/>
    </row>
    <row r="14" spans="1:23" x14ac:dyDescent="0.25">
      <c r="A14" s="11" t="s">
        <v>0</v>
      </c>
      <c r="B14" s="11" t="s">
        <v>41</v>
      </c>
      <c r="C14" s="11" t="s">
        <v>17</v>
      </c>
      <c r="D14" s="11" t="str">
        <f>IF(_xlfn.XLOOKUP(Table2[[#This Row],[Resource]], 'SI - End Use'!$B$2:$B$30,'SI - End Use'!$C$2:$C$30, "")="", "", _xlfn.XLOOKUP(Table2[[#This Row],[Resource]], 'SI - End Use'!$B$2:$B$30,'SI - End Use'!$C$2:$C$30, ""))</f>
        <v/>
      </c>
      <c r="E14" s="25">
        <v>1</v>
      </c>
      <c r="F14" s="11" t="str">
        <f>_xlfn.XLOOKUP(_xlfn.XLOOKUP($C14,'SI - Units'!$B$12:$B$39,'SI - Units'!$C$12:$C$39),'SI - Units'!$A$2:$A$9,'SI - Units'!$B$2:$B$9)</f>
        <v>kg</v>
      </c>
      <c r="G14" s="11"/>
      <c r="H14" s="11"/>
      <c r="I14" s="11"/>
      <c r="J14" s="11" t="s">
        <v>10</v>
      </c>
      <c r="K14" s="11"/>
      <c r="L14" s="11"/>
      <c r="M14" s="11"/>
      <c r="P14" s="47"/>
      <c r="Q14" s="51"/>
      <c r="R14" s="55"/>
      <c r="S14" s="49"/>
      <c r="T14" s="49"/>
    </row>
    <row r="15" spans="1:23" x14ac:dyDescent="0.25">
      <c r="A15" s="10" t="s">
        <v>0</v>
      </c>
      <c r="B15" s="10" t="s">
        <v>41</v>
      </c>
      <c r="C15" s="10" t="s">
        <v>19</v>
      </c>
      <c r="D15" s="10" t="str">
        <f>IF(_xlfn.XLOOKUP(Table2[[#This Row],[Resource]], 'SI - End Use'!$B$2:$B$30,'SI - End Use'!$C$2:$C$30, "")="", "", _xlfn.XLOOKUP(Table2[[#This Row],[Resource]], 'SI - End Use'!$B$2:$B$30,'SI - End Use'!$C$2:$C$30, ""))</f>
        <v/>
      </c>
      <c r="E15" s="24">
        <v>1</v>
      </c>
      <c r="F15" s="10" t="str">
        <f>_xlfn.XLOOKUP(_xlfn.XLOOKUP($C15,'SI - Units'!$B$12:$B$39,'SI - Units'!$C$12:$C$39),'SI - Units'!$A$2:$A$9,'SI - Units'!$B$2:$B$9)</f>
        <v>kg</v>
      </c>
      <c r="G15" s="10"/>
      <c r="H15" s="10"/>
      <c r="I15" s="10"/>
      <c r="J15" s="10" t="s">
        <v>10</v>
      </c>
      <c r="K15" s="10"/>
      <c r="L15" s="10"/>
      <c r="M15" s="10"/>
      <c r="P15" s="47"/>
      <c r="Q15" s="47"/>
      <c r="R15" s="55"/>
      <c r="S15" s="49"/>
      <c r="T15" s="49"/>
    </row>
    <row r="16" spans="1:23" x14ac:dyDescent="0.25">
      <c r="A16" s="11" t="s">
        <v>0</v>
      </c>
      <c r="B16" s="11" t="s">
        <v>41</v>
      </c>
      <c r="C16" s="11" t="s">
        <v>22</v>
      </c>
      <c r="D16" s="11" t="str">
        <f>IF(_xlfn.XLOOKUP(Table2[[#This Row],[Resource]], 'SI - End Use'!$B$2:$B$30,'SI - End Use'!$C$2:$C$30, "")="", "", _xlfn.XLOOKUP(Table2[[#This Row],[Resource]], 'SI - End Use'!$B$2:$B$30,'SI - End Use'!$C$2:$C$30, ""))</f>
        <v/>
      </c>
      <c r="E16" s="25">
        <v>11</v>
      </c>
      <c r="F16" s="11" t="str">
        <f>_xlfn.XLOOKUP(_xlfn.XLOOKUP($C16,'SI - Units'!$B$12:$B$39,'SI - Units'!$C$12:$C$39),'SI - Units'!$A$2:$A$9,'SI - Units'!$B$2:$B$9)</f>
        <v>kg</v>
      </c>
      <c r="G16" s="11"/>
      <c r="H16" s="11"/>
      <c r="I16" s="11"/>
      <c r="J16" s="11" t="s">
        <v>10</v>
      </c>
      <c r="K16" s="11"/>
      <c r="L16" s="11"/>
      <c r="M16" s="11"/>
      <c r="P16" s="47"/>
      <c r="Q16" s="47"/>
      <c r="R16" s="55"/>
      <c r="S16" s="49"/>
      <c r="T16" s="49"/>
    </row>
    <row r="17" spans="1:20" x14ac:dyDescent="0.25">
      <c r="A17" s="10" t="s">
        <v>0</v>
      </c>
      <c r="B17" s="10" t="s">
        <v>41</v>
      </c>
      <c r="C17" s="10" t="s">
        <v>23</v>
      </c>
      <c r="D17" s="10" t="str">
        <f>IF(_xlfn.XLOOKUP(Table2[[#This Row],[Resource]], 'SI - End Use'!$B$2:$B$30,'SI - End Use'!$C$2:$C$30, "")="", "", _xlfn.XLOOKUP(Table2[[#This Row],[Resource]], 'SI - End Use'!$B$2:$B$30,'SI - End Use'!$C$2:$C$30, ""))</f>
        <v/>
      </c>
      <c r="E17" s="24">
        <v>1</v>
      </c>
      <c r="F17" s="10" t="str">
        <f>_xlfn.XLOOKUP(_xlfn.XLOOKUP($C17,'SI - Units'!$B$12:$B$39,'SI - Units'!$C$12:$C$39),'SI - Units'!$A$2:$A$9,'SI - Units'!$B$2:$B$9)</f>
        <v>kg</v>
      </c>
      <c r="G17" s="10"/>
      <c r="H17" s="10"/>
      <c r="I17" s="10"/>
      <c r="J17" s="10" t="s">
        <v>10</v>
      </c>
      <c r="K17" s="10"/>
      <c r="L17" s="10"/>
      <c r="M17" s="10"/>
      <c r="P17" s="47"/>
      <c r="Q17" s="51"/>
      <c r="R17" s="55"/>
      <c r="S17" s="49"/>
      <c r="T17" s="49"/>
    </row>
    <row r="18" spans="1:20" x14ac:dyDescent="0.25">
      <c r="A18" s="11" t="s">
        <v>0</v>
      </c>
      <c r="B18" s="11" t="s">
        <v>41</v>
      </c>
      <c r="C18" s="11" t="s">
        <v>18</v>
      </c>
      <c r="D18" s="11" t="str">
        <f>IF(_xlfn.XLOOKUP(Table2[[#This Row],[Resource]], 'SI - End Use'!$B$2:$B$30,'SI - End Use'!$C$2:$C$30, "")="", "", _xlfn.XLOOKUP(Table2[[#This Row],[Resource]], 'SI - End Use'!$B$2:$B$30,'SI - End Use'!$C$2:$C$30, ""))</f>
        <v/>
      </c>
      <c r="E18" s="25">
        <v>1</v>
      </c>
      <c r="F18" s="11" t="str">
        <f>_xlfn.XLOOKUP(_xlfn.XLOOKUP($C18,'SI - Units'!$B$12:$B$39,'SI - Units'!$C$12:$C$39),'SI - Units'!$A$2:$A$9,'SI - Units'!$B$2:$B$9)</f>
        <v>kg</v>
      </c>
      <c r="G18" s="11"/>
      <c r="H18" s="11"/>
      <c r="I18" s="11"/>
      <c r="J18" s="11" t="s">
        <v>10</v>
      </c>
      <c r="K18" s="11"/>
      <c r="L18" s="11"/>
      <c r="M18" s="11"/>
      <c r="P18" s="47"/>
      <c r="Q18" s="51"/>
      <c r="R18" s="55"/>
      <c r="S18" s="49"/>
      <c r="T18" s="49"/>
    </row>
    <row r="19" spans="1:20" x14ac:dyDescent="0.25">
      <c r="A19" s="10" t="s">
        <v>0</v>
      </c>
      <c r="B19" s="10" t="s">
        <v>41</v>
      </c>
      <c r="C19" s="10" t="s">
        <v>20</v>
      </c>
      <c r="D19" s="10" t="str">
        <f>IF(_xlfn.XLOOKUP(Table2[[#This Row],[Resource]], 'SI - End Use'!$B$2:$B$30,'SI - End Use'!$C$2:$C$30, "")="", "", _xlfn.XLOOKUP(Table2[[#This Row],[Resource]], 'SI - End Use'!$B$2:$B$30,'SI - End Use'!$C$2:$C$30, ""))</f>
        <v/>
      </c>
      <c r="E19" s="24">
        <v>1</v>
      </c>
      <c r="F19" s="10" t="str">
        <f>_xlfn.XLOOKUP(_xlfn.XLOOKUP($C19,'SI - Units'!$B$12:$B$39,'SI - Units'!$C$12:$C$39),'SI - Units'!$A$2:$A$9,'SI - Units'!$B$2:$B$9)</f>
        <v>kg</v>
      </c>
      <c r="G19" s="10"/>
      <c r="H19" s="10"/>
      <c r="I19" s="10"/>
      <c r="J19" s="10" t="s">
        <v>10</v>
      </c>
      <c r="K19" s="10"/>
      <c r="L19" s="10"/>
      <c r="M19" s="10"/>
      <c r="P19" s="47"/>
      <c r="Q19" s="51"/>
      <c r="R19" s="55"/>
      <c r="S19" s="49"/>
      <c r="T19" s="49"/>
    </row>
    <row r="20" spans="1:20" x14ac:dyDescent="0.25">
      <c r="A20" s="11" t="s">
        <v>0</v>
      </c>
      <c r="B20" s="11" t="s">
        <v>2</v>
      </c>
      <c r="C20" s="11" t="s">
        <v>24</v>
      </c>
      <c r="D20" s="11" t="str">
        <f>IF(_xlfn.XLOOKUP(Table2[[#This Row],[Resource]], 'SI - End Use'!$B$2:$B$30,'SI - End Use'!$C$2:$C$30, "")="", "", _xlfn.XLOOKUP(Table2[[#This Row],[Resource]], 'SI - End Use'!$B$2:$B$30,'SI - End Use'!$C$2:$C$30, ""))</f>
        <v/>
      </c>
      <c r="E20" s="25">
        <v>1</v>
      </c>
      <c r="F20" s="11" t="s">
        <v>65</v>
      </c>
      <c r="G20" s="11"/>
      <c r="H20" s="11"/>
      <c r="I20" s="11"/>
      <c r="J20" s="11" t="s">
        <v>10</v>
      </c>
      <c r="K20" s="11"/>
      <c r="L20" s="11"/>
      <c r="M20" s="11"/>
      <c r="P20" s="47"/>
      <c r="Q20" s="47"/>
      <c r="R20" s="55"/>
      <c r="S20" s="49"/>
      <c r="T20" s="49"/>
    </row>
    <row r="21" spans="1:20" x14ac:dyDescent="0.25">
      <c r="A21" s="10" t="s">
        <v>0</v>
      </c>
      <c r="B21" s="10" t="s">
        <v>41</v>
      </c>
      <c r="C21" s="10" t="s">
        <v>40</v>
      </c>
      <c r="D21" s="10" t="str">
        <f>IF(_xlfn.XLOOKUP(Table2[[#This Row],[Resource]], 'SI - End Use'!$B$2:$B$30,'SI - End Use'!$C$2:$C$30, "")="", "", _xlfn.XLOOKUP(Table2[[#This Row],[Resource]], 'SI - End Use'!$B$2:$B$30,'SI - End Use'!$C$2:$C$30, ""))</f>
        <v/>
      </c>
      <c r="E21" s="24">
        <v>1</v>
      </c>
      <c r="F21" s="10" t="str">
        <f>_xlfn.XLOOKUP(_xlfn.XLOOKUP($C21,'SI - Units'!$B$12:$B$39,'SI - Units'!$C$12:$C$39),'SI - Units'!$A$2:$A$9,'SI - Units'!$B$2:$B$9)</f>
        <v>kg</v>
      </c>
      <c r="G21" s="10"/>
      <c r="H21" s="10"/>
      <c r="I21" s="10"/>
      <c r="J21" s="10" t="s">
        <v>94</v>
      </c>
      <c r="K21" s="10"/>
      <c r="L21" s="10"/>
      <c r="M21" s="10"/>
      <c r="P21" s="47"/>
      <c r="Q21" s="47"/>
      <c r="R21" s="55"/>
      <c r="S21" s="49"/>
      <c r="T21" s="49"/>
    </row>
    <row r="22" spans="1:20" x14ac:dyDescent="0.25">
      <c r="A22" s="11" t="s">
        <v>0</v>
      </c>
      <c r="B22" s="11" t="s">
        <v>41</v>
      </c>
      <c r="C22" s="11" t="s">
        <v>25</v>
      </c>
      <c r="D22" s="11" t="str">
        <f>IF(_xlfn.XLOOKUP(Table2[[#This Row],[Resource]], 'SI - End Use'!$B$2:$B$30,'SI - End Use'!$C$2:$C$30, "")="", "", _xlfn.XLOOKUP(Table2[[#This Row],[Resource]], 'SI - End Use'!$B$2:$B$30,'SI - End Use'!$C$2:$C$30, ""))</f>
        <v/>
      </c>
      <c r="E22" s="25">
        <v>1</v>
      </c>
      <c r="F22" s="11" t="str">
        <f>_xlfn.XLOOKUP(_xlfn.XLOOKUP($C22,'SI - Units'!$B$12:$B$39,'SI - Units'!$C$12:$C$39),'SI - Units'!$A$2:$A$9,'SI - Units'!$B$2:$B$9)</f>
        <v>kg</v>
      </c>
      <c r="G22" s="11"/>
      <c r="H22" s="11"/>
      <c r="I22" s="11"/>
      <c r="J22" s="11" t="s">
        <v>94</v>
      </c>
      <c r="K22" s="11"/>
      <c r="L22" s="11"/>
      <c r="M22" s="11"/>
      <c r="P22" s="47"/>
      <c r="Q22" s="47"/>
      <c r="R22" s="55"/>
      <c r="S22" s="49"/>
      <c r="T22" s="49"/>
    </row>
    <row r="23" spans="1:20" x14ac:dyDescent="0.25">
      <c r="A23" s="11" t="s">
        <v>0</v>
      </c>
      <c r="B23" s="10" t="s">
        <v>41</v>
      </c>
      <c r="C23" s="10" t="s">
        <v>27</v>
      </c>
      <c r="D23" s="10" t="str">
        <f>IF(_xlfn.XLOOKUP(Table2[[#This Row],[Resource]], 'SI - End Use'!$B$2:$B$30,'SI - End Use'!$C$2:$C$30, "")="", "", _xlfn.XLOOKUP(Table2[[#This Row],[Resource]], 'SI - End Use'!$B$2:$B$30,'SI - End Use'!$C$2:$C$30, ""))</f>
        <v/>
      </c>
      <c r="E23" s="24">
        <v>1</v>
      </c>
      <c r="F23" s="10" t="str">
        <f>_xlfn.XLOOKUP(_xlfn.XLOOKUP($C23,'SI - Units'!$B$12:$B$39,'SI - Units'!$C$12:$C$39),'SI - Units'!$A$2:$A$9,'SI - Units'!$B$2:$B$9)</f>
        <v>kg</v>
      </c>
      <c r="G23" s="10"/>
      <c r="H23" s="10"/>
      <c r="I23" s="10"/>
      <c r="J23" s="10" t="s">
        <v>94</v>
      </c>
      <c r="K23" s="10"/>
      <c r="L23" s="10"/>
      <c r="M23" s="10"/>
      <c r="P23" s="47"/>
      <c r="Q23" s="47"/>
      <c r="R23" s="55"/>
      <c r="S23" s="49"/>
      <c r="T23" s="49"/>
    </row>
    <row r="24" spans="1:20" x14ac:dyDescent="0.25">
      <c r="A24" s="11" t="s">
        <v>0</v>
      </c>
      <c r="B24" s="11" t="s">
        <v>2</v>
      </c>
      <c r="C24" s="11" t="s">
        <v>3</v>
      </c>
      <c r="D24" s="11" t="str">
        <f>IF(_xlfn.XLOOKUP(Table2[[#This Row],[Resource]], 'SI - End Use'!$B$2:$B$30,'SI - End Use'!$C$2:$C$30, "")="", "", _xlfn.XLOOKUP(Table2[[#This Row],[Resource]], 'SI - End Use'!$B$2:$B$30,'SI - End Use'!$C$2:$C$30, ""))</f>
        <v>Industrial Boiler</v>
      </c>
      <c r="E24" s="25">
        <v>100</v>
      </c>
      <c r="F24" s="11" t="s">
        <v>65</v>
      </c>
      <c r="G24" s="11"/>
      <c r="H24" s="11"/>
      <c r="I24" s="11"/>
      <c r="J24" s="11" t="s">
        <v>94</v>
      </c>
      <c r="K24" s="11"/>
      <c r="L24" s="11"/>
      <c r="M24" s="11"/>
      <c r="P24" s="47"/>
      <c r="Q24" s="47"/>
      <c r="R24" s="55"/>
      <c r="S24" s="49"/>
      <c r="T24" s="49"/>
    </row>
    <row r="25" spans="1:20" x14ac:dyDescent="0.25">
      <c r="A25" s="11" t="s">
        <v>0</v>
      </c>
      <c r="B25" s="11" t="s">
        <v>4</v>
      </c>
      <c r="C25" s="11" t="s">
        <v>4</v>
      </c>
      <c r="D25" s="11" t="s">
        <v>12</v>
      </c>
      <c r="E25" s="25">
        <v>1</v>
      </c>
      <c r="F25" s="11" t="s">
        <v>76</v>
      </c>
      <c r="G25" s="11"/>
      <c r="H25" s="11"/>
      <c r="I25" s="11"/>
      <c r="J25" s="11" t="s">
        <v>10</v>
      </c>
      <c r="K25" s="11"/>
      <c r="L25" s="11"/>
      <c r="M25" s="11"/>
      <c r="P25" s="47"/>
      <c r="Q25" s="47"/>
      <c r="R25" s="55"/>
      <c r="S25" s="52"/>
      <c r="T25" s="52"/>
    </row>
    <row r="26" spans="1:20" x14ac:dyDescent="0.25">
      <c r="A26" s="11" t="s">
        <v>0</v>
      </c>
      <c r="B26" s="11" t="s">
        <v>4</v>
      </c>
      <c r="C26" s="11" t="s">
        <v>4</v>
      </c>
      <c r="D26" s="11" t="str">
        <f>IF(_xlfn.XLOOKUP(Table2[[#This Row],[Resource]], 'SI - End Use'!$B$2:$B$30,'SI - End Use'!$C$2:$C$30, "")="", "", _xlfn.XLOOKUP(Table2[[#This Row],[Resource]], 'SI - End Use'!$B$2:$B$30,'SI - End Use'!$C$2:$C$30, ""))</f>
        <v>U.S. Mix</v>
      </c>
      <c r="E26" s="25">
        <v>1</v>
      </c>
      <c r="F26" s="11" t="s">
        <v>76</v>
      </c>
      <c r="G26" s="11"/>
      <c r="H26" s="11"/>
      <c r="I26" s="11"/>
      <c r="J26" s="11" t="s">
        <v>93</v>
      </c>
      <c r="K26" s="11"/>
      <c r="L26" s="11"/>
      <c r="M26" s="11"/>
      <c r="P26" s="47"/>
      <c r="Q26" s="47"/>
      <c r="R26" s="55"/>
      <c r="S26" s="49"/>
      <c r="T26" s="49"/>
    </row>
    <row r="27" spans="1:20" x14ac:dyDescent="0.25">
      <c r="A27" s="11" t="s">
        <v>123</v>
      </c>
      <c r="B27" s="11" t="s">
        <v>2</v>
      </c>
      <c r="C27" s="11" t="s">
        <v>79</v>
      </c>
      <c r="D27" s="11" t="s">
        <v>91</v>
      </c>
      <c r="E27" s="25">
        <v>20</v>
      </c>
      <c r="F27" s="11" t="s">
        <v>78</v>
      </c>
      <c r="G27" s="11"/>
      <c r="H27" s="11"/>
      <c r="I27" s="11"/>
      <c r="J27" s="11" t="s">
        <v>94</v>
      </c>
      <c r="K27" s="11" t="s">
        <v>3</v>
      </c>
      <c r="L27" s="11" t="s">
        <v>43</v>
      </c>
      <c r="M27" s="11"/>
      <c r="P27" s="47"/>
      <c r="Q27" s="47"/>
      <c r="R27" s="55"/>
      <c r="S27" s="49"/>
      <c r="T27" s="49"/>
    </row>
    <row r="28" spans="1:20" x14ac:dyDescent="0.25">
      <c r="A28" s="11" t="s">
        <v>93</v>
      </c>
      <c r="B28" s="11" t="s">
        <v>2</v>
      </c>
      <c r="C28" s="11" t="s">
        <v>26</v>
      </c>
      <c r="D28" s="11" t="str">
        <f>IF(_xlfn.XLOOKUP(Table2[[#This Row],[Resource]], 'SI - End Use'!$B$2:$B$30,'SI - End Use'!$C$2:$C$30, "")="", "", _xlfn.XLOOKUP(Table2[[#This Row],[Resource]], 'SI - End Use'!$B$2:$B$30,'SI - End Use'!$C$2:$C$30, ""))</f>
        <v>Utility/ Industrial Boiler (&gt;100 mmBtu/hr input)</v>
      </c>
      <c r="E28" s="25">
        <v>2</v>
      </c>
      <c r="F28" s="11" t="s">
        <v>78</v>
      </c>
      <c r="G28" s="11"/>
      <c r="H28" s="11"/>
      <c r="I28" s="11" t="s">
        <v>126</v>
      </c>
      <c r="J28" s="11" t="s">
        <v>93</v>
      </c>
      <c r="K28" s="11" t="s">
        <v>26</v>
      </c>
      <c r="L28" s="11" t="str">
        <f>IF(_xlfn.XLOOKUP(Table2[[#This Row],[Resource]], 'SI - End Use'!$B$2:$B$30,'SI - End Use'!$C$2:$C$30, "")="", "", _xlfn.XLOOKUP(Table2[[#This Row],[Resource]], 'SI - End Use'!$B$2:$B$30,'SI - End Use'!$C$2:$C$30, ""))</f>
        <v>Utility/ Industrial Boiler (&gt;100 mmBtu/hr input)</v>
      </c>
      <c r="M28" s="11"/>
      <c r="P28" s="47"/>
      <c r="Q28" s="47"/>
      <c r="R28" s="55"/>
      <c r="S28" s="49"/>
      <c r="T28" s="49"/>
    </row>
    <row r="29" spans="1:20" x14ac:dyDescent="0.25">
      <c r="A29" s="11" t="s">
        <v>93</v>
      </c>
      <c r="B29" s="11" t="s">
        <v>41</v>
      </c>
      <c r="C29" s="11" t="s">
        <v>32</v>
      </c>
      <c r="D29" s="11" t="str">
        <f>IF(_xlfn.XLOOKUP(Table2[[#This Row],[Resource]], 'SI - End Use'!$B$2:$B$30,'SI - End Use'!$C$2:$C$30, "")="", "", _xlfn.XLOOKUP(Table2[[#This Row],[Resource]], 'SI - End Use'!$B$2:$B$30,'SI - End Use'!$C$2:$C$30, ""))</f>
        <v/>
      </c>
      <c r="E29" s="25">
        <v>1</v>
      </c>
      <c r="F29" s="11" t="s">
        <v>65</v>
      </c>
      <c r="G29" s="11"/>
      <c r="H29" s="11"/>
      <c r="I29" s="11" t="s">
        <v>152</v>
      </c>
      <c r="J29" s="11" t="s">
        <v>94</v>
      </c>
      <c r="K29" s="11" t="s">
        <v>32</v>
      </c>
      <c r="L29" s="65"/>
      <c r="M29" s="11"/>
      <c r="P29" s="47"/>
      <c r="Q29" s="47"/>
      <c r="R29" s="55"/>
      <c r="S29" s="49"/>
      <c r="T29" s="49"/>
    </row>
    <row r="30" spans="1:20" x14ac:dyDescent="0.25">
      <c r="P30" s="47"/>
      <c r="Q30" s="47"/>
      <c r="R30" s="55"/>
      <c r="S30" s="52"/>
      <c r="T30" s="52"/>
    </row>
    <row r="31" spans="1:20" x14ac:dyDescent="0.25">
      <c r="P31" s="47"/>
      <c r="Q31" s="47"/>
      <c r="R31" s="55"/>
      <c r="S31" s="49"/>
      <c r="T31" s="49"/>
    </row>
    <row r="32" spans="1:20" x14ac:dyDescent="0.25">
      <c r="P32" s="47"/>
      <c r="Q32" s="47"/>
      <c r="R32" s="55"/>
      <c r="S32" s="49"/>
      <c r="T32" s="49"/>
    </row>
    <row r="33" spans="16:20" x14ac:dyDescent="0.25">
      <c r="P33" s="47"/>
      <c r="Q33" s="47"/>
      <c r="R33" s="55"/>
      <c r="S33" s="49"/>
      <c r="T33" s="49"/>
    </row>
    <row r="34" spans="16:20" x14ac:dyDescent="0.25">
      <c r="P34" s="47"/>
      <c r="Q34" s="47"/>
      <c r="R34" s="55"/>
      <c r="S34" s="49"/>
      <c r="T34" s="49"/>
    </row>
    <row r="35" spans="16:20" x14ac:dyDescent="0.25">
      <c r="P35" s="47"/>
      <c r="Q35" s="47"/>
      <c r="R35" s="55"/>
      <c r="S35" s="49"/>
      <c r="T35" s="49"/>
    </row>
    <row r="36" spans="16:20" x14ac:dyDescent="0.25">
      <c r="P36" s="47"/>
      <c r="Q36" s="51"/>
      <c r="R36" s="55"/>
      <c r="S36" s="49"/>
      <c r="T36" s="49"/>
    </row>
    <row r="37" spans="16:20" x14ac:dyDescent="0.25">
      <c r="P37" s="47"/>
      <c r="Q37" s="51"/>
      <c r="R37" s="55"/>
      <c r="S37" s="49"/>
      <c r="T37" s="49"/>
    </row>
    <row r="38" spans="16:20" x14ac:dyDescent="0.25">
      <c r="P38" s="47"/>
      <c r="Q38" s="51"/>
      <c r="R38" s="55"/>
      <c r="S38" s="49"/>
      <c r="T38" s="49"/>
    </row>
    <row r="39" spans="16:20" x14ac:dyDescent="0.25">
      <c r="P39" s="47"/>
      <c r="Q39" s="51"/>
      <c r="R39" s="49"/>
    </row>
    <row r="40" spans="16:20" x14ac:dyDescent="0.25">
      <c r="P40" s="47"/>
      <c r="Q40" s="48"/>
      <c r="R40" s="53"/>
    </row>
    <row r="41" spans="16:20" x14ac:dyDescent="0.25">
      <c r="P41" s="47"/>
      <c r="Q41" s="47"/>
      <c r="R41" s="49"/>
    </row>
    <row r="42" spans="16:20" x14ac:dyDescent="0.25">
      <c r="P42" s="47"/>
      <c r="Q42" s="48"/>
      <c r="R42" s="53"/>
    </row>
    <row r="43" spans="16:20" x14ac:dyDescent="0.25">
      <c r="P43" s="47"/>
      <c r="Q43" s="47"/>
      <c r="R43" s="49"/>
    </row>
    <row r="44" spans="16:20" x14ac:dyDescent="0.25">
      <c r="P44" s="47"/>
      <c r="Q44" s="47"/>
      <c r="R44" s="49"/>
    </row>
    <row r="45" spans="16:20" x14ac:dyDescent="0.25">
      <c r="P45" s="47"/>
      <c r="Q45" s="47"/>
      <c r="R45" s="49"/>
    </row>
    <row r="46" spans="16:20" x14ac:dyDescent="0.25">
      <c r="P46" s="47"/>
      <c r="Q46" s="47"/>
      <c r="R46" s="49"/>
    </row>
    <row r="47" spans="16:20" x14ac:dyDescent="0.25">
      <c r="P47" s="47"/>
      <c r="Q47" s="47"/>
      <c r="R47" s="49"/>
    </row>
    <row r="48" spans="16:20" x14ac:dyDescent="0.25">
      <c r="P48" s="47"/>
      <c r="Q48" s="47"/>
      <c r="R48" s="49"/>
    </row>
    <row r="49" spans="16:18" x14ac:dyDescent="0.25">
      <c r="P49" s="47"/>
      <c r="Q49" s="47"/>
      <c r="R49" s="49"/>
    </row>
    <row r="50" spans="16:18" x14ac:dyDescent="0.25">
      <c r="P50" s="47"/>
      <c r="Q50" s="47"/>
      <c r="R50" s="49"/>
    </row>
  </sheetData>
  <mergeCells count="1">
    <mergeCell ref="R9:S9"/>
  </mergeCells>
  <phoneticPr fontId="19" type="noConversion"/>
  <dataValidations count="4">
    <dataValidation showInputMessage="1" showErrorMessage="1" sqref="P21" xr:uid="{4F17A7B5-AD74-4916-B0B8-D687289F0FC3}"/>
    <dataValidation type="list" allowBlank="1" showInputMessage="1" showErrorMessage="1" sqref="C2" xr:uid="{CD45C525-A29A-4937-B886-3187CA6C0FD2}">
      <formula1>"Yes, No"</formula1>
    </dataValidation>
    <dataValidation type="custom" allowBlank="1" showInputMessage="1" showErrorMessage="1" sqref="E5:E29 G4:G29" xr:uid="{EAF09F18-0C80-483A-A0B7-AF170AA4BD57}">
      <formula1>ISNUMBER(E4)</formula1>
    </dataValidation>
    <dataValidation allowBlank="1" showInputMessage="1" sqref="L5:L29" xr:uid="{110C5B12-BE1C-41AA-8FEA-F8988B23D08A}"/>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New_process">
                <anchor moveWithCells="1" sizeWithCells="1">
                  <from>
                    <xdr:col>3</xdr:col>
                    <xdr:colOff>1371600</xdr:colOff>
                    <xdr:row>0</xdr:row>
                    <xdr:rowOff>0</xdr:rowOff>
                  </from>
                  <to>
                    <xdr:col>5</xdr:col>
                    <xdr:colOff>19050</xdr:colOff>
                    <xdr:row>1</xdr:row>
                    <xdr:rowOff>228600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8">
        <x14:dataValidation type="list" allowBlank="1" showInputMessage="1" showErrorMessage="1" xr:uid="{2E6C0956-1AC1-4299-BA76-9A07FC8AAB20}">
          <x14:formula1>
            <xm:f>_xlfn.XLOOKUP(_xlfn.XLOOKUP($C5,'SI - Units'!$B$12:$B$39,'SI - Units'!$C$12:$C$39),'SI - Units'!$A$2:$A$8,'SI - Units'!$B$2:$R$8)</xm:f>
          </x14:formula1>
          <xm:sqref>F4</xm:sqref>
        </x14:dataValidation>
        <x14:dataValidation type="list" allowBlank="1" showInputMessage="1" showErrorMessage="1" xr:uid="{9794B092-AE17-4598-B690-FD89C67BF290}">
          <x14:formula1>
            <xm:f>_xlfn.XLOOKUP($B5,'SI - Resources'!$A$1:$F$1,INDIRECT("Resource"))</xm:f>
          </x14:formula1>
          <xm:sqref>K27:K29 C5:C29</xm:sqref>
        </x14:dataValidation>
        <x14:dataValidation type="list" allowBlank="1" showInputMessage="1" showErrorMessage="1" xr:uid="{DACCC21F-A465-4E51-A703-2AEBA514391B}">
          <x14:formula1>
            <xm:f>'SI - Co-products'!$D$2:$D$8</xm:f>
          </x14:formula1>
          <xm:sqref>C1</xm:sqref>
        </x14:dataValidation>
        <x14:dataValidation type="list" allowBlank="1" showInputMessage="1" showErrorMessage="1" xr:uid="{FA0558AB-B058-4A96-9436-F1CC11E7680D}">
          <x14:formula1>
            <xm:f>'SI - Resources'!$A$1:$E$1</xm:f>
          </x14:formula1>
          <xm:sqref>B5:B29</xm:sqref>
        </x14:dataValidation>
        <x14:dataValidation type="list" allowBlank="1" showInputMessage="1" showErrorMessage="1" xr:uid="{E814CE6F-AD6D-4B2C-AAE2-DAEB29815C43}">
          <x14:formula1>
            <xm:f>'SI - Co-products'!$A$2:$A$5</xm:f>
          </x14:formula1>
          <xm:sqref>J5:J29</xm:sqref>
        </x14:dataValidation>
        <x14:dataValidation type="list" allowBlank="1" showInputMessage="1" showErrorMessage="1" xr:uid="{E9F30E6E-FCB4-441D-B523-AD626E7E144A}">
          <x14:formula1>
            <xm:f>_xlfn.XLOOKUP(_xlfn.XLOOKUP($C5,'SI - Units'!$B$12:$B$39,'SI - Units'!$C$12:$C$39),'SI - Units'!$A$2:$A$8,'SI - Units'!$B$2:$R$8)</xm:f>
          </x14:formula1>
          <xm:sqref>F5:F29</xm:sqref>
        </x14:dataValidation>
        <x14:dataValidation type="list" allowBlank="1" showInputMessage="1" xr:uid="{C62406AC-4D80-4FF0-BB4B-74A7BB87C355}">
          <x14:formula1>
            <xm:f>_xlfn.XLOOKUP($C5,'SI - End Use'!$B$2:$B$30,'SI - End Use'!$C$2:$N$30)</xm:f>
          </x14:formula1>
          <xm:sqref>D5:D29</xm:sqref>
        </x14:dataValidation>
        <x14:dataValidation type="list" allowBlank="1" showInputMessage="1" showErrorMessage="1" xr:uid="{89481694-FB41-47C8-B951-6D6B4FB0CFEF}">
          <x14:formula1>
            <xm:f>'SI - Co-products'!$B$2:$B$5</xm:f>
          </x14:formula1>
          <xm:sqref>A5:A29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F21"/>
  <sheetViews>
    <sheetView workbookViewId="0">
      <selection activeCell="K17" sqref="K17"/>
    </sheetView>
  </sheetViews>
  <sheetFormatPr defaultRowHeight="15" x14ac:dyDescent="0.25"/>
  <cols>
    <col min="1" max="1" width="9.85546875" customWidth="1"/>
    <col min="2" max="2" width="10.5703125" bestFit="1" customWidth="1"/>
    <col min="3" max="3" width="10.5703125" customWidth="1"/>
    <col min="4" max="4" width="22.5703125" customWidth="1"/>
    <col min="6" max="6" width="15.85546875" bestFit="1" customWidth="1"/>
  </cols>
  <sheetData>
    <row r="1" spans="1:6" x14ac:dyDescent="0.25">
      <c r="A1" s="4" t="s">
        <v>42</v>
      </c>
      <c r="B1" s="4" t="s">
        <v>2</v>
      </c>
      <c r="C1" s="4" t="s">
        <v>4</v>
      </c>
      <c r="D1" s="4" t="s">
        <v>41</v>
      </c>
      <c r="E1" s="4" t="s">
        <v>31</v>
      </c>
      <c r="F1" s="4" t="s">
        <v>36</v>
      </c>
    </row>
    <row r="2" spans="1:6" x14ac:dyDescent="0.25">
      <c r="A2" s="2" t="s">
        <v>35</v>
      </c>
      <c r="B2" s="2" t="s">
        <v>3</v>
      </c>
      <c r="C2" s="2" t="s">
        <v>4</v>
      </c>
      <c r="D2" s="2" t="s">
        <v>15</v>
      </c>
      <c r="E2" t="s">
        <v>31</v>
      </c>
      <c r="F2" t="s">
        <v>35</v>
      </c>
    </row>
    <row r="3" spans="1:6" x14ac:dyDescent="0.25">
      <c r="B3" s="3" t="s">
        <v>26</v>
      </c>
      <c r="D3" s="3" t="s">
        <v>16</v>
      </c>
    </row>
    <row r="4" spans="1:6" x14ac:dyDescent="0.25">
      <c r="B4" s="3" t="s">
        <v>24</v>
      </c>
      <c r="C4" s="3"/>
      <c r="D4" s="3" t="s">
        <v>17</v>
      </c>
    </row>
    <row r="5" spans="1:6" x14ac:dyDescent="0.25">
      <c r="B5" t="s">
        <v>79</v>
      </c>
      <c r="C5" s="3"/>
      <c r="D5" s="3" t="s">
        <v>18</v>
      </c>
    </row>
    <row r="6" spans="1:6" x14ac:dyDescent="0.25">
      <c r="D6" s="3" t="s">
        <v>19</v>
      </c>
    </row>
    <row r="7" spans="1:6" x14ac:dyDescent="0.25">
      <c r="D7" s="3" t="s">
        <v>20</v>
      </c>
    </row>
    <row r="8" spans="1:6" x14ac:dyDescent="0.25">
      <c r="D8" s="3" t="s">
        <v>21</v>
      </c>
    </row>
    <row r="9" spans="1:6" x14ac:dyDescent="0.25">
      <c r="D9" s="3" t="s">
        <v>116</v>
      </c>
    </row>
    <row r="10" spans="1:6" x14ac:dyDescent="0.25">
      <c r="D10" s="3" t="s">
        <v>115</v>
      </c>
    </row>
    <row r="11" spans="1:6" x14ac:dyDescent="0.25">
      <c r="D11" s="3" t="s">
        <v>23</v>
      </c>
    </row>
    <row r="12" spans="1:6" x14ac:dyDescent="0.25">
      <c r="D12" s="3" t="s">
        <v>40</v>
      </c>
    </row>
    <row r="13" spans="1:6" x14ac:dyDescent="0.25">
      <c r="D13" s="3" t="s">
        <v>25</v>
      </c>
    </row>
    <row r="14" spans="1:6" x14ac:dyDescent="0.25">
      <c r="D14" s="3" t="s">
        <v>27</v>
      </c>
    </row>
    <row r="15" spans="1:6" x14ac:dyDescent="0.25">
      <c r="D15" s="1" t="s">
        <v>28</v>
      </c>
    </row>
    <row r="16" spans="1:6" x14ac:dyDescent="0.25">
      <c r="D16" s="1" t="s">
        <v>32</v>
      </c>
    </row>
    <row r="17" spans="4:4" x14ac:dyDescent="0.25">
      <c r="D17" s="15" t="s">
        <v>23</v>
      </c>
    </row>
    <row r="18" spans="4:4" x14ac:dyDescent="0.25">
      <c r="D18" s="15" t="s">
        <v>22</v>
      </c>
    </row>
    <row r="19" spans="4:4" x14ac:dyDescent="0.25">
      <c r="D19" s="15" t="s">
        <v>40</v>
      </c>
    </row>
    <row r="20" spans="4:4" x14ac:dyDescent="0.25">
      <c r="D20" s="15" t="s">
        <v>27</v>
      </c>
    </row>
    <row r="21" spans="4:4" x14ac:dyDescent="0.25">
      <c r="D21" s="15" t="s">
        <v>56</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N30"/>
  <sheetViews>
    <sheetView workbookViewId="0">
      <selection activeCell="C12" sqref="C12"/>
    </sheetView>
  </sheetViews>
  <sheetFormatPr defaultRowHeight="15" x14ac:dyDescent="0.25"/>
  <cols>
    <col min="1" max="1" width="21.140625" bestFit="1" customWidth="1"/>
    <col min="2" max="2" width="26.140625" style="7" customWidth="1"/>
    <col min="3" max="3" width="38.7109375" style="7" bestFit="1" customWidth="1"/>
    <col min="4" max="4" width="38.7109375" style="7" customWidth="1"/>
    <col min="5" max="5" width="16.7109375" style="8" bestFit="1" customWidth="1"/>
    <col min="6" max="6" width="11.140625" bestFit="1" customWidth="1"/>
    <col min="7" max="7" width="12.85546875" bestFit="1" customWidth="1"/>
    <col min="8" max="8" width="15.140625" bestFit="1" customWidth="1"/>
    <col min="9" max="9" width="10.42578125" customWidth="1"/>
    <col min="10" max="14" width="11.42578125" customWidth="1"/>
  </cols>
  <sheetData>
    <row r="1" spans="1:14" x14ac:dyDescent="0.25">
      <c r="A1" t="s">
        <v>97</v>
      </c>
      <c r="B1" s="7" t="s">
        <v>98</v>
      </c>
      <c r="C1" s="7" t="s">
        <v>99</v>
      </c>
      <c r="D1" s="7" t="s">
        <v>100</v>
      </c>
      <c r="E1" s="8" t="s">
        <v>101</v>
      </c>
      <c r="F1" t="s">
        <v>102</v>
      </c>
      <c r="G1" t="s">
        <v>103</v>
      </c>
      <c r="H1" t="s">
        <v>104</v>
      </c>
      <c r="I1" t="s">
        <v>105</v>
      </c>
      <c r="J1" t="s">
        <v>106</v>
      </c>
      <c r="K1" t="s">
        <v>107</v>
      </c>
      <c r="L1" t="s">
        <v>108</v>
      </c>
      <c r="M1" t="s">
        <v>109</v>
      </c>
      <c r="N1" t="s">
        <v>110</v>
      </c>
    </row>
    <row r="2" spans="1:14" x14ac:dyDescent="0.25">
      <c r="A2" t="s">
        <v>42</v>
      </c>
      <c r="B2" s="7" t="s">
        <v>96</v>
      </c>
    </row>
    <row r="3" spans="1:14" ht="39" x14ac:dyDescent="0.25">
      <c r="A3" t="s">
        <v>2</v>
      </c>
      <c r="B3" s="7" t="s">
        <v>3</v>
      </c>
      <c r="C3" s="6" t="s">
        <v>43</v>
      </c>
      <c r="D3" s="6" t="s">
        <v>44</v>
      </c>
      <c r="E3" s="6" t="s">
        <v>11</v>
      </c>
      <c r="F3" s="6" t="s">
        <v>45</v>
      </c>
      <c r="G3" s="6" t="s">
        <v>14</v>
      </c>
      <c r="H3" s="7"/>
      <c r="I3" s="7"/>
      <c r="J3" s="7"/>
      <c r="K3" s="7"/>
      <c r="L3" s="7"/>
      <c r="M3" s="7"/>
      <c r="N3" s="7"/>
    </row>
    <row r="4" spans="1:14" x14ac:dyDescent="0.25">
      <c r="B4" s="7" t="s">
        <v>26</v>
      </c>
      <c r="C4" s="9" t="s">
        <v>33</v>
      </c>
      <c r="D4" s="9" t="s">
        <v>46</v>
      </c>
      <c r="E4" s="9" t="s">
        <v>47</v>
      </c>
      <c r="F4" s="9" t="s">
        <v>48</v>
      </c>
      <c r="G4" s="9" t="s">
        <v>49</v>
      </c>
      <c r="H4" s="9" t="s">
        <v>11</v>
      </c>
      <c r="I4" s="9" t="s">
        <v>50</v>
      </c>
      <c r="J4" s="9" t="s">
        <v>51</v>
      </c>
      <c r="K4" s="9" t="s">
        <v>52</v>
      </c>
      <c r="L4" s="7"/>
      <c r="M4" s="7"/>
      <c r="N4" s="7"/>
    </row>
    <row r="5" spans="1:14" x14ac:dyDescent="0.25">
      <c r="B5" s="7" t="s">
        <v>24</v>
      </c>
      <c r="C5" s="9"/>
      <c r="D5" s="9"/>
      <c r="E5" s="9"/>
      <c r="F5" s="9"/>
      <c r="G5" s="9"/>
      <c r="H5" s="9"/>
      <c r="I5" s="9"/>
      <c r="J5" s="9"/>
      <c r="K5" s="9"/>
      <c r="L5" s="7"/>
      <c r="M5" s="7"/>
      <c r="N5" s="7"/>
    </row>
    <row r="6" spans="1:14" x14ac:dyDescent="0.25">
      <c r="B6" s="7" t="s">
        <v>79</v>
      </c>
      <c r="C6" s="9" t="s">
        <v>91</v>
      </c>
      <c r="D6" s="9"/>
      <c r="E6" s="9"/>
      <c r="F6" s="9"/>
      <c r="G6" s="9"/>
      <c r="H6" s="9"/>
      <c r="I6" s="9"/>
      <c r="J6" s="9"/>
      <c r="K6" s="9"/>
      <c r="L6" s="7"/>
      <c r="M6" s="7"/>
      <c r="N6" s="7"/>
    </row>
    <row r="7" spans="1:14" x14ac:dyDescent="0.25">
      <c r="A7" t="s">
        <v>4</v>
      </c>
      <c r="B7" s="7" t="s">
        <v>4</v>
      </c>
      <c r="C7" s="9" t="s">
        <v>12</v>
      </c>
      <c r="D7" s="9" t="s">
        <v>80</v>
      </c>
      <c r="E7" s="9" t="s">
        <v>81</v>
      </c>
      <c r="F7" s="9" t="s">
        <v>82</v>
      </c>
      <c r="G7" s="9" t="s">
        <v>83</v>
      </c>
      <c r="H7" s="9" t="s">
        <v>84</v>
      </c>
      <c r="I7" s="9" t="s">
        <v>85</v>
      </c>
      <c r="J7" s="9" t="s">
        <v>86</v>
      </c>
      <c r="K7" s="9" t="s">
        <v>87</v>
      </c>
      <c r="L7" s="7" t="s">
        <v>88</v>
      </c>
      <c r="M7" s="7" t="s">
        <v>89</v>
      </c>
      <c r="N7" s="7" t="s">
        <v>90</v>
      </c>
    </row>
    <row r="8" spans="1:14" x14ac:dyDescent="0.25">
      <c r="A8" t="s">
        <v>41</v>
      </c>
      <c r="B8" s="8" t="s">
        <v>53</v>
      </c>
      <c r="C8" s="8" t="s">
        <v>34</v>
      </c>
      <c r="D8" s="8"/>
      <c r="F8" s="8"/>
      <c r="G8" s="8"/>
      <c r="H8" s="8"/>
      <c r="I8" s="8"/>
      <c r="J8" s="8"/>
      <c r="K8" s="8"/>
      <c r="L8" s="8"/>
      <c r="M8" s="8"/>
      <c r="N8" s="8"/>
    </row>
    <row r="9" spans="1:14" x14ac:dyDescent="0.25">
      <c r="B9" t="s">
        <v>54</v>
      </c>
      <c r="C9" t="s">
        <v>57</v>
      </c>
      <c r="D9"/>
      <c r="E9"/>
    </row>
    <row r="10" spans="1:14" x14ac:dyDescent="0.25">
      <c r="B10" t="s">
        <v>55</v>
      </c>
      <c r="C10" t="s">
        <v>58</v>
      </c>
      <c r="D10"/>
      <c r="E10"/>
    </row>
    <row r="11" spans="1:14" x14ac:dyDescent="0.25">
      <c r="B11" s="7" t="s">
        <v>15</v>
      </c>
    </row>
    <row r="12" spans="1:14" x14ac:dyDescent="0.25">
      <c r="B12" s="7" t="s">
        <v>16</v>
      </c>
    </row>
    <row r="13" spans="1:14" x14ac:dyDescent="0.25">
      <c r="B13" s="7" t="s">
        <v>17</v>
      </c>
    </row>
    <row r="14" spans="1:14" x14ac:dyDescent="0.25">
      <c r="B14" s="7" t="s">
        <v>18</v>
      </c>
    </row>
    <row r="15" spans="1:14" x14ac:dyDescent="0.25">
      <c r="B15" s="7" t="s">
        <v>19</v>
      </c>
    </row>
    <row r="16" spans="1:14" x14ac:dyDescent="0.25">
      <c r="B16" s="7" t="s">
        <v>20</v>
      </c>
    </row>
    <row r="17" spans="1:3" x14ac:dyDescent="0.25">
      <c r="B17" s="7" t="s">
        <v>21</v>
      </c>
    </row>
    <row r="18" spans="1:3" x14ac:dyDescent="0.25">
      <c r="B18" s="7" t="s">
        <v>22</v>
      </c>
    </row>
    <row r="19" spans="1:3" x14ac:dyDescent="0.25">
      <c r="B19" s="7" t="s">
        <v>23</v>
      </c>
    </row>
    <row r="20" spans="1:3" x14ac:dyDescent="0.25">
      <c r="B20" s="7" t="s">
        <v>115</v>
      </c>
    </row>
    <row r="21" spans="1:3" x14ac:dyDescent="0.25">
      <c r="B21" s="7" t="s">
        <v>40</v>
      </c>
    </row>
    <row r="22" spans="1:3" x14ac:dyDescent="0.25">
      <c r="B22" s="7" t="s">
        <v>25</v>
      </c>
    </row>
    <row r="23" spans="1:3" x14ac:dyDescent="0.25">
      <c r="B23" s="7" t="s">
        <v>27</v>
      </c>
    </row>
    <row r="24" spans="1:3" x14ac:dyDescent="0.25">
      <c r="B24" s="7" t="s">
        <v>32</v>
      </c>
    </row>
    <row r="25" spans="1:3" x14ac:dyDescent="0.25">
      <c r="B25" t="s">
        <v>23</v>
      </c>
    </row>
    <row r="26" spans="1:3" x14ac:dyDescent="0.25">
      <c r="B26" t="s">
        <v>22</v>
      </c>
    </row>
    <row r="27" spans="1:3" x14ac:dyDescent="0.25">
      <c r="B27" t="s">
        <v>40</v>
      </c>
    </row>
    <row r="28" spans="1:3" x14ac:dyDescent="0.25">
      <c r="B28" t="s">
        <v>27</v>
      </c>
    </row>
    <row r="29" spans="1:3" x14ac:dyDescent="0.25">
      <c r="B29" s="2" t="s">
        <v>56</v>
      </c>
      <c r="C29" t="s">
        <v>58</v>
      </c>
    </row>
    <row r="30" spans="1:3" x14ac:dyDescent="0.25">
      <c r="A30" s="4" t="s">
        <v>31</v>
      </c>
      <c r="B30" t="s">
        <v>31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39"/>
  <sheetViews>
    <sheetView workbookViewId="0">
      <selection activeCell="I10" sqref="I10"/>
    </sheetView>
  </sheetViews>
  <sheetFormatPr defaultRowHeight="15" x14ac:dyDescent="0.25"/>
  <cols>
    <col min="1" max="1" width="21.140625" bestFit="1" customWidth="1"/>
    <col min="2" max="2" width="22.42578125" bestFit="1" customWidth="1"/>
    <col min="3" max="9" width="10.42578125" customWidth="1"/>
    <col min="10" max="18" width="11.42578125" customWidth="1"/>
  </cols>
  <sheetData>
    <row r="1" spans="1:23" x14ac:dyDescent="0.25">
      <c r="A1" t="s">
        <v>97</v>
      </c>
      <c r="B1" s="5" t="s">
        <v>98</v>
      </c>
      <c r="C1" s="5" t="s">
        <v>99</v>
      </c>
      <c r="D1" s="5" t="s">
        <v>100</v>
      </c>
      <c r="E1" s="5" t="s">
        <v>101</v>
      </c>
      <c r="F1" s="5" t="s">
        <v>102</v>
      </c>
      <c r="G1" s="5" t="s">
        <v>103</v>
      </c>
      <c r="H1" s="5" t="s">
        <v>104</v>
      </c>
      <c r="I1" s="5" t="s">
        <v>105</v>
      </c>
      <c r="J1" s="5" t="s">
        <v>106</v>
      </c>
      <c r="K1" s="5" t="s">
        <v>107</v>
      </c>
      <c r="L1" s="5" t="s">
        <v>108</v>
      </c>
      <c r="M1" s="5" t="s">
        <v>109</v>
      </c>
      <c r="N1" s="7" t="s">
        <v>110</v>
      </c>
      <c r="O1" s="7" t="s">
        <v>111</v>
      </c>
      <c r="P1" s="7" t="s">
        <v>112</v>
      </c>
      <c r="Q1" s="7" t="s">
        <v>113</v>
      </c>
      <c r="R1" s="7" t="s">
        <v>114</v>
      </c>
      <c r="S1" s="5"/>
    </row>
    <row r="2" spans="1:23" x14ac:dyDescent="0.25">
      <c r="A2" t="s">
        <v>59</v>
      </c>
      <c r="B2" s="5" t="s">
        <v>77</v>
      </c>
      <c r="C2" s="5" t="s">
        <v>78</v>
      </c>
      <c r="D2" s="5" t="s">
        <v>76</v>
      </c>
      <c r="E2" s="5" t="s">
        <v>72</v>
      </c>
      <c r="F2" s="5" t="s">
        <v>73</v>
      </c>
      <c r="G2" s="5" t="s">
        <v>74</v>
      </c>
      <c r="H2" s="5" t="s">
        <v>75</v>
      </c>
      <c r="I2" s="22" t="s">
        <v>65</v>
      </c>
      <c r="J2" s="22" t="s">
        <v>67</v>
      </c>
      <c r="K2" s="22" t="s">
        <v>29</v>
      </c>
      <c r="L2" s="22" t="s">
        <v>13</v>
      </c>
      <c r="M2" s="5" t="s">
        <v>66</v>
      </c>
      <c r="N2" s="7" t="s">
        <v>30</v>
      </c>
      <c r="O2" s="7" t="s">
        <v>71</v>
      </c>
      <c r="P2" s="7" t="s">
        <v>70</v>
      </c>
      <c r="Q2" s="7" t="s">
        <v>69</v>
      </c>
      <c r="R2" s="7" t="s">
        <v>68</v>
      </c>
    </row>
    <row r="3" spans="1:23" x14ac:dyDescent="0.25">
      <c r="A3" t="s">
        <v>60</v>
      </c>
      <c r="B3" s="22" t="s">
        <v>65</v>
      </c>
      <c r="C3" s="22" t="s">
        <v>67</v>
      </c>
      <c r="D3" s="22" t="s">
        <v>29</v>
      </c>
      <c r="E3" s="22" t="s">
        <v>13</v>
      </c>
      <c r="F3" s="5" t="s">
        <v>66</v>
      </c>
      <c r="G3" s="5" t="s">
        <v>30</v>
      </c>
      <c r="H3" s="5" t="s">
        <v>71</v>
      </c>
      <c r="I3" s="5" t="s">
        <v>70</v>
      </c>
      <c r="J3" s="5" t="s">
        <v>69</v>
      </c>
      <c r="K3" s="5" t="s">
        <v>68</v>
      </c>
      <c r="L3" s="5"/>
    </row>
    <row r="4" spans="1:23" x14ac:dyDescent="0.25">
      <c r="A4" t="s">
        <v>61</v>
      </c>
      <c r="B4" s="5" t="s">
        <v>77</v>
      </c>
      <c r="C4" s="5" t="s">
        <v>78</v>
      </c>
      <c r="D4" s="5" t="s">
        <v>76</v>
      </c>
      <c r="E4" s="5" t="s">
        <v>72</v>
      </c>
      <c r="F4" s="5" t="s">
        <v>73</v>
      </c>
      <c r="G4" s="5" t="s">
        <v>74</v>
      </c>
      <c r="H4" s="5" t="s">
        <v>75</v>
      </c>
      <c r="I4" s="22" t="s">
        <v>65</v>
      </c>
      <c r="J4" s="22" t="s">
        <v>67</v>
      </c>
      <c r="K4" s="22" t="s">
        <v>29</v>
      </c>
      <c r="L4" s="22" t="s">
        <v>13</v>
      </c>
      <c r="M4" s="5" t="s">
        <v>66</v>
      </c>
      <c r="N4" s="5"/>
    </row>
    <row r="5" spans="1:23" x14ac:dyDescent="0.25">
      <c r="A5" t="s">
        <v>62</v>
      </c>
      <c r="B5" s="5" t="s">
        <v>77</v>
      </c>
      <c r="C5" s="5" t="s">
        <v>78</v>
      </c>
      <c r="D5" s="5" t="s">
        <v>76</v>
      </c>
      <c r="E5" s="5" t="s">
        <v>72</v>
      </c>
      <c r="F5" s="5" t="s">
        <v>73</v>
      </c>
      <c r="G5" s="5" t="s">
        <v>74</v>
      </c>
      <c r="H5" s="5" t="s">
        <v>75</v>
      </c>
      <c r="I5" s="5" t="s">
        <v>30</v>
      </c>
      <c r="J5" s="5" t="s">
        <v>71</v>
      </c>
      <c r="K5" s="5" t="s">
        <v>70</v>
      </c>
      <c r="L5" s="5" t="s">
        <v>69</v>
      </c>
      <c r="M5" s="5" t="s">
        <v>68</v>
      </c>
      <c r="N5" s="5"/>
    </row>
    <row r="6" spans="1:23" x14ac:dyDescent="0.25">
      <c r="A6" t="s">
        <v>63</v>
      </c>
      <c r="B6" s="22" t="s">
        <v>65</v>
      </c>
      <c r="C6" s="22" t="s">
        <v>67</v>
      </c>
      <c r="D6" s="22" t="s">
        <v>29</v>
      </c>
      <c r="E6" s="22" t="s">
        <v>13</v>
      </c>
      <c r="F6" s="5" t="s">
        <v>66</v>
      </c>
    </row>
    <row r="7" spans="1:23" x14ac:dyDescent="0.25">
      <c r="A7" t="s">
        <v>64</v>
      </c>
      <c r="B7" s="5" t="s">
        <v>30</v>
      </c>
      <c r="C7" s="5" t="s">
        <v>71</v>
      </c>
      <c r="D7" s="5" t="s">
        <v>70</v>
      </c>
      <c r="E7" s="5" t="s">
        <v>69</v>
      </c>
      <c r="F7" s="5" t="s">
        <v>68</v>
      </c>
    </row>
    <row r="8" spans="1:23" x14ac:dyDescent="0.25">
      <c r="A8" t="s">
        <v>4</v>
      </c>
      <c r="B8" s="5" t="s">
        <v>76</v>
      </c>
      <c r="C8" s="5" t="s">
        <v>77</v>
      </c>
      <c r="D8" s="5" t="s">
        <v>78</v>
      </c>
      <c r="E8" s="5" t="s">
        <v>75</v>
      </c>
      <c r="F8" s="5" t="s">
        <v>72</v>
      </c>
      <c r="G8" s="5" t="s">
        <v>73</v>
      </c>
      <c r="H8" s="5" t="s">
        <v>74</v>
      </c>
      <c r="I8" s="5"/>
      <c r="J8" s="5"/>
      <c r="K8" s="5"/>
    </row>
    <row r="9" spans="1:23" x14ac:dyDescent="0.25">
      <c r="A9" t="s">
        <v>36</v>
      </c>
      <c r="B9" s="5" t="s">
        <v>37</v>
      </c>
      <c r="C9" s="5" t="s">
        <v>118</v>
      </c>
      <c r="D9" s="5" t="s">
        <v>117</v>
      </c>
      <c r="E9" s="5" t="s">
        <v>119</v>
      </c>
      <c r="F9" s="5"/>
      <c r="G9" s="5"/>
      <c r="H9" s="5"/>
      <c r="I9" s="5"/>
    </row>
    <row r="10" spans="1:23" x14ac:dyDescent="0.25">
      <c r="A10" s="16" t="s">
        <v>97</v>
      </c>
      <c r="B10" s="16" t="s">
        <v>98</v>
      </c>
      <c r="C10" s="17" t="s">
        <v>99</v>
      </c>
    </row>
    <row r="11" spans="1:23" x14ac:dyDescent="0.25">
      <c r="B11" s="19" t="s">
        <v>97</v>
      </c>
      <c r="C11" s="20" t="s">
        <v>98</v>
      </c>
      <c r="G11" s="5"/>
      <c r="H11" s="5"/>
      <c r="I11" s="5"/>
      <c r="J11" s="5"/>
      <c r="K11" s="5"/>
      <c r="L11" s="5"/>
      <c r="M11" s="5"/>
      <c r="N11" s="5"/>
      <c r="O11" s="5"/>
      <c r="P11" s="5"/>
      <c r="Q11" s="5"/>
      <c r="R11" s="5"/>
      <c r="S11" s="5"/>
      <c r="T11" s="5"/>
      <c r="U11" s="5"/>
      <c r="V11" s="5"/>
      <c r="W11" s="5"/>
    </row>
    <row r="12" spans="1:23" x14ac:dyDescent="0.25">
      <c r="A12" s="18" t="s">
        <v>42</v>
      </c>
      <c r="B12" s="19" t="s">
        <v>35</v>
      </c>
      <c r="C12" s="20" t="s">
        <v>63</v>
      </c>
      <c r="G12" s="23"/>
      <c r="H12" s="23"/>
      <c r="I12" s="23"/>
      <c r="J12" s="23"/>
    </row>
    <row r="13" spans="1:23" x14ac:dyDescent="0.25">
      <c r="A13" s="18" t="s">
        <v>2</v>
      </c>
      <c r="B13" s="19" t="s">
        <v>3</v>
      </c>
      <c r="C13" s="19" t="s">
        <v>59</v>
      </c>
    </row>
    <row r="14" spans="1:23" x14ac:dyDescent="0.25">
      <c r="A14" s="18"/>
      <c r="B14" s="19" t="s">
        <v>4</v>
      </c>
      <c r="C14" s="19" t="s">
        <v>4</v>
      </c>
    </row>
    <row r="15" spans="1:23" x14ac:dyDescent="0.25">
      <c r="A15" s="18"/>
      <c r="B15" s="21" t="s">
        <v>26</v>
      </c>
      <c r="C15" s="19" t="s">
        <v>59</v>
      </c>
      <c r="H15" s="5"/>
      <c r="I15" s="5"/>
      <c r="J15" s="5"/>
      <c r="K15" s="5"/>
      <c r="L15" s="5"/>
    </row>
    <row r="16" spans="1:23" x14ac:dyDescent="0.25">
      <c r="A16" s="18"/>
      <c r="B16" s="21" t="s">
        <v>24</v>
      </c>
      <c r="C16" s="19" t="s">
        <v>59</v>
      </c>
      <c r="H16" s="5"/>
      <c r="I16" s="5"/>
      <c r="J16" s="5"/>
      <c r="K16" s="5"/>
      <c r="L16" s="5"/>
    </row>
    <row r="17" spans="1:3" x14ac:dyDescent="0.25">
      <c r="A17" s="18"/>
      <c r="B17" s="21" t="s">
        <v>79</v>
      </c>
      <c r="C17" s="19" t="s">
        <v>59</v>
      </c>
    </row>
    <row r="18" spans="1:3" x14ac:dyDescent="0.25">
      <c r="A18" s="18"/>
      <c r="B18" s="21" t="s">
        <v>95</v>
      </c>
      <c r="C18" s="19" t="s">
        <v>59</v>
      </c>
    </row>
    <row r="19" spans="1:3" x14ac:dyDescent="0.25">
      <c r="A19" s="18" t="s">
        <v>41</v>
      </c>
      <c r="B19" s="19" t="s">
        <v>15</v>
      </c>
      <c r="C19" s="19" t="s">
        <v>63</v>
      </c>
    </row>
    <row r="20" spans="1:3" x14ac:dyDescent="0.25">
      <c r="A20" s="18"/>
      <c r="B20" s="21" t="s">
        <v>16</v>
      </c>
      <c r="C20" s="19" t="s">
        <v>63</v>
      </c>
    </row>
    <row r="21" spans="1:3" x14ac:dyDescent="0.25">
      <c r="A21" s="18"/>
      <c r="B21" s="21" t="s">
        <v>17</v>
      </c>
      <c r="C21" s="19" t="s">
        <v>63</v>
      </c>
    </row>
    <row r="22" spans="1:3" x14ac:dyDescent="0.25">
      <c r="A22" s="18"/>
      <c r="B22" s="21" t="s">
        <v>18</v>
      </c>
      <c r="C22" s="19" t="s">
        <v>63</v>
      </c>
    </row>
    <row r="23" spans="1:3" x14ac:dyDescent="0.25">
      <c r="A23" s="18"/>
      <c r="B23" s="21" t="s">
        <v>19</v>
      </c>
      <c r="C23" s="19" t="s">
        <v>63</v>
      </c>
    </row>
    <row r="24" spans="1:3" x14ac:dyDescent="0.25">
      <c r="A24" s="18"/>
      <c r="B24" s="21" t="s">
        <v>20</v>
      </c>
      <c r="C24" s="19" t="s">
        <v>63</v>
      </c>
    </row>
    <row r="25" spans="1:3" x14ac:dyDescent="0.25">
      <c r="A25" s="18"/>
      <c r="B25" s="21" t="s">
        <v>21</v>
      </c>
      <c r="C25" s="19" t="s">
        <v>63</v>
      </c>
    </row>
    <row r="26" spans="1:3" x14ac:dyDescent="0.25">
      <c r="A26" s="18"/>
      <c r="B26" s="21" t="s">
        <v>22</v>
      </c>
      <c r="C26" s="19" t="s">
        <v>63</v>
      </c>
    </row>
    <row r="27" spans="1:3" x14ac:dyDescent="0.25">
      <c r="A27" s="18"/>
      <c r="B27" s="21" t="s">
        <v>23</v>
      </c>
      <c r="C27" s="19" t="s">
        <v>63</v>
      </c>
    </row>
    <row r="28" spans="1:3" x14ac:dyDescent="0.25">
      <c r="A28" s="18"/>
      <c r="B28" s="21" t="s">
        <v>115</v>
      </c>
      <c r="C28" s="19" t="s">
        <v>63</v>
      </c>
    </row>
    <row r="29" spans="1:3" x14ac:dyDescent="0.25">
      <c r="A29" s="18"/>
      <c r="B29" s="21" t="s">
        <v>40</v>
      </c>
      <c r="C29" s="19" t="s">
        <v>63</v>
      </c>
    </row>
    <row r="30" spans="1:3" x14ac:dyDescent="0.25">
      <c r="A30" s="18"/>
      <c r="B30" s="21" t="s">
        <v>25</v>
      </c>
      <c r="C30" s="19" t="s">
        <v>63</v>
      </c>
    </row>
    <row r="31" spans="1:3" x14ac:dyDescent="0.25">
      <c r="A31" s="18"/>
      <c r="B31" s="21" t="s">
        <v>27</v>
      </c>
      <c r="C31" s="19" t="s">
        <v>63</v>
      </c>
    </row>
    <row r="32" spans="1:3" x14ac:dyDescent="0.25">
      <c r="A32" s="18"/>
      <c r="B32" s="19" t="s">
        <v>28</v>
      </c>
      <c r="C32" s="19" t="s">
        <v>63</v>
      </c>
    </row>
    <row r="33" spans="1:3" x14ac:dyDescent="0.25">
      <c r="A33" s="18"/>
      <c r="B33" s="19" t="s">
        <v>32</v>
      </c>
      <c r="C33" s="19" t="s">
        <v>63</v>
      </c>
    </row>
    <row r="34" spans="1:3" x14ac:dyDescent="0.25">
      <c r="A34" s="19"/>
      <c r="B34" s="19" t="s">
        <v>23</v>
      </c>
      <c r="C34" s="19" t="s">
        <v>63</v>
      </c>
    </row>
    <row r="35" spans="1:3" x14ac:dyDescent="0.25">
      <c r="A35" s="19"/>
      <c r="B35" s="19" t="s">
        <v>22</v>
      </c>
      <c r="C35" s="19" t="s">
        <v>63</v>
      </c>
    </row>
    <row r="36" spans="1:3" x14ac:dyDescent="0.25">
      <c r="A36" s="19"/>
      <c r="B36" s="19" t="s">
        <v>40</v>
      </c>
      <c r="C36" s="19" t="s">
        <v>63</v>
      </c>
    </row>
    <row r="37" spans="1:3" x14ac:dyDescent="0.25">
      <c r="A37" s="19"/>
      <c r="B37" s="19" t="s">
        <v>27</v>
      </c>
      <c r="C37" s="19" t="s">
        <v>63</v>
      </c>
    </row>
    <row r="38" spans="1:3" x14ac:dyDescent="0.25">
      <c r="A38" s="19"/>
      <c r="B38" s="19" t="s">
        <v>56</v>
      </c>
      <c r="C38" s="19" t="s">
        <v>63</v>
      </c>
    </row>
    <row r="39" spans="1:3" x14ac:dyDescent="0.25">
      <c r="A39" s="18" t="s">
        <v>31</v>
      </c>
      <c r="B39" s="19" t="s">
        <v>31</v>
      </c>
      <c r="C39" s="19" t="s">
        <v>60</v>
      </c>
    </row>
  </sheetData>
  <pageMargins left="0.7" right="0.7" top="0.75" bottom="0.75" header="0.3" footer="0.3"/>
  <pageSetup orientation="portrait" r:id="rId1"/>
  <tableParts count="2">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B3" sqref="B3"/>
    </sheetView>
  </sheetViews>
  <sheetFormatPr defaultRowHeight="15" x14ac:dyDescent="0.25"/>
  <cols>
    <col min="1" max="1" width="12.140625" bestFit="1" customWidth="1"/>
    <col min="2" max="2" width="26.42578125" bestFit="1" customWidth="1"/>
  </cols>
  <sheetData>
    <row r="1" spans="1:4" x14ac:dyDescent="0.25">
      <c r="A1" s="4" t="s">
        <v>122</v>
      </c>
      <c r="B1" s="4" t="s">
        <v>7</v>
      </c>
      <c r="C1" s="4" t="s">
        <v>151</v>
      </c>
      <c r="D1" s="4" t="s">
        <v>153</v>
      </c>
    </row>
    <row r="2" spans="1:4" x14ac:dyDescent="0.25">
      <c r="B2" t="s">
        <v>0</v>
      </c>
      <c r="D2" t="s">
        <v>154</v>
      </c>
    </row>
    <row r="3" spans="1:4" x14ac:dyDescent="0.25">
      <c r="A3" t="s">
        <v>94</v>
      </c>
      <c r="B3" t="s">
        <v>149</v>
      </c>
      <c r="C3" t="s">
        <v>152</v>
      </c>
      <c r="D3" t="s">
        <v>158</v>
      </c>
    </row>
    <row r="4" spans="1:4" x14ac:dyDescent="0.25">
      <c r="A4" t="s">
        <v>123</v>
      </c>
      <c r="B4" t="s">
        <v>123</v>
      </c>
      <c r="C4" t="s">
        <v>126</v>
      </c>
      <c r="D4" t="s">
        <v>159</v>
      </c>
    </row>
    <row r="5" spans="1:4" x14ac:dyDescent="0.25">
      <c r="A5" t="s">
        <v>93</v>
      </c>
      <c r="B5" t="s">
        <v>93</v>
      </c>
      <c r="D5" t="s">
        <v>160</v>
      </c>
    </row>
    <row r="6" spans="1:4" x14ac:dyDescent="0.25">
      <c r="D6" t="s">
        <v>155</v>
      </c>
    </row>
    <row r="7" spans="1:4" x14ac:dyDescent="0.25">
      <c r="D7" t="s">
        <v>156</v>
      </c>
    </row>
    <row r="8" spans="1:4" x14ac:dyDescent="0.25">
      <c r="D8" t="s">
        <v>157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Introduction</vt:lpstr>
      <vt:lpstr>Template</vt:lpstr>
      <vt:lpstr>Feedstock Harvest</vt:lpstr>
      <vt:lpstr>Preprocessing</vt:lpstr>
      <vt:lpstr>Fuel Production</vt:lpstr>
      <vt:lpstr>SI - Resources</vt:lpstr>
      <vt:lpstr>SI - End Use</vt:lpstr>
      <vt:lpstr>SI - Units</vt:lpstr>
      <vt:lpstr>SI - Co-products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2022-05-24T21:07:57Z</dcterms:modified>
</cp:coreProperties>
</file>