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001C2ECD-CBAF-4A02-92D4-A997BC5117C0}" xr6:coauthVersionLast="47" xr6:coauthVersionMax="47" xr10:uidLastSave="{00000000-0000-0000-0000-000000000000}"/>
  <bookViews>
    <workbookView xWindow="28680" yWindow="-120" windowWidth="29040" windowHeight="15840" tabRatio="685"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4" i="27" l="1"/>
  <c r="E40" i="27"/>
  <c r="E38" i="27"/>
  <c r="E33" i="27"/>
  <c r="E32" i="27"/>
  <c r="E31" i="27"/>
  <c r="E30" i="27"/>
  <c r="E29" i="27"/>
  <c r="E28" i="27"/>
  <c r="E19" i="27"/>
  <c r="E7" i="27"/>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<sst xmlns="http://schemas.openxmlformats.org/spreadsheetml/2006/main" count="1270" uniqueCount="349">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</sst>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2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28" dataDxfId="127" tableBorderDxfId="126" dataCellStyle="Percent">
  <autoFilter ref="A5:T100" xr:uid="{1644AED8-49DE-4A1D-989C-1566C9A522B9}"/>
  <tableColumns count="20">
    <tableColumn id="1" xr3:uid="{3C4E83C1-4DAF-4B93-AE9A-B658DBA43631}" name="Type" dataDxfId="125"/>
    <tableColumn id="2" xr3:uid="{7AC9B54E-C457-49EC-A7D6-0ED656B6CFE9}" name="Category" dataDxfId="124"/>
    <tableColumn id="3" xr3:uid="{350F9A14-F368-49FE-AF21-19555EB999FB}" name="Resource" dataDxfId="123">
      <calculatedColumnFormula>_xlfn.XLOOKUP($B6,'SI - Resources'!$A$1:$J$1,'SI - Resources'!$A$2:$J$2, "")</calculatedColumnFormula>
    </tableColumn>
    <tableColumn id="4" xr3:uid="{A0B55D89-6640-4C29-88AC-93188C5097C5}" name="End Use" dataDxfId="122">
      <calculatedColumnFormula>IF(_xlfn.XLOOKUP($C6,'SI - End Use'!$B$2:$B$6,'SI - End Use'!$C$2:$C$6, "")="", "", _xlfn.XLOOKUP($C6,'SI - End Use'!$B$2:$B$6,'SI - End Use'!$C$2:$C$6, ""))</calculatedColumnFormula>
    </tableColumn>
    <tableColumn id="5" xr3:uid="{5ADDDF1D-4510-4428-A882-8D5C8F52BE8C}" name="Amount" dataDxfId="121" dataCellStyle="Comma"/>
    <tableColumn id="6" xr3:uid="{341D427F-5F42-4F22-98AD-9D6883E4330B}" name="Unit" dataDxfId="120">
      <calculatedColumnFormula array="1">IF($B6="Transportation",  'SI - Units'!$B$9:$B$9, _xlfn.XLOOKUP(_xlfn.XLOOKUP($C6,'SI - Units'!$B$24:$B$109,'SI - Units'!$C$24:$C$109, ""),'SI - Units'!$A$2:$A$8,'SI - Units'!$B$2:$B$8, ""))</calculatedColumnFormula>
    </tableColumn>
    <tableColumn id="7" xr3:uid="{515C4DB0-B187-40B1-8F47-45FF3483AEC1}" name="Moisture" dataDxfId="119" dataCellStyle="Percent"/>
    <tableColumn id="8" xr3:uid="{294BC856-42BB-4049-BD49-6A865E88E771}" name="Previous Stage" dataDxfId="118" dataCellStyle="Percent"/>
    <tableColumn id="9" xr3:uid="{CDA23678-EB57-4035-9101-F29AA45C63EE}" name="Always Use Displacement Method for Co-Product?" dataDxfId="117" dataCellStyle="Percent">
      <calculatedColumnFormula>IF(Table1[[#This Row],[Type]]="Co-product", "No", "")</calculatedColumnFormula>
    </tableColumn>
    <tableColumn id="19" xr3:uid="{9ACBBA67-4B7F-43A7-9CF8-0FBB7B61A832}" name="Urban Share" dataDxfId="116" dataCellStyle="Percent"/>
    <tableColumn id="10" xr3:uid="{0E5BF4B8-8667-40EE-B9EF-BC9E06D72AAB}" name="Product Train" dataDxfId="115"/>
    <tableColumn id="14" xr3:uid="{D99A9C54-A8C3-4803-A70D-4659D5193A9A}" name="Payload" dataDxfId="114">
      <calculatedColumnFormula>IF(Table1[[#This Row],[Category]]="Transportation", _xlfn.XLOOKUP(Table1[[#This Row],[Resource]], 'SI - Payload'!$A$10:$A$38,'SI - Payload'!$B$10:$B$38,"",0), "")</calculatedColumnFormula>
    </tableColumn>
    <tableColumn id="15" xr3:uid="{3BF278AE-6D04-4ABA-AACE-E651957B5676}" name="Payload Unit" dataDxfId="113">
      <calculatedColumnFormula>IF(Table1[[#This Row],[Category]]="Transportation", "ton", "")</calculatedColumnFormula>
    </tableColumn>
    <tableColumn id="16" xr3:uid="{B4587E16-116C-48C2-B897-34EA45D2B5E2}" name="Market Price" dataDxfId="112"/>
    <tableColumn id="17" xr3:uid="{CFF030DD-8740-4448-85CE-69419CA7344D}" name="Market Price Unit" dataDxfId="111"/>
    <tableColumn id="12" xr3:uid="{0A5A1CE9-5C17-482C-ACCA-BB3BA789761E}" name="Incumbent Product" dataDxfId="110">
      <calculatedColumnFormula>IF(OR(Table1[[#This Row],[Type]]="Main Product", Table1[[#This Row],[Type]]="Co-Product"), Table1[[#This Row],[Resource]], "")</calculatedColumnFormula>
    </tableColumn>
    <tableColumn id="13" xr3:uid="{A8C514D4-4EE9-4BFC-A5D9-1A3B1C61CAF3}" name="End Use of Incumbent Product" dataDxfId="109">
      <calculatedColumnFormula>IF(_xlfn.XLOOKUP($P6,'SI - End Use'!$B$2:$B$6,'SI - End Use'!$C$2:$C$6, "")="", "", _xlfn.XLOOKUP($C6,'SI - End Use'!$B$2:$B$6,'SI - End Use'!$C$2:$C$6, ""))</calculatedColumnFormula>
    </tableColumn>
    <tableColumn id="20" xr3:uid="{3D510D5D-99B7-4EB4-8590-3620FE598E5C}" name="Surrogate For" dataDxfId="108"/>
    <tableColumn id="18" xr3:uid="{1AFBF91D-E45D-442D-BA06-D58B0AE7953E}" name="Process" dataDxfId="107"/>
    <tableColumn id="11" xr3:uid="{34D8D993-53F9-46B7-8FE9-32F1A6F2DFD2}" name="Note" dataDxfId="1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05" dataDxfId="104">
  <autoFilter ref="A1:K53" xr:uid="{BF352F56-F627-4A8D-9B22-DA497E2644FC}"/>
  <tableColumns count="11">
    <tableColumn id="1" xr3:uid="{B4C1BEA4-EC08-4542-9BC0-5CAC3303F1DE}" name="Biomass" dataDxfId="103"/>
    <tableColumn id="8" xr3:uid="{CA09F49F-4D37-4D57-9F64-66042BBFCAF3}" name="Waste" dataDxfId="102"/>
    <tableColumn id="2" xr3:uid="{16936180-7E0F-4E08-BEC7-75346859C647}" name="Process fuel" dataDxfId="101"/>
    <tableColumn id="6" xr3:uid="{8ABA29FD-C6B0-4B51-8840-E17193E077EC}" name="Electricity" dataDxfId="100"/>
    <tableColumn id="3" xr3:uid="{C1A34163-30E4-47F2-BE75-A919CC80E9BF}" name="Chemicals and catalysts" dataDxfId="99"/>
    <tableColumn id="4" xr3:uid="{CA7E12F4-CA42-4C30-8167-75EC0AE0646A}" name="Water" dataDxfId="98"/>
    <tableColumn id="9" xr3:uid="{6ADE4401-0F6C-4911-9721-036C8287FC6F}" name="Infrastructure" dataDxfId="97"/>
    <tableColumn id="7" xr3:uid="{C235CCC4-A94E-464B-AE35-96309F90FA7A}" name="Transportation" dataDxfId="96"/>
    <tableColumn id="10" xr3:uid="{C8DE9AE9-442D-497B-B981-79FAEF638C23}" name="Other" dataDxfId="95"/>
    <tableColumn id="5" xr3:uid="{FBD24046-BCD6-418A-8FDF-2918685E10CE}" name="Emissions and sequestration" dataDxfId="94"/>
    <tableColumn id="11" xr3:uid="{B559EE47-EDB5-47AD-9A10-77802A08495D}" name="Placeholder"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92"/>
    <tableColumn id="4" xr3:uid="{066E5028-FE97-46DD-94DD-3F5362889CC8}" name="Column4" dataDxfId="91"/>
    <tableColumn id="5" xr3:uid="{518CF11D-9FC1-41DC-A48E-08F72F35ADAA}" name="Column5" dataDxfId="90"/>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89">
  <autoFilter ref="A1:R10" xr:uid="{A38095DD-9874-4EE7-A8C2-2706165CCEBD}"/>
  <tableColumns count="18">
    <tableColumn id="1" xr3:uid="{65B7BBF3-4BCE-43A4-9B03-83AE412598EC}" name="Column1"/>
    <tableColumn id="2" xr3:uid="{FFDF068B-D532-4DC4-904E-48D00A60A52E}" name="Column2" dataDxfId="88"/>
    <tableColumn id="3" xr3:uid="{22885E79-E7D2-4EEE-B0A6-74B1C5779681}" name="Column3" dataDxfId="87"/>
    <tableColumn id="4" xr3:uid="{C1DEFD79-EA05-47FD-8251-B29B3BCC06B2}" name="Column4" dataDxfId="86"/>
    <tableColumn id="5" xr3:uid="{29AEEBB1-E43B-4691-B73C-A8FA6D80443C}" name="Column5" dataDxfId="85"/>
    <tableColumn id="6" xr3:uid="{CC08C1F9-C485-4200-A0F9-C8E59BA65B97}" name="Column6" dataDxfId="84"/>
    <tableColumn id="7" xr3:uid="{6C28381F-6253-4E2E-A800-FF075582292A}" name="Column7" dataDxfId="83"/>
    <tableColumn id="8" xr3:uid="{CA3D0B6B-B24F-4751-A1CE-28D7D0B98174}" name="Column8" dataDxfId="82"/>
    <tableColumn id="9" xr3:uid="{7057E753-ED12-407E-950F-CC59E808A2BF}" name="Column9" dataDxfId="81"/>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80">
  <autoFilter ref="B23:C109" xr:uid="{09147A22-E822-45D3-B3C2-ABDDF48EE5E6}"/>
  <tableColumns count="2">
    <tableColumn id="1" xr3:uid="{CDC0A0AC-3BED-4650-82CE-403A1BF28367}" name="Column1" dataDxfId="79"/>
    <tableColumn id="2" xr3:uid="{B6F8A3B9-3868-4A35-8F6E-BA3E60A1529E}" name="Column2" dataDxfId="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77">
  <autoFilter ref="A12:R20" xr:uid="{B01EA81C-1645-4ED3-BEC5-6C5396237E43}"/>
  <tableColumns count="18">
    <tableColumn id="1" xr3:uid="{821EE498-6278-4E39-82EF-1F47FBA85A36}" name="Column1"/>
    <tableColumn id="2" xr3:uid="{E81954FF-60B7-4ABD-BC14-40676F73AA3E}" name="Column2" dataDxfId="76">
      <calculatedColumnFormula>IF(B2&lt;&gt;"","$/"&amp;B2, "")</calculatedColumnFormula>
    </tableColumn>
    <tableColumn id="3" xr3:uid="{A15329FC-BC0D-46AE-9A0E-F4CFE0FF184A}" name="Column3" dataDxfId="75">
      <calculatedColumnFormula>IF(C2&lt;&gt;"","$/"&amp;C2, "")</calculatedColumnFormula>
    </tableColumn>
    <tableColumn id="4" xr3:uid="{2197BCF8-40A1-4D22-B05E-D0E1CBFBA215}" name="Column4" dataDxfId="74">
      <calculatedColumnFormula>IF(D2&lt;&gt;"","$/"&amp;D2, "")</calculatedColumnFormula>
    </tableColumn>
    <tableColumn id="5" xr3:uid="{3DAF72F2-745A-4FCF-BD44-BDC825984018}" name="Column5" dataDxfId="73">
      <calculatedColumnFormula>IF(E2&lt;&gt;"","$/"&amp;E2, "")</calculatedColumnFormula>
    </tableColumn>
    <tableColumn id="6" xr3:uid="{820E7353-19C6-4D63-B444-F7CAC7BF01AA}" name="Column6" dataDxfId="72">
      <calculatedColumnFormula>IF(F2&lt;&gt;"","$/"&amp;F2, "")</calculatedColumnFormula>
    </tableColumn>
    <tableColumn id="7" xr3:uid="{91F510E8-B638-43EB-BA78-D4632DA66CD4}" name="Column7" dataDxfId="71">
      <calculatedColumnFormula>IF(G2&lt;&gt;"","$/"&amp;G2, "")</calculatedColumnFormula>
    </tableColumn>
    <tableColumn id="8" xr3:uid="{9CD4EFF6-953E-4257-A2B2-041DCDDBD0BB}" name="Column8" dataDxfId="70">
      <calculatedColumnFormula>IF(H2&lt;&gt;"","$/"&amp;H2, "")</calculatedColumnFormula>
    </tableColumn>
    <tableColumn id="9" xr3:uid="{E1D1E2ED-A567-4428-8C9E-5EE867B5D225}" name="Column9" dataDxfId="69">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68" dataDxfId="67" tableBorderDxfId="66" dataCellStyle="Percent">
  <autoFilter ref="A5:T100" xr:uid="{1644AED8-49DE-4A1D-989C-1566C9A522B9}"/>
  <tableColumns count="20">
    <tableColumn id="1" xr3:uid="{5C14494A-D5A7-4384-9BE6-EDADB9A49DA1}" name="Type" dataDxfId="65"/>
    <tableColumn id="2" xr3:uid="{F94EBBB0-529F-4367-99F4-F6B804F6F878}" name="Category" dataDxfId="64"/>
    <tableColumn id="3" xr3:uid="{6C3E8C27-720F-41E8-BDA3-20546064E67C}" name="Resource" dataDxfId="63">
      <calculatedColumnFormula>_xlfn.XLOOKUP($B6,'SI - Resources'!$A$1:$J$1,'SI - Resources'!$A$2:$J$2, "")</calculatedColumnFormula>
    </tableColumn>
    <tableColumn id="4" xr3:uid="{80894DA5-C440-42BB-97D8-9AEF3AA250DD}" name="End Use" dataDxfId="62">
      <calculatedColumnFormula>IF(_xlfn.XLOOKUP($C6,'SI - End Use'!$B$2:$B$6,'SI - End Use'!$C$2:$C$6, "")="", "", _xlfn.XLOOKUP($C6,'SI - End Use'!$B$2:$B$6,'SI - End Use'!$C$2:$C$6, ""))</calculatedColumnFormula>
    </tableColumn>
    <tableColumn id="5" xr3:uid="{50BB472B-3F35-4DC8-ACAB-87021B22A300}" name="Amount" dataDxfId="61" dataCellStyle="Comma"/>
    <tableColumn id="6" xr3:uid="{3BDD631E-6A2A-477E-913A-FC12253EBDD8}" name="Unit" dataDxfId="60">
      <calculatedColumnFormula array="1">IF($B6="Transportation",  'SI - Units'!$B$9:$B$9, _xlfn.XLOOKUP(_xlfn.XLOOKUP($C6,'SI - Units'!$B$24:$B$109,'SI - Units'!$C$24:$C$109, ""),'SI - Units'!$A$2:$A$8,'SI - Units'!$B$2:$B$8, ""))</calculatedColumnFormula>
    </tableColumn>
    <tableColumn id="7" xr3:uid="{4EE01B06-D222-4508-9931-902C581EFD90}" name="Moisture" dataDxfId="59" dataCellStyle="Percent"/>
    <tableColumn id="8" xr3:uid="{879CDC5A-148F-41D3-B45D-581A8E16F835}" name="Previous Stage" dataDxfId="58" dataCellStyle="Percent"/>
    <tableColumn id="9" xr3:uid="{2FD75FD6-A83C-4987-8E58-16B844248EE9}" name="Always Use Displacement Method for Co-Product?" dataDxfId="57" dataCellStyle="Percent">
      <calculatedColumnFormula>IF(Table13[[#This Row],[Type]]="Co-product", "No", "")</calculatedColumnFormula>
    </tableColumn>
    <tableColumn id="19" xr3:uid="{BD732883-5BF3-4D37-BB10-6CB6B03919F0}" name="Urban Share" dataDxfId="56" dataCellStyle="Percent"/>
    <tableColumn id="10" xr3:uid="{3AA89217-79AB-4F5A-B091-69D6E899927A}" name="Product Train" dataDxfId="55"/>
    <tableColumn id="14" xr3:uid="{F774A1BE-A8A8-4EF3-905C-D88A0E72F164}" name="Payload" dataDxfId="54">
      <calculatedColumnFormula>IF(Table13[[#This Row],[Category]]="Transportation", _xlfn.XLOOKUP(Table13[[#This Row],[Resource]], 'SI - Payload'!$A$10:$A$38,'SI - Payload'!$B$10:$B$38,"",0), "")</calculatedColumnFormula>
    </tableColumn>
    <tableColumn id="15" xr3:uid="{C77A7084-E87F-4DC1-A74F-23CB22D0AE8F}" name="Payload Unit" dataDxfId="53">
      <calculatedColumnFormula>IF(Table13[[#This Row],[Category]]="Transportation", "ton", "")</calculatedColumnFormula>
    </tableColumn>
    <tableColumn id="16" xr3:uid="{08EFBD21-F842-4EF6-A0D1-BD7F8826982F}" name="Market Price" dataDxfId="52"/>
    <tableColumn id="17" xr3:uid="{596024E1-87A9-47FC-90C3-A3DAE4E4656A}" name="Market Price Unit" dataDxfId="51"/>
    <tableColumn id="12" xr3:uid="{BF096D49-8C78-41C5-9009-134C663215AA}" name="Incumbent Product" dataDxfId="50">
      <calculatedColumnFormula>IF(OR(Table13[[#This Row],[Type]]="Main Product", Table13[[#This Row],[Type]]="Co-Product"), Table13[[#This Row],[Resource]], "")</calculatedColumnFormula>
    </tableColumn>
    <tableColumn id="13" xr3:uid="{D157D649-42B4-4A10-8A48-6B5B954B9033}" name="End Use of Incumbent Product" dataDxfId="49">
      <calculatedColumnFormula>IF(_xlfn.XLOOKUP($P6,'SI - End Use'!$B$2:$B$6,'SI - End Use'!$C$2:$C$6, "")="", "", _xlfn.XLOOKUP($C6,'SI - End Use'!$B$2:$B$6,'SI - End Use'!$C$2:$C$6, ""))</calculatedColumnFormula>
    </tableColumn>
    <tableColumn id="20" xr3:uid="{9A0C68B5-2C00-453B-BD44-6EB353C48AAA}" name="Surrogate For" dataDxfId="48"/>
    <tableColumn id="18" xr3:uid="{D6CB4ECB-3E2A-49E9-8839-1D66505226AC}" name="Process" dataDxfId="47"/>
    <tableColumn id="11" xr3:uid="{FC977AEA-8815-4A56-875B-A0E729B5481B}" name="Note" dataDxfId="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45" dataDxfId="44" tableBorderDxfId="43" dataCellStyle="Percent">
  <autoFilter ref="A5:T100" xr:uid="{1644AED8-49DE-4A1D-989C-1566C9A522B9}"/>
  <tableColumns count="20">
    <tableColumn id="1" xr3:uid="{B1E1B899-7802-451D-B0BD-A67CF42B043E}" name="Type" dataDxfId="42"/>
    <tableColumn id="2" xr3:uid="{A3FEACC3-FE0C-4E49-8BAE-FFF8C11C1D14}" name="Category" dataDxfId="41"/>
    <tableColumn id="3" xr3:uid="{D451C217-D78B-4598-8C0F-6C0C609A5FC5}" name="Resource" dataDxfId="40">
      <calculatedColumnFormula>_xlfn.XLOOKUP($B6,'SI - Resources'!$A$1:$J$1,'SI - Resources'!$A$2:$J$2, "")</calculatedColumnFormula>
    </tableColumn>
    <tableColumn id="4" xr3:uid="{8B094D5C-54AF-40FA-8AE8-7B0CC956B140}" name="End Use" dataDxfId="39">
      <calculatedColumnFormula>IF(_xlfn.XLOOKUP($C6,'SI - End Use'!$B$2:$B$6,'SI - End Use'!$C$2:$C$6, "")="", "", _xlfn.XLOOKUP($C6,'SI - End Use'!$B$2:$B$6,'SI - End Use'!$C$2:$C$6, ""))</calculatedColumnFormula>
    </tableColumn>
    <tableColumn id="5" xr3:uid="{F975F8E8-419C-4756-848A-8A0809237B5D}" name="Amount" dataDxfId="38" dataCellStyle="Comma"/>
    <tableColumn id="6" xr3:uid="{E9851DFF-EDF1-4386-8A51-02564BC99C5E}" name="Unit" dataDxfId="37">
      <calculatedColumnFormula array="1">IF($B6="Transportation",  'SI - Units'!$B$9:$B$9, _xlfn.XLOOKUP(_xlfn.XLOOKUP($C6,'SI - Units'!$B$24:$B$109,'SI - Units'!$C$24:$C$109, ""),'SI - Units'!$A$2:$A$8,'SI - Units'!$B$2:$B$8, ""))</calculatedColumnFormula>
    </tableColumn>
    <tableColumn id="7" xr3:uid="{84BCCC58-E141-4607-B0A1-1D384CAED6C1}" name="Moisture" dataDxfId="36" dataCellStyle="Percent"/>
    <tableColumn id="8" xr3:uid="{0DF5961B-A6FC-499F-8D53-FC3E0E60EABE}" name="Previous Stage" dataDxfId="35" dataCellStyle="Percent"/>
    <tableColumn id="9" xr3:uid="{6470BAD5-A74B-4AA4-AFDA-3219877865CC}" name="Always Use Displacement Method for Co-Product?" dataDxfId="34" dataCellStyle="Percent">
      <calculatedColumnFormula>IF(Table16[[#This Row],[Type]]="Co-product", "No", "")</calculatedColumnFormula>
    </tableColumn>
    <tableColumn id="19" xr3:uid="{C496D3CD-1497-40E5-80D5-0E172FA0BA77}" name="Urban Share" dataDxfId="33" dataCellStyle="Percent"/>
    <tableColumn id="10" xr3:uid="{2F8F8D32-BD83-45FE-8E8A-14A62AA4B315}" name="Product Train" dataDxfId="32"/>
    <tableColumn id="14" xr3:uid="{A458546C-B2B9-4366-B1F2-73D7EB6494B6}" name="Payload" dataDxfId="31">
      <calculatedColumnFormula>IF(Table16[[#This Row],[Category]]="Transportation", _xlfn.XLOOKUP(Table16[[#This Row],[Resource]], 'SI - Payload'!$A$10:$A$38,'SI - Payload'!$B$10:$B$38,"",0), "")</calculatedColumnFormula>
    </tableColumn>
    <tableColumn id="15" xr3:uid="{E2DBB816-FE1C-4500-9B1A-3516CFD6290D}" name="Payload Unit" dataDxfId="30">
      <calculatedColumnFormula>IF(Table16[[#This Row],[Category]]="Transportation", "ton", "")</calculatedColumnFormula>
    </tableColumn>
    <tableColumn id="16" xr3:uid="{FBBBA95E-D41A-444E-83E9-EEE504DB1F2D}" name="Market Price" dataDxfId="29"/>
    <tableColumn id="17" xr3:uid="{369ADA6E-B476-40AF-A3C1-5AE5E5D65121}" name="Market Price Unit" dataDxfId="28"/>
    <tableColumn id="12" xr3:uid="{BEC45118-CA98-421F-BDDA-E5A856A7032A}" name="Incumbent Product" dataDxfId="27">
      <calculatedColumnFormula>IF(OR(Table16[[#This Row],[Type]]="Main Product", Table16[[#This Row],[Type]]="Co-Product"), Table16[[#This Row],[Resource]], "")</calculatedColumnFormula>
    </tableColumn>
    <tableColumn id="13" xr3:uid="{BD99A87C-6C98-4C77-B3F1-3A9B7B1CCA69}" name="End Use of Incumbent Product" dataDxfId="26">
      <calculatedColumnFormula>IF(_xlfn.XLOOKUP($P6,'SI - End Use'!$B$2:$B$6,'SI - End Use'!$C$2:$C$6, "")="", "", _xlfn.XLOOKUP($C6,'SI - End Use'!$B$2:$B$6,'SI - End Use'!$C$2:$C$6, ""))</calculatedColumnFormula>
    </tableColumn>
    <tableColumn id="20" xr3:uid="{F4B88114-3F6B-4BB1-8DF2-98CAD3DCF8A1}" name="Surrogate For" dataDxfId="25"/>
    <tableColumn id="18" xr3:uid="{1B350A15-5218-4FED-8933-C6C3C59C7344}" name="Process" dataDxfId="24"/>
    <tableColumn id="11" xr3:uid="{9FC10FF8-5B7F-4AC1-9BE2-D5A083E424B6}" name="Note" dataDxfId="2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22" dataDxfId="21" tableBorderDxfId="20" dataCellStyle="Percent">
  <autoFilter ref="A5:T100" xr:uid="{1644AED8-49DE-4A1D-989C-1566C9A522B9}"/>
  <tableColumns count="20">
    <tableColumn id="1" xr3:uid="{7EC87DCF-6251-4240-8F5B-613BAEF8BA4B}" name="Type" dataDxfId="19"/>
    <tableColumn id="2" xr3:uid="{7AC0C941-5EB1-4638-9442-07880AFAF357}" name="Category" dataDxfId="18"/>
    <tableColumn id="3" xr3:uid="{1B45774A-C5D3-4D10-B2DA-216965E9899D}" name="Resource" dataDxfId="17">
      <calculatedColumnFormula>_xlfn.XLOOKUP($B6,'SI - Resources'!$A$1:$J$1,'SI - Resources'!$A$2:$J$2, "")</calculatedColumnFormula>
    </tableColumn>
    <tableColumn id="4" xr3:uid="{35598BF0-9968-441A-ABE9-F58557295222}" name="End Use" dataDxfId="16">
      <calculatedColumnFormula>IF(_xlfn.XLOOKUP($C6,'SI - End Use'!$B$2:$B$6,'SI - End Use'!$C$2:$C$6, "")="", "", _xlfn.XLOOKUP($C6,'SI - End Use'!$B$2:$B$6,'SI - End Use'!$C$2:$C$6, ""))</calculatedColumnFormula>
    </tableColumn>
    <tableColumn id="5" xr3:uid="{8035282C-79EC-4419-940C-3B6F900FFA3E}" name="Amount" dataDxfId="15" dataCellStyle="Comma"/>
    <tableColumn id="6" xr3:uid="{7C2A0CDC-E90A-4876-A5C7-2266AF76E97C}" name="Unit" dataDxfId="14">
      <calculatedColumnFormula array="1">IF($B6="Transportation",  'SI - Units'!$B$9:$B$9, _xlfn.XLOOKUP(_xlfn.XLOOKUP($C6,'SI - Units'!$B$24:$B$109,'SI - Units'!$C$24:$C$109, ""),'SI - Units'!$A$2:$A$8,'SI - Units'!$B$2:$B$8, ""))</calculatedColumnFormula>
    </tableColumn>
    <tableColumn id="7" xr3:uid="{EC75E85E-569B-43DF-8ED0-E379204277B4}" name="Moisture" dataDxfId="13" dataCellStyle="Percent"/>
    <tableColumn id="8" xr3:uid="{258DAE84-6B7A-4825-A31A-5FAF2A05FEA9}" name="Previous Stage" dataDxfId="12" dataCellStyle="Percent"/>
    <tableColumn id="9" xr3:uid="{E940E76D-BC8A-427B-B344-DF1CA98194F2}" name="Always Use Displacement Method for Co-Product?" dataDxfId="11" dataCellStyle="Percent">
      <calculatedColumnFormula>IF(Table18[[#This Row],[Type]]="Co-product", "No", "")</calculatedColumnFormula>
    </tableColumn>
    <tableColumn id="19" xr3:uid="{65188A55-96A3-4170-9979-895D73E06177}" name="Urban Share" dataDxfId="10" dataCellStyle="Percent"/>
    <tableColumn id="10" xr3:uid="{C5725508-0FEE-4E75-9FC8-0A5432055E95}" name="Product Train" dataDxfId="9"/>
    <tableColumn id="14" xr3:uid="{ED6BF890-118D-4EA1-8C69-9E40D89D5BEB}" name="Payload" dataDxfId="8">
      <calculatedColumnFormula>IF(Table18[[#This Row],[Category]]="Transportation", _xlfn.XLOOKUP(Table18[[#This Row],[Resource]], 'SI - Payload'!$A$10:$A$38,'SI - Payload'!$B$10:$B$38,"",0), "")</calculatedColumnFormula>
    </tableColumn>
    <tableColumn id="15" xr3:uid="{D8B65983-31C2-4034-99F3-E8D2D54315EE}" name="Payload Unit" dataDxfId="7">
      <calculatedColumnFormula>IF(Table18[[#This Row],[Category]]="Transportation", "ton", "")</calculatedColumnFormula>
    </tableColumn>
    <tableColumn id="16" xr3:uid="{4F619B10-A0F1-4F2D-9FB1-BEE7A0D75C77}" name="Market Price" dataDxfId="6"/>
    <tableColumn id="17" xr3:uid="{207A3310-A728-4407-8642-5DB0B22BA967}" name="Market Price Unit" dataDxfId="5"/>
    <tableColumn id="12" xr3:uid="{7AAF70B5-6A10-48A8-AE77-DB21B9A4EE34}" name="Incumbent Product" dataDxfId="4">
      <calculatedColumnFormula>IF(OR(Table18[[#This Row],[Type]]="Main Product", Table18[[#This Row],[Type]]="Co-Product"), Table18[[#This Row],[Resource]], "")</calculatedColumnFormula>
    </tableColumn>
    <tableColumn id="13" xr3:uid="{529148C2-24C4-4201-8E6F-6B9D17834397}" name="End Use of Incumbent Product" dataDxfId="3">
      <calculatedColumnFormula>IF(_xlfn.XLOOKUP($P6,'SI - End Use'!$B$2:$B$6,'SI - End Use'!$C$2:$C$6, "")="", "", _xlfn.XLOOKUP($C6,'SI - End Use'!$B$2:$B$6,'SI - End Use'!$C$2:$C$6, ""))</calculatedColumnFormula>
    </tableColumn>
    <tableColumn id="20" xr3:uid="{64C311FB-4D25-4B48-8EDA-06F9BDFE5349}" name="Surrogate For" dataDxfId="2"/>
    <tableColumn id="18" xr3:uid="{3B4B9B49-1686-4899-8730-B1D785FEB379}" name="Process" dataDxfId="1"/>
    <tableColumn id="11" xr3:uid="{8CF0C64D-66C0-4CFD-95B3-9813C6B6127C}"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cols>
    <col min="1" max="1" width="46.140625" customWidth="1"/>
    <col min="2" max="2" width="139.5703125" customWidth="1"/>
  </cols>
  <sheetData>
    <row r="1" spans="1:3" ht="63.95" customHeight="1"/>
    <row r="2" spans="1:3" ht="103.5" customHeight="1">
      <c r="A2" s="65" t="s">
        <v>261</v>
      </c>
      <c r="B2" s="65"/>
    </row>
    <row r="3" spans="1:3" ht="29.1" customHeight="1">
      <c r="A3" s="67" t="s">
        <v>274</v>
      </c>
      <c r="B3" s="67"/>
    </row>
    <row r="4" spans="1:3" ht="27.95" customHeight="1">
      <c r="A4" s="19"/>
      <c r="B4" s="19"/>
    </row>
    <row r="5" spans="1:3" ht="27.95" customHeight="1">
      <c r="A5" s="66" t="s">
        <v>260</v>
      </c>
      <c r="B5" s="66"/>
    </row>
    <row r="6" spans="1:3" ht="27.95" customHeight="1">
      <c r="A6" s="21" t="s">
        <v>119</v>
      </c>
      <c r="B6" s="20"/>
    </row>
    <row r="7" spans="1:3">
      <c r="A7" s="23" t="s">
        <v>125</v>
      </c>
      <c r="B7" s="15" t="s">
        <v>256</v>
      </c>
    </row>
    <row r="8" spans="1:3">
      <c r="A8" s="23" t="s">
        <v>262</v>
      </c>
      <c r="B8" s="22" t="s">
        <v>263</v>
      </c>
      <c r="C8" s="14"/>
    </row>
    <row r="9" spans="1:3" ht="21">
      <c r="A9" s="20"/>
      <c r="B9" s="20"/>
    </row>
    <row r="10" spans="1:3" ht="27.95" customHeight="1">
      <c r="A10" s="21" t="s">
        <v>120</v>
      </c>
      <c r="B10" s="20"/>
    </row>
    <row r="11" spans="1:3">
      <c r="A11" s="16" t="s">
        <v>6</v>
      </c>
      <c r="B11" s="15" t="s">
        <v>264</v>
      </c>
    </row>
    <row r="12" spans="1:3">
      <c r="A12" s="18" t="s">
        <v>0</v>
      </c>
      <c r="B12" s="15" t="s">
        <v>115</v>
      </c>
    </row>
    <row r="13" spans="1:3">
      <c r="A13" s="18" t="s">
        <v>265</v>
      </c>
      <c r="B13" s="15" t="s">
        <v>273</v>
      </c>
    </row>
    <row r="14" spans="1:3" ht="60">
      <c r="A14" s="18" t="s">
        <v>113</v>
      </c>
      <c r="B14" s="15" t="s">
        <v>266</v>
      </c>
    </row>
    <row r="15" spans="1:3" ht="90">
      <c r="A15" s="18" t="s">
        <v>85</v>
      </c>
      <c r="B15" s="15" t="s">
        <v>267</v>
      </c>
    </row>
    <row r="16" spans="1:3" ht="60">
      <c r="A16" s="18" t="s">
        <v>240</v>
      </c>
      <c r="B16" s="15" t="s">
        <v>268</v>
      </c>
    </row>
    <row r="17" spans="1:2" ht="30">
      <c r="A17" s="17" t="s">
        <v>1</v>
      </c>
      <c r="B17" s="15" t="s">
        <v>247</v>
      </c>
    </row>
    <row r="18" spans="1:2">
      <c r="A18" s="17" t="s">
        <v>35</v>
      </c>
      <c r="B18" s="15" t="s">
        <v>116</v>
      </c>
    </row>
    <row r="19" spans="1:2" ht="45">
      <c r="A19" s="17" t="s">
        <v>5</v>
      </c>
      <c r="B19" s="15" t="s">
        <v>269</v>
      </c>
    </row>
    <row r="20" spans="1:2">
      <c r="A20" s="17" t="s">
        <v>7</v>
      </c>
      <c r="B20" s="15" t="s">
        <v>118</v>
      </c>
    </row>
    <row r="21" spans="1:2">
      <c r="A21" s="17" t="s">
        <v>8</v>
      </c>
      <c r="B21" s="15" t="s">
        <v>117</v>
      </c>
    </row>
    <row r="22" spans="1:2" ht="30">
      <c r="A22" s="17" t="s">
        <v>111</v>
      </c>
      <c r="B22" s="15" t="s">
        <v>270</v>
      </c>
    </row>
    <row r="23" spans="1:2" ht="45">
      <c r="A23" s="17" t="s">
        <v>258</v>
      </c>
      <c r="B23" s="15" t="s">
        <v>271</v>
      </c>
    </row>
    <row r="24" spans="1:2" ht="60">
      <c r="A24" s="17" t="s">
        <v>122</v>
      </c>
      <c r="B24" s="15" t="s">
        <v>272</v>
      </c>
    </row>
    <row r="25" spans="1:2" ht="30">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45">
      <c r="A30" s="17" t="s">
        <v>137</v>
      </c>
      <c r="B30" s="15" t="s">
        <v>253</v>
      </c>
    </row>
    <row r="31" spans="1:2">
      <c r="A31" s="17" t="s">
        <v>138</v>
      </c>
      <c r="B31" t="s">
        <v>254</v>
      </c>
    </row>
    <row r="32" spans="1:2" ht="60">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cols>
    <col min="1" max="1" width="25" bestFit="1" customWidth="1"/>
    <col min="7" max="7" width="8.85546875" bestFit="1" customWidth="1"/>
  </cols>
  <sheetData>
    <row r="1" spans="1:78" ht="77.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9">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cols>
    <col min="1" max="1" width="12.140625" bestFit="1" customWidth="1"/>
    <col min="2" max="2" width="26.42578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I16" sqref="I16"/>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1.6131362008370701E-3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topLeftCell="E1" workbookViewId="0">
      <pane ySplit="5" topLeftCell="A6" activePane="bottomLeft" state="frozen"/>
      <selection activeCell="C19" sqref="C19"/>
      <selection pane="bottomLeft" activeCell="P14" sqref="P14"/>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2.41896770102215E-2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9.675870804088585E-4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5.4184876502896074E-3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3.3865547814310049E-3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0.60306643952299832</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2.2252810902896099</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2.0034071550255501E-2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9.6763202725724026E-3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workbookViewId="0">
      <pane ySplit="5" topLeftCell="A6" activePane="bottomLeft" state="frozen"/>
      <selection activeCell="C19" sqref="C19"/>
      <selection pane="bottomLeft" activeCell="K6" sqref="K6"/>
    </sheetView>
  </sheetViews>
  <sheetFormatPr defaultRowHeight="1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c r="A1" s="13" t="s">
        <v>125</v>
      </c>
      <c r="B1" s="24"/>
      <c r="C1" s="14" t="s">
        <v>127</v>
      </c>
    </row>
    <row r="2" spans="1:20">
      <c r="A2" s="13" t="s">
        <v>259</v>
      </c>
      <c r="B2" s="13"/>
      <c r="C2" s="14" t="s">
        <v>124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14727</v>
      </c>
      <c r="F6" s="6" t="s">
        <v>58</v>
      </c>
      <c r="G6" s="25"/>
      <c r="H6" s="25" t="s">
        <v>340</v>
      </c>
      <c r="I6" s="26" t="s">
        <v>337</v>
      </c>
      <c r="J6" s="25"/>
      <c r="K6" s="25"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f>1304*0.93</f>
        <v>1212.72</v>
      </c>
      <c r="F7" s="6" t="s">
        <v>58</v>
      </c>
      <c r="G7" s="25"/>
      <c r="H7" s="25"/>
      <c r="I7" s="26" t="s">
        <v>337</v>
      </c>
      <c r="J7" s="25"/>
      <c r="K7" s="25"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421</v>
      </c>
      <c r="F8" s="6" t="s">
        <v>58</v>
      </c>
      <c r="G8" s="25"/>
      <c r="H8" s="25"/>
      <c r="I8" s="26" t="s">
        <v>337</v>
      </c>
      <c r="J8" s="25"/>
      <c r="K8" s="25"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78</v>
      </c>
      <c r="F9" s="6" t="s">
        <v>58</v>
      </c>
      <c r="G9" s="25"/>
      <c r="H9" s="25"/>
      <c r="I9" s="26" t="s">
        <v>337</v>
      </c>
      <c r="J9" s="25"/>
      <c r="K9" s="25"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31</v>
      </c>
      <c r="F10" s="6" t="s">
        <v>58</v>
      </c>
      <c r="G10" s="25"/>
      <c r="H10" s="25"/>
      <c r="I10" s="26" t="s">
        <v>337</v>
      </c>
      <c r="J10" s="25"/>
      <c r="K10" s="25"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42</v>
      </c>
      <c r="F11" s="6" t="s">
        <v>58</v>
      </c>
      <c r="G11" s="25"/>
      <c r="H11" s="25"/>
      <c r="I11" s="26" t="s">
        <v>337</v>
      </c>
      <c r="J11" s="25"/>
      <c r="K11" s="25"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4</v>
      </c>
      <c r="F12" s="6" t="s">
        <v>58</v>
      </c>
      <c r="G12" s="25"/>
      <c r="H12" s="25"/>
      <c r="I12" s="26" t="s">
        <v>337</v>
      </c>
      <c r="J12" s="25"/>
      <c r="K12" s="25"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8</v>
      </c>
      <c r="F13" s="6" t="s">
        <v>58</v>
      </c>
      <c r="G13" s="25"/>
      <c r="H13" s="25"/>
      <c r="I13" s="26" t="s">
        <v>337</v>
      </c>
      <c r="J13" s="25"/>
      <c r="K13" s="25"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99</v>
      </c>
      <c r="F14" s="6" t="s">
        <v>58</v>
      </c>
      <c r="G14" s="25"/>
      <c r="H14" s="25"/>
      <c r="I14" s="26" t="s">
        <v>337</v>
      </c>
      <c r="J14" s="25"/>
      <c r="K14" s="25"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12</v>
      </c>
      <c r="F15" s="6" t="s">
        <v>58</v>
      </c>
      <c r="G15" s="25"/>
      <c r="H15" s="25"/>
      <c r="I15" s="26" t="s">
        <v>337</v>
      </c>
      <c r="J15" s="25"/>
      <c r="K15" s="25"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59</v>
      </c>
      <c r="F16" s="6" t="s">
        <v>58</v>
      </c>
      <c r="G16" s="25"/>
      <c r="H16" s="25"/>
      <c r="I16" s="26" t="s">
        <v>337</v>
      </c>
      <c r="J16" s="25"/>
      <c r="K16" s="25"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0.06</v>
      </c>
      <c r="F17" s="6" t="s">
        <v>58</v>
      </c>
      <c r="G17" s="25"/>
      <c r="H17" s="25"/>
      <c r="I17" s="26" t="s">
        <v>337</v>
      </c>
      <c r="J17" s="25"/>
      <c r="K17" s="25"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0.11</v>
      </c>
      <c r="F18" s="6" t="s">
        <v>58</v>
      </c>
      <c r="G18" s="25"/>
      <c r="H18" s="25"/>
      <c r="I18" s="26" t="s">
        <v>337</v>
      </c>
      <c r="J18" s="25"/>
      <c r="K18" s="25"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87+76</f>
        <v>163</v>
      </c>
      <c r="F19" s="6" t="s">
        <v>58</v>
      </c>
      <c r="G19" s="25"/>
      <c r="H19" s="25"/>
      <c r="I19" s="26" t="s">
        <v>337</v>
      </c>
      <c r="J19" s="25"/>
      <c r="K19" s="25"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0.23</v>
      </c>
      <c r="F20" s="6" t="s">
        <v>58</v>
      </c>
      <c r="G20" s="25"/>
      <c r="H20" s="25"/>
      <c r="I20" s="26" t="s">
        <v>337</v>
      </c>
      <c r="J20" s="25"/>
      <c r="K20" s="25"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320</v>
      </c>
      <c r="F21" s="6" t="s">
        <v>58</v>
      </c>
      <c r="G21" s="25"/>
      <c r="H21" s="25"/>
      <c r="I21" s="26" t="s">
        <v>337</v>
      </c>
      <c r="J21" s="25"/>
      <c r="K21" s="25"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507</v>
      </c>
      <c r="F22" s="6" t="s">
        <v>58</v>
      </c>
      <c r="G22" s="25"/>
      <c r="H22" s="25"/>
      <c r="I22" s="26" t="s">
        <v>337</v>
      </c>
      <c r="J22" s="25"/>
      <c r="K22" s="25"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48</v>
      </c>
      <c r="F23" s="6" t="s">
        <v>58</v>
      </c>
      <c r="G23" s="25"/>
      <c r="H23" s="25"/>
      <c r="I23" s="26" t="s">
        <v>337</v>
      </c>
      <c r="J23" s="25"/>
      <c r="K23" s="25"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880</v>
      </c>
      <c r="F24" s="6" t="s">
        <v>58</v>
      </c>
      <c r="G24" s="25"/>
      <c r="H24" s="25"/>
      <c r="I24" s="26" t="s">
        <v>337</v>
      </c>
      <c r="J24" s="25"/>
      <c r="K24" s="25"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25"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16</v>
      </c>
      <c r="F26" s="6" t="s">
        <v>58</v>
      </c>
      <c r="G26" s="25"/>
      <c r="H26" s="25"/>
      <c r="I26" s="26" t="s">
        <v>337</v>
      </c>
      <c r="J26" s="25"/>
      <c r="K26" s="25"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25"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1266*0.5</f>
        <v>633</v>
      </c>
      <c r="F28" s="6" t="s">
        <v>58</v>
      </c>
      <c r="G28" s="25"/>
      <c r="H28" s="25"/>
      <c r="I28" s="26" t="s">
        <v>337</v>
      </c>
      <c r="J28" s="25"/>
      <c r="K28" s="25"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694*0.5</f>
        <v>347</v>
      </c>
      <c r="F29" s="6" t="s">
        <v>58</v>
      </c>
      <c r="G29" s="25"/>
      <c r="H29" s="25"/>
      <c r="I29" s="26" t="s">
        <v>337</v>
      </c>
      <c r="J29" s="25"/>
      <c r="K29" s="25"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1120*0.5</f>
        <v>560</v>
      </c>
      <c r="F30" s="6" t="s">
        <v>58</v>
      </c>
      <c r="G30" s="25"/>
      <c r="H30" s="25"/>
      <c r="I30" s="26" t="s">
        <v>337</v>
      </c>
      <c r="J30" s="25"/>
      <c r="K30" s="25"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1266*0.5</f>
        <v>633</v>
      </c>
      <c r="F31" s="6" t="s">
        <v>58</v>
      </c>
      <c r="G31" s="25"/>
      <c r="H31" s="25"/>
      <c r="I31" s="26" t="s">
        <v>337</v>
      </c>
      <c r="J31" s="25"/>
      <c r="K31" s="25"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694*0.5</f>
        <v>347</v>
      </c>
      <c r="F32" s="6" t="s">
        <v>58</v>
      </c>
      <c r="G32" s="25"/>
      <c r="H32" s="25"/>
      <c r="I32" s="26" t="s">
        <v>337</v>
      </c>
      <c r="J32" s="25"/>
      <c r="K32" s="25"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1120*0.5</f>
        <v>560</v>
      </c>
      <c r="F33" s="6" t="s">
        <v>58</v>
      </c>
      <c r="G33" s="25"/>
      <c r="H33" s="25"/>
      <c r="I33" s="26" t="s">
        <v>337</v>
      </c>
      <c r="J33" s="25"/>
      <c r="K33" s="25"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49658</v>
      </c>
      <c r="F34" s="6" t="s">
        <v>58</v>
      </c>
      <c r="G34" s="25"/>
      <c r="H34" s="25"/>
      <c r="I34" s="26" t="s">
        <v>337</v>
      </c>
      <c r="J34" s="25"/>
      <c r="K34" s="25"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29372</v>
      </c>
      <c r="F35" s="6" t="s">
        <v>58</v>
      </c>
      <c r="G35" s="25"/>
      <c r="H35" s="25"/>
      <c r="I35" s="26" t="s">
        <v>337</v>
      </c>
      <c r="J35" s="25"/>
      <c r="K35" s="25"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16495</v>
      </c>
      <c r="F36" s="6" t="s">
        <v>58</v>
      </c>
      <c r="G36" s="25"/>
      <c r="H36" s="25"/>
      <c r="I36" s="26" t="s">
        <v>337</v>
      </c>
      <c r="J36" s="25"/>
      <c r="K36" s="25"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119.29012096</v>
      </c>
      <c r="F37" s="6" t="s">
        <v>70</v>
      </c>
      <c r="G37" s="25"/>
      <c r="H37" s="25"/>
      <c r="I37" s="26" t="s">
        <v>337</v>
      </c>
      <c r="J37" s="25"/>
      <c r="K37" s="25"/>
      <c r="L37" s="6" t="s">
        <v>337</v>
      </c>
      <c r="M37" s="6"/>
      <c r="N37" s="6">
        <v>21.535015935911794</v>
      </c>
      <c r="O37" s="6" t="s">
        <v>341</v>
      </c>
      <c r="P37" s="6" t="s">
        <v>2</v>
      </c>
      <c r="Q37" s="6" t="s">
        <v>83</v>
      </c>
      <c r="R37" s="6"/>
      <c r="S37" s="6"/>
      <c r="T37" s="6"/>
    </row>
    <row r="38" spans="1:20">
      <c r="A38" s="6" t="s">
        <v>85</v>
      </c>
      <c r="B38" s="6" t="s">
        <v>3</v>
      </c>
      <c r="C38" s="6" t="s">
        <v>3</v>
      </c>
      <c r="D38" s="6" t="s">
        <v>10</v>
      </c>
      <c r="E38" s="12">
        <f>5678*(1-0.0486379788798401)</f>
        <v>5401.8335559202678</v>
      </c>
      <c r="F38" s="6" t="s">
        <v>68</v>
      </c>
      <c r="G38" s="25"/>
      <c r="H38" s="25"/>
      <c r="I38" s="26" t="s">
        <v>124</v>
      </c>
      <c r="J38" s="25"/>
      <c r="K38" s="25"/>
      <c r="L38" s="6" t="s">
        <v>337</v>
      </c>
      <c r="M38" s="6"/>
      <c r="N38" s="6"/>
      <c r="O38" s="6"/>
      <c r="P38" s="6" t="s">
        <v>3</v>
      </c>
      <c r="Q38" s="6" t="s">
        <v>10</v>
      </c>
      <c r="R38" s="6"/>
      <c r="S38" s="6"/>
      <c r="T38" s="6" t="s">
        <v>343</v>
      </c>
    </row>
    <row r="39" spans="1:20">
      <c r="A39" s="6" t="s">
        <v>85</v>
      </c>
      <c r="B39" s="6" t="s">
        <v>37</v>
      </c>
      <c r="C39" s="6" t="s">
        <v>308</v>
      </c>
      <c r="D39" s="6" t="s">
        <v>337</v>
      </c>
      <c r="E39" s="12">
        <v>3318</v>
      </c>
      <c r="F39" s="6" t="s">
        <v>58</v>
      </c>
      <c r="G39" s="25"/>
      <c r="H39" s="25"/>
      <c r="I39" s="26" t="s">
        <v>114</v>
      </c>
      <c r="J39" s="25"/>
      <c r="K39" s="25" t="s">
        <v>86</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5891.8867391999993</v>
      </c>
      <c r="F40" s="6" t="s">
        <v>58</v>
      </c>
      <c r="G40" s="25"/>
      <c r="H40" s="25"/>
      <c r="I40" s="26" t="s">
        <v>337</v>
      </c>
      <c r="J40" s="25"/>
      <c r="K40" s="25" t="s">
        <v>85</v>
      </c>
      <c r="L40" s="6" t="s">
        <v>337</v>
      </c>
      <c r="M40" s="6"/>
      <c r="N40" s="6"/>
      <c r="O40" s="6"/>
      <c r="P40" s="6" t="s">
        <v>337</v>
      </c>
      <c r="Q40" s="6" t="s">
        <v>337</v>
      </c>
      <c r="R40" s="6"/>
      <c r="S40" s="6"/>
      <c r="T40" s="6" t="s">
        <v>344</v>
      </c>
    </row>
    <row r="41" spans="1:20">
      <c r="A41" s="6" t="s">
        <v>85</v>
      </c>
      <c r="B41" s="6" t="s">
        <v>37</v>
      </c>
      <c r="C41" s="6" t="s">
        <v>311</v>
      </c>
      <c r="D41" s="6" t="s">
        <v>337</v>
      </c>
      <c r="E41" s="12">
        <v>16</v>
      </c>
      <c r="F41" s="6" t="s">
        <v>58</v>
      </c>
      <c r="G41" s="25"/>
      <c r="H41" s="25"/>
      <c r="I41" s="26" t="s">
        <v>124</v>
      </c>
      <c r="J41" s="25"/>
      <c r="K41" s="25" t="s">
        <v>86</v>
      </c>
      <c r="L41" s="6" t="s">
        <v>337</v>
      </c>
      <c r="M41" s="6"/>
      <c r="N41" s="6"/>
      <c r="O41" s="6"/>
      <c r="P41" s="6" t="s">
        <v>311</v>
      </c>
      <c r="Q41" s="6" t="s">
        <v>337</v>
      </c>
      <c r="R41" s="6"/>
      <c r="S41" s="6"/>
      <c r="T41" s="6" t="s">
        <v>345</v>
      </c>
    </row>
    <row r="42" spans="1:20">
      <c r="A42" s="6" t="s">
        <v>85</v>
      </c>
      <c r="B42" s="6" t="s">
        <v>37</v>
      </c>
      <c r="C42" s="6" t="s">
        <v>14</v>
      </c>
      <c r="D42" s="6" t="s">
        <v>337</v>
      </c>
      <c r="E42" s="12">
        <v>204</v>
      </c>
      <c r="F42" s="6" t="s">
        <v>58</v>
      </c>
      <c r="G42" s="25"/>
      <c r="H42" s="25"/>
      <c r="I42" s="26" t="s">
        <v>124</v>
      </c>
      <c r="J42" s="25"/>
      <c r="K42" s="25" t="s">
        <v>86</v>
      </c>
      <c r="L42" s="6" t="s">
        <v>337</v>
      </c>
      <c r="M42" s="6"/>
      <c r="N42" s="6"/>
      <c r="O42" s="6"/>
      <c r="P42" s="6" t="s">
        <v>14</v>
      </c>
      <c r="Q42" s="6" t="s">
        <v>337</v>
      </c>
      <c r="R42" s="6"/>
      <c r="S42" s="6"/>
      <c r="T42" s="6" t="s">
        <v>346</v>
      </c>
    </row>
    <row r="43" spans="1:20">
      <c r="A43" s="6" t="s">
        <v>85</v>
      </c>
      <c r="B43" s="6" t="s">
        <v>37</v>
      </c>
      <c r="C43" s="6" t="s">
        <v>287</v>
      </c>
      <c r="D43" s="6" t="s">
        <v>337</v>
      </c>
      <c r="E43" s="12">
        <v>72</v>
      </c>
      <c r="F43" s="6" t="s">
        <v>58</v>
      </c>
      <c r="G43" s="25"/>
      <c r="H43" s="25"/>
      <c r="I43" s="26" t="s">
        <v>124</v>
      </c>
      <c r="J43" s="25"/>
      <c r="K43" s="25" t="s">
        <v>86</v>
      </c>
      <c r="L43" s="6" t="s">
        <v>337</v>
      </c>
      <c r="M43" s="6"/>
      <c r="N43" s="6"/>
      <c r="O43" s="6"/>
      <c r="P43" s="6" t="s">
        <v>287</v>
      </c>
      <c r="Q43" s="6" t="s">
        <v>337</v>
      </c>
      <c r="R43" s="6"/>
      <c r="S43" s="6"/>
      <c r="T43" s="6" t="s">
        <v>347</v>
      </c>
    </row>
    <row r="44" spans="1:20">
      <c r="A44" s="6" t="s">
        <v>257</v>
      </c>
      <c r="B44" s="6" t="s">
        <v>245</v>
      </c>
      <c r="C44" s="6" t="s">
        <v>228</v>
      </c>
      <c r="D44" s="6" t="s">
        <v>337</v>
      </c>
      <c r="E44" s="12">
        <f>-(8338+8967)</f>
        <v>-17305</v>
      </c>
      <c r="F44" s="6" t="s">
        <v>58</v>
      </c>
      <c r="G44" s="25"/>
      <c r="H44" s="25" t="s">
        <v>339</v>
      </c>
      <c r="I44" s="26" t="s">
        <v>337</v>
      </c>
      <c r="J44" s="25"/>
      <c r="K44" s="25"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K6:K44"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K45:K100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vt:i4>
      </vt:variant>
    </vt:vector>
  </HeadingPairs>
  <TitlesOfParts>
    <vt:vector size="42"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2022-11-08T21:16:38Z</dcterms:modified>
</cp:coreProperties>
</file>