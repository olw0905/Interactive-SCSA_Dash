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D29835BF-178A-459B-902D-B083882B45A6}" xr6:coauthVersionLast="47" xr6:coauthVersionMax="47" xr10:uidLastSave="{00000000-0000-0000-0000-000000000000}"/>
  <bookViews>
    <workbookView xWindow="33720" yWindow="261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4" i="27" l="1"/>
  <c r="E40" i="27"/>
  <c r="E38" i="27"/>
  <c r="E33" i="27"/>
  <c r="E32" i="27"/>
  <c r="E31" i="27"/>
  <c r="E30" i="27"/>
  <c r="E29" i="27"/>
  <c r="E28" i="27"/>
  <c r="E19" i="27"/>
  <c r="E7"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<sst xmlns="http://schemas.openxmlformats.org/spreadsheetml/2006/main" count="1276" uniqueCount="349">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</sst>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I16" sqref="I16"/>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20" activePane="bottomLeft" state="frozen"/>
      <selection activeCell="C19" sqref="C19"/>
      <selection pane="bottomLeft" activeCell="C1" sqref="C1"/>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127</v>
      </c>
    </row>
    <row r="2" spans="1:20">
      <c r="A2" s="13" t="s">
        <v>259</v>
      </c>
      <c r="B2" s="13"/>
      <c r="C2" s="14" t="s">
        <v>124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14727</v>
      </c>
      <c r="F6" s="6" t="s">
        <v>58</v>
      </c>
      <c r="G6" s="25"/>
      <c r="H6" s="25" t="s">
        <v>340</v>
      </c>
      <c r="I6" s="26" t="s">
        <v>337</v>
      </c>
      <c r="J6" s="25"/>
      <c r="K6" s="25"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f>1304*0.93</f>
        <v>1212.72</v>
      </c>
      <c r="F7" s="6" t="s">
        <v>58</v>
      </c>
      <c r="G7" s="25"/>
      <c r="H7" s="25"/>
      <c r="I7" s="26" t="s">
        <v>337</v>
      </c>
      <c r="J7" s="25"/>
      <c r="K7" s="25"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421</v>
      </c>
      <c r="F8" s="6" t="s">
        <v>58</v>
      </c>
      <c r="G8" s="25"/>
      <c r="H8" s="25"/>
      <c r="I8" s="26" t="s">
        <v>337</v>
      </c>
      <c r="J8" s="25"/>
      <c r="K8" s="25"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78</v>
      </c>
      <c r="F9" s="6" t="s">
        <v>58</v>
      </c>
      <c r="G9" s="25"/>
      <c r="H9" s="25"/>
      <c r="I9" s="26" t="s">
        <v>337</v>
      </c>
      <c r="J9" s="25"/>
      <c r="K9" s="25"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31</v>
      </c>
      <c r="F10" s="6" t="s">
        <v>58</v>
      </c>
      <c r="G10" s="25"/>
      <c r="H10" s="25"/>
      <c r="I10" s="26" t="s">
        <v>337</v>
      </c>
      <c r="J10" s="25"/>
      <c r="K10" s="25"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42</v>
      </c>
      <c r="F11" s="6" t="s">
        <v>58</v>
      </c>
      <c r="G11" s="25"/>
      <c r="H11" s="25"/>
      <c r="I11" s="26" t="s">
        <v>337</v>
      </c>
      <c r="J11" s="25"/>
      <c r="K11" s="25"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4</v>
      </c>
      <c r="F12" s="6" t="s">
        <v>58</v>
      </c>
      <c r="G12" s="25"/>
      <c r="H12" s="25"/>
      <c r="I12" s="26" t="s">
        <v>337</v>
      </c>
      <c r="J12" s="25"/>
      <c r="K12" s="25"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8</v>
      </c>
      <c r="F13" s="6" t="s">
        <v>58</v>
      </c>
      <c r="G13" s="25"/>
      <c r="H13" s="25"/>
      <c r="I13" s="26" t="s">
        <v>337</v>
      </c>
      <c r="J13" s="25"/>
      <c r="K13" s="25"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99</v>
      </c>
      <c r="F14" s="6" t="s">
        <v>58</v>
      </c>
      <c r="G14" s="25"/>
      <c r="H14" s="25"/>
      <c r="I14" s="26" t="s">
        <v>337</v>
      </c>
      <c r="J14" s="25"/>
      <c r="K14" s="25"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12</v>
      </c>
      <c r="F15" s="6" t="s">
        <v>58</v>
      </c>
      <c r="G15" s="25"/>
      <c r="H15" s="25"/>
      <c r="I15" s="26" t="s">
        <v>337</v>
      </c>
      <c r="J15" s="25"/>
      <c r="K15" s="25"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59</v>
      </c>
      <c r="F16" s="6" t="s">
        <v>58</v>
      </c>
      <c r="G16" s="25"/>
      <c r="H16" s="25"/>
      <c r="I16" s="26" t="s">
        <v>337</v>
      </c>
      <c r="J16" s="25"/>
      <c r="K16" s="25"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0.06</v>
      </c>
      <c r="F17" s="6" t="s">
        <v>58</v>
      </c>
      <c r="G17" s="25"/>
      <c r="H17" s="25"/>
      <c r="I17" s="26" t="s">
        <v>337</v>
      </c>
      <c r="J17" s="25"/>
      <c r="K17" s="25"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0.11</v>
      </c>
      <c r="F18" s="6" t="s">
        <v>58</v>
      </c>
      <c r="G18" s="25"/>
      <c r="H18" s="25"/>
      <c r="I18" s="26" t="s">
        <v>337</v>
      </c>
      <c r="J18" s="25"/>
      <c r="K18" s="25"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87+76</f>
        <v>163</v>
      </c>
      <c r="F19" s="6" t="s">
        <v>58</v>
      </c>
      <c r="G19" s="25"/>
      <c r="H19" s="25"/>
      <c r="I19" s="26" t="s">
        <v>337</v>
      </c>
      <c r="J19" s="25"/>
      <c r="K19" s="25"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0.23</v>
      </c>
      <c r="F20" s="6" t="s">
        <v>58</v>
      </c>
      <c r="G20" s="25"/>
      <c r="H20" s="25"/>
      <c r="I20" s="26" t="s">
        <v>337</v>
      </c>
      <c r="J20" s="25"/>
      <c r="K20" s="25"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320</v>
      </c>
      <c r="F21" s="6" t="s">
        <v>58</v>
      </c>
      <c r="G21" s="25"/>
      <c r="H21" s="25"/>
      <c r="I21" s="26" t="s">
        <v>337</v>
      </c>
      <c r="J21" s="25"/>
      <c r="K21" s="25"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507</v>
      </c>
      <c r="F22" s="6" t="s">
        <v>58</v>
      </c>
      <c r="G22" s="25"/>
      <c r="H22" s="25"/>
      <c r="I22" s="26" t="s">
        <v>337</v>
      </c>
      <c r="J22" s="25"/>
      <c r="K22" s="25"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48</v>
      </c>
      <c r="F23" s="6" t="s">
        <v>58</v>
      </c>
      <c r="G23" s="25"/>
      <c r="H23" s="25"/>
      <c r="I23" s="26" t="s">
        <v>337</v>
      </c>
      <c r="J23" s="25"/>
      <c r="K23" s="25"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880</v>
      </c>
      <c r="F24" s="6" t="s">
        <v>58</v>
      </c>
      <c r="G24" s="25"/>
      <c r="H24" s="25"/>
      <c r="I24" s="26" t="s">
        <v>337</v>
      </c>
      <c r="J24" s="25"/>
      <c r="K24" s="25"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25"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16</v>
      </c>
      <c r="F26" s="6" t="s">
        <v>58</v>
      </c>
      <c r="G26" s="25"/>
      <c r="H26" s="25"/>
      <c r="I26" s="26" t="s">
        <v>337</v>
      </c>
      <c r="J26" s="25"/>
      <c r="K26" s="25"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25"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1266*0.5</f>
        <v>633</v>
      </c>
      <c r="F28" s="6" t="s">
        <v>58</v>
      </c>
      <c r="G28" s="25"/>
      <c r="H28" s="25"/>
      <c r="I28" s="26" t="s">
        <v>337</v>
      </c>
      <c r="J28" s="25"/>
      <c r="K28" s="25"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694*0.5</f>
        <v>347</v>
      </c>
      <c r="F29" s="6" t="s">
        <v>58</v>
      </c>
      <c r="G29" s="25"/>
      <c r="H29" s="25"/>
      <c r="I29" s="26" t="s">
        <v>337</v>
      </c>
      <c r="J29" s="25"/>
      <c r="K29" s="25"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1120*0.5</f>
        <v>560</v>
      </c>
      <c r="F30" s="6" t="s">
        <v>58</v>
      </c>
      <c r="G30" s="25"/>
      <c r="H30" s="25"/>
      <c r="I30" s="26" t="s">
        <v>337</v>
      </c>
      <c r="J30" s="25"/>
      <c r="K30" s="25"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1266*0.5</f>
        <v>633</v>
      </c>
      <c r="F31" s="6" t="s">
        <v>58</v>
      </c>
      <c r="G31" s="25"/>
      <c r="H31" s="25"/>
      <c r="I31" s="26" t="s">
        <v>337</v>
      </c>
      <c r="J31" s="25"/>
      <c r="K31" s="25"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694*0.5</f>
        <v>347</v>
      </c>
      <c r="F32" s="6" t="s">
        <v>58</v>
      </c>
      <c r="G32" s="25"/>
      <c r="H32" s="25"/>
      <c r="I32" s="26" t="s">
        <v>337</v>
      </c>
      <c r="J32" s="25"/>
      <c r="K32" s="25"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1120*0.5</f>
        <v>560</v>
      </c>
      <c r="F33" s="6" t="s">
        <v>58</v>
      </c>
      <c r="G33" s="25"/>
      <c r="H33" s="25"/>
      <c r="I33" s="26" t="s">
        <v>337</v>
      </c>
      <c r="J33" s="25"/>
      <c r="K33" s="25"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49658</v>
      </c>
      <c r="F34" s="6" t="s">
        <v>58</v>
      </c>
      <c r="G34" s="25"/>
      <c r="H34" s="25"/>
      <c r="I34" s="26" t="s">
        <v>337</v>
      </c>
      <c r="J34" s="25"/>
      <c r="K34" s="25"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29372</v>
      </c>
      <c r="F35" s="6" t="s">
        <v>58</v>
      </c>
      <c r="G35" s="25"/>
      <c r="H35" s="25"/>
      <c r="I35" s="26" t="s">
        <v>337</v>
      </c>
      <c r="J35" s="25"/>
      <c r="K35" s="25"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16495</v>
      </c>
      <c r="F36" s="6" t="s">
        <v>58</v>
      </c>
      <c r="G36" s="25"/>
      <c r="H36" s="25"/>
      <c r="I36" s="26" t="s">
        <v>337</v>
      </c>
      <c r="J36" s="25"/>
      <c r="K36" s="25"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119.29012096</v>
      </c>
      <c r="F37" s="6" t="s">
        <v>70</v>
      </c>
      <c r="G37" s="25"/>
      <c r="H37" s="25"/>
      <c r="I37" s="26" t="s">
        <v>337</v>
      </c>
      <c r="J37" s="25"/>
      <c r="K37" s="25"/>
      <c r="L37" s="6" t="s">
        <v>337</v>
      </c>
      <c r="M37" s="6"/>
      <c r="N37" s="6">
        <v>21.535015935911794</v>
      </c>
      <c r="O37" s="6" t="s">
        <v>341</v>
      </c>
      <c r="P37" s="6" t="s">
        <v>2</v>
      </c>
      <c r="Q37" s="6" t="s">
        <v>83</v>
      </c>
      <c r="R37" s="6"/>
      <c r="S37" s="6"/>
      <c r="T37" s="6"/>
    </row>
    <row r="38" spans="1:20">
      <c r="A38" s="6" t="s">
        <v>85</v>
      </c>
      <c r="B38" s="6" t="s">
        <v>3</v>
      </c>
      <c r="C38" s="6" t="s">
        <v>3</v>
      </c>
      <c r="D38" s="6" t="s">
        <v>10</v>
      </c>
      <c r="E38" s="12">
        <f>5678*(1-0.0486379788798401)</f>
        <v>5401.8335559202678</v>
      </c>
      <c r="F38" s="6" t="s">
        <v>68</v>
      </c>
      <c r="G38" s="25"/>
      <c r="H38" s="25"/>
      <c r="I38" s="26" t="s">
        <v>124</v>
      </c>
      <c r="J38" s="25"/>
      <c r="K38" s="25"/>
      <c r="L38" s="6" t="s">
        <v>337</v>
      </c>
      <c r="M38" s="6"/>
      <c r="N38" s="6"/>
      <c r="O38" s="6"/>
      <c r="P38" s="6" t="s">
        <v>3</v>
      </c>
      <c r="Q38" s="6" t="s">
        <v>10</v>
      </c>
      <c r="R38" s="6"/>
      <c r="S38" s="6"/>
      <c r="T38" s="6" t="s">
        <v>343</v>
      </c>
    </row>
    <row r="39" spans="1:20">
      <c r="A39" s="6" t="s">
        <v>85</v>
      </c>
      <c r="B39" s="6" t="s">
        <v>37</v>
      </c>
      <c r="C39" s="6" t="s">
        <v>308</v>
      </c>
      <c r="D39" s="6" t="s">
        <v>337</v>
      </c>
      <c r="E39" s="12">
        <v>3318</v>
      </c>
      <c r="F39" s="6" t="s">
        <v>58</v>
      </c>
      <c r="G39" s="25"/>
      <c r="H39" s="25"/>
      <c r="I39" s="26" t="s">
        <v>114</v>
      </c>
      <c r="J39" s="25" t="s">
        <v>86</v>
      </c>
      <c r="K39" s="25" t="s">
        <v>86</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5891.8867391999993</v>
      </c>
      <c r="F40" s="6" t="s">
        <v>58</v>
      </c>
      <c r="G40" s="25"/>
      <c r="H40" s="25"/>
      <c r="I40" s="26" t="s">
        <v>337</v>
      </c>
      <c r="J40" s="25" t="s">
        <v>85</v>
      </c>
      <c r="K40" s="25" t="s">
        <v>85</v>
      </c>
      <c r="L40" s="6" t="s">
        <v>337</v>
      </c>
      <c r="M40" s="6"/>
      <c r="N40" s="6"/>
      <c r="O40" s="6"/>
      <c r="P40" s="6" t="s">
        <v>337</v>
      </c>
      <c r="Q40" s="6" t="s">
        <v>337</v>
      </c>
      <c r="R40" s="6"/>
      <c r="S40" s="6"/>
      <c r="T40" s="6" t="s">
        <v>344</v>
      </c>
    </row>
    <row r="41" spans="1:20">
      <c r="A41" s="6" t="s">
        <v>85</v>
      </c>
      <c r="B41" s="6" t="s">
        <v>37</v>
      </c>
      <c r="C41" s="6" t="s">
        <v>311</v>
      </c>
      <c r="D41" s="6" t="s">
        <v>337</v>
      </c>
      <c r="E41" s="12">
        <v>16</v>
      </c>
      <c r="F41" s="6" t="s">
        <v>58</v>
      </c>
      <c r="G41" s="25"/>
      <c r="H41" s="25"/>
      <c r="I41" s="26" t="s">
        <v>124</v>
      </c>
      <c r="J41" s="25" t="s">
        <v>86</v>
      </c>
      <c r="K41" s="25" t="s">
        <v>86</v>
      </c>
      <c r="L41" s="6" t="s">
        <v>337</v>
      </c>
      <c r="M41" s="6"/>
      <c r="N41" s="6"/>
      <c r="O41" s="6"/>
      <c r="P41" s="6" t="s">
        <v>311</v>
      </c>
      <c r="Q41" s="6" t="s">
        <v>337</v>
      </c>
      <c r="R41" s="6"/>
      <c r="S41" s="6"/>
      <c r="T41" s="6" t="s">
        <v>345</v>
      </c>
    </row>
    <row r="42" spans="1:20">
      <c r="A42" s="6" t="s">
        <v>85</v>
      </c>
      <c r="B42" s="6" t="s">
        <v>37</v>
      </c>
      <c r="C42" s="6" t="s">
        <v>14</v>
      </c>
      <c r="D42" s="6" t="s">
        <v>337</v>
      </c>
      <c r="E42" s="12">
        <v>204</v>
      </c>
      <c r="F42" s="6" t="s">
        <v>58</v>
      </c>
      <c r="G42" s="25"/>
      <c r="H42" s="25"/>
      <c r="I42" s="26" t="s">
        <v>124</v>
      </c>
      <c r="J42" s="25" t="s">
        <v>86</v>
      </c>
      <c r="K42" s="25" t="s">
        <v>86</v>
      </c>
      <c r="L42" s="6" t="s">
        <v>337</v>
      </c>
      <c r="M42" s="6"/>
      <c r="N42" s="6"/>
      <c r="O42" s="6"/>
      <c r="P42" s="6" t="s">
        <v>14</v>
      </c>
      <c r="Q42" s="6" t="s">
        <v>337</v>
      </c>
      <c r="R42" s="6"/>
      <c r="S42" s="6"/>
      <c r="T42" s="6" t="s">
        <v>346</v>
      </c>
    </row>
    <row r="43" spans="1:20">
      <c r="A43" s="6" t="s">
        <v>85</v>
      </c>
      <c r="B43" s="6" t="s">
        <v>37</v>
      </c>
      <c r="C43" s="6" t="s">
        <v>287</v>
      </c>
      <c r="D43" s="6" t="s">
        <v>337</v>
      </c>
      <c r="E43" s="12">
        <v>72</v>
      </c>
      <c r="F43" s="6" t="s">
        <v>58</v>
      </c>
      <c r="G43" s="25"/>
      <c r="H43" s="25"/>
      <c r="I43" s="26" t="s">
        <v>124</v>
      </c>
      <c r="J43" s="25" t="s">
        <v>86</v>
      </c>
      <c r="K43" s="25" t="s">
        <v>86</v>
      </c>
      <c r="L43" s="6" t="s">
        <v>337</v>
      </c>
      <c r="M43" s="6"/>
      <c r="N43" s="6"/>
      <c r="O43" s="6"/>
      <c r="P43" s="6" t="s">
        <v>287</v>
      </c>
      <c r="Q43" s="6" t="s">
        <v>337</v>
      </c>
      <c r="R43" s="6"/>
      <c r="S43" s="6"/>
      <c r="T43" s="6" t="s">
        <v>347</v>
      </c>
    </row>
    <row r="44" spans="1:20">
      <c r="A44" s="6" t="s">
        <v>257</v>
      </c>
      <c r="B44" s="6" t="s">
        <v>245</v>
      </c>
      <c r="C44" s="6" t="s">
        <v>228</v>
      </c>
      <c r="D44" s="6" t="s">
        <v>337</v>
      </c>
      <c r="E44" s="12">
        <f>-(8338+8967)</f>
        <v>-17305</v>
      </c>
      <c r="F44" s="6" t="s">
        <v>58</v>
      </c>
      <c r="G44" s="25"/>
      <c r="H44" s="25" t="s">
        <v>339</v>
      </c>
      <c r="I44" s="26" t="s">
        <v>337</v>
      </c>
      <c r="J44" s="25" t="s">
        <v>86</v>
      </c>
      <c r="K44" s="25"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K6:K44"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K45:K100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2022-11-02T02:04:28Z</dcterms:modified>
</cp:coreProperties>
</file>