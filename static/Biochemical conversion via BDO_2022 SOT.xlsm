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1320520F-1AFF-4376-BDB5-B478C45B30B2}"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state="hidden"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E33" i="37"/>
  <c r="F33"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P6" i="38"/>
  <c r="Q6" i="38" s="1"/>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9" i="37"/>
  <c r="Q99" i="37" s="1"/>
  <c r="M99" i="37"/>
  <c r="L99" i="37"/>
  <c r="I99" i="37"/>
  <c r="C99" i="37"/>
  <c r="F99" i="37" s="1" a="1"/>
  <c r="F99" i="37" s="1"/>
  <c r="P98" i="37"/>
  <c r="Q98" i="37" s="1"/>
  <c r="M98" i="37"/>
  <c r="L98" i="37"/>
  <c r="I98" i="37"/>
  <c r="C98" i="37"/>
  <c r="D98" i="37" s="1"/>
  <c r="P97" i="37"/>
  <c r="Q97" i="37" s="1"/>
  <c r="M97" i="37"/>
  <c r="L97" i="37"/>
  <c r="I97" i="37"/>
  <c r="C97" i="37"/>
  <c r="D97" i="37" s="1"/>
  <c r="P96" i="37"/>
  <c r="Q96" i="37" s="1"/>
  <c r="M96" i="37"/>
  <c r="L96" i="37"/>
  <c r="I96" i="37"/>
  <c r="C96" i="37"/>
  <c r="D96" i="37" s="1"/>
  <c r="P95" i="37"/>
  <c r="Q95" i="37" s="1"/>
  <c r="M95" i="37"/>
  <c r="L95" i="37"/>
  <c r="I95" i="37"/>
  <c r="C95" i="37"/>
  <c r="F95" i="37" s="1" a="1"/>
  <c r="F95" i="37" s="1"/>
  <c r="P94" i="37"/>
  <c r="Q94" i="37" s="1"/>
  <c r="M94" i="37"/>
  <c r="L94" i="37"/>
  <c r="I94" i="37"/>
  <c r="C94" i="37"/>
  <c r="F94" i="37" s="1" a="1"/>
  <c r="F94" i="37" s="1"/>
  <c r="P93" i="37"/>
  <c r="Q93" i="37" s="1"/>
  <c r="M93" i="37"/>
  <c r="L93" i="37"/>
  <c r="I93" i="37"/>
  <c r="F93" i="37" a="1"/>
  <c r="F93" i="37" s="1"/>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D90" i="37" s="1"/>
  <c r="P89" i="37"/>
  <c r="Q89" i="37" s="1"/>
  <c r="M89" i="37"/>
  <c r="L89" i="37"/>
  <c r="I89" i="37"/>
  <c r="C89" i="37"/>
  <c r="F89" i="37" s="1" a="1"/>
  <c r="F89" i="37" s="1"/>
  <c r="P88" i="37"/>
  <c r="Q88" i="37" s="1"/>
  <c r="M88" i="37"/>
  <c r="L88" i="37"/>
  <c r="I88" i="37"/>
  <c r="C88" i="37"/>
  <c r="D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D82" i="37" s="1"/>
  <c r="P81" i="37"/>
  <c r="Q81" i="37" s="1"/>
  <c r="M81" i="37"/>
  <c r="L81" i="37"/>
  <c r="I81" i="37"/>
  <c r="C81" i="37"/>
  <c r="F81" i="37" s="1" a="1"/>
  <c r="F81" i="37" s="1"/>
  <c r="P80" i="37"/>
  <c r="Q80" i="37" s="1"/>
  <c r="M80" i="37"/>
  <c r="L80" i="37"/>
  <c r="I80" i="37"/>
  <c r="C80" i="37"/>
  <c r="D80" i="37" s="1"/>
  <c r="P79" i="37"/>
  <c r="Q79" i="37" s="1"/>
  <c r="M79" i="37"/>
  <c r="L79" i="37"/>
  <c r="I79" i="37"/>
  <c r="C79" i="37"/>
  <c r="F79" i="37" s="1" a="1"/>
  <c r="F79" i="37" s="1"/>
  <c r="P78" i="37"/>
  <c r="Q78" i="37" s="1"/>
  <c r="M78" i="37"/>
  <c r="L78" i="37"/>
  <c r="I78" i="37"/>
  <c r="D78" i="37"/>
  <c r="C78" i="37"/>
  <c r="F78" i="37" s="1" a="1"/>
  <c r="F78" i="37" s="1"/>
  <c r="P77" i="37"/>
  <c r="Q77" i="37" s="1"/>
  <c r="M77" i="37"/>
  <c r="L77" i="37"/>
  <c r="I77" i="37"/>
  <c r="C77" i="37"/>
  <c r="F77" i="37" s="1" a="1"/>
  <c r="F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D74" i="37" s="1"/>
  <c r="P73" i="37"/>
  <c r="Q73" i="37" s="1"/>
  <c r="M73" i="37"/>
  <c r="L73" i="37"/>
  <c r="I73" i="37"/>
  <c r="F73" i="37" a="1"/>
  <c r="F73" i="37" s="1"/>
  <c r="C73" i="37"/>
  <c r="D73" i="37" s="1"/>
  <c r="P72" i="37"/>
  <c r="Q72" i="37" s="1"/>
  <c r="M72" i="37"/>
  <c r="L72" i="37"/>
  <c r="I72" i="37"/>
  <c r="C72" i="37"/>
  <c r="D72" i="37" s="1"/>
  <c r="P71" i="37"/>
  <c r="Q71" i="37" s="1"/>
  <c r="M71" i="37"/>
  <c r="L71" i="37"/>
  <c r="I71" i="37"/>
  <c r="C71" i="37"/>
  <c r="F71" i="37" s="1" a="1"/>
  <c r="F71" i="37" s="1"/>
  <c r="Q70" i="37"/>
  <c r="P70" i="37"/>
  <c r="M70" i="37"/>
  <c r="L70" i="37"/>
  <c r="I70" i="37"/>
  <c r="C70" i="37"/>
  <c r="F70" i="37" s="1" a="1"/>
  <c r="F70" i="37" s="1"/>
  <c r="P69" i="37"/>
  <c r="Q69" i="37" s="1"/>
  <c r="M69" i="37"/>
  <c r="L69" i="37"/>
  <c r="I69" i="37"/>
  <c r="C69" i="37"/>
  <c r="F69" i="37" s="1" a="1"/>
  <c r="F69" i="37" s="1"/>
  <c r="P68" i="37"/>
  <c r="Q68" i="37" s="1"/>
  <c r="M68" i="37"/>
  <c r="L68" i="37"/>
  <c r="I68" i="37"/>
  <c r="C68" i="37"/>
  <c r="F68" i="37" s="1" a="1"/>
  <c r="F68" i="37" s="1"/>
  <c r="P67" i="37"/>
  <c r="Q67" i="37" s="1"/>
  <c r="M67" i="37"/>
  <c r="L67" i="37"/>
  <c r="I67" i="37"/>
  <c r="D67" i="37"/>
  <c r="C67" i="37"/>
  <c r="F67" i="37" s="1" a="1"/>
  <c r="F67" i="37" s="1"/>
  <c r="P66" i="37"/>
  <c r="Q66" i="37" s="1"/>
  <c r="M66" i="37"/>
  <c r="L66" i="37"/>
  <c r="I66" i="37"/>
  <c r="C66" i="37"/>
  <c r="D66" i="37" s="1"/>
  <c r="P65" i="37"/>
  <c r="Q65" i="37" s="1"/>
  <c r="M65" i="37"/>
  <c r="L65" i="37"/>
  <c r="I65" i="37"/>
  <c r="C65" i="37"/>
  <c r="F65" i="37" s="1" a="1"/>
  <c r="F65" i="37" s="1"/>
  <c r="P64" i="37"/>
  <c r="Q64" i="37" s="1"/>
  <c r="M64" i="37"/>
  <c r="L64" i="37"/>
  <c r="I64" i="37"/>
  <c r="C64" i="37"/>
  <c r="D64" i="37" s="1"/>
  <c r="P63" i="37"/>
  <c r="Q63" i="37" s="1"/>
  <c r="M63" i="37"/>
  <c r="L63" i="37"/>
  <c r="I63" i="37"/>
  <c r="C63" i="37"/>
  <c r="F63" i="37" s="1" a="1"/>
  <c r="F63" i="37" s="1"/>
  <c r="P62" i="37"/>
  <c r="Q62" i="37" s="1"/>
  <c r="M62" i="37"/>
  <c r="L62" i="37"/>
  <c r="I62" i="37"/>
  <c r="C62" i="37"/>
  <c r="F62" i="37" s="1" a="1"/>
  <c r="F62" i="37" s="1"/>
  <c r="P61" i="37"/>
  <c r="Q61" i="37" s="1"/>
  <c r="M61" i="37"/>
  <c r="L61" i="37"/>
  <c r="I61" i="37"/>
  <c r="F61" i="37" a="1"/>
  <c r="F61" i="37" s="1"/>
  <c r="C61" i="37"/>
  <c r="D61" i="37" s="1"/>
  <c r="P60" i="37"/>
  <c r="Q60" i="37" s="1"/>
  <c r="M60" i="37"/>
  <c r="L60" i="37"/>
  <c r="I60" i="37"/>
  <c r="C60" i="37"/>
  <c r="F60" i="37" s="1" a="1"/>
  <c r="F60" i="37" s="1"/>
  <c r="P59" i="37"/>
  <c r="Q59" i="37" s="1"/>
  <c r="M59" i="37"/>
  <c r="L59" i="37"/>
  <c r="I59" i="37"/>
  <c r="D59" i="37"/>
  <c r="C59" i="37"/>
  <c r="F59" i="37" s="1" a="1"/>
  <c r="F59" i="37" s="1"/>
  <c r="P58" i="37"/>
  <c r="Q58" i="37" s="1"/>
  <c r="M58" i="37"/>
  <c r="L58" i="37"/>
  <c r="I58" i="37"/>
  <c r="C58" i="37"/>
  <c r="D58" i="37" s="1"/>
  <c r="P57" i="37"/>
  <c r="Q57" i="37" s="1"/>
  <c r="M57" i="37"/>
  <c r="L57" i="37"/>
  <c r="I57" i="37"/>
  <c r="C57" i="37"/>
  <c r="F57" i="37" s="1" a="1"/>
  <c r="F57" i="37" s="1"/>
  <c r="P56" i="37"/>
  <c r="Q56" i="37" s="1"/>
  <c r="M56" i="37"/>
  <c r="L56" i="37"/>
  <c r="I56" i="37"/>
  <c r="C56" i="37"/>
  <c r="D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D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D42" i="37" s="1"/>
  <c r="P41" i="37"/>
  <c r="Q41" i="37" s="1"/>
  <c r="M41" i="37"/>
  <c r="L41" i="37"/>
  <c r="I41" i="37"/>
  <c r="C41" i="37"/>
  <c r="F41" i="37" s="1" a="1"/>
  <c r="F41" i="37" s="1"/>
  <c r="P40" i="37"/>
  <c r="Q40" i="37" s="1"/>
  <c r="M40" i="37"/>
  <c r="L40" i="37"/>
  <c r="I40" i="37"/>
  <c r="D40" i="37"/>
  <c r="C40" i="37"/>
  <c r="F40" i="37" s="1" a="1"/>
  <c r="F40" i="37" s="1"/>
  <c r="P39" i="37"/>
  <c r="Q39" i="37" s="1"/>
  <c r="M39" i="37"/>
  <c r="L39" i="37"/>
  <c r="I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C36" i="37"/>
  <c r="F36" i="37" s="1" a="1"/>
  <c r="F36" i="37" s="1"/>
  <c r="P35" i="37"/>
  <c r="Q35" i="37" s="1"/>
  <c r="M35" i="37"/>
  <c r="L35" i="37"/>
  <c r="I35" i="37"/>
  <c r="C35" i="37"/>
  <c r="F35" i="37" s="1" a="1"/>
  <c r="F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a="1"/>
  <c r="F82" i="31" s="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48" i="37" l="1"/>
  <c r="F64" i="37" a="1"/>
  <c r="F64" i="37" s="1"/>
  <c r="F82" i="37" a="1"/>
  <c r="F82" i="37" s="1"/>
  <c r="F50" i="37" a="1"/>
  <c r="F50" i="37" s="1"/>
  <c r="D69" i="37"/>
  <c r="D89" i="37"/>
  <c r="D37" i="37"/>
  <c r="D41" i="37"/>
  <c r="F49" i="37" a="1"/>
  <c r="F49" i="37" s="1"/>
  <c r="F53" i="37" a="1"/>
  <c r="F53" i="37" s="1"/>
  <c r="D70" i="37"/>
  <c r="D81" i="37"/>
  <c r="D91" i="37"/>
  <c r="F90" i="37" a="1"/>
  <c r="F90" i="37" s="1"/>
  <c r="D35" i="37"/>
  <c r="D43" i="37"/>
  <c r="F58" i="37" a="1"/>
  <c r="F58" i="37" s="1"/>
  <c r="F72" i="37" a="1"/>
  <c r="F72" i="37" s="1"/>
  <c r="F42" i="37" a="1"/>
  <c r="F42" i="37" s="1"/>
  <c r="D57" i="37"/>
  <c r="F96" i="37" a="1"/>
  <c r="F96"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1" i="37"/>
  <c r="F56" i="37" a="1"/>
  <c r="F56" i="37" s="1"/>
  <c r="D62" i="37"/>
  <c r="F74" i="37" a="1"/>
  <c r="F74" i="37" s="1"/>
  <c r="D85" i="37"/>
  <c r="F97" i="37" a="1"/>
  <c r="F97"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4" i="37"/>
  <c r="D65" i="37"/>
  <c r="F66" i="37" a="1"/>
  <c r="F66" i="37" s="1"/>
  <c r="D77"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6" i="37"/>
  <c r="D83" i="37"/>
  <c r="F88" i="37" a="1"/>
  <c r="F88" i="37" s="1"/>
  <c r="D94"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9"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5" i="37"/>
  <c r="F80" i="37" a="1"/>
  <c r="F80" i="37" s="1"/>
  <c r="D86" i="37"/>
  <c r="F98" i="37" a="1"/>
  <c r="F98" i="37" s="1"/>
  <c r="D17" i="38"/>
  <c r="D25" i="38"/>
  <c r="D33" i="38"/>
  <c r="D36" i="37"/>
  <c r="D44" i="37"/>
  <c r="D52" i="37"/>
  <c r="D60" i="37"/>
  <c r="D68" i="37"/>
  <c r="D76" i="37"/>
  <c r="D84" i="37"/>
  <c r="D92" i="37"/>
  <c r="D39" i="37"/>
  <c r="D47" i="37"/>
  <c r="D55" i="37"/>
  <c r="D63" i="37"/>
  <c r="D71" i="37"/>
  <c r="D79" i="37"/>
  <c r="D87" i="37"/>
  <c r="D95"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<sst xmlns="http://schemas.openxmlformats.org/spreadsheetml/2006/main" count="1549" uniqueCount="368">
  <si>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</si>
  <si>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</si>
  <si>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</si>
  <si>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</si>
  <si>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</si>
  <si>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</si>
  <si>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</si>
  <si>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</si>
  <si>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</si>
  <si>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</si>
  <si>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</si>
  <si>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</si>
  <si>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</si>
  <si>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</si>
  <si>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</si>
  <si>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</si>
  <si>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</si>
  <si>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</si>
  <si>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</si>
  <si>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</si>
  <si>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</si>
  <si>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</si>
  <si>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</si>
  <si>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</si>
  <si>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</si>
  <si>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</si>
  <si>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</si>
  <si>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</si>
  <si>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</si>
  <si>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</si>
  <si>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</si>
  <si>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</si>
  <si>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</si>
  <si>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</si>
  <si>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</si>
  <si>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</si>
  <si>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</si>
  <si>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</si>
  <si>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</si>
  <si>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</si>
  <si>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</si>
  <si>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</si>
  <si>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</si>
  <si>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</si>
  <si>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</si>
  <si>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</si>
  <si>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</si>
  <si>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</si>
  <si>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</si>
  <si>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</si>
  <si>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</si>
  <si>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</si>
  <si>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</si>
  <si>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</si>
  <si>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</si>
  <si>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</si>
  <si>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</si>
  <si>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</si>
  <si>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</si>
  <si>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</si>
  <si>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</si>
  <si>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</si>
  <si>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</si>
  <si>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</si>
  <si>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</si>
  <si>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</si>
  <si>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</si>
  <si>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</si>
  <si>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</si>
  <si>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</si>
  <si>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</si>
  <si>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</si>
  <si>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</si>
  <si>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</si>
  <si>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</si>
  <si>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</si>
  <si>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</si>
  <si>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</si>
  <si>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</si>
  <si>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</si>
  <si>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</si>
  <si>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</si>
  <si>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</si>
  <si>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</si>
  <si>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</si>
  <si>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</si>
  <si>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</si>
  <si>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</si>
  <si>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</si>
  <si>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</si>
  <si>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</si>
  <si>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</si>
  <si>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</si>
  <si>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</si>
  <si>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</si>
  <si>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</si>
  <si>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</si>
  <si>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</si>
  <si>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</si>
  <si>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</si>
  <si>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</si>
  <si>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</si>
  <si>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</si>
  <si>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</si>
  <si>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</si>
  <si>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</si>
  <si>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</si>
  <si>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</si>
  <si>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</si>
  <si>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</si>
  <si>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</si>
  <si>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</si>
  <si>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</si>
  <si>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</si>
  <si>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</si>
  <si>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</si>
  <si>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</si>
  <si>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</si>
  <si>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</si>
  <si>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</si>
  <si>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</si>
  <si>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</si>
  <si>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</si>
  <si>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</si>
  <si>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</si>
  <si>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</si>
  <si>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</si>
  <si>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</si>
  <si>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</si>
  <si>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</si>
  <si>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</si>
  <si>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</si>
  <si>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</si>
  <si>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</si>
  <si>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</si>
  <si>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</si>
  <si>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</si>
  <si>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</si>
  <si>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</si>
  <si>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</si>
  <si>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</si>
  <si>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</si>
  <si>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</si>
  <si>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</si>
  <si>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</si>
  <si>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</si>
  <si>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</si>
  <si>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</si>
  <si>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</si>
  <si>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</si>
  <si>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</si>
  <si>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</si>
  <si>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</si>
  <si>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</si>
  <si>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</si>
  <si>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</si>
  <si>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</si>
  <si>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</si>
  <si>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</si>
  <si>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</si>
  <si>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</si>
  <si>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</si>
  <si>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</si>
  <si>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</si>
  <si>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</si>
  <si>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</si>
  <si>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</si>
  <si>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</si>
  <si>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</si>
  <si>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</si>
  <si>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</si>
  <si>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</si>
  <si>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</si>
  <si>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</si>
  <si>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</si>
  <si>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</si>
  <si>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</si>
  <si>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</si>
  <si>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</si>
  <si>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</si>
  <si>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</si>
  <si>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</si>
  <si>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</si>
  <si>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</si>
  <si>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</si>
  <si>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</si>
  <si>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</si>
  <si>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</si>
  <si>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</si>
  <si>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</si>
  <si>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</si>
  <si>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</si>
  <si>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</si>
  <si>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</si>
  <si>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</si>
  <si>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</si>
  <si>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</si>
  <si>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</si>
  <si>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</si>
  <si>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</si>
  <si>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</si>
  <si>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</si>
  <si>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</si>
  <si>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</si>
  <si>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</si>
  <si>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</si>
  <si>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</si>
  <si>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</si>
  <si>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</si>
  <si>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</si>
  <si>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</si>
  <si>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</si>
  <si>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</si>
  <si>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</si>
  <si>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</si>
  <si>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</si>
  <si>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</si>
  <si>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</si>
  <si>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</si>
  <si>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</si>
  <si>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</si>
  <si>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</si>
  <si>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</si>
  <si>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</si>
  <si>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</si>
  <si>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</si>
  <si>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</si>
  <si>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</si>
  <si>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</si>
  <si>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</si>
  <si>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</si>
  <si>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</si>
  <si>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</si>
  <si>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</si>
  <si>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</si>
  <si>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</si>
  <si>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</si>
  <si>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</si>
  <si>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</si>
  <si>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</si>
  <si>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</si>
  <si>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</si>
  <si>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</si>
  <si>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</si>
  <si>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</si>
  <si>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</si>
  <si>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</si>
  <si>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</si>
  <si>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</si>
  <si>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</si>
  <si>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</si>
  <si>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</si>
  <si>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</si>
  <si>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</si>
  <si>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</si>
  <si>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</si>
  <si>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</si>
  <si>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</si>
  <si>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</si>
  <si>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</si>
  <si>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</si>
  <si>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</si>
  <si>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</si>
  <si>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</si>
  <si>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</si>
  <si>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</si>
  <si>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</si>
  <si>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</si>
  <si>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</si>
  <si>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</si>
  <si>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</si>
  <si>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</si>
  <si>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</si>
  <si>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</si>
  <si>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</si>
  <si>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</si>
  <si>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</si>
  <si>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</si>
  <si>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</si>
  <si>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</si>
  <si>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</si>
  <si>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</si>
  <si>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</si>
  <si>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</si>
  <si>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</si>
  <si>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</si>
  <si>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</si>
  <si>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</si>
  <si>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</si>
  <si>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</si>
  <si>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</si>
  <si>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</si>
  <si>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</si>
  <si>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</si>
  <si>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</si>
  <si>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</si>
  <si>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</si>
  <si>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</si>
  <si>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</si>
  <si>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</si>
  <si>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</si>
  <si>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</si>
  <si>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</si>
  <si>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</si>
  <si>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</si>
  <si>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</si>
  <si>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</si>
  <si>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</si>
  <si>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</si>
  <si>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</si>
  <si>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</si>
  <si>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</si>
  <si>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</si>
  <si>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</si>
  <si>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</si>
  <si>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</si>
  <si>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</si>
  <si>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</si>
  <si>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</si>
  <si>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</si>
  <si>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</si>
  <si>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</si>
  <si>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</si>
  <si>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</si>
  <si>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</si>
  <si>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</si>
  <si>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</si>
  <si>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</si>
  <si>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</si>
  <si>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</si>
  <si>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</si>
  <si>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</si>
  <si>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</si>
  <si>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</si>
  <si>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</si>
  <si>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</si>
  <si>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</si>
  <si>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</si>
  <si>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</si>
  <si>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</si>
  <si>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</si>
  <si>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</si>
  <si>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</si>
  <si>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</si>
  <si>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</si>
  <si>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</si>
  <si>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</si>
  <si>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</si>
  <si>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</si>
  <si>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</si>
  <si>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</si>
  <si>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</si>
  <si>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</si>
  <si>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</si>
  <si>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</si>
  <si>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</si>
  <si>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</si>
  <si>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</si>
  <si>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</si>
  <si>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</si>
  <si>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</si>
  <si>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</si>
  <si>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</si>
  <si>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</si>
  <si>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</si>
  <si>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Biogenic CO2 sequestration by BKA.</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</si>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</sst>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9" totalsRowShown="0" headerRowDxfId="45" dataDxfId="44" tableBorderDxfId="43" dataCellStyle="Percent">
  <autoFilter ref="A5:T99"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A3"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366</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366</v>
      </c>
      <c r="J5" t="s">
        <v>221</v>
      </c>
      <c r="R5" t="s">
        <v>37</v>
      </c>
      <c r="S5" t="s">
        <v>326</v>
      </c>
    </row>
    <row r="6" spans="1:19" x14ac:dyDescent="0.35">
      <c r="C6" t="s">
        <v>71</v>
      </c>
      <c r="E6" s="1" t="s">
        <v>13</v>
      </c>
      <c r="H6" t="s">
        <v>276</v>
      </c>
      <c r="J6" t="s">
        <v>222</v>
      </c>
      <c r="R6" t="s">
        <v>29</v>
      </c>
      <c r="S6" t="s">
        <v>323</v>
      </c>
    </row>
    <row r="7" spans="1:19" x14ac:dyDescent="0.35">
      <c r="C7" t="s">
        <v>366</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366</v>
      </c>
      <c r="B14" s="3" t="s">
        <v>318</v>
      </c>
    </row>
    <row r="15" spans="1:15" x14ac:dyDescent="0.35">
      <c r="A15" s="3" t="s">
        <v>276</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3</v>
      </c>
      <c r="G30" s="3" t="s">
        <v>367</v>
      </c>
      <c r="H30" s="3"/>
      <c r="I30" s="3"/>
      <c r="J30" s="3"/>
      <c r="K30" s="3"/>
      <c r="L30" s="3"/>
    </row>
    <row r="31" spans="1:23" x14ac:dyDescent="0.35">
      <c r="A31" s="2"/>
      <c r="B31" s="1" t="s">
        <v>308</v>
      </c>
      <c r="C31" t="s">
        <v>52</v>
      </c>
      <c r="F31" s="1" t="s">
        <v>71</v>
      </c>
      <c r="G31" s="3" t="s">
        <v>330</v>
      </c>
      <c r="H31" s="3"/>
      <c r="I31" s="3"/>
      <c r="J31" s="3"/>
      <c r="K31" s="3"/>
      <c r="L31" s="3"/>
    </row>
    <row r="32" spans="1:23" x14ac:dyDescent="0.35">
      <c r="A32" s="2"/>
      <c r="B32" s="1" t="s">
        <v>71</v>
      </c>
      <c r="C32" t="s">
        <v>52</v>
      </c>
      <c r="F32" s="1" t="s">
        <v>366</v>
      </c>
      <c r="G32" s="3" t="s">
        <v>330</v>
      </c>
      <c r="H32" s="3"/>
      <c r="I32" s="3"/>
      <c r="J32" s="3"/>
      <c r="K32" s="3"/>
      <c r="L32" s="3"/>
    </row>
    <row r="33" spans="1:7" x14ac:dyDescent="0.35">
      <c r="A33" s="2"/>
      <c r="B33" s="1" t="s">
        <v>366</v>
      </c>
      <c r="C33" t="s">
        <v>52</v>
      </c>
      <c r="F33" s="1" t="s">
        <v>276</v>
      </c>
      <c r="G33" s="3" t="s">
        <v>330</v>
      </c>
    </row>
    <row r="34" spans="1:7" x14ac:dyDescent="0.35">
      <c r="A34" s="2"/>
      <c r="B34" s="1" t="s">
        <v>276</v>
      </c>
      <c r="C34" t="s">
        <v>52</v>
      </c>
      <c r="F34" t="s">
        <v>311</v>
      </c>
      <c r="G34" s="3" t="s">
        <v>330</v>
      </c>
    </row>
    <row r="35" spans="1:7" x14ac:dyDescent="0.35">
      <c r="A35" s="2"/>
      <c r="B35" t="s">
        <v>311</v>
      </c>
      <c r="C35" t="s">
        <v>52</v>
      </c>
      <c r="F35" t="s">
        <v>312</v>
      </c>
      <c r="G35" s="3" t="s">
        <v>330</v>
      </c>
    </row>
    <row r="36" spans="1:7" x14ac:dyDescent="0.35">
      <c r="A36" s="2"/>
      <c r="B36" t="s">
        <v>312</v>
      </c>
      <c r="C36" t="s">
        <v>52</v>
      </c>
      <c r="F36" s="1" t="s">
        <v>87</v>
      </c>
      <c r="G36" s="3" t="s">
        <v>330</v>
      </c>
    </row>
    <row r="37" spans="1:7" x14ac:dyDescent="0.35">
      <c r="A37" s="2"/>
      <c r="B37" s="1" t="s">
        <v>87</v>
      </c>
      <c r="C37" t="s">
        <v>52</v>
      </c>
      <c r="F37" t="s">
        <v>29</v>
      </c>
      <c r="G37" s="3" t="s">
        <v>331</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7" x14ac:dyDescent="0.35">
      <c r="B81" s="56" t="s">
        <v>304</v>
      </c>
      <c r="C81" s="52" t="s">
        <v>56</v>
      </c>
    </row>
    <row r="82" spans="1:7" x14ac:dyDescent="0.35">
      <c r="B82" s="56" t="s">
        <v>305</v>
      </c>
      <c r="C82" s="52" t="s">
        <v>56</v>
      </c>
    </row>
    <row r="83" spans="1:7" x14ac:dyDescent="0.35">
      <c r="B83" s="56" t="s">
        <v>306</v>
      </c>
      <c r="C83" s="52" t="s">
        <v>56</v>
      </c>
    </row>
    <row r="84" spans="1:7" x14ac:dyDescent="0.35">
      <c r="B84" s="56" t="s">
        <v>307</v>
      </c>
      <c r="C84" s="52" t="s">
        <v>56</v>
      </c>
    </row>
    <row r="85" spans="1:7" x14ac:dyDescent="0.35">
      <c r="B85" s="52" t="s">
        <v>309</v>
      </c>
      <c r="C85" s="52" t="s">
        <v>56</v>
      </c>
    </row>
    <row r="86" spans="1:7" x14ac:dyDescent="0.35">
      <c r="B86" s="52" t="s">
        <v>310</v>
      </c>
      <c r="C86" s="52" t="s">
        <v>56</v>
      </c>
    </row>
    <row r="87" spans="1:7" x14ac:dyDescent="0.35">
      <c r="B87" s="52" t="s">
        <v>313</v>
      </c>
      <c r="C87" s="52" t="s">
        <v>56</v>
      </c>
    </row>
    <row r="88" spans="1:7" x14ac:dyDescent="0.35">
      <c r="B88" s="52" t="s">
        <v>314</v>
      </c>
      <c r="C88" s="52" t="s">
        <v>56</v>
      </c>
    </row>
    <row r="89" spans="1:7" x14ac:dyDescent="0.35">
      <c r="B89" s="52" t="s">
        <v>315</v>
      </c>
      <c r="C89" s="52" t="s">
        <v>56</v>
      </c>
    </row>
    <row r="90" spans="1:7" x14ac:dyDescent="0.35">
      <c r="B90" t="s">
        <v>238</v>
      </c>
      <c r="C90" t="s">
        <v>56</v>
      </c>
    </row>
    <row r="91" spans="1:7" s="52" customFormat="1" x14ac:dyDescent="0.35">
      <c r="A91" s="53" t="s">
        <v>281</v>
      </c>
      <c r="B91" s="52" t="s">
        <v>282</v>
      </c>
      <c r="C91" s="52" t="s">
        <v>56</v>
      </c>
      <c r="F91"/>
      <c r="G91"/>
    </row>
    <row r="92" spans="1:7" s="52" customFormat="1" x14ac:dyDescent="0.35">
      <c r="B92" s="52" t="s">
        <v>283</v>
      </c>
      <c r="C92" s="52" t="s">
        <v>56</v>
      </c>
    </row>
    <row r="93" spans="1:7" s="52" customFormat="1" x14ac:dyDescent="0.35">
      <c r="B93" s="52" t="s">
        <v>284</v>
      </c>
      <c r="C93" s="52" t="s">
        <v>56</v>
      </c>
    </row>
    <row r="94" spans="1:7" s="52" customFormat="1" x14ac:dyDescent="0.35">
      <c r="B94" s="52" t="s">
        <v>285</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tabSelected="1"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EFBBED6A-6442-4433-B90F-9E685099DA0C}">
          <x14:formula1>
            <xm:f>IF($B6="Transportation",  transport_units, INDIRECT(_xlfn.XLOOKUP($C6, 'SI - Units'!$F$26:$F$37,'SI - Units'!$G$26:$G$37,"mass",0)))</xm:f>
          </x14:formula1>
          <xm:sqref>F6:F100</xm:sqref>
        </x14:dataValidation>
        <x14:dataValidation type="list" allowBlank="1" showInputMessage="1" showErrorMessage="1" xr:uid="{EE090971-7C8E-4590-817F-9B746A89349F}">
          <x14:formula1>
            <xm:f>INDIRECT("p_"&amp;_xlfn.XLOOKUP($C6,'SI - Units'!$F$26:$F$37,'SI - Units'!$G$26:$G$37,"mass",0))</xm:f>
          </x14:formula1>
          <xm:sqref>O6:O100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11BB23F0-4A09-4FC4-9BA9-64A020AA1F03}">
          <x14:formula1>
            <xm:f>IF($B6="Transportation",  transport_units, INDIRECT(_xlfn.XLOOKUP($C6, 'SI - Units'!$F$26:$F$37,'SI - Units'!$G$26:$G$37,"mass",0)))</xm:f>
          </x14:formula1>
          <xm:sqref>F6:F100</xm:sqref>
        </x14:dataValidation>
        <x14:dataValidation type="list" allowBlank="1" showInputMessage="1" showErrorMessage="1" xr:uid="{DAD473CC-49F4-42F8-9895-7803A8023C0C}">
          <x14:formula1>
            <xm:f>INDIRECT("p_"&amp;_xlfn.XLOOKUP($C6,'SI - Units'!$F$26:$F$37,'SI - Units'!$G$26:$G$37,"mass",0))</xm:f>
          </x14:formula1>
          <xm:sqref>O6:O100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E2BF2E0D-A9FE-45C0-A58E-B99270714A5F}">
          <x14:formula1>
            <xm:f>IF($B6="Transportation",  transport_units, INDIRECT(_xlfn.XLOOKUP($C6, 'SI - Units'!$F$26:$F$37,'SI - Units'!$G$26:$G$37,"mass",0)))</xm:f>
          </x14:formula1>
          <xm:sqref>F6:F100</xm:sqref>
        </x14:dataValidation>
        <x14:dataValidation type="list" allowBlank="1" showInputMessage="1" showErrorMessage="1" xr:uid="{81DD9461-C27D-44AB-871C-1DBE879D8DB8}">
          <x14:formula1>
            <xm:f>INDIRECT("p_"&amp;_xlfn.XLOOKUP($C6,'SI - Units'!$F$26:$F$37,'SI - Units'!$G$26:$G$37,"mass",0))</xm:f>
          </x14:formula1>
          <xm:sqref>O6:O100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993A71AB-28FB-42BC-AD81-3B45FCE49DE3}">
          <x14:formula1>
            <xm:f>IF($B6="Transportation",  transport_units, INDIRECT(_xlfn.XLOOKUP($C6, 'SI - Units'!$F$26:$F$37,'SI - Units'!$G$26:$G$37,"mass",0)))</xm:f>
          </x14:formula1>
          <xm:sqref>F6:F100</xm:sqref>
        </x14:dataValidation>
        <x14:dataValidation type="list" allowBlank="1" showInputMessage="1" showErrorMessage="1" xr:uid="{F3F03F28-679F-4E3E-95B0-E53C4FE29986}">
          <x14:formula1>
            <xm:f>INDIRECT("p_"&amp;_xlfn.XLOOKUP($C6,'SI - Units'!$F$26:$F$37,'SI - Units'!$G$26:$G$37,"mass",0))</xm:f>
          </x14:formula1>
          <xm:sqref>O6:O100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C00A7ED7-82CE-493A-BD96-D28DF49F119B}">
          <x14:formula1>
            <xm:f>IF($B6="Transportation",  transport_units, INDIRECT(_xlfn.XLOOKUP($C6, 'SI - Units'!$F$26:$F$37,'SI - Units'!$G$26:$G$37,"mass",0)))</xm:f>
          </x14:formula1>
          <xm:sqref>F6:F100</xm:sqref>
        </x14:dataValidation>
        <x14:dataValidation type="list" allowBlank="1" showInputMessage="1" showErrorMessage="1" xr:uid="{3FFE7068-F62C-4AA8-8CF0-D82349041CC5}">
          <x14:formula1>
            <xm:f>INDIRECT("p_"&amp;_xlfn.XLOOKUP($C6,'SI - Units'!$F$26:$F$37,'SI - Units'!$G$26:$G$37,"mass",0))</xm:f>
          </x14:formula1>
          <xm:sqref>O6:O100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9E11C129-5A8D-4118-9FDB-CB91CB80E595}">
          <x14:formula1>
            <xm:f>IF($B6="Transportation",  transport_units, INDIRECT(_xlfn.XLOOKUP($C6, 'SI - Units'!$F$26:$F$37,'SI - Units'!$G$26:$G$37,"mass",0)))</xm:f>
          </x14:formula1>
          <xm:sqref>F6:F100</xm:sqref>
        </x14:dataValidation>
        <x14:dataValidation type="list" allowBlank="1" showInputMessage="1" showErrorMessage="1" xr:uid="{49704A46-6D98-473C-A830-9ADC7E532706}">
          <x14:formula1>
            <xm:f>INDIRECT("p_"&amp;_xlfn.XLOOKUP($C6,'SI - Units'!$F$26:$F$37,'SI - Units'!$G$26:$G$37,"mass",0))</xm:f>
          </x14:formula1>
          <xm:sqref>O6:O100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7C12590F-B7F5-4A34-8ACF-FFB29AB691A2}">
          <x14:formula1>
            <xm:f>IF($B6="Transportation",  transport_units, INDIRECT(_xlfn.XLOOKUP($C6, 'SI - Units'!$F$26:$F$37,'SI - Units'!$G$26:$G$37,"mass",0)))</xm:f>
          </x14:formula1>
          <xm:sqref>F6:F100</xm:sqref>
        </x14:dataValidation>
        <x14:dataValidation type="list" allowBlank="1" showInputMessage="1" showErrorMessage="1" xr:uid="{8C88C546-F602-4817-849C-C25364CEB0F6}">
          <x14:formula1>
            <xm:f>INDIRECT("p_"&amp;_xlfn.XLOOKUP($C6,'SI - Units'!$F$26:$F$37,'SI - Units'!$G$26:$G$37,"mass",0))</xm:f>
          </x14:formula1>
          <xm:sqref>O6:O100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3">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A3AF8248-A213-46BF-814E-6F71369C4A57}">
          <x14:formula1>
            <xm:f>'SI - Co-products'!$D$2:$D$8</xm:f>
          </x14:formula1>
          <xm:sqref>C1</xm:sqref>
        </x14:dataValidation>
        <x14:dataValidation type="list" allowBlank="1" showInputMessage="1" showErrorMessage="1" xr:uid="{68F4EED7-DB8C-46F8-BF27-3B2EB3ED8F2A}">
          <x14:formula1>
            <xm:f>IF($B6="Transportation",  transport_units, INDIRECT(_xlfn.XLOOKUP($C6, 'SI - Units'!$F$26:$F$37,'SI - Units'!$G$26:$G$37,"mass",0)))</xm:f>
          </x14:formula1>
          <xm:sqref>F6:F100</xm:sqref>
        </x14:dataValidation>
        <x14:dataValidation type="list" allowBlank="1" showInputMessage="1" showErrorMessage="1" xr:uid="{CD3F74B7-2BC2-45F5-AC17-937D2BB098CB}">
          <x14:formula1>
            <xm:f>INDIRECT("p_"&amp;_xlfn.XLOOKUP($C6,'SI - Units'!$F$26:$F$37,'SI - Units'!$G$26:$G$37,"mass",0))</xm:f>
          </x14:formula1>
          <xm:sqref>O6:O100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9"/>
  <sheetViews>
    <sheetView workbookViewId="0">
      <pane ySplit="5" topLeftCell="A6" activePane="bottomLeft" state="frozen"/>
      <selection activeCell="C19" sqref="C19"/>
      <selection pane="bottomLeft" activeCell="T33" sqref="T3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4">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12472.156300000001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4">
        <v>1800</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2749.7741029999997</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4">
        <v>7500</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7">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7">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7">
        <v>1879</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7">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7">
        <v>928.97244530000012</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7">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7">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7">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7">
        <v>103.75222799711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7">
        <v>432.90545600000002</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244</v>
      </c>
      <c r="C22" s="6" t="s">
        <v>22</v>
      </c>
      <c r="D22" s="6" t="s">
        <v>336</v>
      </c>
      <c r="E22" s="77">
        <v>947.58393999999998</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37</v>
      </c>
      <c r="C23" s="6" t="s">
        <v>36</v>
      </c>
      <c r="D23" s="6" t="s">
        <v>336</v>
      </c>
      <c r="E23" s="77">
        <v>0.54501831099999998</v>
      </c>
      <c r="F23" s="6" t="s">
        <v>58</v>
      </c>
      <c r="G23" s="25"/>
      <c r="H23" s="25"/>
      <c r="I23" s="26" t="s">
        <v>336</v>
      </c>
      <c r="J23" s="25"/>
      <c r="K23" s="6" t="s">
        <v>86</v>
      </c>
      <c r="L23" s="6" t="s">
        <v>336</v>
      </c>
      <c r="M23" s="6" t="s">
        <v>336</v>
      </c>
      <c r="N23" s="6"/>
      <c r="O23" s="6"/>
      <c r="P23" s="6" t="s">
        <v>336</v>
      </c>
      <c r="Q23" s="6" t="s">
        <v>336</v>
      </c>
      <c r="R23" s="6"/>
      <c r="S23" s="6"/>
      <c r="T23" s="6"/>
    </row>
    <row r="24" spans="1:20" x14ac:dyDescent="0.35">
      <c r="A24" s="6" t="s">
        <v>0</v>
      </c>
      <c r="B24" s="6" t="s">
        <v>37</v>
      </c>
      <c r="C24" s="6" t="s">
        <v>23</v>
      </c>
      <c r="D24" s="6" t="s">
        <v>336</v>
      </c>
      <c r="E24" s="77">
        <v>173.99815000000001</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25</v>
      </c>
      <c r="D25" s="6" t="s">
        <v>336</v>
      </c>
      <c r="E25" s="12">
        <v>1.33870585</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29</v>
      </c>
      <c r="C26" s="6" t="s">
        <v>29</v>
      </c>
      <c r="D26" s="6" t="s">
        <v>336</v>
      </c>
      <c r="E26" s="74">
        <v>144834.35500000001</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244</v>
      </c>
      <c r="C27" s="6" t="s">
        <v>24</v>
      </c>
      <c r="D27" s="6" t="s">
        <v>31</v>
      </c>
      <c r="E27" s="12">
        <v>6800</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3</v>
      </c>
      <c r="C28" s="6" t="s">
        <v>3</v>
      </c>
      <c r="D28" s="6" t="s">
        <v>10</v>
      </c>
      <c r="E28" s="74">
        <v>19571</v>
      </c>
      <c r="F28" s="6" t="s">
        <v>68</v>
      </c>
      <c r="G28" s="25"/>
      <c r="H28" s="25"/>
      <c r="I28" s="26" t="s">
        <v>336</v>
      </c>
      <c r="J28" s="25"/>
      <c r="K28" s="6" t="s">
        <v>113</v>
      </c>
      <c r="L28" s="6" t="s">
        <v>336</v>
      </c>
      <c r="M28" s="6" t="s">
        <v>336</v>
      </c>
      <c r="N28" s="6"/>
      <c r="O28" s="6"/>
      <c r="P28" s="6" t="s">
        <v>336</v>
      </c>
      <c r="Q28" s="6" t="s">
        <v>336</v>
      </c>
      <c r="R28" s="6"/>
      <c r="S28" s="6"/>
      <c r="T28" s="6"/>
    </row>
    <row r="29" spans="1:20" x14ac:dyDescent="0.35">
      <c r="A29" s="6" t="s">
        <v>0</v>
      </c>
      <c r="B29" s="6" t="s">
        <v>3</v>
      </c>
      <c r="C29" s="6" t="s">
        <v>3</v>
      </c>
      <c r="D29" s="6" t="s">
        <v>10</v>
      </c>
      <c r="E29" s="12">
        <v>4308</v>
      </c>
      <c r="F29" s="6" t="s">
        <v>68</v>
      </c>
      <c r="G29" s="25"/>
      <c r="H29" s="25"/>
      <c r="I29" s="26" t="s">
        <v>336</v>
      </c>
      <c r="J29" s="25"/>
      <c r="K29" s="6" t="s">
        <v>85</v>
      </c>
      <c r="L29" s="6" t="s">
        <v>336</v>
      </c>
      <c r="M29" s="6" t="s">
        <v>336</v>
      </c>
      <c r="N29" s="6"/>
      <c r="O29" s="6"/>
      <c r="P29" s="6" t="s">
        <v>336</v>
      </c>
      <c r="Q29" s="6" t="s">
        <v>336</v>
      </c>
      <c r="R29" s="6"/>
      <c r="S29" s="6"/>
      <c r="T29" s="6"/>
    </row>
    <row r="30" spans="1:20" x14ac:dyDescent="0.35">
      <c r="A30" s="6" t="s">
        <v>0</v>
      </c>
      <c r="B30" s="6" t="s">
        <v>3</v>
      </c>
      <c r="C30" s="6" t="s">
        <v>3</v>
      </c>
      <c r="D30" s="6" t="s">
        <v>10</v>
      </c>
      <c r="E30" s="12">
        <v>20474.434896999999</v>
      </c>
      <c r="F30" s="6" t="s">
        <v>68</v>
      </c>
      <c r="G30" s="25"/>
      <c r="H30" s="25"/>
      <c r="I30" s="26" t="s">
        <v>336</v>
      </c>
      <c r="J30" s="25"/>
      <c r="K30" s="6" t="s">
        <v>86</v>
      </c>
      <c r="L30" s="6" t="s">
        <v>336</v>
      </c>
      <c r="M30" s="6" t="s">
        <v>336</v>
      </c>
      <c r="N30" s="6"/>
      <c r="O30" s="6"/>
      <c r="P30" s="6" t="s">
        <v>336</v>
      </c>
      <c r="Q30" s="6" t="s">
        <v>336</v>
      </c>
      <c r="R30" s="6"/>
      <c r="S30" s="6"/>
      <c r="T30" s="6"/>
    </row>
    <row r="31" spans="1:20" x14ac:dyDescent="0.35">
      <c r="A31" s="6" t="s">
        <v>113</v>
      </c>
      <c r="B31" s="6" t="s">
        <v>244</v>
      </c>
      <c r="C31" s="6" t="s">
        <v>366</v>
      </c>
      <c r="D31" s="6"/>
      <c r="E31" s="12">
        <v>501.55026516129396</v>
      </c>
      <c r="F31" s="6" t="s">
        <v>70</v>
      </c>
      <c r="G31" s="25"/>
      <c r="H31" s="25"/>
      <c r="I31" s="26" t="s">
        <v>336</v>
      </c>
      <c r="J31" s="25"/>
      <c r="K31" s="6" t="s">
        <v>113</v>
      </c>
      <c r="L31" s="6" t="s">
        <v>336</v>
      </c>
      <c r="M31" s="6" t="s">
        <v>336</v>
      </c>
      <c r="N31" s="6">
        <v>21.535015935911794</v>
      </c>
      <c r="O31" s="6" t="s">
        <v>361</v>
      </c>
      <c r="P31" s="6" t="s">
        <v>2</v>
      </c>
      <c r="Q31" s="6" t="s">
        <v>83</v>
      </c>
      <c r="R31" s="6"/>
      <c r="S31" s="6"/>
      <c r="T31" s="6"/>
    </row>
    <row r="32" spans="1:20" x14ac:dyDescent="0.35">
      <c r="A32" s="6" t="s">
        <v>85</v>
      </c>
      <c r="B32" s="6" t="s">
        <v>37</v>
      </c>
      <c r="C32" s="6" t="s">
        <v>51</v>
      </c>
      <c r="D32" s="6"/>
      <c r="E32" s="12">
        <v>2645.1004699999999</v>
      </c>
      <c r="F32" s="6" t="s">
        <v>58</v>
      </c>
      <c r="G32" s="25"/>
      <c r="H32" s="25"/>
      <c r="I32" s="26" t="s">
        <v>114</v>
      </c>
      <c r="J32" s="25"/>
      <c r="K32" s="6" t="s">
        <v>85</v>
      </c>
      <c r="L32" s="6" t="s">
        <v>336</v>
      </c>
      <c r="M32" s="6" t="s">
        <v>336</v>
      </c>
      <c r="N32" s="6">
        <v>1.8739390198196608</v>
      </c>
      <c r="O32" s="6" t="s">
        <v>362</v>
      </c>
      <c r="P32" s="6" t="s">
        <v>277</v>
      </c>
      <c r="Q32" s="6"/>
      <c r="R32" s="6"/>
      <c r="S32" s="6"/>
      <c r="T32" s="6"/>
    </row>
    <row r="33" spans="1:20" x14ac:dyDescent="0.35">
      <c r="A33" s="6" t="s">
        <v>0</v>
      </c>
      <c r="B33" s="6" t="s">
        <v>245</v>
      </c>
      <c r="C33" s="6" t="s">
        <v>229</v>
      </c>
      <c r="D33" s="6"/>
      <c r="E33" s="12">
        <f>12*6/(12*6+8*1+5*16)*44/12*E32</f>
        <v>4364.4157755000006</v>
      </c>
      <c r="F33" s="6" t="str">
        <f>F32</f>
        <v>kg</v>
      </c>
      <c r="G33" s="25"/>
      <c r="H33" s="25"/>
      <c r="I33" s="26"/>
      <c r="J33" s="25"/>
      <c r="K33" s="6" t="s">
        <v>85</v>
      </c>
      <c r="L33" s="6"/>
      <c r="M33" s="6"/>
      <c r="N33" s="6"/>
      <c r="O33" s="6"/>
      <c r="P33" s="6"/>
      <c r="Q33" s="6"/>
      <c r="R33" s="6"/>
      <c r="S33" s="6"/>
      <c r="T33" s="6" t="s">
        <v>365</v>
      </c>
    </row>
    <row r="34" spans="1:20" x14ac:dyDescent="0.35">
      <c r="A34" s="6" t="s">
        <v>85</v>
      </c>
      <c r="B34" s="6" t="s">
        <v>37</v>
      </c>
      <c r="C34" s="6" t="s">
        <v>279</v>
      </c>
      <c r="D34" s="6" t="s">
        <v>336</v>
      </c>
      <c r="E34" s="12">
        <v>16549.5265</v>
      </c>
      <c r="F34" s="6" t="s">
        <v>58</v>
      </c>
      <c r="G34" s="25"/>
      <c r="H34" s="25"/>
      <c r="I34" s="26" t="s">
        <v>124</v>
      </c>
      <c r="J34" s="25"/>
      <c r="K34" s="6" t="s">
        <v>86</v>
      </c>
      <c r="L34" s="6" t="s">
        <v>336</v>
      </c>
      <c r="M34" s="6" t="s">
        <v>336</v>
      </c>
      <c r="N34" s="6"/>
      <c r="O34" s="6"/>
      <c r="P34" s="6" t="s">
        <v>279</v>
      </c>
      <c r="Q34" s="6" t="s">
        <v>336</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9" xr:uid="{2E780E09-E48E-406E-A27B-DB9924F9A17F}">
      <formula1>0</formula1>
      <formula2>1</formula2>
    </dataValidation>
    <dataValidation type="list" allowBlank="1" showInputMessage="1" showErrorMessage="1" sqref="M6:M99" xr:uid="{801C2333-1E78-4AFE-91E1-F879E6C4B0AC}">
      <formula1>payload_units</formula1>
    </dataValidation>
    <dataValidation type="decimal" operator="greaterThan" allowBlank="1" showInputMessage="1" showErrorMessage="1" error="Please type a positive number." sqref="L6:L99" xr:uid="{C786CC9A-A489-4A10-B74C-6742400B0318}">
      <formula1>0</formula1>
    </dataValidation>
    <dataValidation type="decimal" operator="greaterThan" allowBlank="1" showInputMessage="1" showErrorMessage="1" error="Please type a positive price." sqref="N6:N99" xr:uid="{54CCC6ED-D4ED-484E-BD5A-A8DBE927EB80}">
      <formula1>0</formula1>
    </dataValidation>
    <dataValidation type="decimal" allowBlank="1" showInputMessage="1" showErrorMessage="1" error="Please type a number between 0 and 1." sqref="G6:G99" xr:uid="{D4415697-233F-4DC1-97AC-092ADA5B0734}">
      <formula1>0</formula1>
      <formula2>1</formula2>
    </dataValidation>
    <dataValidation type="custom" allowBlank="1" showInputMessage="1" showErrorMessage="1" sqref="E6:E99"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E105640-0354-4E39-A41D-7E32E3CB44F1}">
          <x14:formula1>
            <xm:f>'SI - Co-products'!$D$2:$D$8</xm:f>
          </x14:formula1>
          <xm:sqref>C1</xm:sqref>
        </x14:dataValidation>
        <x14:dataValidation type="list" allowBlank="1" showInputMessage="1" showErrorMessage="1" xr:uid="{D4B16CB1-7F44-4449-A772-716793E2AF6A}">
          <x14:formula1>
            <xm:f>INDIRECT(_xlfn.XLOOKUP($P6,'SI - End Use'!$A$11:$A$18,'SI - End Use'!$B$11:$B$18,"other_end_use",0))</xm:f>
          </x14:formula1>
          <xm:sqref>Q6:R99</xm:sqref>
        </x14:dataValidation>
        <x14:dataValidation type="list" allowBlank="1" showInputMessage="1" xr:uid="{A026ABCD-9090-484C-8035-86332534803F}">
          <x14:formula1>
            <xm:f>INDIRECT(_xlfn.XLOOKUP($C6,'SI - End Use'!$A$11:$A$18,'SI - End Use'!$B$11:$B$18,"other_end_use",0))</xm:f>
          </x14:formula1>
          <xm:sqref>D6:D99</xm:sqref>
        </x14:dataValidation>
        <x14:dataValidation type="list" allowBlank="1" showInputMessage="1" showErrorMessage="1" xr:uid="{904E694A-45BB-4B94-897E-3907D357430E}">
          <x14:formula1>
            <xm:f>INDIRECT(_xlfn.XLOOKUP($B6, 'SI - Resources'!$R$1:$R$10,'SI - Resources'!$S$1:$S$10, "placeholder_resource", 0))</xm:f>
          </x14:formula1>
          <xm:sqref>C6:C99 P6:P99</xm:sqref>
        </x14:dataValidation>
        <x14:dataValidation type="list" allowBlank="1" showInputMessage="1" showErrorMessage="1" xr:uid="{A6556E34-1713-47C4-BBE6-25D582262715}">
          <x14:formula1>
            <xm:f>'SI - Co-products'!$B$2:$B$6</xm:f>
          </x14:formula1>
          <xm:sqref>A6:A99</xm:sqref>
        </x14:dataValidation>
        <x14:dataValidation type="list" allowBlank="1" showInputMessage="1" showErrorMessage="1" xr:uid="{FA116AF0-7221-484C-805C-A86D516E6E07}">
          <x14:formula1>
            <xm:f>'SI - Resources'!$A$1:$J$1</xm:f>
          </x14:formula1>
          <xm:sqref>B6:B99</xm:sqref>
        </x14:dataValidation>
        <x14:dataValidation type="list" allowBlank="1" showInputMessage="1" showErrorMessage="1" xr:uid="{DDD203C8-AF69-422E-A440-DCF3CD30F809}">
          <x14:formula1>
            <xm:f>'SI - Co-products'!$C$2:$C$4</xm:f>
          </x14:formula1>
          <xm:sqref>I6:I99</xm:sqref>
        </x14:dataValidation>
        <x14:dataValidation type="list" allowBlank="1" showInputMessage="1" showErrorMessage="1" xr:uid="{663B9A35-527C-4790-A0CD-A709044001BC}">
          <x14:formula1>
            <xm:f>'SI - Co-products'!$A$2:$A$5</xm:f>
          </x14:formula1>
          <xm:sqref>K6:K99</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C4A81919-E320-4E43-8CFB-A4E8642E2496}">
          <x14:formula1>
            <xm:f>IF($B6="Transportation",  transport_units, INDIRECT(_xlfn.XLOOKUP($C6, 'SI - Units'!$F$26:$F$37,'SI - Units'!$G$26:$G$37,"mass",0)))</xm:f>
          </x14:formula1>
          <xm:sqref>F6:F99</xm:sqref>
        </x14:dataValidation>
        <x14:dataValidation type="list" allowBlank="1" showInputMessage="1" showErrorMessage="1" xr:uid="{BC898F8B-9D0C-4D76-8FBF-49373E8FCC12}">
          <x14:formula1>
            <xm:f>INDIRECT("p_"&amp;_xlfn.XLOOKUP($C6,'SI - Units'!$F$26:$F$37,'SI - Units'!$G$26:$G$37,"mass",0))</xm:f>
          </x14:formula1>
          <xm:sqref>O6:O99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C9" sqref="C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6">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366</v>
      </c>
      <c r="D6" s="6" t="str">
        <f>IF(_xlfn.XLOOKUP($C6,'SI - End Use'!$B$2:$B$6,'SI - End Use'!$C$2:$C$6, "")="", "", _xlfn.XLOOKUP($C6,'SI - End Use'!$B$2:$B$6,'SI - End Use'!$C$2:$C$6, ""))</f>
        <v/>
      </c>
      <c r="E6" s="75">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366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C5B79D87-C511-4431-9997-51E58A8DE11F}">
          <x14:formula1>
            <xm:f>'SI - Co-products'!$D$2:$D$8</xm:f>
          </x14:formula1>
          <xm:sqref>C1</xm:sqref>
        </x14:dataValidation>
        <x14:dataValidation type="list" allowBlank="1" showInputMessage="1" showErrorMessage="1" xr:uid="{9C8AC9C5-B7B4-4334-958B-4A683BA93E46}">
          <x14:formula1>
            <xm:f>IF($B6="Transportation",  transport_units, INDIRECT(_xlfn.XLOOKUP($C6, 'SI - Units'!$F$26:$F$37,'SI - Units'!$G$26:$G$37,"mass",0)))</xm:f>
          </x14:formula1>
          <xm:sqref>F6:F100</xm:sqref>
        </x14:dataValidation>
        <x14:dataValidation type="list" allowBlank="1" showInputMessage="1" showErrorMessage="1" xr:uid="{4EB70498-C6EB-4063-A593-8878AD151BCF}">
          <x14:formula1>
            <xm:f>INDIRECT("p_"&amp;_xlfn.XLOOKUP($C6,'SI - Units'!$F$26:$F$37,'SI - Units'!$G$26:$G$37,"mass",0))</xm:f>
          </x14:formula1>
          <xm:sqref>O6:O100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4" t="s">
        <v>337</v>
      </c>
      <c r="C1" s="84"/>
      <c r="D1" s="62" t="s">
        <v>338</v>
      </c>
      <c r="E1" s="62" t="s">
        <v>339</v>
      </c>
      <c r="F1" s="62" t="s">
        <v>340</v>
      </c>
      <c r="G1" s="62" t="s">
        <v>341</v>
      </c>
      <c r="H1" s="62" t="s">
        <v>342</v>
      </c>
    </row>
    <row r="2" spans="1:8" x14ac:dyDescent="0.35">
      <c r="A2" s="62" t="s">
        <v>343</v>
      </c>
      <c r="B2" s="85">
        <v>93.088999999999999</v>
      </c>
      <c r="C2" s="85"/>
      <c r="D2" s="64">
        <v>1</v>
      </c>
      <c r="E2" s="63"/>
      <c r="F2" s="63"/>
      <c r="G2" s="65">
        <v>0.3</v>
      </c>
      <c r="H2" s="65">
        <v>0</v>
      </c>
    </row>
    <row r="3" spans="1:8" x14ac:dyDescent="0.35">
      <c r="A3" s="62" t="s">
        <v>344</v>
      </c>
      <c r="B3" s="86"/>
      <c r="C3" s="87"/>
      <c r="D3" s="66"/>
      <c r="E3" s="66"/>
      <c r="F3" s="66"/>
      <c r="G3" s="78">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8" t="s">
        <v>348</v>
      </c>
      <c r="C8" s="88"/>
      <c r="D8" s="68" t="s">
        <v>338</v>
      </c>
      <c r="E8" s="68" t="s">
        <v>339</v>
      </c>
      <c r="F8" s="68" t="s">
        <v>340</v>
      </c>
      <c r="G8" s="68" t="s">
        <v>341</v>
      </c>
      <c r="H8" s="62" t="s">
        <v>342</v>
      </c>
    </row>
    <row r="9" spans="1:8" x14ac:dyDescent="0.35">
      <c r="A9" s="62" t="s">
        <v>349</v>
      </c>
      <c r="B9" s="82">
        <v>11.413</v>
      </c>
      <c r="C9" s="83"/>
      <c r="D9" s="63"/>
      <c r="E9" s="64">
        <v>1</v>
      </c>
      <c r="F9" s="63"/>
      <c r="G9" s="65">
        <v>0.11409999999999999</v>
      </c>
      <c r="H9" s="69">
        <v>8.1557678177810455E-2</v>
      </c>
    </row>
    <row r="10" spans="1:8" x14ac:dyDescent="0.35">
      <c r="A10" s="62" t="s">
        <v>350</v>
      </c>
      <c r="B10" s="82">
        <v>417.73200000000003</v>
      </c>
      <c r="C10" s="83"/>
      <c r="D10" s="63"/>
      <c r="E10" s="64">
        <v>1</v>
      </c>
      <c r="F10" s="63"/>
      <c r="G10" s="65">
        <v>0.11409999999999999</v>
      </c>
      <c r="H10" s="69">
        <v>0.02</v>
      </c>
    </row>
    <row r="11" spans="1:8" x14ac:dyDescent="0.35">
      <c r="A11" s="62" t="s">
        <v>351</v>
      </c>
      <c r="B11" s="82">
        <v>7.73</v>
      </c>
      <c r="C11" s="83"/>
      <c r="D11" s="70">
        <v>0.89500000000000002</v>
      </c>
      <c r="E11" s="70">
        <f>1-D11</f>
        <v>0.10499999999999998</v>
      </c>
      <c r="F11" s="63"/>
      <c r="G11" s="65">
        <v>0.11409999999999999</v>
      </c>
      <c r="H11" s="69">
        <v>0</v>
      </c>
    </row>
    <row r="12" spans="1:8" x14ac:dyDescent="0.35">
      <c r="A12" s="62" t="s">
        <v>352</v>
      </c>
      <c r="B12" s="82">
        <v>0.45</v>
      </c>
      <c r="C12" s="83"/>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2023-02-17T16:41:57Z</dcterms:modified>
</cp:coreProperties>
</file>