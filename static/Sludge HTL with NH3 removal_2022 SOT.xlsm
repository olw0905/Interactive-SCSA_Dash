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684C84E4-510B-4B28-AA61-AA8C3C2A03BF}" xr6:coauthVersionLast="47" xr6:coauthVersionMax="47" xr10:uidLastSave="{00000000-0000-0000-0000-000000000000}"/>
  <bookViews>
    <workbookView xWindow="-110" yWindow="-110" windowWidth="22780" windowHeight="14660" tabRatio="685" activeTab="9"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7" r:id="rId9"/>
    <sheet name="Fuel combustion" sheetId="28"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 i="28" l="1"/>
  <c r="F7" i="28" a="1"/>
  <c r="F7" i="28" s="1"/>
  <c r="I7" i="28"/>
  <c r="M7" i="28"/>
  <c r="P7" i="28"/>
  <c r="Q7" i="28" s="1"/>
  <c r="P101" i="28" l="1"/>
  <c r="Q101" i="28" s="1"/>
  <c r="M101" i="28"/>
  <c r="L101" i="28"/>
  <c r="I101" i="28"/>
  <c r="C101" i="28"/>
  <c r="F101" i="28" s="1" a="1"/>
  <c r="F101" i="28" s="1"/>
  <c r="P100" i="28"/>
  <c r="Q100" i="28" s="1"/>
  <c r="M100" i="28"/>
  <c r="L100" i="28"/>
  <c r="I100" i="28"/>
  <c r="C100" i="28"/>
  <c r="D100" i="28" s="1"/>
  <c r="P99" i="28"/>
  <c r="Q99" i="28" s="1"/>
  <c r="M99" i="28"/>
  <c r="L99" i="28"/>
  <c r="I99" i="28"/>
  <c r="D99" i="28"/>
  <c r="C99" i="28"/>
  <c r="F99" i="28" s="1" a="1"/>
  <c r="F99" i="28" s="1"/>
  <c r="Q98" i="28"/>
  <c r="P98" i="28"/>
  <c r="M98" i="28"/>
  <c r="L98" i="28"/>
  <c r="I98" i="28"/>
  <c r="C98" i="28"/>
  <c r="F98" i="28" s="1" a="1"/>
  <c r="F98" i="28" s="1"/>
  <c r="Q97" i="28"/>
  <c r="P97" i="28"/>
  <c r="M97" i="28"/>
  <c r="L97" i="28"/>
  <c r="I97" i="28"/>
  <c r="C97" i="28"/>
  <c r="F97" i="28" s="1" a="1"/>
  <c r="F97" i="28" s="1"/>
  <c r="P96" i="28"/>
  <c r="Q96" i="28" s="1"/>
  <c r="M96" i="28"/>
  <c r="L96" i="28"/>
  <c r="I96" i="28"/>
  <c r="D96" i="28"/>
  <c r="C96" i="28"/>
  <c r="F96" i="28" s="1" a="1"/>
  <c r="F96" i="28" s="1"/>
  <c r="P95" i="28"/>
  <c r="Q95" i="28" s="1"/>
  <c r="M95" i="28"/>
  <c r="L95" i="28"/>
  <c r="I95" i="28"/>
  <c r="C95" i="28"/>
  <c r="D95" i="28" s="1"/>
  <c r="P94" i="28"/>
  <c r="Q94" i="28" s="1"/>
  <c r="M94" i="28"/>
  <c r="L94" i="28"/>
  <c r="I94" i="28"/>
  <c r="C94" i="28"/>
  <c r="F94" i="28" s="1" a="1"/>
  <c r="F94" i="28" s="1"/>
  <c r="P93" i="28"/>
  <c r="Q93" i="28" s="1"/>
  <c r="M93" i="28"/>
  <c r="L93" i="28"/>
  <c r="I93" i="28"/>
  <c r="C93" i="28"/>
  <c r="F93" i="28" s="1" a="1"/>
  <c r="F93" i="28" s="1"/>
  <c r="P92" i="28"/>
  <c r="Q92" i="28" s="1"/>
  <c r="M92" i="28"/>
  <c r="L92" i="28"/>
  <c r="I92" i="28"/>
  <c r="C92" i="28"/>
  <c r="F92" i="28" s="1" a="1"/>
  <c r="F92" i="28" s="1"/>
  <c r="P91" i="28"/>
  <c r="Q91" i="28" s="1"/>
  <c r="M91" i="28"/>
  <c r="L91" i="28"/>
  <c r="I91" i="28"/>
  <c r="F91" i="28" a="1"/>
  <c r="F91" i="28" s="1"/>
  <c r="C91" i="28"/>
  <c r="D91" i="28" s="1"/>
  <c r="P90" i="28"/>
  <c r="Q90" i="28" s="1"/>
  <c r="M90" i="28"/>
  <c r="L90" i="28"/>
  <c r="I90" i="28"/>
  <c r="C90" i="28"/>
  <c r="F90" i="28" s="1" a="1"/>
  <c r="F90" i="28" s="1"/>
  <c r="P89" i="28"/>
  <c r="Q89" i="28" s="1"/>
  <c r="M89" i="28"/>
  <c r="L89" i="28"/>
  <c r="I89" i="28"/>
  <c r="C89" i="28"/>
  <c r="F89" i="28" s="1" a="1"/>
  <c r="F89" i="28" s="1"/>
  <c r="P88" i="28"/>
  <c r="Q88" i="28" s="1"/>
  <c r="M88" i="28"/>
  <c r="L88" i="28"/>
  <c r="I88" i="28"/>
  <c r="C88" i="28"/>
  <c r="F88" i="28" s="1" a="1"/>
  <c r="F88" i="28" s="1"/>
  <c r="P87" i="28"/>
  <c r="Q87" i="28" s="1"/>
  <c r="M87" i="28"/>
  <c r="L87" i="28"/>
  <c r="I87" i="28"/>
  <c r="C87" i="28"/>
  <c r="F87" i="28" s="1" a="1"/>
  <c r="F87" i="28" s="1"/>
  <c r="P86" i="28"/>
  <c r="Q86" i="28" s="1"/>
  <c r="M86" i="28"/>
  <c r="L86" i="28"/>
  <c r="I86" i="28"/>
  <c r="C86" i="28"/>
  <c r="F86" i="28" s="1" a="1"/>
  <c r="F86" i="28" s="1"/>
  <c r="P85" i="28"/>
  <c r="Q85" i="28" s="1"/>
  <c r="M85" i="28"/>
  <c r="L85" i="28"/>
  <c r="I85" i="28"/>
  <c r="C85" i="28"/>
  <c r="F85" i="28" s="1" a="1"/>
  <c r="F85" i="28" s="1"/>
  <c r="P84" i="28"/>
  <c r="Q84" i="28" s="1"/>
  <c r="M84" i="28"/>
  <c r="L84" i="28"/>
  <c r="I84" i="28"/>
  <c r="C84" i="28"/>
  <c r="F84" i="28" s="1" a="1"/>
  <c r="F84" i="28" s="1"/>
  <c r="P83" i="28"/>
  <c r="Q83" i="28" s="1"/>
  <c r="M83" i="28"/>
  <c r="L83" i="28"/>
  <c r="I83" i="28"/>
  <c r="F83" i="28" a="1"/>
  <c r="F83" i="28" s="1"/>
  <c r="C83" i="28"/>
  <c r="D83" i="28" s="1"/>
  <c r="P82" i="28"/>
  <c r="Q82" i="28" s="1"/>
  <c r="M82" i="28"/>
  <c r="L82" i="28"/>
  <c r="I82" i="28"/>
  <c r="C82" i="28"/>
  <c r="F82" i="28" s="1" a="1"/>
  <c r="F82" i="28" s="1"/>
  <c r="P81" i="28"/>
  <c r="Q81" i="28" s="1"/>
  <c r="M81" i="28"/>
  <c r="L81" i="28"/>
  <c r="I81" i="28"/>
  <c r="C81" i="28"/>
  <c r="F81" i="28" s="1" a="1"/>
  <c r="F81" i="28" s="1"/>
  <c r="Q80" i="28"/>
  <c r="P80" i="28"/>
  <c r="M80" i="28"/>
  <c r="L80" i="28"/>
  <c r="I80" i="28"/>
  <c r="C80" i="28"/>
  <c r="F80" i="28" s="1" a="1"/>
  <c r="F80" i="28" s="1"/>
  <c r="P79" i="28"/>
  <c r="Q79" i="28" s="1"/>
  <c r="M79" i="28"/>
  <c r="L79" i="28"/>
  <c r="I79" i="28"/>
  <c r="D79" i="28"/>
  <c r="C79" i="28"/>
  <c r="F79" i="28" s="1" a="1"/>
  <c r="F79" i="28" s="1"/>
  <c r="P78" i="28"/>
  <c r="Q78" i="28" s="1"/>
  <c r="M78" i="28"/>
  <c r="L78" i="28"/>
  <c r="I78" i="28"/>
  <c r="C78" i="28"/>
  <c r="F78" i="28" s="1" a="1"/>
  <c r="F78" i="28" s="1"/>
  <c r="P77" i="28"/>
  <c r="Q77" i="28" s="1"/>
  <c r="M77" i="28"/>
  <c r="L77" i="28"/>
  <c r="I77" i="28"/>
  <c r="C77" i="28"/>
  <c r="F77" i="28" s="1" a="1"/>
  <c r="F77" i="28" s="1"/>
  <c r="Q76" i="28"/>
  <c r="P76" i="28"/>
  <c r="M76" i="28"/>
  <c r="L76" i="28"/>
  <c r="I76" i="28"/>
  <c r="C76" i="28"/>
  <c r="F76" i="28" s="1" a="1"/>
  <c r="F76" i="28" s="1"/>
  <c r="P75" i="28"/>
  <c r="Q75" i="28" s="1"/>
  <c r="M75" i="28"/>
  <c r="L75" i="28"/>
  <c r="I75" i="28"/>
  <c r="C75" i="28"/>
  <c r="F75" i="28" s="1" a="1"/>
  <c r="F75" i="28" s="1"/>
  <c r="P74" i="28"/>
  <c r="Q74" i="28" s="1"/>
  <c r="M74" i="28"/>
  <c r="L74" i="28"/>
  <c r="I74" i="28"/>
  <c r="C74" i="28"/>
  <c r="F74" i="28" s="1" a="1"/>
  <c r="F74" i="28" s="1"/>
  <c r="P73" i="28"/>
  <c r="Q73" i="28" s="1"/>
  <c r="M73" i="28"/>
  <c r="L73" i="28"/>
  <c r="I73" i="28"/>
  <c r="C73" i="28"/>
  <c r="F73" i="28" s="1" a="1"/>
  <c r="F73" i="28" s="1"/>
  <c r="P72" i="28"/>
  <c r="Q72" i="28" s="1"/>
  <c r="M72" i="28"/>
  <c r="L72" i="28"/>
  <c r="I72" i="28"/>
  <c r="C72" i="28"/>
  <c r="F72" i="28" s="1" a="1"/>
  <c r="F72" i="28" s="1"/>
  <c r="Q71" i="28"/>
  <c r="P71" i="28"/>
  <c r="M71" i="28"/>
  <c r="L71" i="28"/>
  <c r="I71" i="28"/>
  <c r="C71" i="28"/>
  <c r="F71" i="28" s="1" a="1"/>
  <c r="F71" i="28" s="1"/>
  <c r="P70" i="28"/>
  <c r="Q70" i="28" s="1"/>
  <c r="M70" i="28"/>
  <c r="L70" i="28"/>
  <c r="I70" i="28"/>
  <c r="C70" i="28"/>
  <c r="F70" i="28" s="1" a="1"/>
  <c r="F70" i="28" s="1"/>
  <c r="P69" i="28"/>
  <c r="Q69" i="28" s="1"/>
  <c r="M69" i="28"/>
  <c r="L69" i="28"/>
  <c r="I69" i="28"/>
  <c r="C69" i="28"/>
  <c r="F69" i="28" s="1" a="1"/>
  <c r="F69" i="28" s="1"/>
  <c r="P68" i="28"/>
  <c r="Q68" i="28" s="1"/>
  <c r="M68" i="28"/>
  <c r="L68" i="28"/>
  <c r="I68" i="28"/>
  <c r="C68" i="28"/>
  <c r="F68" i="28" s="1" a="1"/>
  <c r="F68" i="28" s="1"/>
  <c r="P67" i="28"/>
  <c r="Q67" i="28" s="1"/>
  <c r="M67" i="28"/>
  <c r="L67" i="28"/>
  <c r="I67" i="28"/>
  <c r="C67" i="28"/>
  <c r="F67" i="28" s="1" a="1"/>
  <c r="F67" i="28" s="1"/>
  <c r="P66" i="28"/>
  <c r="Q66" i="28" s="1"/>
  <c r="M66" i="28"/>
  <c r="L66" i="28"/>
  <c r="I66" i="28"/>
  <c r="C66" i="28"/>
  <c r="F66" i="28" s="1" a="1"/>
  <c r="F66" i="28" s="1"/>
  <c r="P65" i="28"/>
  <c r="Q65" i="28" s="1"/>
  <c r="M65" i="28"/>
  <c r="L65" i="28"/>
  <c r="I65" i="28"/>
  <c r="C65" i="28"/>
  <c r="F65" i="28" s="1" a="1"/>
  <c r="F65" i="28" s="1"/>
  <c r="P64" i="28"/>
  <c r="Q64" i="28" s="1"/>
  <c r="M64" i="28"/>
  <c r="L64" i="28"/>
  <c r="I64" i="28"/>
  <c r="C64" i="28"/>
  <c r="F64" i="28" s="1" a="1"/>
  <c r="F64" i="28" s="1"/>
  <c r="P63" i="28"/>
  <c r="Q63" i="28" s="1"/>
  <c r="M63" i="28"/>
  <c r="L63" i="28"/>
  <c r="I63" i="28"/>
  <c r="C63" i="28"/>
  <c r="F63" i="28" s="1" a="1"/>
  <c r="F63" i="28" s="1"/>
  <c r="P62" i="28"/>
  <c r="Q62" i="28" s="1"/>
  <c r="M62" i="28"/>
  <c r="L62" i="28"/>
  <c r="I62" i="28"/>
  <c r="C62" i="28"/>
  <c r="F62" i="28" s="1" a="1"/>
  <c r="F62" i="28" s="1"/>
  <c r="P61" i="28"/>
  <c r="Q61" i="28" s="1"/>
  <c r="M61" i="28"/>
  <c r="L61" i="28"/>
  <c r="I61" i="28"/>
  <c r="C61" i="28"/>
  <c r="F61" i="28" s="1" a="1"/>
  <c r="F61" i="28" s="1"/>
  <c r="P60" i="28"/>
  <c r="Q60" i="28" s="1"/>
  <c r="M60" i="28"/>
  <c r="L60" i="28"/>
  <c r="I60" i="28"/>
  <c r="C60" i="28"/>
  <c r="F60" i="28" s="1" a="1"/>
  <c r="F60" i="28" s="1"/>
  <c r="P59" i="28"/>
  <c r="Q59" i="28" s="1"/>
  <c r="M59" i="28"/>
  <c r="L59" i="28"/>
  <c r="I59" i="28"/>
  <c r="F59" i="28" a="1"/>
  <c r="F59" i="28" s="1"/>
  <c r="C59" i="28"/>
  <c r="D59" i="28" s="1"/>
  <c r="P58" i="28"/>
  <c r="Q58" i="28" s="1"/>
  <c r="M58" i="28"/>
  <c r="L58" i="28"/>
  <c r="I58" i="28"/>
  <c r="C58" i="28"/>
  <c r="F58" i="28" s="1" a="1"/>
  <c r="F58" i="28" s="1"/>
  <c r="P57" i="28"/>
  <c r="Q57" i="28" s="1"/>
  <c r="M57" i="28"/>
  <c r="L57" i="28"/>
  <c r="I57" i="28"/>
  <c r="C57" i="28"/>
  <c r="F57" i="28" s="1" a="1"/>
  <c r="F57" i="28" s="1"/>
  <c r="P56" i="28"/>
  <c r="Q56" i="28" s="1"/>
  <c r="M56" i="28"/>
  <c r="L56" i="28"/>
  <c r="I56" i="28"/>
  <c r="C56" i="28"/>
  <c r="F56" i="28" s="1" a="1"/>
  <c r="F56" i="28" s="1"/>
  <c r="P55" i="28"/>
  <c r="Q55" i="28" s="1"/>
  <c r="M55" i="28"/>
  <c r="L55" i="28"/>
  <c r="I55" i="28"/>
  <c r="C55" i="28"/>
  <c r="F55" i="28" s="1" a="1"/>
  <c r="F55" i="28" s="1"/>
  <c r="P54" i="28"/>
  <c r="Q54" i="28" s="1"/>
  <c r="M54" i="28"/>
  <c r="L54" i="28"/>
  <c r="I54" i="28"/>
  <c r="C54" i="28"/>
  <c r="F54" i="28" s="1" a="1"/>
  <c r="F54" i="28" s="1"/>
  <c r="P53" i="28"/>
  <c r="Q53" i="28" s="1"/>
  <c r="M53" i="28"/>
  <c r="L53" i="28"/>
  <c r="I53" i="28"/>
  <c r="C53" i="28"/>
  <c r="F53" i="28" s="1" a="1"/>
  <c r="F53" i="28" s="1"/>
  <c r="P52" i="28"/>
  <c r="Q52" i="28" s="1"/>
  <c r="M52" i="28"/>
  <c r="L52" i="28"/>
  <c r="I52" i="28"/>
  <c r="C52" i="28"/>
  <c r="F52" i="28" s="1" a="1"/>
  <c r="F52" i="28" s="1"/>
  <c r="P51" i="28"/>
  <c r="Q51" i="28" s="1"/>
  <c r="M51" i="28"/>
  <c r="L51" i="28"/>
  <c r="I51" i="28"/>
  <c r="F51" i="28" a="1"/>
  <c r="F51" i="28" s="1"/>
  <c r="C51" i="28"/>
  <c r="D51" i="28" s="1"/>
  <c r="P50" i="28"/>
  <c r="Q50" i="28" s="1"/>
  <c r="M50" i="28"/>
  <c r="L50" i="28"/>
  <c r="I50" i="28"/>
  <c r="C50" i="28"/>
  <c r="F50" i="28" s="1" a="1"/>
  <c r="F50" i="28" s="1"/>
  <c r="Q49" i="28"/>
  <c r="P49" i="28"/>
  <c r="M49" i="28"/>
  <c r="L49" i="28"/>
  <c r="I49" i="28"/>
  <c r="C49" i="28"/>
  <c r="F49" i="28" s="1" a="1"/>
  <c r="F49" i="28" s="1"/>
  <c r="P48" i="28"/>
  <c r="Q48" i="28" s="1"/>
  <c r="M48" i="28"/>
  <c r="L48" i="28"/>
  <c r="I48" i="28"/>
  <c r="C48" i="28"/>
  <c r="F48" i="28" s="1" a="1"/>
  <c r="F48" i="28" s="1"/>
  <c r="P47" i="28"/>
  <c r="Q47" i="28" s="1"/>
  <c r="M47" i="28"/>
  <c r="L47" i="28"/>
  <c r="I47" i="28"/>
  <c r="C47" i="28"/>
  <c r="F47" i="28" s="1" a="1"/>
  <c r="F47" i="28" s="1"/>
  <c r="P46" i="28"/>
  <c r="Q46" i="28" s="1"/>
  <c r="M46" i="28"/>
  <c r="L46" i="28"/>
  <c r="I46" i="28"/>
  <c r="C46" i="28"/>
  <c r="F46" i="28" s="1" a="1"/>
  <c r="F46" i="28" s="1"/>
  <c r="P45" i="28"/>
  <c r="Q45" i="28" s="1"/>
  <c r="M45" i="28"/>
  <c r="L45" i="28"/>
  <c r="I45" i="28"/>
  <c r="C45" i="28"/>
  <c r="F45" i="28" s="1" a="1"/>
  <c r="F45" i="28" s="1"/>
  <c r="P44" i="28"/>
  <c r="Q44" i="28" s="1"/>
  <c r="M44" i="28"/>
  <c r="L44" i="28"/>
  <c r="I44" i="28"/>
  <c r="C44" i="28"/>
  <c r="F44" i="28" s="1" a="1"/>
  <c r="F44" i="28" s="1"/>
  <c r="P43" i="28"/>
  <c r="Q43" i="28" s="1"/>
  <c r="M43" i="28"/>
  <c r="L43" i="28"/>
  <c r="I43" i="28"/>
  <c r="C43" i="28"/>
  <c r="D43" i="28" s="1"/>
  <c r="P42" i="28"/>
  <c r="Q42" i="28" s="1"/>
  <c r="M42" i="28"/>
  <c r="L42" i="28"/>
  <c r="I42" i="28"/>
  <c r="C42" i="28"/>
  <c r="F42" i="28" s="1" a="1"/>
  <c r="F42" i="28" s="1"/>
  <c r="P41" i="28"/>
  <c r="Q41" i="28" s="1"/>
  <c r="M41" i="28"/>
  <c r="L41" i="28"/>
  <c r="I41" i="28"/>
  <c r="C41" i="28"/>
  <c r="F41" i="28" s="1" a="1"/>
  <c r="F41" i="28" s="1"/>
  <c r="P40" i="28"/>
  <c r="Q40" i="28" s="1"/>
  <c r="M40" i="28"/>
  <c r="L40" i="28"/>
  <c r="I40" i="28"/>
  <c r="C40" i="28"/>
  <c r="F40" i="28" s="1" a="1"/>
  <c r="F40" i="28" s="1"/>
  <c r="Q39" i="28"/>
  <c r="P39" i="28"/>
  <c r="M39" i="28"/>
  <c r="L39" i="28"/>
  <c r="I39" i="28"/>
  <c r="F39" i="28" a="1"/>
  <c r="F39" i="28" s="1"/>
  <c r="C39" i="28"/>
  <c r="D39" i="28" s="1"/>
  <c r="P38" i="28"/>
  <c r="Q38" i="28" s="1"/>
  <c r="M38" i="28"/>
  <c r="L38" i="28"/>
  <c r="I38" i="28"/>
  <c r="C38" i="28"/>
  <c r="F38" i="28" s="1" a="1"/>
  <c r="F38" i="28" s="1"/>
  <c r="P37" i="28"/>
  <c r="Q37" i="28" s="1"/>
  <c r="M37" i="28"/>
  <c r="L37" i="28"/>
  <c r="I37" i="28"/>
  <c r="C37" i="28"/>
  <c r="F37" i="28" s="1" a="1"/>
  <c r="F37" i="28" s="1"/>
  <c r="Q36" i="28"/>
  <c r="P36" i="28"/>
  <c r="M36" i="28"/>
  <c r="L36" i="28"/>
  <c r="I36" i="28"/>
  <c r="C36" i="28"/>
  <c r="F36" i="28" s="1" a="1"/>
  <c r="F36" i="28" s="1"/>
  <c r="P35" i="28"/>
  <c r="Q35" i="28" s="1"/>
  <c r="M35" i="28"/>
  <c r="L35" i="28"/>
  <c r="I35" i="28"/>
  <c r="F35" i="28" a="1"/>
  <c r="F35" i="28" s="1"/>
  <c r="C35" i="28"/>
  <c r="D35" i="28" s="1"/>
  <c r="P34" i="28"/>
  <c r="Q34" i="28" s="1"/>
  <c r="M34" i="28"/>
  <c r="L34" i="28"/>
  <c r="I34" i="28"/>
  <c r="C34" i="28"/>
  <c r="F34" i="28" s="1" a="1"/>
  <c r="F34" i="28" s="1"/>
  <c r="P33" i="28"/>
  <c r="Q33" i="28" s="1"/>
  <c r="M33" i="28"/>
  <c r="L33" i="28"/>
  <c r="I33" i="28"/>
  <c r="C33" i="28"/>
  <c r="F33" i="28" s="1" a="1"/>
  <c r="F33" i="28" s="1"/>
  <c r="P32" i="28"/>
  <c r="Q32" i="28" s="1"/>
  <c r="M32" i="28"/>
  <c r="L32" i="28"/>
  <c r="I32" i="28"/>
  <c r="C32" i="28"/>
  <c r="D32" i="28" s="1"/>
  <c r="P31" i="28"/>
  <c r="Q31" i="28" s="1"/>
  <c r="M31" i="28"/>
  <c r="L31" i="28"/>
  <c r="I31" i="28"/>
  <c r="F31" i="28" a="1"/>
  <c r="F31" i="28" s="1"/>
  <c r="D31" i="28"/>
  <c r="C31" i="28"/>
  <c r="P30" i="28"/>
  <c r="Q30" i="28" s="1"/>
  <c r="M30" i="28"/>
  <c r="L30" i="28"/>
  <c r="I30" i="28"/>
  <c r="C30" i="28"/>
  <c r="F30" i="28" s="1" a="1"/>
  <c r="F30" i="28" s="1"/>
  <c r="P29" i="28"/>
  <c r="Q29" i="28" s="1"/>
  <c r="M29" i="28"/>
  <c r="L29" i="28"/>
  <c r="I29" i="28"/>
  <c r="C29" i="28"/>
  <c r="F29" i="28" s="1" a="1"/>
  <c r="F29" i="28" s="1"/>
  <c r="Q28" i="28"/>
  <c r="P28" i="28"/>
  <c r="M28" i="28"/>
  <c r="L28" i="28"/>
  <c r="I28" i="28"/>
  <c r="D28" i="28"/>
  <c r="C28" i="28"/>
  <c r="F28" i="28" s="1" a="1"/>
  <c r="F28" i="28" s="1"/>
  <c r="P27" i="28"/>
  <c r="Q27" i="28" s="1"/>
  <c r="M27" i="28"/>
  <c r="L27" i="28"/>
  <c r="I27" i="28"/>
  <c r="C27" i="28"/>
  <c r="F27" i="28" s="1" a="1"/>
  <c r="F27" i="28" s="1"/>
  <c r="P26" i="28"/>
  <c r="Q26" i="28" s="1"/>
  <c r="M26" i="28"/>
  <c r="L26" i="28"/>
  <c r="I26" i="28"/>
  <c r="C26" i="28"/>
  <c r="F26" i="28" s="1" a="1"/>
  <c r="F26" i="28" s="1"/>
  <c r="P25" i="28"/>
  <c r="Q25" i="28" s="1"/>
  <c r="M25" i="28"/>
  <c r="L25" i="28"/>
  <c r="I25" i="28"/>
  <c r="C25" i="28"/>
  <c r="F25" i="28" s="1" a="1"/>
  <c r="F25" i="28" s="1"/>
  <c r="Q24" i="28"/>
  <c r="P24" i="28"/>
  <c r="M24" i="28"/>
  <c r="L24" i="28"/>
  <c r="I24" i="28"/>
  <c r="C24" i="28"/>
  <c r="D24" i="28" s="1"/>
  <c r="P23" i="28"/>
  <c r="Q23" i="28" s="1"/>
  <c r="M23" i="28"/>
  <c r="L23" i="28"/>
  <c r="I23" i="28"/>
  <c r="F23" i="28" a="1"/>
  <c r="F23" i="28" s="1"/>
  <c r="C23" i="28"/>
  <c r="D23" i="28" s="1"/>
  <c r="P22" i="28"/>
  <c r="Q22" i="28" s="1"/>
  <c r="M22" i="28"/>
  <c r="L22" i="28"/>
  <c r="I22" i="28"/>
  <c r="C22" i="28"/>
  <c r="F22" i="28" s="1" a="1"/>
  <c r="F22" i="28" s="1"/>
  <c r="P21" i="28"/>
  <c r="Q21" i="28" s="1"/>
  <c r="M21" i="28"/>
  <c r="L21" i="28"/>
  <c r="I21" i="28"/>
  <c r="C21" i="28"/>
  <c r="F21" i="28" s="1" a="1"/>
  <c r="F21" i="28" s="1"/>
  <c r="P20" i="28"/>
  <c r="Q20" i="28" s="1"/>
  <c r="M20" i="28"/>
  <c r="L20" i="28"/>
  <c r="I20" i="28"/>
  <c r="D20" i="28"/>
  <c r="C20" i="28"/>
  <c r="F20" i="28" s="1" a="1"/>
  <c r="F20" i="28" s="1"/>
  <c r="P19" i="28"/>
  <c r="Q19" i="28" s="1"/>
  <c r="M19" i="28"/>
  <c r="L19" i="28"/>
  <c r="I19" i="28"/>
  <c r="C19" i="28"/>
  <c r="F19" i="28" s="1" a="1"/>
  <c r="F19" i="28" s="1"/>
  <c r="P18" i="28"/>
  <c r="Q18" i="28" s="1"/>
  <c r="M18" i="28"/>
  <c r="L18" i="28"/>
  <c r="I18" i="28"/>
  <c r="C18" i="28"/>
  <c r="F18" i="28" s="1" a="1"/>
  <c r="F18" i="28" s="1"/>
  <c r="P17" i="28"/>
  <c r="Q17" i="28" s="1"/>
  <c r="M17" i="28"/>
  <c r="L17" i="28"/>
  <c r="I17" i="28"/>
  <c r="C17" i="28"/>
  <c r="F17" i="28" s="1" a="1"/>
  <c r="F17" i="28" s="1"/>
  <c r="Q16" i="28"/>
  <c r="P16" i="28"/>
  <c r="M16" i="28"/>
  <c r="L16" i="28"/>
  <c r="I16" i="28"/>
  <c r="C16" i="28"/>
  <c r="F16" i="28" s="1" a="1"/>
  <c r="F16" i="28" s="1"/>
  <c r="P15" i="28"/>
  <c r="Q15" i="28" s="1"/>
  <c r="M15" i="28"/>
  <c r="L15" i="28"/>
  <c r="I15" i="28"/>
  <c r="C15" i="28"/>
  <c r="F15" i="28" s="1" a="1"/>
  <c r="F15" i="28" s="1"/>
  <c r="P14" i="28"/>
  <c r="Q14" i="28" s="1"/>
  <c r="M14" i="28"/>
  <c r="L14" i="28"/>
  <c r="I14" i="28"/>
  <c r="F14" i="28" a="1"/>
  <c r="F14" i="28" s="1"/>
  <c r="C14" i="28"/>
  <c r="D14" i="28" s="1"/>
  <c r="P13" i="28"/>
  <c r="Q13" i="28" s="1"/>
  <c r="M13" i="28"/>
  <c r="L13" i="28"/>
  <c r="I13" i="28"/>
  <c r="C13" i="28"/>
  <c r="F13" i="28" s="1" a="1"/>
  <c r="F13" i="28" s="1"/>
  <c r="P12" i="28"/>
  <c r="Q12" i="28" s="1"/>
  <c r="M12" i="28"/>
  <c r="L12" i="28"/>
  <c r="I12" i="28"/>
  <c r="D12" i="28"/>
  <c r="C12" i="28"/>
  <c r="F12" i="28" s="1" a="1"/>
  <c r="F12" i="28" s="1"/>
  <c r="P11" i="28"/>
  <c r="Q11" i="28" s="1"/>
  <c r="M11" i="28"/>
  <c r="L11" i="28"/>
  <c r="I11" i="28"/>
  <c r="C11" i="28"/>
  <c r="F11" i="28" s="1" a="1"/>
  <c r="F11" i="28" s="1"/>
  <c r="P10" i="28"/>
  <c r="Q10" i="28" s="1"/>
  <c r="M10" i="28"/>
  <c r="L10" i="28"/>
  <c r="I10" i="28"/>
  <c r="C10" i="28"/>
  <c r="F10" i="28" s="1" a="1"/>
  <c r="F10" i="28" s="1"/>
  <c r="P9" i="28"/>
  <c r="Q9" i="28" s="1"/>
  <c r="M9" i="28"/>
  <c r="L9" i="28"/>
  <c r="I9" i="28"/>
  <c r="C9" i="28"/>
  <c r="F9" i="28" s="1" a="1"/>
  <c r="F9" i="28" s="1"/>
  <c r="M8" i="28"/>
  <c r="L8" i="28"/>
  <c r="I8" i="28"/>
  <c r="P6" i="28"/>
  <c r="Q6" i="28" s="1"/>
  <c r="M6" i="28"/>
  <c r="L6" i="28"/>
  <c r="I6" i="28"/>
  <c r="D27" i="28" l="1"/>
  <c r="F43" i="28" a="1"/>
  <c r="F43" i="28" s="1"/>
  <c r="D56" i="28"/>
  <c r="D92" i="28"/>
  <c r="D68" i="28"/>
  <c r="D78" i="28"/>
  <c r="D22" i="28"/>
  <c r="D30" i="28"/>
  <c r="D38" i="28"/>
  <c r="D67" i="28"/>
  <c r="D47" i="28"/>
  <c r="D48" i="28"/>
  <c r="D76" i="28"/>
  <c r="D80" i="28"/>
  <c r="D11" i="28"/>
  <c r="D36" i="28"/>
  <c r="D46" i="28"/>
  <c r="D52" i="28"/>
  <c r="D84" i="28"/>
  <c r="D70" i="28"/>
  <c r="D71" i="28"/>
  <c r="D72" i="28"/>
  <c r="D97" i="28"/>
  <c r="D15" i="28"/>
  <c r="D19" i="28"/>
  <c r="D44" i="28"/>
  <c r="D62" i="28"/>
  <c r="D63" i="28"/>
  <c r="D64" i="28"/>
  <c r="D75" i="28"/>
  <c r="D94" i="28"/>
  <c r="F95" i="28" a="1"/>
  <c r="F95" i="28" s="1"/>
  <c r="D54" i="28"/>
  <c r="D55" i="28"/>
  <c r="D86" i="28"/>
  <c r="D87" i="28"/>
  <c r="D88" i="28"/>
  <c r="D60" i="28"/>
  <c r="D13" i="28"/>
  <c r="D21" i="28"/>
  <c r="D29" i="28"/>
  <c r="D37" i="28"/>
  <c r="D45" i="28"/>
  <c r="D53" i="28"/>
  <c r="D61" i="28"/>
  <c r="D69" i="28"/>
  <c r="D77" i="28"/>
  <c r="D85" i="28"/>
  <c r="D93" i="28"/>
  <c r="F100" i="28" a="1"/>
  <c r="F100" i="28" s="1"/>
  <c r="D101" i="28"/>
  <c r="D16" i="28"/>
  <c r="D40" i="28"/>
  <c r="D17" i="28"/>
  <c r="F24" i="28" a="1"/>
  <c r="F24" i="28" s="1"/>
  <c r="D25" i="28"/>
  <c r="D41" i="28"/>
  <c r="D49" i="28"/>
  <c r="D57" i="28"/>
  <c r="D65" i="28"/>
  <c r="D73" i="28"/>
  <c r="D81" i="28"/>
  <c r="D89" i="28"/>
  <c r="D9" i="28"/>
  <c r="F32" i="28" a="1"/>
  <c r="F32" i="28" s="1"/>
  <c r="D33" i="28"/>
  <c r="D10" i="28"/>
  <c r="D18" i="28"/>
  <c r="D26" i="28"/>
  <c r="D34" i="28"/>
  <c r="D42" i="28"/>
  <c r="D50" i="28"/>
  <c r="D58" i="28"/>
  <c r="D66" i="28"/>
  <c r="D74" i="28"/>
  <c r="D82" i="28"/>
  <c r="D90" i="28"/>
  <c r="D98" i="28"/>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E17" i="25" l="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E16" i="25"/>
  <c r="P100" i="25"/>
  <c r="Q100" i="25" s="1"/>
  <c r="I100" i="25"/>
  <c r="C100" i="25"/>
  <c r="D100" i="25" s="1"/>
  <c r="Q99" i="25"/>
  <c r="P99" i="25"/>
  <c r="I99" i="25"/>
  <c r="C99" i="25"/>
  <c r="F99" i="25" s="1" a="1"/>
  <c r="F99" i="25" s="1"/>
  <c r="P98" i="25"/>
  <c r="Q98" i="25" s="1"/>
  <c r="I98" i="25"/>
  <c r="C98" i="25"/>
  <c r="Q97" i="25"/>
  <c r="P97" i="25"/>
  <c r="I97" i="25"/>
  <c r="C97" i="25"/>
  <c r="D97" i="25" s="1"/>
  <c r="P96" i="25"/>
  <c r="Q96" i="25" s="1"/>
  <c r="I96" i="25"/>
  <c r="C96" i="25"/>
  <c r="F96" i="25" s="1" a="1"/>
  <c r="F96" i="25" s="1"/>
  <c r="P95" i="25"/>
  <c r="Q95" i="25" s="1"/>
  <c r="I95" i="25"/>
  <c r="C95" i="25"/>
  <c r="D95" i="25" s="1"/>
  <c r="P94" i="25"/>
  <c r="Q94" i="25" s="1"/>
  <c r="I94" i="25"/>
  <c r="C94" i="25"/>
  <c r="F94" i="25" s="1" a="1"/>
  <c r="F94" i="25" s="1"/>
  <c r="Q93" i="25"/>
  <c r="P93" i="25"/>
  <c r="I93" i="25"/>
  <c r="C93" i="25"/>
  <c r="P92" i="25"/>
  <c r="Q92" i="25" s="1"/>
  <c r="I92" i="25"/>
  <c r="C92" i="25"/>
  <c r="F92" i="25" s="1" a="1"/>
  <c r="F92" i="25" s="1"/>
  <c r="P91" i="25"/>
  <c r="Q91" i="25" s="1"/>
  <c r="I91" i="25"/>
  <c r="D91" i="25"/>
  <c r="C91" i="25"/>
  <c r="F91" i="25" s="1" a="1"/>
  <c r="F91" i="25" s="1"/>
  <c r="P90" i="25"/>
  <c r="Q90" i="25" s="1"/>
  <c r="I90" i="25"/>
  <c r="C90" i="25"/>
  <c r="P89" i="25"/>
  <c r="Q89" i="25" s="1"/>
  <c r="I89" i="25"/>
  <c r="C89" i="25"/>
  <c r="D89" i="25" s="1"/>
  <c r="P88" i="25"/>
  <c r="Q88" i="25" s="1"/>
  <c r="I88" i="25"/>
  <c r="C88" i="25"/>
  <c r="F88" i="25" s="1" a="1"/>
  <c r="F88" i="25" s="1"/>
  <c r="P87" i="25"/>
  <c r="Q87" i="25" s="1"/>
  <c r="I87" i="25"/>
  <c r="C87" i="25"/>
  <c r="F87" i="25" s="1" a="1"/>
  <c r="F87" i="25" s="1"/>
  <c r="P86" i="25"/>
  <c r="Q86" i="25" s="1"/>
  <c r="I86" i="25"/>
  <c r="C86" i="25"/>
  <c r="F86" i="25" s="1" a="1"/>
  <c r="F86" i="25" s="1"/>
  <c r="P85" i="25"/>
  <c r="Q85" i="25" s="1"/>
  <c r="I85" i="25"/>
  <c r="C85" i="25"/>
  <c r="P84" i="25"/>
  <c r="Q84" i="25" s="1"/>
  <c r="I84" i="25"/>
  <c r="C84" i="25"/>
  <c r="F84" i="25" s="1" a="1"/>
  <c r="F84" i="25" s="1"/>
  <c r="P83" i="25"/>
  <c r="Q83" i="25" s="1"/>
  <c r="I83" i="25"/>
  <c r="C83" i="25"/>
  <c r="F83" i="25" s="1" a="1"/>
  <c r="F83" i="25" s="1"/>
  <c r="P82" i="25"/>
  <c r="Q82" i="25" s="1"/>
  <c r="I82" i="25"/>
  <c r="C82" i="25"/>
  <c r="Q81" i="25"/>
  <c r="P81" i="25"/>
  <c r="I81" i="25"/>
  <c r="F81" i="25" a="1"/>
  <c r="F81" i="25" s="1"/>
  <c r="C81" i="25"/>
  <c r="D81" i="25" s="1"/>
  <c r="Q80" i="25"/>
  <c r="P80" i="25"/>
  <c r="I80" i="25"/>
  <c r="C80" i="25"/>
  <c r="F80" i="25" s="1" a="1"/>
  <c r="F80" i="25" s="1"/>
  <c r="P79" i="25"/>
  <c r="Q79" i="25" s="1"/>
  <c r="I79" i="25"/>
  <c r="C79" i="25"/>
  <c r="F79" i="25" s="1" a="1"/>
  <c r="F79" i="25" s="1"/>
  <c r="P78" i="25"/>
  <c r="Q78" i="25" s="1"/>
  <c r="I78" i="25"/>
  <c r="D78" i="25"/>
  <c r="C78" i="25"/>
  <c r="F78" i="25" s="1" a="1"/>
  <c r="F78" i="25" s="1"/>
  <c r="Q77" i="25"/>
  <c r="P77" i="25"/>
  <c r="I77" i="25"/>
  <c r="C77" i="25"/>
  <c r="P76" i="25"/>
  <c r="Q76" i="25" s="1"/>
  <c r="I76" i="25"/>
  <c r="F76" i="25" a="1"/>
  <c r="F76" i="25" s="1"/>
  <c r="C76" i="25"/>
  <c r="D76" i="25" s="1"/>
  <c r="P75" i="25"/>
  <c r="Q75" i="25" s="1"/>
  <c r="I75" i="25"/>
  <c r="C75" i="25"/>
  <c r="F75" i="25" s="1" a="1"/>
  <c r="F75" i="25" s="1"/>
  <c r="P74" i="25"/>
  <c r="Q74" i="25" s="1"/>
  <c r="I74" i="25"/>
  <c r="C74" i="25"/>
  <c r="Q73" i="25"/>
  <c r="P73" i="25"/>
  <c r="I73" i="25"/>
  <c r="C73" i="25"/>
  <c r="F73" i="25" s="1" a="1"/>
  <c r="F73" i="25" s="1"/>
  <c r="P72" i="25"/>
  <c r="Q72" i="25" s="1"/>
  <c r="I72" i="25"/>
  <c r="F72" i="25" a="1"/>
  <c r="F72" i="25" s="1"/>
  <c r="D72" i="25"/>
  <c r="C72" i="25"/>
  <c r="P71" i="25"/>
  <c r="Q71" i="25" s="1"/>
  <c r="I71" i="25"/>
  <c r="F71" i="25" a="1"/>
  <c r="F71" i="25" s="1"/>
  <c r="C71" i="25"/>
  <c r="D71" i="25" s="1"/>
  <c r="P70" i="25"/>
  <c r="Q70" i="25" s="1"/>
  <c r="I70" i="25"/>
  <c r="C70" i="25"/>
  <c r="F70" i="25" s="1" a="1"/>
  <c r="F70" i="25" s="1"/>
  <c r="P69" i="25"/>
  <c r="Q69" i="25" s="1"/>
  <c r="I69" i="25"/>
  <c r="C69" i="25"/>
  <c r="D69" i="25" s="1"/>
  <c r="P68" i="25"/>
  <c r="Q68" i="25" s="1"/>
  <c r="I68" i="25"/>
  <c r="C68" i="25"/>
  <c r="F68" i="25" s="1" a="1"/>
  <c r="F68" i="25" s="1"/>
  <c r="Q67" i="25"/>
  <c r="P67" i="25"/>
  <c r="I67" i="25"/>
  <c r="D67" i="25"/>
  <c r="C67" i="25"/>
  <c r="F67" i="25" s="1" a="1"/>
  <c r="F67" i="25" s="1"/>
  <c r="P66" i="25"/>
  <c r="Q66" i="25" s="1"/>
  <c r="I66" i="25"/>
  <c r="C66" i="25"/>
  <c r="Q65" i="25"/>
  <c r="P65" i="25"/>
  <c r="I65" i="25"/>
  <c r="F65" i="25" a="1"/>
  <c r="F65" i="25" s="1"/>
  <c r="D65" i="25"/>
  <c r="C65" i="25"/>
  <c r="P64" i="25"/>
  <c r="Q64" i="25" s="1"/>
  <c r="I64" i="25"/>
  <c r="D64" i="25"/>
  <c r="C64" i="25"/>
  <c r="F64" i="25" s="1" a="1"/>
  <c r="F64" i="25" s="1"/>
  <c r="P63" i="25"/>
  <c r="Q63" i="25" s="1"/>
  <c r="I63" i="25"/>
  <c r="C63" i="25"/>
  <c r="F63" i="25" s="1" a="1"/>
  <c r="F63" i="25" s="1"/>
  <c r="Q62" i="25"/>
  <c r="P62" i="25"/>
  <c r="I62" i="25"/>
  <c r="F62" i="25"/>
  <c r="D62" i="25"/>
  <c r="C62" i="25"/>
  <c r="F62" i="25" s="1" a="1"/>
  <c r="P61" i="25"/>
  <c r="Q61" i="25" s="1"/>
  <c r="I61" i="25"/>
  <c r="C61" i="25"/>
  <c r="D61" i="25" s="1"/>
  <c r="P60" i="25"/>
  <c r="Q60" i="25" s="1"/>
  <c r="I60" i="25"/>
  <c r="C60" i="25"/>
  <c r="F60" i="25" s="1" a="1"/>
  <c r="F60" i="25" s="1"/>
  <c r="P59" i="25"/>
  <c r="Q59" i="25" s="1"/>
  <c r="I59" i="25"/>
  <c r="C59" i="25"/>
  <c r="F59" i="25" s="1" a="1"/>
  <c r="F59" i="25" s="1"/>
  <c r="P58" i="25"/>
  <c r="Q58" i="25" s="1"/>
  <c r="I58" i="25"/>
  <c r="C58" i="25"/>
  <c r="P57" i="25"/>
  <c r="Q57" i="25" s="1"/>
  <c r="I57" i="25"/>
  <c r="D57" i="25"/>
  <c r="C57" i="25"/>
  <c r="F57" i="25" s="1" a="1"/>
  <c r="F57" i="25" s="1"/>
  <c r="P56" i="25"/>
  <c r="Q56" i="25" s="1"/>
  <c r="I56" i="25"/>
  <c r="F56" i="25" a="1"/>
  <c r="F56" i="25" s="1"/>
  <c r="D56" i="25"/>
  <c r="C56" i="25"/>
  <c r="P55" i="25"/>
  <c r="Q55" i="25" s="1"/>
  <c r="I55" i="25"/>
  <c r="F55" i="25" a="1"/>
  <c r="F55" i="25" s="1"/>
  <c r="C55" i="25"/>
  <c r="D55" i="25" s="1"/>
  <c r="P54" i="25"/>
  <c r="Q54" i="25" s="1"/>
  <c r="I54" i="25"/>
  <c r="C54" i="25"/>
  <c r="F54" i="25" s="1" a="1"/>
  <c r="F54" i="25" s="1"/>
  <c r="Q53" i="25"/>
  <c r="P53" i="25"/>
  <c r="I53" i="25"/>
  <c r="C53" i="25"/>
  <c r="D53" i="25" s="1"/>
  <c r="P52" i="25"/>
  <c r="Q52" i="25" s="1"/>
  <c r="I52" i="25"/>
  <c r="C52" i="25"/>
  <c r="D52" i="25" s="1"/>
  <c r="P51" i="25"/>
  <c r="Q51" i="25" s="1"/>
  <c r="I51" i="25"/>
  <c r="C51" i="25"/>
  <c r="F51" i="25" s="1" a="1"/>
  <c r="F51" i="25" s="1"/>
  <c r="P50" i="25"/>
  <c r="Q50" i="25" s="1"/>
  <c r="I50" i="25"/>
  <c r="C50" i="25"/>
  <c r="P49" i="25"/>
  <c r="Q49" i="25" s="1"/>
  <c r="I49" i="25"/>
  <c r="C49" i="25"/>
  <c r="F49" i="25" s="1" a="1"/>
  <c r="F49" i="25" s="1"/>
  <c r="P48" i="25"/>
  <c r="Q48" i="25" s="1"/>
  <c r="I48" i="25"/>
  <c r="F48" i="25" a="1"/>
  <c r="F48" i="25" s="1"/>
  <c r="D48" i="25"/>
  <c r="C48" i="25"/>
  <c r="P47" i="25"/>
  <c r="Q47" i="25" s="1"/>
  <c r="I47" i="25"/>
  <c r="C47" i="25"/>
  <c r="F47" i="25" s="1" a="1"/>
  <c r="F47" i="25" s="1"/>
  <c r="P46" i="25"/>
  <c r="Q46" i="25" s="1"/>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P41" i="25"/>
  <c r="Q41" i="25" s="1"/>
  <c r="I41" i="25"/>
  <c r="C41" i="25"/>
  <c r="D41" i="25" s="1"/>
  <c r="P40" i="25"/>
  <c r="Q40" i="25" s="1"/>
  <c r="I40" i="25"/>
  <c r="C40" i="25"/>
  <c r="F40" i="25" s="1" a="1"/>
  <c r="F40" i="25" s="1"/>
  <c r="P39" i="25"/>
  <c r="Q39" i="25" s="1"/>
  <c r="I39" i="25"/>
  <c r="C39" i="25"/>
  <c r="F39" i="25" s="1" a="1"/>
  <c r="F39" i="25" s="1"/>
  <c r="Q38" i="25"/>
  <c r="P38" i="25"/>
  <c r="I38" i="25"/>
  <c r="C38" i="25"/>
  <c r="F38" i="25" s="1" a="1"/>
  <c r="F38" i="25" s="1"/>
  <c r="P37" i="25"/>
  <c r="Q37" i="25" s="1"/>
  <c r="I37" i="25"/>
  <c r="C37" i="25"/>
  <c r="D37" i="25" s="1"/>
  <c r="P36" i="25"/>
  <c r="Q36" i="25" s="1"/>
  <c r="I36" i="25"/>
  <c r="C36" i="25"/>
  <c r="F36" i="25" s="1" a="1"/>
  <c r="F36" i="25" s="1"/>
  <c r="P35" i="25"/>
  <c r="Q35" i="25" s="1"/>
  <c r="I35" i="25"/>
  <c r="C35" i="25"/>
  <c r="F35" i="25" s="1" a="1"/>
  <c r="F35" i="25" s="1"/>
  <c r="P34" i="25"/>
  <c r="Q34" i="25" s="1"/>
  <c r="I34" i="25"/>
  <c r="C34" i="25"/>
  <c r="D34" i="25" s="1"/>
  <c r="Q33" i="25"/>
  <c r="P33" i="25"/>
  <c r="I33" i="25"/>
  <c r="F33" i="25" a="1"/>
  <c r="F33" i="25" s="1"/>
  <c r="C33" i="25"/>
  <c r="D33" i="25" s="1"/>
  <c r="P32" i="25"/>
  <c r="Q32" i="25" s="1"/>
  <c r="I32" i="25"/>
  <c r="C32" i="25"/>
  <c r="D32" i="25" s="1"/>
  <c r="P31" i="25"/>
  <c r="Q31" i="25" s="1"/>
  <c r="I31" i="25"/>
  <c r="C31" i="25"/>
  <c r="F31" i="25" s="1" a="1"/>
  <c r="F31" i="25" s="1"/>
  <c r="P30" i="25"/>
  <c r="Q30" i="25" s="1"/>
  <c r="I30" i="25"/>
  <c r="C30" i="25"/>
  <c r="F30" i="25" s="1" a="1"/>
  <c r="F30" i="25" s="1"/>
  <c r="P29" i="25"/>
  <c r="Q29" i="25" s="1"/>
  <c r="I29" i="25"/>
  <c r="C29" i="25"/>
  <c r="D29" i="25" s="1"/>
  <c r="P28" i="25"/>
  <c r="Q28" i="25" s="1"/>
  <c r="I28" i="25"/>
  <c r="C28" i="25"/>
  <c r="D28" i="25" s="1"/>
  <c r="P27" i="25"/>
  <c r="Q27" i="25" s="1"/>
  <c r="I27" i="25"/>
  <c r="C27" i="25"/>
  <c r="F27" i="25" s="1" a="1"/>
  <c r="F27" i="25" s="1"/>
  <c r="P26" i="25"/>
  <c r="Q26" i="25" s="1"/>
  <c r="I26" i="25"/>
  <c r="C26" i="25"/>
  <c r="D26" i="25" s="1"/>
  <c r="P25" i="25"/>
  <c r="Q25" i="25" s="1"/>
  <c r="I25" i="25"/>
  <c r="F25" i="25" a="1"/>
  <c r="F25" i="25" s="1"/>
  <c r="D25" i="25"/>
  <c r="C25" i="25"/>
  <c r="P24" i="25"/>
  <c r="Q24" i="25" s="1"/>
  <c r="I24" i="25"/>
  <c r="F24" i="25" a="1"/>
  <c r="F24" i="25" s="1"/>
  <c r="C24" i="25"/>
  <c r="D24" i="25" s="1"/>
  <c r="P23" i="25"/>
  <c r="Q23" i="25" s="1"/>
  <c r="I23" i="25"/>
  <c r="C23" i="25"/>
  <c r="F23" i="25" s="1" a="1"/>
  <c r="F23" i="25" s="1"/>
  <c r="P22" i="25"/>
  <c r="Q22" i="25" s="1"/>
  <c r="I22" i="25"/>
  <c r="C22" i="25"/>
  <c r="F22" i="25" s="1" a="1"/>
  <c r="F22" i="25" s="1"/>
  <c r="P21" i="25"/>
  <c r="Q21" i="25" s="1"/>
  <c r="I21" i="25"/>
  <c r="C21" i="25"/>
  <c r="D21" i="25" s="1"/>
  <c r="P20" i="25"/>
  <c r="Q20" i="25" s="1"/>
  <c r="I20" i="25"/>
  <c r="F20" i="25" a="1"/>
  <c r="F20" i="25" s="1"/>
  <c r="C20" i="25"/>
  <c r="D20" i="25" s="1"/>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F26" i="25" l="1" a="1"/>
  <c r="F26" i="25" s="1"/>
  <c r="F28" i="25" a="1"/>
  <c r="F28" i="25" s="1"/>
  <c r="F32" i="25" a="1"/>
  <c r="F32" i="25" s="1"/>
  <c r="F41" i="25" a="1"/>
  <c r="F41" i="25" s="1"/>
  <c r="F52" i="25" a="1"/>
  <c r="F52" i="25" s="1"/>
  <c r="F69" i="25" a="1"/>
  <c r="F69" i="25" s="1"/>
  <c r="F100" i="25" a="1"/>
  <c r="F100" i="25" s="1"/>
  <c r="D36" i="25"/>
  <c r="D40" i="25"/>
  <c r="D49" i="25"/>
  <c r="D83" i="25"/>
  <c r="D92" i="25"/>
  <c r="F97" i="25" a="1"/>
  <c r="F97" i="25" s="1"/>
  <c r="D99" i="25"/>
  <c r="D60" i="25"/>
  <c r="D68" i="25"/>
  <c r="D73" i="25"/>
  <c r="D80" i="25"/>
  <c r="D94" i="25"/>
  <c r="D96" i="25"/>
  <c r="F34" i="25" a="1"/>
  <c r="F34" i="25" s="1"/>
  <c r="D75" i="25"/>
  <c r="F89" i="25" a="1"/>
  <c r="F89" i="25" s="1"/>
  <c r="D79" i="25"/>
  <c r="D84" i="25"/>
  <c r="D88" i="25"/>
  <c r="D59" i="25"/>
  <c r="F95" i="25" a="1"/>
  <c r="F95" i="25" s="1"/>
  <c r="F82" i="25" a="1"/>
  <c r="F82" i="25" s="1"/>
  <c r="D82" i="25"/>
  <c r="D19" i="25"/>
  <c r="D23" i="25"/>
  <c r="D27" i="25"/>
  <c r="D31" i="25"/>
  <c r="D35" i="25"/>
  <c r="D39" i="25"/>
  <c r="D43" i="25"/>
  <c r="D47" i="25"/>
  <c r="D54" i="25"/>
  <c r="F58" i="25" a="1"/>
  <c r="F58" i="25" s="1"/>
  <c r="D58" i="25"/>
  <c r="F61" i="25" a="1"/>
  <c r="F61" i="25" s="1"/>
  <c r="D87" i="25"/>
  <c r="F93" i="25" a="1"/>
  <c r="F93" i="25" s="1"/>
  <c r="D93" i="25"/>
  <c r="D51" i="25"/>
  <c r="F90" i="25" a="1"/>
  <c r="F90" i="25" s="1"/>
  <c r="D90" i="25"/>
  <c r="D22" i="25"/>
  <c r="D30" i="25"/>
  <c r="D38" i="25"/>
  <c r="D46" i="25"/>
  <c r="F50" i="25" a="1"/>
  <c r="F50" i="25" s="1"/>
  <c r="D50" i="25"/>
  <c r="F53" i="25" a="1"/>
  <c r="F53" i="25" s="1"/>
  <c r="F85" i="25" a="1"/>
  <c r="F85" i="25" s="1"/>
  <c r="D85" i="25"/>
  <c r="F98" i="25" a="1"/>
  <c r="F98" i="25" s="1"/>
  <c r="D98" i="25"/>
  <c r="F66" i="25" a="1"/>
  <c r="F66" i="25" s="1"/>
  <c r="D66" i="25"/>
  <c r="F77" i="25" a="1"/>
  <c r="F77" i="25" s="1"/>
  <c r="D77" i="25"/>
  <c r="F21" i="25" a="1"/>
  <c r="F21" i="25" s="1"/>
  <c r="F29" i="25" a="1"/>
  <c r="F29" i="25" s="1"/>
  <c r="F37" i="25" a="1"/>
  <c r="F37" i="25" s="1"/>
  <c r="F45" i="25" a="1"/>
  <c r="F45" i="25" s="1"/>
  <c r="D63" i="25"/>
  <c r="D70" i="25"/>
  <c r="F74" i="25" a="1"/>
  <c r="F74" i="25" s="1"/>
  <c r="D74" i="25"/>
  <c r="D86"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<sst xmlns="http://schemas.openxmlformats.org/spreadsheetml/2006/main" count="1003" uniqueCount="342">
  <si>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</si>
  <si>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</si>
  <si>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</si>
  <si>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</si>
  <si>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</si>
  <si>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</si>
  <si>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</si>
  <si>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</si>
  <si>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</si>
  <si>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</si>
  <si>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</si>
  <si>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</si>
  <si>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</si>
  <si>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</si>
  <si>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</si>
  <si>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</si>
  <si>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</si>
  <si>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</si>
  <si>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</si>
  <si>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</si>
  <si>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</si>
  <si>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</si>
  <si>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</si>
  <si>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</si>
  <si>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</si>
  <si>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</si>
  <si>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</si>
  <si>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</si>
  <si>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</si>
  <si>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</si>
  <si>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</si>
  <si>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</si>
  <si>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</si>
  <si>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</si>
  <si>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</si>
  <si>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</si>
  <si>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</si>
  <si>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</si>
  <si>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</si>
  <si>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</si>
  <si>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</si>
  <si>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</si>
  <si>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</si>
  <si>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</si>
  <si>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</si>
  <si>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</si>
  <si>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</si>
  <si>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</si>
  <si>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</si>
  <si>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</si>
  <si>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</si>
  <si>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</si>
  <si>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</si>
  <si>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</si>
  <si>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</si>
  <si>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</si>
  <si>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</si>
  <si>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</si>
  <si>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</si>
  <si>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</si>
  <si>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</si>
  <si>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</si>
  <si>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</si>
  <si>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</si>
  <si>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</si>
  <si>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</si>
  <si>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</si>
  <si>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</si>
  <si>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</si>
  <si>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</si>
  <si>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</si>
  <si>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</si>
  <si>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</si>
  <si>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</si>
  <si>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</si>
  <si>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</si>
  <si>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</si>
  <si>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</si>
  <si>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</si>
  <si>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</si>
  <si>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</si>
  <si>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</si>
  <si>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</si>
  <si>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</si>
  <si>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</si>
  <si>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</si>
  <si>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</si>
  <si>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</si>
  <si>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</si>
  <si>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</si>
  <si>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</si>
  <si>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</si>
  <si>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</si>
  <si>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</si>
  <si>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</si>
  <si>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</si>
  <si>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</si>
  <si>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</si>
  <si>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</si>
  <si>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</si>
  <si>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</si>
  <si>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</si>
  <si>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</si>
  <si>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</si>
  <si>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</si>
  <si>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</si>
  <si>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</si>
  <si>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</si>
  <si>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</si>
  <si>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</si>
  <si>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</si>
  <si>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</si>
  <si>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</si>
  <si>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</si>
  <si>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</si>
  <si>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</si>
  <si>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</si>
  <si>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</si>
  <si>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</si>
  <si>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</si>
  <si>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</si>
  <si>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</si>
  <si>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</si>
  <si>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</si>
  <si>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</si>
  <si>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</si>
  <si>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</si>
  <si>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</si>
  <si>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</si>
  <si>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</si>
  <si>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</si>
  <si>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</si>
  <si>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</si>
  <si>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</si>
  <si>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</si>
  <si>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</si>
  <si>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</si>
  <si>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</si>
  <si>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</si>
  <si>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</si>
  <si>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</si>
  <si>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</si>
  <si>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</si>
  <si>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</si>
  <si>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</si>
  <si>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</si>
  <si>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</si>
  <si>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</si>
  <si>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</si>
  <si>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</si>
  <si>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</si>
  <si>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</si>
  <si>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</si>
  <si>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</si>
  <si>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</si>
  <si>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</si>
  <si>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</si>
  <si>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</si>
  <si>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</si>
  <si>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</si>
  <si>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</si>
  <si>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</si>
  <si>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</si>
  <si>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</si>
  <si>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</si>
  <si>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</si>
  <si>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</si>
  <si>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</si>
  <si>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</si>
  <si>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</si>
  <si>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</si>
  <si>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</si>
  <si>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</si>
  <si>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</si>
  <si>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</si>
  <si>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</si>
  <si>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</si>
  <si>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</si>
  <si>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</si>
  <si>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</si>
  <si>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</si>
  <si>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</si>
  <si>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</si>
  <si>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</si>
  <si>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</si>
  <si>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</si>
  <si>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</si>
  <si>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</si>
  <si>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</si>
  <si>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</si>
  <si>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</si>
  <si>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</si>
  <si>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</si>
  <si>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</si>
  <si>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</si>
  <si>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</si>
  <si>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</si>
  <si>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</si>
  <si>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</si>
  <si>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</si>
  <si>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</si>
  <si>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</si>
  <si>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</si>
  <si>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</si>
  <si>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</si>
  <si>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</si>
  <si>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</si>
  <si>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</si>
  <si>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</si>
  <si>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</si>
  <si>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</si>
  <si>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</si>
  <si>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</si>
  <si>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</si>
  <si>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</si>
  <si>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</si>
  <si>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</si>
  <si>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</si>
  <si>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</si>
  <si>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</si>
  <si>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</si>
  <si>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</si>
  <si>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</si>
  <si>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</si>
  <si>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</si>
  <si>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</si>
  <si>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</si>
  <si>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</si>
  <si>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</si>
  <si>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</si>
  <si>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</si>
  <si>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</si>
  <si>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</si>
  <si>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</si>
  <si>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</si>
  <si>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</si>
  <si>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</si>
  <si>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</si>
  <si>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</si>
  <si>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</si>
  <si>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</si>
  <si>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</si>
  <si>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</si>
  <si>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</si>
  <si>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</si>
  <si>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</si>
  <si>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</si>
  <si>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</si>
  <si>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</si>
  <si>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</si>
  <si>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</si>
  <si>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</si>
  <si>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</si>
  <si>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</si>
  <si>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</si>
  <si>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</si>
  <si>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</si>
  <si>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</si>
  <si>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</si>
  <si>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</si>
  <si>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</si>
  <si>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</si>
  <si>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</si>
  <si>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</si>
  <si>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</si>
  <si>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</si>
  <si>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</si>
  <si>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</si>
  <si>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</si>
  <si>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</si>
  <si>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</si>
  <si>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</si>
  <si>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</si>
  <si>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</si>
  <si>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</si>
  <si>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</si>
  <si>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</si>
  <si>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</si>
  <si>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</si>
  <si>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</si>
  <si>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</si>
  <si>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</si>
  <si>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</si>
  <si>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</si>
  <si>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</si>
  <si>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</si>
  <si>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</si>
  <si>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</si>
  <si>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</si>
  <si>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</si>
  <si>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</si>
  <si>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</si>
  <si>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</si>
  <si>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</si>
  <si>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</si>
  <si>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</si>
  <si>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</si>
  <si>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</si>
  <si>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</si>
  <si>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</si>
  <si>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</si>
  <si>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</si>
  <si>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</si>
  <si>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</si>
  <si>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</si>
  <si>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</si>
  <si>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</si>
  <si>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</si>
  <si>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</si>
  <si>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</si>
  <si>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</si>
  <si>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</si>
  <si>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</si>
  <si>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</si>
  <si>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</si>
  <si>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</si>
  <si>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</si>
  <si>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</si>
  <si>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</si>
  <si>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</si>
  <si>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</si>
  <si>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</si>
  <si>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</si>
  <si>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</si>
  <si>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</si>
  <si>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</si>
  <si>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</si>
  <si>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</si>
  <si>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</si>
  <si>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</si>
  <si>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</si>
  <si>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</si>
  <si>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</si>
  <si>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</si>
  <si>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</si>
  <si>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</si>
  <si>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</si>
  <si>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</si>
  <si>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</si>
  <si>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</si>
  <si>
    <t>Upgrading</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</si>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</sst>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2" fontId="0" fillId="0" borderId="2" xfId="1" applyNumberFormat="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9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68" dataDxfId="67" tableBorderDxfId="66" dataCellStyle="Percent">
  <autoFilter ref="A5:T100" xr:uid="{1644AED8-49DE-4A1D-989C-1566C9A522B9}"/>
  <tableColumns count="20">
    <tableColumn id="1" xr3:uid="{54F9705D-FA12-4199-961E-8DDE3BEC1FF4}" name="Type" dataDxfId="65"/>
    <tableColumn id="2" xr3:uid="{5E06514D-AF5C-4733-B19A-35D0CC7BA125}" name="Category" dataDxfId="64"/>
    <tableColumn id="3" xr3:uid="{69BA6CC3-22B3-4961-B36B-27AC7ED01FF0}" name="Resource" dataDxfId="63">
      <calculatedColumnFormula>_xlfn.XLOOKUP($B6,'SI - Resources'!$A$1:$J$1,'SI - Resources'!$A$2:$J$2, "")</calculatedColumnFormula>
    </tableColumn>
    <tableColumn id="4" xr3:uid="{6DC4DBA1-44C9-4FDA-9E57-3838D825ECFA}" name="End Use" dataDxfId="62">
      <calculatedColumnFormula>IF(_xlfn.XLOOKUP($C6,'SI - End Use'!$B$2:$B$6,'SI - End Use'!$C$2:$C$6, "")="", "", _xlfn.XLOOKUP($C6,'SI - End Use'!$B$2:$B$6,'SI - End Use'!$C$2:$C$6, ""))</calculatedColumnFormula>
    </tableColumn>
    <tableColumn id="5" xr3:uid="{F830743F-BD41-4E61-B70C-392CF3507634}" name="Amount" dataDxfId="61" dataCellStyle="Comma"/>
    <tableColumn id="6" xr3:uid="{01FEC64F-BBBC-45DB-AA85-23184FCA593F}" name="Unit" dataDxfId="60">
      <calculatedColumnFormula array="1">IF($B6="Transportation",  'SI - Units'!$B$9:$B$9, _xlfn.XLOOKUP(_xlfn.XLOOKUP($C6,'SI - Units'!$B$24:$B$109,'SI - Units'!$C$24:$C$109, ""),'SI - Units'!$A$2:$A$8,'SI - Units'!$B$2:$B$8, ""))</calculatedColumnFormula>
    </tableColumn>
    <tableColumn id="7" xr3:uid="{DADAAA2D-293C-48CB-9CB1-75700C9C4968}" name="Moisture" dataDxfId="59" dataCellStyle="Percent"/>
    <tableColumn id="8" xr3:uid="{2957F34A-4674-463C-8301-7C41D5617B66}" name="Previous Stage" dataDxfId="58" dataCellStyle="Percent"/>
    <tableColumn id="9" xr3:uid="{6EE0F124-564D-49F7-960F-9EE0EB9237CE}" name="Always Use Displacement Method for Co-Product?" dataDxfId="57" dataCellStyle="Percent">
      <calculatedColumnFormula>IF(Table13[[#This Row],[Type]]="Co-product", "No", "")</calculatedColumnFormula>
    </tableColumn>
    <tableColumn id="19" xr3:uid="{FECAF65C-0B47-4B61-8F33-C8CB8AF8101C}" name="Urban Share" dataDxfId="56" dataCellStyle="Percent"/>
    <tableColumn id="10" xr3:uid="{0E59D430-6097-4EDF-B14A-959C8C548B5D}" name="Product Train" dataDxfId="55"/>
    <tableColumn id="14" xr3:uid="{1CEFABF1-C5C0-4155-B2DA-9C96DB3EF9E6}" name="Payload" dataDxfId="54">
      <calculatedColumnFormula>IF(Table13[[#This Row],[Category]]="Transportation", _xlfn.XLOOKUP(Table13[[#This Row],[Resource]], 'SI - Payload'!$A$10:$A$38,'SI - Payload'!$B$10:$B$38,"",0), "")</calculatedColumnFormula>
    </tableColumn>
    <tableColumn id="15" xr3:uid="{EE5FB89E-00B2-49AB-86F6-885F10A10A44}" name="Payload Unit" dataDxfId="53">
      <calculatedColumnFormula>IF(Table13[[#This Row],[Category]]="Transportation", "ton", "")</calculatedColumnFormula>
    </tableColumn>
    <tableColumn id="16" xr3:uid="{DD4AF3CD-95A6-4155-A9F8-219BB655F17C}" name="Market Price" dataDxfId="52"/>
    <tableColumn id="17" xr3:uid="{52DB1B6A-4585-458B-995E-186B46E8C3DF}" name="Market Price Unit" dataDxfId="51"/>
    <tableColumn id="12" xr3:uid="{4781A17F-CA51-4602-9E9E-45059C893A05}" name="Incumbent Product" dataDxfId="50">
      <calculatedColumnFormula>IF(OR(Table13[[#This Row],[Type]]="Main Product", Table13[[#This Row],[Type]]="Co-Product"), Table13[[#This Row],[Resource]], "")</calculatedColumnFormula>
    </tableColumn>
    <tableColumn id="13" xr3:uid="{20B65699-5108-434A-92D6-E1BA8F5A7398}" name="End Use of Incumbent Product" dataDxfId="49">
      <calculatedColumnFormula>IF(_xlfn.XLOOKUP($P6,'SI - End Use'!$B$2:$B$6,'SI - End Use'!$C$2:$C$6, "")="", "", _xlfn.XLOOKUP($C6,'SI - End Use'!$B$2:$B$6,'SI - End Use'!$C$2:$C$6, ""))</calculatedColumnFormula>
    </tableColumn>
    <tableColumn id="20" xr3:uid="{F58B10F3-B502-4069-8935-2BBB2D619AE8}" name="Surrogate For" dataDxfId="48"/>
    <tableColumn id="18" xr3:uid="{D295942E-90E1-4140-8949-BB2F14AD476B}" name="Process" dataDxfId="47"/>
    <tableColumn id="11" xr3:uid="{BEF80C4D-C947-4B0E-89F7-3409DCD4C185}"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45" dataDxfId="44" tableBorderDxfId="43" dataCellStyle="Percent">
  <autoFilter ref="A5:T100" xr:uid="{1644AED8-49DE-4A1D-989C-1566C9A522B9}"/>
  <tableColumns count="20">
    <tableColumn id="1" xr3:uid="{BEBC556B-3D7C-4704-9E84-F2CDB1CC48C8}" name="Type" dataDxfId="42"/>
    <tableColumn id="2" xr3:uid="{9FC51C14-1D46-40AE-A7C8-D94A56C4C3A9}" name="Category" dataDxfId="41"/>
    <tableColumn id="3" xr3:uid="{B3EE558C-90F0-48FC-92CA-892F8F474E7D}" name="Resource" dataDxfId="40">
      <calculatedColumnFormula>_xlfn.XLOOKUP($B6,'SI - Resources'!$A$1:$J$1,'SI - Resources'!$A$2:$J$2, "")</calculatedColumnFormula>
    </tableColumn>
    <tableColumn id="4" xr3:uid="{F5ACC7FE-5516-4FA4-9F7A-1B68FD4E0FCF}" name="End Use" dataDxfId="39">
      <calculatedColumnFormula>IF(_xlfn.XLOOKUP($C6,'SI - End Use'!$B$2:$B$6,'SI - End Use'!$C$2:$C$6, "")="", "", _xlfn.XLOOKUP($C6,'SI - End Use'!$B$2:$B$6,'SI - End Use'!$C$2:$C$6, ""))</calculatedColumnFormula>
    </tableColumn>
    <tableColumn id="5" xr3:uid="{0FE02141-C4CB-442F-A0A4-A62D9B283E3A}" name="Amount" dataDxfId="38" dataCellStyle="Comma"/>
    <tableColumn id="6" xr3:uid="{8A4312BB-974B-4524-8F69-7B76D86B0CDC}" name="Unit" dataDxfId="37">
      <calculatedColumnFormula array="1">IF($B6="Transportation",  'SI - Units'!$B$9:$B$9, _xlfn.XLOOKUP(_xlfn.XLOOKUP($C6,'SI - Units'!$B$24:$B$109,'SI - Units'!$C$24:$C$109, ""),'SI - Units'!$A$2:$A$8,'SI - Units'!$B$2:$B$8, ""))</calculatedColumnFormula>
    </tableColumn>
    <tableColumn id="7" xr3:uid="{176552F4-C5A0-4D1A-A506-E650432C88E5}" name="Moisture" dataDxfId="36" dataCellStyle="Percent"/>
    <tableColumn id="8" xr3:uid="{16EE4FBE-363C-4ACD-9090-4D7FAD40A27F}" name="Previous Stage" dataDxfId="35" dataCellStyle="Percent"/>
    <tableColumn id="9" xr3:uid="{E5FFC313-73FA-4BD9-B5CC-27D88D7D2CEF}" name="Always Use Displacement Method for Co-Product?" dataDxfId="34" dataCellStyle="Percent">
      <calculatedColumnFormula>IF(Table18[[#This Row],[Type]]="Co-product", "No", "")</calculatedColumnFormula>
    </tableColumn>
    <tableColumn id="19" xr3:uid="{AA012377-D417-48E8-A86A-A428C2BE242E}" name="Urban Share" dataDxfId="33" dataCellStyle="Percent"/>
    <tableColumn id="10" xr3:uid="{5E0DA463-EF45-45F9-AF32-6C3A97CD8108}" name="Product Train" dataDxfId="32"/>
    <tableColumn id="14" xr3:uid="{E24F1BA0-CA9D-4C6E-878F-89CB524285D7}" name="Payload" dataDxfId="31">
      <calculatedColumnFormula>IF(Table18[[#This Row],[Category]]="Transportation", _xlfn.XLOOKUP(Table18[[#This Row],[Resource]], 'SI - Payload'!$A$10:$A$38,'SI - Payload'!$B$10:$B$38,"",0), "")</calculatedColumnFormula>
    </tableColumn>
    <tableColumn id="15" xr3:uid="{DA8A9051-D27F-45F6-8DE1-1AF52F197E52}" name="Payload Unit" dataDxfId="30">
      <calculatedColumnFormula>IF(Table18[[#This Row],[Category]]="Transportation", "ton", "")</calculatedColumnFormula>
    </tableColumn>
    <tableColumn id="16" xr3:uid="{649D615E-9801-4527-8807-BBE0BAF73065}" name="Market Price" dataDxfId="29"/>
    <tableColumn id="17" xr3:uid="{D7DE7C50-371B-4A2E-AE94-E9C372028783}" name="Market Price Unit" dataDxfId="28"/>
    <tableColumn id="12" xr3:uid="{338A8E28-6A05-43B9-8D4B-D955AD2EDFFB}" name="Incumbent Product" dataDxfId="27">
      <calculatedColumnFormula>IF(OR(Table18[[#This Row],[Type]]="Main Product", Table18[[#This Row],[Type]]="Co-Product"), Table18[[#This Row],[Resource]], "")</calculatedColumnFormula>
    </tableColumn>
    <tableColumn id="13" xr3:uid="{EEF6CC85-341F-46F6-9CBB-7FB5BDFBCED1}" name="End Use of Incumbent Product" dataDxfId="26">
      <calculatedColumnFormula>IF(_xlfn.XLOOKUP($P6,'SI - End Use'!$B$2:$B$6,'SI - End Use'!$C$2:$C$6, "")="", "", _xlfn.XLOOKUP($C6,'SI - End Use'!$B$2:$B$6,'SI - End Use'!$C$2:$C$6, ""))</calculatedColumnFormula>
    </tableColumn>
    <tableColumn id="20" xr3:uid="{2DD2FC74-F668-4E9A-BC42-4CF911C33CEC}" name="Surrogate For" dataDxfId="25"/>
    <tableColumn id="18" xr3:uid="{E5699390-0C9C-4F5D-BFC4-801DC6D54A17}" name="Process" dataDxfId="24"/>
    <tableColumn id="11" xr3:uid="{62057600-713E-4D80-8822-D1D8EF58C249}"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CAE3B0-AB01-4A96-967E-C3B3EFDA2B78}" name="Table16" displayName="Table16" ref="A5:T101" totalsRowShown="0" headerRowDxfId="22" dataDxfId="21" tableBorderDxfId="20" dataCellStyle="Percent">
  <autoFilter ref="A5:T101" xr:uid="{1644AED8-49DE-4A1D-989C-1566C9A522B9}"/>
  <tableColumns count="20">
    <tableColumn id="1" xr3:uid="{EF9D1E12-FB14-431E-8C2F-6D43802CE1D1}" name="Type" dataDxfId="19"/>
    <tableColumn id="2" xr3:uid="{6CDC18C4-376C-412D-B614-FF4A2CB6C9CB}" name="Category" dataDxfId="18"/>
    <tableColumn id="3" xr3:uid="{9D4E7BA8-A23F-41EA-89F5-0FA4BFADD6E8}" name="Resource" dataDxfId="17">
      <calculatedColumnFormula>_xlfn.XLOOKUP($B6,'SI - Resources'!$A$1:$J$1,'SI - Resources'!$A$2:$J$2, "")</calculatedColumnFormula>
    </tableColumn>
    <tableColumn id="4" xr3:uid="{3B19CF48-59C1-48C0-AEF1-55505F1237DE}" name="End Use" dataDxfId="16">
      <calculatedColumnFormula>IF(_xlfn.XLOOKUP($C6,'SI - End Use'!$B$2:$B$6,'SI - End Use'!$C$2:$C$6, "")="", "", _xlfn.XLOOKUP($C6,'SI - End Use'!$B$2:$B$6,'SI - End Use'!$C$2:$C$6, ""))</calculatedColumnFormula>
    </tableColumn>
    <tableColumn id="5" xr3:uid="{78132280-9B25-4A93-BFF1-7B9DBA3C47E8}" name="Amount" dataDxfId="15" dataCellStyle="Comma"/>
    <tableColumn id="6" xr3:uid="{BF1E6AF7-91A3-41E2-BDC7-E21F9DCA7938}" name="Unit" dataDxfId="14">
      <calculatedColumnFormula array="1">IF($B6="Transportation",  'SI - Units'!$B$9:$B$9, _xlfn.XLOOKUP(_xlfn.XLOOKUP($C6,'SI - Units'!$B$24:$B$109,'SI - Units'!$C$24:$C$109, ""),'SI - Units'!$A$2:$A$8,'SI - Units'!$B$2:$B$8, ""))</calculatedColumnFormula>
    </tableColumn>
    <tableColumn id="7" xr3:uid="{B62D2FE4-0F9D-408A-8678-5A1201D52848}" name="Moisture" dataDxfId="13" dataCellStyle="Percent"/>
    <tableColumn id="8" xr3:uid="{9CAD31E7-88B6-477A-8E91-690CCC2C65F3}" name="Previous Stage" dataDxfId="12" dataCellStyle="Percent"/>
    <tableColumn id="9" xr3:uid="{BEE5296A-52A4-47F2-A662-C01C271C9DC9}" name="Always Use Displacement Method for Co-Product?" dataDxfId="11" dataCellStyle="Percent">
      <calculatedColumnFormula>IF(Table16[[#This Row],[Type]]="Co-product", "No", "")</calculatedColumnFormula>
    </tableColumn>
    <tableColumn id="19" xr3:uid="{05962D1B-1249-41A9-9CA2-74EF2E0C8C45}" name="Urban Share" dataDxfId="10" dataCellStyle="Percent"/>
    <tableColumn id="10" xr3:uid="{71230959-E277-4899-B852-C6D65E287A66}" name="Product Train" dataDxfId="9"/>
    <tableColumn id="14" xr3:uid="{CE6A74D0-D1EF-415B-A881-4C7E751FCAB5}" name="Payload" dataDxfId="8">
      <calculatedColumnFormula>IF(Table16[[#This Row],[Category]]="Transportation", _xlfn.XLOOKUP(Table16[[#This Row],[Resource]], 'SI - Payload'!$A$10:$A$38,'SI - Payload'!$B$10:$B$38,"",0), "")</calculatedColumnFormula>
    </tableColumn>
    <tableColumn id="15" xr3:uid="{2C69EABA-787E-4F70-B0F6-D0092922E2B8}" name="Payload Unit" dataDxfId="7">
      <calculatedColumnFormula>IF(Table16[[#This Row],[Category]]="Transportation", "ton", "")</calculatedColumnFormula>
    </tableColumn>
    <tableColumn id="16" xr3:uid="{D7DBDDB8-91A6-4CAD-A4B6-4588DE6F9BBD}" name="Market Price" dataDxfId="6"/>
    <tableColumn id="17" xr3:uid="{7FA8699E-B343-49F4-AF0F-6C3CC7D8FE06}" name="Market Price Unit" dataDxfId="5"/>
    <tableColumn id="12" xr3:uid="{17C3ED7A-1233-48A1-B201-3A5E281B4893}" name="Incumbent Product" dataDxfId="4">
      <calculatedColumnFormula>IF(OR(Table16[[#This Row],[Type]]="Main Product", Table16[[#This Row],[Type]]="Co-Product"), Table16[[#This Row],[Resource]], "")</calculatedColumnFormula>
    </tableColumn>
    <tableColumn id="13" xr3:uid="{A8DF2284-04B1-4333-A4CA-CCFB3688217A}" name="End Use of Incumbent Product" dataDxfId="3">
      <calculatedColumnFormula>IF(_xlfn.XLOOKUP($P6,'SI - End Use'!$B$2:$B$6,'SI - End Use'!$C$2:$C$6, "")="", "", _xlfn.XLOOKUP($C6,'SI - End Use'!$B$2:$B$6,'SI - End Use'!$C$2:$C$6, ""))</calculatedColumnFormula>
    </tableColumn>
    <tableColumn id="20" xr3:uid="{35E6F1EC-962B-4876-930C-3D715AB72282}" name="Surrogate For" dataDxfId="2"/>
    <tableColumn id="18" xr3:uid="{B6FEBD2F-0D05-492F-8DD1-F888A5BCA2F7}" name="Process" dataDxfId="1"/>
    <tableColumn id="11" xr3:uid="{5F1A31B0-3D19-4950-A9D7-A30C679A1D4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3" t="s">
        <v>261</v>
      </c>
      <c r="B2" s="63"/>
    </row>
    <row r="3" spans="1:3" ht="29.15" customHeight="1" x14ac:dyDescent="0.35">
      <c r="A3" s="65" t="s">
        <v>274</v>
      </c>
      <c r="B3" s="65"/>
    </row>
    <row r="4" spans="1:3" ht="28" customHeight="1" x14ac:dyDescent="0.35">
      <c r="A4" s="19"/>
      <c r="B4" s="19"/>
    </row>
    <row r="5" spans="1:3" ht="28" customHeight="1" x14ac:dyDescent="0.35">
      <c r="A5" s="64" t="s">
        <v>260</v>
      </c>
      <c r="B5" s="64"/>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topLeftCell="I1" workbookViewId="0">
      <pane ySplit="5" topLeftCell="A6" activePane="bottomLeft" state="frozen"/>
      <selection activeCell="C19" sqref="C19"/>
      <selection pane="bottomLeft" activeCell="R7" sqref="R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C19" sqref="C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C19" sqref="C19"/>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341</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9" sqref="C19"/>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C19" sqref="C19"/>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workbookViewId="0">
      <pane ySplit="5" topLeftCell="A6" activePane="bottomLeft" state="frozen"/>
      <selection activeCell="C19" sqref="C19"/>
      <selection pane="bottomLeft" activeCell="R6" sqref="R6:R10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229</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325.5</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407.13513513513516</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862.37929837680099</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f>719*12/100*50.8%*44/12</f>
        <v>160.71088</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f>E12</f>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3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3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3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3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35">
      <c r="A11" s="6" t="s">
        <v>0</v>
      </c>
      <c r="B11" s="6" t="s">
        <v>37</v>
      </c>
      <c r="C11" s="6" t="s">
        <v>237</v>
      </c>
      <c r="D11" s="6" t="s">
        <v>337</v>
      </c>
      <c r="E11" s="60">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35">
      <c r="A12" s="6" t="s">
        <v>0</v>
      </c>
      <c r="B12" s="6" t="s">
        <v>37</v>
      </c>
      <c r="C12" s="6" t="s">
        <v>238</v>
      </c>
      <c r="D12" s="6" t="s">
        <v>337</v>
      </c>
      <c r="E12" s="60">
        <v>0.38831693913130744</v>
      </c>
      <c r="F12" s="6" t="s">
        <v>59</v>
      </c>
      <c r="G12" s="25"/>
      <c r="H12" s="25"/>
      <c r="I12" s="26" t="s">
        <v>337</v>
      </c>
      <c r="J12" s="25"/>
      <c r="K12" s="6"/>
      <c r="L12" s="6" t="s">
        <v>337</v>
      </c>
      <c r="M12" s="6" t="s">
        <v>337</v>
      </c>
      <c r="N12" s="6"/>
      <c r="O12" s="6"/>
      <c r="P12" s="6" t="s">
        <v>337</v>
      </c>
      <c r="Q12" s="6" t="s">
        <v>337</v>
      </c>
      <c r="R12" s="6"/>
      <c r="S12" s="6"/>
      <c r="T12" s="6"/>
    </row>
    <row r="13" spans="1:20" x14ac:dyDescent="0.35">
      <c r="A13" s="6" t="s">
        <v>0</v>
      </c>
      <c r="B13" s="6" t="s">
        <v>37</v>
      </c>
      <c r="C13" s="6" t="s">
        <v>236</v>
      </c>
      <c r="D13" s="6" t="s">
        <v>337</v>
      </c>
      <c r="E13" s="60">
        <v>1.1838239486238848</v>
      </c>
      <c r="F13" s="6" t="s">
        <v>59</v>
      </c>
      <c r="G13" s="25"/>
      <c r="H13" s="25"/>
      <c r="I13" s="26" t="s">
        <v>337</v>
      </c>
      <c r="J13" s="25"/>
      <c r="K13" s="6"/>
      <c r="L13" s="6" t="s">
        <v>337</v>
      </c>
      <c r="M13" s="6" t="s">
        <v>337</v>
      </c>
      <c r="N13" s="6"/>
      <c r="O13" s="6"/>
      <c r="P13" s="6" t="s">
        <v>337</v>
      </c>
      <c r="Q13" s="6" t="s">
        <v>337</v>
      </c>
      <c r="R13" s="6"/>
      <c r="S13" s="6"/>
      <c r="T13" s="6"/>
    </row>
    <row r="14" spans="1:20" x14ac:dyDescent="0.3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3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35">
      <c r="A16" s="6" t="s">
        <v>113</v>
      </c>
      <c r="B16" s="6" t="s">
        <v>244</v>
      </c>
      <c r="C16" s="6" t="s">
        <v>71</v>
      </c>
      <c r="D16" s="6"/>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3D777DF-9E3C-4C73-837D-2ACA72BDED30}">
          <x14:formula1>
            <xm:f>IF($B6="Transportation",  transport_units, INDIRECT(_xlfn.XLOOKUP($C6, 'SI - Units'!$F$26:$F$36,'SI - Units'!$G$26:$G$36,"mass",0)))</xm:f>
          </x14:formula1>
          <xm:sqref>F6:F100</xm:sqref>
        </x14:dataValidation>
        <x14:dataValidation type="list" allowBlank="1" showInputMessage="1" showErrorMessage="1" xr:uid="{1EBEF20D-ABFF-4067-A9BA-14B5C099FCDB}">
          <x14:formula1>
            <xm:f>INDIRECT("p_"&amp;_xlfn.XLOOKUP($C6,'SI - Units'!$F$26:$F$36,'SI - Units'!$G$26:$G$36,"mass",0))</xm:f>
          </x14:formula1>
          <xm:sqref>O6:O100</xm:sqref>
        </x14:dataValidation>
        <x14:dataValidation type="list" allowBlank="1" showInputMessage="1" showErrorMessage="1" xr:uid="{FDA8A39D-1C34-43C7-9DC2-FCA0617524E3}">
          <x14:formula1>
            <xm:f>INDIRECT(_xlfn.XLOOKUP($P6,'SI - End Use'!$A$11:$A$17,'SI - End Use'!$B$11:$B$17,"other_end_use",0))</xm:f>
          </x14:formula1>
          <xm:sqref>Q6:Q100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 type="list" allowBlank="1" showInputMessage="1" showErrorMessage="1" xr:uid="{95420E0D-EE2E-4D05-B4CA-A18D701A2C0E}">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35434-812B-4019-B0DB-1687BCEA1CE7}">
  <sheetPr codeName="Sheet11"/>
  <dimension ref="A1:T101"/>
  <sheetViews>
    <sheetView tabSelected="1"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62">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71</v>
      </c>
      <c r="D6" s="6"/>
      <c r="E6" s="61">
        <v>1</v>
      </c>
      <c r="F6" s="6" t="s">
        <v>70</v>
      </c>
      <c r="G6" s="25"/>
      <c r="H6" s="25" t="s">
        <v>340</v>
      </c>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33</v>
      </c>
      <c r="C7" s="6" t="s">
        <v>71</v>
      </c>
      <c r="D7" s="6"/>
      <c r="E7" s="12">
        <v>30</v>
      </c>
      <c r="F7" s="6" t="str" cm="1">
        <f t="array" ref="F7">IF($B7="Transportation",  'SI - Units'!$B$9:$B$9, _xlfn.XLOOKUP(_xlfn.XLOOKUP($C7,'SI - Units'!$B$24:$B$109,'SI - Units'!$C$24:$C$109, ""),'SI - Units'!$A$2:$A$8,'SI - Units'!$B$2:$B$8, ""))</f>
        <v>mi</v>
      </c>
      <c r="G7" s="25"/>
      <c r="H7" s="25"/>
      <c r="I7" s="26" t="str">
        <f>IF(Table16[[#This Row],[Type]]="Co-product", "No", "")</f>
        <v/>
      </c>
      <c r="J7" s="25"/>
      <c r="K7" s="6"/>
      <c r="L7" s="6">
        <f>IF(Table16[[#This Row],[Category]]="Transportation", _xlfn.XLOOKUP(Table16[[#This Row],[Resource]], 'SI - Payload'!$A$10:$A$38,'SI - Payload'!$B$10:$B$38,"",0), "")</f>
        <v>25</v>
      </c>
      <c r="M7" s="6" t="str">
        <f>IF(Table16[[#This Row],[Category]]="Transportation", "ton", "")</f>
        <v>ton</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113</v>
      </c>
      <c r="B8" s="6" t="s">
        <v>244</v>
      </c>
      <c r="C8" s="6" t="s">
        <v>71</v>
      </c>
      <c r="D8" s="6" t="s">
        <v>83</v>
      </c>
      <c r="E8" s="61">
        <v>1</v>
      </c>
      <c r="F8" s="6" t="s">
        <v>70</v>
      </c>
      <c r="G8" s="25"/>
      <c r="H8" s="25"/>
      <c r="I8" s="26" t="str">
        <f>IF(Table16[[#This Row],[Type]]="Co-product", "No", "")</f>
        <v/>
      </c>
      <c r="J8" s="25">
        <v>0.7</v>
      </c>
      <c r="K8" s="6"/>
      <c r="L8" s="6" t="str">
        <f>IF(Table16[[#This Row],[Category]]="Transportation", _xlfn.XLOOKUP(Table16[[#This Row],[Resource]], 'SI - Payload'!$A$10:$A$38,'SI - Payload'!$B$10:$B$38,"",0), "")</f>
        <v/>
      </c>
      <c r="M8" s="6" t="str">
        <f>IF(Table16[[#This Row],[Category]]="Transportation", "ton", "")</f>
        <v/>
      </c>
      <c r="N8" s="6"/>
      <c r="O8" s="6"/>
      <c r="P8" s="6" t="s">
        <v>2</v>
      </c>
      <c r="Q8" s="6" t="s">
        <v>83</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IF(Table16[[#This Row],[Type]]="Co-product", "No", "")</f>
        <v/>
      </c>
      <c r="J101" s="25"/>
      <c r="K101" s="6"/>
      <c r="L101" s="6" t="str">
        <f>IF(Table16[[#This Row],[Category]]="Transportation", _xlfn.XLOOKUP(Table16[[#This Row],[Resource]], 'SI - Payload'!$A$10:$A$38,'SI - Payload'!$B$10:$B$38,"",0), "")</f>
        <v/>
      </c>
      <c r="M101" s="6" t="str">
        <f>IF(Table16[[#This Row],[Category]]="Transportation", "ton", "")</f>
        <v/>
      </c>
      <c r="N101" s="6"/>
      <c r="O101" s="6"/>
      <c r="P101" s="6" t="str">
        <f>IF(OR(Table16[[#This Row],[Type]]="Main Product", Table16[[#This Row],[Type]]="Co-Product"), Table16[[#This Row],[Resource]], "")</f>
        <v/>
      </c>
      <c r="Q101" s="6" t="str">
        <f>IF(_xlfn.XLOOKUP($P101,'SI - End Use'!$B$2:$B$6,'SI - End Use'!$C$2:$C$6, "")="", "", _xlfn.XLOOKUP($C101,'SI - End Use'!$B$2:$B$6,'SI - End Use'!$C$2:$C$6, ""))</f>
        <v/>
      </c>
      <c r="R101" s="6"/>
      <c r="S101" s="6"/>
      <c r="T101" s="6"/>
    </row>
  </sheetData>
  <dataValidations count="7">
    <dataValidation type="decimal" allowBlank="1" showInputMessage="1" showErrorMessage="1" sqref="J6:J101" xr:uid="{F9E31DF8-DF59-4AC9-A57F-FE10C9E932D0}">
      <formula1>0</formula1>
      <formula2>1</formula2>
    </dataValidation>
    <dataValidation type="list" allowBlank="1" showInputMessage="1" showErrorMessage="1" sqref="M6:M101" xr:uid="{04D2A9E1-83D8-4571-9018-35FEB55F824B}">
      <formula1>payload_units</formula1>
    </dataValidation>
    <dataValidation type="decimal" operator="greaterThan" allowBlank="1" showInputMessage="1" showErrorMessage="1" error="Please type a positive number." sqref="L6:L101" xr:uid="{8565F6DC-F50E-4BC9-A1E2-189E059B8DFE}">
      <formula1>0</formula1>
    </dataValidation>
    <dataValidation type="decimal" operator="greaterThan" allowBlank="1" showInputMessage="1" showErrorMessage="1" error="Please type a positive price." sqref="N6:N101" xr:uid="{957A4BCD-DEB0-455A-B345-33B803CAF526}">
      <formula1>0</formula1>
    </dataValidation>
    <dataValidation type="decimal" allowBlank="1" showInputMessage="1" showErrorMessage="1" error="Please type a number between 0 and 1." sqref="G6:G101" xr:uid="{3DE3616E-BA42-446A-B737-F36A473A907B}">
      <formula1>0</formula1>
      <formula2>1</formula2>
    </dataValidation>
    <dataValidation type="custom" allowBlank="1" showInputMessage="1" showErrorMessage="1" sqref="E6:E101" xr:uid="{2C290385-B73C-48E0-A765-B6E464DE3FEF}">
      <formula1>ISNUMBER(E6)</formula1>
    </dataValidation>
    <dataValidation type="list" allowBlank="1" showInputMessage="1" showErrorMessage="1" sqref="C2" xr:uid="{D6A0DE7C-169C-4602-B36F-6D829E913F5B}">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7D40811-5DD6-4116-B808-34B91E5E7A11}">
          <x14:formula1>
            <xm:f>IF($B6="Transportation",  transport_units, INDIRECT(_xlfn.XLOOKUP($C6, 'SI - Units'!$F$26:$F$36,'SI - Units'!$G$26:$G$36,"mass",0)))</xm:f>
          </x14:formula1>
          <xm:sqref>F6:F101</xm:sqref>
        </x14:dataValidation>
        <x14:dataValidation type="list" allowBlank="1" showInputMessage="1" showErrorMessage="1" xr:uid="{F9CA1C2A-10A9-4426-AB1B-E7ECA6DCDF39}">
          <x14:formula1>
            <xm:f>INDIRECT("p_"&amp;_xlfn.XLOOKUP($C6,'SI - Units'!$F$26:$F$36,'SI - Units'!$G$26:$G$36,"mass",0))</xm:f>
          </x14:formula1>
          <xm:sqref>O6:O101</xm:sqref>
        </x14:dataValidation>
        <x14:dataValidation type="list" allowBlank="1" showInputMessage="1" showErrorMessage="1" xr:uid="{3B7E4840-DB88-424C-B474-4D0AC0A3CE78}">
          <x14:formula1>
            <xm:f>INDIRECT(_xlfn.XLOOKUP($P6,'SI - End Use'!$A$11:$A$17,'SI - End Use'!$B$11:$B$17,"other_end_use",0))</xm:f>
          </x14:formula1>
          <xm:sqref>Q6:Q101</xm:sqref>
        </x14:dataValidation>
        <x14:dataValidation type="list" allowBlank="1" showInputMessage="1" xr:uid="{5B29BBD7-C3FD-42EB-AEC4-D06EF2C1401A}">
          <x14:formula1>
            <xm:f>INDIRECT(_xlfn.XLOOKUP($C6,'SI - End Use'!$A$11:$A$17,'SI - End Use'!$B$11:$B$17,"other_end_use",0))</xm:f>
          </x14:formula1>
          <xm:sqref>D6:D101</xm:sqref>
        </x14:dataValidation>
        <x14:dataValidation type="list" allowBlank="1" showInputMessage="1" showErrorMessage="1" xr:uid="{5C2ADA44-3B9D-4B96-82DC-F2D2431BEA25}">
          <x14:formula1>
            <xm:f>INDIRECT(_xlfn.XLOOKUP($B6, 'SI - Resources'!$R$1:$R$10,'SI - Resources'!$S$1:$S$10, "placeholder_resource", 0))</xm:f>
          </x14:formula1>
          <xm:sqref>P6:P101 C6:C101</xm:sqref>
        </x14:dataValidation>
        <x14:dataValidation type="list" allowBlank="1" showInputMessage="1" showErrorMessage="1" xr:uid="{CEAB85D9-1A5B-4913-A3A8-E1C47C3C3166}">
          <x14:formula1>
            <xm:f>'SI - Co-products'!$B$2:$B$6</xm:f>
          </x14:formula1>
          <xm:sqref>A6:A101</xm:sqref>
        </x14:dataValidation>
        <x14:dataValidation type="list" allowBlank="1" showInputMessage="1" showErrorMessage="1" xr:uid="{85145C1B-DC73-40D8-983A-A49108AA80B2}">
          <x14:formula1>
            <xm:f>'SI - Resources'!$A$1:$J$1</xm:f>
          </x14:formula1>
          <xm:sqref>B6:B101</xm:sqref>
        </x14:dataValidation>
        <x14:dataValidation type="list" allowBlank="1" showInputMessage="1" showErrorMessage="1" xr:uid="{F7C9822E-42CF-4BA1-97C5-35993A865FF0}">
          <x14:formula1>
            <xm:f>'SI - Co-products'!$C$2:$C$4</xm:f>
          </x14:formula1>
          <xm:sqref>I6:I101</xm:sqref>
        </x14:dataValidation>
        <x14:dataValidation type="list" allowBlank="1" showInputMessage="1" showErrorMessage="1" xr:uid="{64CD7AB9-7B28-46B3-857F-28E54FCED512}">
          <x14:formula1>
            <xm:f>'SI - Co-products'!$A$2:$A$5</xm:f>
          </x14:formula1>
          <xm:sqref>K6:K101</xm:sqref>
        </x14:dataValidation>
        <x14:dataValidation type="list" allowBlank="1" showInputMessage="1" showErrorMessage="1" xr:uid="{04C5BDD1-A508-4EA8-82F5-10232ED24BDF}">
          <x14:formula1>
            <xm:f>_xlfn.XLOOKUP(_xlfn.XLOOKUP(#REF!,'SI - Units'!$B$24:$B$109,'SI - Units'!$C$24:$C$109),'SI - Units'!$A$2:$A$8,'SI - Units'!$B$2:$R$8)</xm:f>
          </x14:formula1>
          <xm:sqref>F5</xm:sqref>
        </x14:dataValidation>
        <x14:dataValidation type="list" allowBlank="1" showInputMessage="1" showErrorMessage="1" xr:uid="{57B8FF02-F45B-4BD5-AFF7-83C2E556F227}">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HTL</vt:lpstr>
      <vt:lpstr>Upgrading</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2023-01-06T18:03:22Z</dcterms:modified>
</cp:coreProperties>
</file>