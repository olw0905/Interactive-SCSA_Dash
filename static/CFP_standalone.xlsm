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drawings/drawing13.xml" ContentType="application/vnd.openxmlformats-officedocument.drawing+xml"/>
  <Override PartName="/xl/ctrlProps/ctrlProp13.xml" ContentType="application/vnd.ms-excel.controlproperties+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oul\Box\Temp\interactive SCSA\"/>
    </mc:Choice>
  </mc:AlternateContent>
  <xr:revisionPtr revIDLastSave="0" documentId="13_ncr:1_{11DAB45B-F513-4CE0-BA31-F95B09D6DBD3}" xr6:coauthVersionLast="47" xr6:coauthVersionMax="47" xr10:uidLastSave="{00000000-0000-0000-0000-000000000000}"/>
  <bookViews>
    <workbookView xWindow="-120" yWindow="-120" windowWidth="29040" windowHeight="15840" tabRatio="685" activeTab="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Fuel production" sheetId="29" r:id="rId8"/>
    <sheet name="Fuel combustion" sheetId="35" r:id="rId9"/>
    <sheet name="Forest residue processing" sheetId="30" r:id="rId10"/>
    <sheet name="Forest residue transportation" sheetId="31" r:id="rId11"/>
    <sheet name="Receiving handling and storage" sheetId="32" r:id="rId12"/>
    <sheet name="Forest residue preprocessing" sheetId="33" r:id="rId13"/>
    <sheet name="Pine collection" sheetId="36" r:id="rId14"/>
    <sheet name="Pine processing" sheetId="37" r:id="rId15"/>
    <sheet name="Pine transportation" sheetId="38" r:id="rId16"/>
    <sheet name="Pine handling and storage" sheetId="39" r:id="rId17"/>
    <sheet name="Pine preprocessing" sheetId="40" r:id="rId18"/>
  </sheets>
  <definedNames>
    <definedName name="bio_fuel_gas_end_use">'SI - End Use'!$C$6</definedName>
    <definedName name="biochar_end_use">'SI - End Use'!$C$8</definedName>
    <definedName name="biomass_resource">'SI - Resources'!$A$2:$A$5</definedName>
    <definedName name="chemicals_resource">'SI - Resources'!$E$2:$E$72</definedName>
    <definedName name="diesel_end_use">'SI - End Use'!$C$2:$H$2</definedName>
    <definedName name="electricity_end_use">'SI - End Use'!$C$7:$O$7</definedName>
    <definedName name="electricity_resource">'SI - Resources'!$D$2:$D$2</definedName>
    <definedName name="electricity_units">'SI - Units'!$B$9:$H$9</definedName>
    <definedName name="emission_resource">'SI - Resources'!$J$2:$J$13</definedName>
    <definedName name="energy">'SI - Units'!$B$8:$G$8</definedName>
    <definedName name="fuel_gas_end_use">'SI - End Use'!$C$5</definedName>
    <definedName name="fuel_resource">'SI - Resources'!$C$2:$C$12</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Use'!$C$9:$C$9</definedName>
    <definedName name="other_resource">'SI - Resources'!$I$2:$I$4</definedName>
    <definedName name="p_electricity_units">'SI - Units'!$B$20:$H$20</definedName>
    <definedName name="p_mass">'SI - Units'!$B$18:$F$18</definedName>
    <definedName name="p_mass_energy">'SI - Units'!$B$16:$M$16</definedName>
    <definedName name="p_mass_volume">'SI - Units'!$B$15:$K$15</definedName>
    <definedName name="p_mass_volume_energy">'SI - Units'!$B$14:$R$14</definedName>
    <definedName name="p_volume">'SI - Units'!$B$19:$F$19</definedName>
    <definedName name="p_volume_energy">'SI - Units'!$B$17:$M$17</definedName>
    <definedName name="payload_units">'SI - Units'!$B$11:$F$11</definedName>
    <definedName name="placeholder_resource">'SI - Resources'!$K$2:$K$2</definedName>
    <definedName name="rd_end_use">'SI - End Use'!$C$4:$E$4</definedName>
    <definedName name="transport_resource">'SI - Resources'!$H$2:$H$7</definedName>
    <definedName name="transport_units">'SI - Units'!$B$10:$E$10</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9" l="1"/>
  <c r="E6" i="29"/>
  <c r="E25" i="29" l="1"/>
  <c r="E26" i="29"/>
  <c r="I27" i="29"/>
  <c r="L27" i="29"/>
  <c r="M27" i="29"/>
  <c r="P27" i="29"/>
  <c r="Q27" i="29" s="1"/>
  <c r="P29" i="29"/>
  <c r="Q29" i="29" s="1"/>
  <c r="M29" i="29"/>
  <c r="L29" i="29"/>
  <c r="D29" i="29"/>
  <c r="M28" i="29"/>
  <c r="L28" i="29"/>
  <c r="I28" i="29"/>
  <c r="I25" i="29"/>
  <c r="L25" i="29"/>
  <c r="M25" i="29"/>
  <c r="L26" i="29"/>
  <c r="M26" i="29"/>
  <c r="P26" i="29"/>
  <c r="Q26" i="29" s="1"/>
  <c r="I11" i="29"/>
  <c r="L11" i="29"/>
  <c r="M11" i="29"/>
  <c r="P11" i="29"/>
  <c r="Q11" i="29" s="1"/>
  <c r="P99" i="40" l="1"/>
  <c r="Q99" i="40" s="1"/>
  <c r="M99" i="40"/>
  <c r="L99" i="40"/>
  <c r="I99" i="40"/>
  <c r="C99" i="40"/>
  <c r="D99" i="40" s="1"/>
  <c r="P98" i="40"/>
  <c r="Q98" i="40" s="1"/>
  <c r="M98" i="40"/>
  <c r="L98" i="40"/>
  <c r="I98" i="40"/>
  <c r="C98" i="40"/>
  <c r="F98" i="40" s="1" a="1"/>
  <c r="F98" i="40" s="1"/>
  <c r="P97" i="40"/>
  <c r="Q97" i="40" s="1"/>
  <c r="M97" i="40"/>
  <c r="L97" i="40"/>
  <c r="I97" i="40"/>
  <c r="C97" i="40"/>
  <c r="F97" i="40" s="1" a="1"/>
  <c r="F97" i="40" s="1"/>
  <c r="P96" i="40"/>
  <c r="Q96" i="40" s="1"/>
  <c r="M96" i="40"/>
  <c r="L96" i="40"/>
  <c r="I96" i="40"/>
  <c r="C96" i="40"/>
  <c r="F96" i="40" s="1" a="1"/>
  <c r="F96" i="40" s="1"/>
  <c r="P95" i="40"/>
  <c r="Q95" i="40" s="1"/>
  <c r="M95" i="40"/>
  <c r="L95" i="40"/>
  <c r="I95" i="40"/>
  <c r="C95" i="40"/>
  <c r="D95" i="40" s="1"/>
  <c r="P94" i="40"/>
  <c r="Q94" i="40" s="1"/>
  <c r="M94" i="40"/>
  <c r="L94" i="40"/>
  <c r="I94" i="40"/>
  <c r="C94" i="40"/>
  <c r="F94" i="40" s="1" a="1"/>
  <c r="F94" i="40" s="1"/>
  <c r="P93" i="40"/>
  <c r="Q93" i="40" s="1"/>
  <c r="M93" i="40"/>
  <c r="L93" i="40"/>
  <c r="I93" i="40"/>
  <c r="C93" i="40"/>
  <c r="F93" i="40" s="1" a="1"/>
  <c r="F93" i="40" s="1"/>
  <c r="P92" i="40"/>
  <c r="Q92" i="40" s="1"/>
  <c r="M92" i="40"/>
  <c r="L92" i="40"/>
  <c r="I92" i="40"/>
  <c r="C92" i="40"/>
  <c r="F92" i="40" s="1" a="1"/>
  <c r="F92" i="40" s="1"/>
  <c r="P91" i="40"/>
  <c r="Q91" i="40" s="1"/>
  <c r="M91" i="40"/>
  <c r="L91" i="40"/>
  <c r="I91" i="40"/>
  <c r="C91" i="40"/>
  <c r="D91" i="40" s="1"/>
  <c r="P90" i="40"/>
  <c r="Q90" i="40" s="1"/>
  <c r="M90" i="40"/>
  <c r="L90" i="40"/>
  <c r="I90" i="40"/>
  <c r="C90" i="40"/>
  <c r="F90" i="40" s="1" a="1"/>
  <c r="F90" i="40" s="1"/>
  <c r="P89" i="40"/>
  <c r="Q89" i="40" s="1"/>
  <c r="M89" i="40"/>
  <c r="L89" i="40"/>
  <c r="I89" i="40"/>
  <c r="C89" i="40"/>
  <c r="F89" i="40" s="1" a="1"/>
  <c r="F89" i="40" s="1"/>
  <c r="P88" i="40"/>
  <c r="Q88" i="40" s="1"/>
  <c r="M88" i="40"/>
  <c r="L88" i="40"/>
  <c r="I88" i="40"/>
  <c r="C88" i="40"/>
  <c r="F88" i="40" s="1" a="1"/>
  <c r="F88" i="40" s="1"/>
  <c r="P87" i="40"/>
  <c r="Q87" i="40" s="1"/>
  <c r="M87" i="40"/>
  <c r="L87" i="40"/>
  <c r="I87" i="40"/>
  <c r="C87" i="40"/>
  <c r="D87" i="40" s="1"/>
  <c r="P86" i="40"/>
  <c r="Q86" i="40" s="1"/>
  <c r="M86" i="40"/>
  <c r="L86" i="40"/>
  <c r="I86" i="40"/>
  <c r="C86" i="40"/>
  <c r="D86" i="40" s="1"/>
  <c r="P85" i="40"/>
  <c r="Q85" i="40" s="1"/>
  <c r="M85" i="40"/>
  <c r="L85" i="40"/>
  <c r="I85" i="40"/>
  <c r="C85" i="40"/>
  <c r="F85" i="40" s="1" a="1"/>
  <c r="F85" i="40" s="1"/>
  <c r="P84" i="40"/>
  <c r="Q84" i="40" s="1"/>
  <c r="M84" i="40"/>
  <c r="L84" i="40"/>
  <c r="I84" i="40"/>
  <c r="C84" i="40"/>
  <c r="F84" i="40" s="1" a="1"/>
  <c r="F84" i="40" s="1"/>
  <c r="P83" i="40"/>
  <c r="Q83" i="40" s="1"/>
  <c r="M83" i="40"/>
  <c r="L83" i="40"/>
  <c r="I83" i="40"/>
  <c r="C83" i="40"/>
  <c r="D83" i="40" s="1"/>
  <c r="P82" i="40"/>
  <c r="Q82" i="40" s="1"/>
  <c r="M82" i="40"/>
  <c r="L82" i="40"/>
  <c r="I82" i="40"/>
  <c r="C82" i="40"/>
  <c r="F82" i="40" s="1" a="1"/>
  <c r="F82" i="40" s="1"/>
  <c r="P81" i="40"/>
  <c r="Q81" i="40" s="1"/>
  <c r="M81" i="40"/>
  <c r="L81" i="40"/>
  <c r="I81" i="40"/>
  <c r="C81" i="40"/>
  <c r="F81" i="40" s="1" a="1"/>
  <c r="F81" i="40" s="1"/>
  <c r="P80" i="40"/>
  <c r="Q80" i="40" s="1"/>
  <c r="M80" i="40"/>
  <c r="L80" i="40"/>
  <c r="I80" i="40"/>
  <c r="C80" i="40"/>
  <c r="F80" i="40" s="1" a="1"/>
  <c r="F80" i="40" s="1"/>
  <c r="P79" i="40"/>
  <c r="Q79" i="40" s="1"/>
  <c r="M79" i="40"/>
  <c r="L79" i="40"/>
  <c r="I79" i="40"/>
  <c r="C79" i="40"/>
  <c r="D79" i="40" s="1"/>
  <c r="P78" i="40"/>
  <c r="Q78" i="40" s="1"/>
  <c r="M78" i="40"/>
  <c r="L78" i="40"/>
  <c r="I78" i="40"/>
  <c r="C78" i="40"/>
  <c r="F78" i="40" s="1" a="1"/>
  <c r="F78" i="40" s="1"/>
  <c r="P77" i="40"/>
  <c r="Q77" i="40" s="1"/>
  <c r="M77" i="40"/>
  <c r="L77" i="40"/>
  <c r="I77" i="40"/>
  <c r="C77" i="40"/>
  <c r="F77" i="40" s="1" a="1"/>
  <c r="F77" i="40" s="1"/>
  <c r="P76" i="40"/>
  <c r="Q76" i="40" s="1"/>
  <c r="M76" i="40"/>
  <c r="L76" i="40"/>
  <c r="I76" i="40"/>
  <c r="C76" i="40"/>
  <c r="F76" i="40" s="1" a="1"/>
  <c r="F76" i="40" s="1"/>
  <c r="P75" i="40"/>
  <c r="Q75" i="40" s="1"/>
  <c r="M75" i="40"/>
  <c r="L75" i="40"/>
  <c r="I75" i="40"/>
  <c r="C75" i="40"/>
  <c r="D75" i="40" s="1"/>
  <c r="P74" i="40"/>
  <c r="Q74" i="40" s="1"/>
  <c r="M74" i="40"/>
  <c r="L74" i="40"/>
  <c r="I74" i="40"/>
  <c r="C74" i="40"/>
  <c r="F74" i="40" s="1" a="1"/>
  <c r="F74" i="40" s="1"/>
  <c r="P73" i="40"/>
  <c r="Q73" i="40" s="1"/>
  <c r="M73" i="40"/>
  <c r="L73" i="40"/>
  <c r="I73" i="40"/>
  <c r="C73" i="40"/>
  <c r="F73" i="40" s="1" a="1"/>
  <c r="F73" i="40" s="1"/>
  <c r="P72" i="40"/>
  <c r="Q72" i="40" s="1"/>
  <c r="M72" i="40"/>
  <c r="L72" i="40"/>
  <c r="I72" i="40"/>
  <c r="C72" i="40"/>
  <c r="F72" i="40" s="1" a="1"/>
  <c r="F72" i="40" s="1"/>
  <c r="P71" i="40"/>
  <c r="Q71" i="40" s="1"/>
  <c r="M71" i="40"/>
  <c r="L71" i="40"/>
  <c r="I71" i="40"/>
  <c r="C71" i="40"/>
  <c r="F71" i="40" s="1" a="1"/>
  <c r="F71" i="40" s="1"/>
  <c r="P70" i="40"/>
  <c r="Q70" i="40" s="1"/>
  <c r="M70" i="40"/>
  <c r="L70" i="40"/>
  <c r="I70" i="40"/>
  <c r="C70" i="40"/>
  <c r="D70" i="40" s="1"/>
  <c r="P69" i="40"/>
  <c r="Q69" i="40" s="1"/>
  <c r="M69" i="40"/>
  <c r="L69" i="40"/>
  <c r="I69" i="40"/>
  <c r="C69" i="40"/>
  <c r="F69" i="40" s="1" a="1"/>
  <c r="F69" i="40" s="1"/>
  <c r="P68" i="40"/>
  <c r="Q68" i="40" s="1"/>
  <c r="M68" i="40"/>
  <c r="L68" i="40"/>
  <c r="I68" i="40"/>
  <c r="C68" i="40"/>
  <c r="F68" i="40" s="1" a="1"/>
  <c r="F68" i="40" s="1"/>
  <c r="P67" i="40"/>
  <c r="Q67" i="40" s="1"/>
  <c r="M67" i="40"/>
  <c r="L67" i="40"/>
  <c r="I67" i="40"/>
  <c r="C67" i="40"/>
  <c r="F67" i="40" s="1" a="1"/>
  <c r="F67" i="40" s="1"/>
  <c r="P66" i="40"/>
  <c r="Q66" i="40" s="1"/>
  <c r="M66" i="40"/>
  <c r="L66" i="40"/>
  <c r="I66" i="40"/>
  <c r="C66" i="40"/>
  <c r="F66" i="40" s="1" a="1"/>
  <c r="F66" i="40" s="1"/>
  <c r="P65" i="40"/>
  <c r="Q65" i="40" s="1"/>
  <c r="M65" i="40"/>
  <c r="L65" i="40"/>
  <c r="I65" i="40"/>
  <c r="C65" i="40"/>
  <c r="F65" i="40" s="1" a="1"/>
  <c r="F65" i="40" s="1"/>
  <c r="P64" i="40"/>
  <c r="Q64" i="40" s="1"/>
  <c r="M64" i="40"/>
  <c r="L64" i="40"/>
  <c r="I64" i="40"/>
  <c r="C64" i="40"/>
  <c r="F64" i="40" s="1" a="1"/>
  <c r="F64" i="40" s="1"/>
  <c r="P63" i="40"/>
  <c r="Q63" i="40" s="1"/>
  <c r="M63" i="40"/>
  <c r="L63" i="40"/>
  <c r="I63" i="40"/>
  <c r="C63" i="40"/>
  <c r="F63" i="40" s="1" a="1"/>
  <c r="F63" i="40" s="1"/>
  <c r="P62" i="40"/>
  <c r="Q62" i="40" s="1"/>
  <c r="M62" i="40"/>
  <c r="L62" i="40"/>
  <c r="I62" i="40"/>
  <c r="C62" i="40"/>
  <c r="D62" i="40" s="1"/>
  <c r="P61" i="40"/>
  <c r="Q61" i="40" s="1"/>
  <c r="M61" i="40"/>
  <c r="L61" i="40"/>
  <c r="I61" i="40"/>
  <c r="C61" i="40"/>
  <c r="F61" i="40" s="1" a="1"/>
  <c r="F61" i="40" s="1"/>
  <c r="P60" i="40"/>
  <c r="Q60" i="40" s="1"/>
  <c r="M60" i="40"/>
  <c r="L60" i="40"/>
  <c r="I60" i="40"/>
  <c r="C60" i="40"/>
  <c r="F60" i="40" s="1" a="1"/>
  <c r="F60" i="40" s="1"/>
  <c r="P59" i="40"/>
  <c r="Q59" i="40" s="1"/>
  <c r="M59" i="40"/>
  <c r="L59" i="40"/>
  <c r="I59" i="40"/>
  <c r="C59" i="40"/>
  <c r="F59" i="40" s="1" a="1"/>
  <c r="F59" i="40" s="1"/>
  <c r="P58" i="40"/>
  <c r="Q58" i="40" s="1"/>
  <c r="M58" i="40"/>
  <c r="L58" i="40"/>
  <c r="I58" i="40"/>
  <c r="C58" i="40"/>
  <c r="D58" i="40" s="1"/>
  <c r="P57" i="40"/>
  <c r="Q57" i="40" s="1"/>
  <c r="M57" i="40"/>
  <c r="L57" i="40"/>
  <c r="I57" i="40"/>
  <c r="C57" i="40"/>
  <c r="F57" i="40" s="1" a="1"/>
  <c r="F57" i="40" s="1"/>
  <c r="P56" i="40"/>
  <c r="Q56" i="40" s="1"/>
  <c r="M56" i="40"/>
  <c r="L56" i="40"/>
  <c r="I56" i="40"/>
  <c r="C56" i="40"/>
  <c r="F56" i="40" s="1" a="1"/>
  <c r="F56" i="40" s="1"/>
  <c r="P55" i="40"/>
  <c r="Q55" i="40" s="1"/>
  <c r="M55" i="40"/>
  <c r="L55" i="40"/>
  <c r="I55" i="40"/>
  <c r="C55" i="40"/>
  <c r="D55" i="40" s="1"/>
  <c r="P54" i="40"/>
  <c r="Q54" i="40" s="1"/>
  <c r="M54" i="40"/>
  <c r="L54" i="40"/>
  <c r="I54" i="40"/>
  <c r="C54" i="40"/>
  <c r="F54" i="40" s="1" a="1"/>
  <c r="F54" i="40" s="1"/>
  <c r="P53" i="40"/>
  <c r="Q53" i="40" s="1"/>
  <c r="M53" i="40"/>
  <c r="L53" i="40"/>
  <c r="I53" i="40"/>
  <c r="C53" i="40"/>
  <c r="F53" i="40" s="1" a="1"/>
  <c r="F53" i="40" s="1"/>
  <c r="P52" i="40"/>
  <c r="Q52" i="40" s="1"/>
  <c r="M52" i="40"/>
  <c r="L52" i="40"/>
  <c r="I52" i="40"/>
  <c r="C52" i="40"/>
  <c r="F52" i="40" s="1" a="1"/>
  <c r="F52" i="40" s="1"/>
  <c r="P51" i="40"/>
  <c r="Q51" i="40" s="1"/>
  <c r="M51" i="40"/>
  <c r="L51" i="40"/>
  <c r="I51" i="40"/>
  <c r="C51" i="40"/>
  <c r="D51" i="40" s="1"/>
  <c r="P50" i="40"/>
  <c r="Q50" i="40" s="1"/>
  <c r="M50" i="40"/>
  <c r="L50" i="40"/>
  <c r="I50" i="40"/>
  <c r="C50" i="40"/>
  <c r="F50" i="40" s="1" a="1"/>
  <c r="F50" i="40" s="1"/>
  <c r="P49" i="40"/>
  <c r="Q49" i="40" s="1"/>
  <c r="M49" i="40"/>
  <c r="L49" i="40"/>
  <c r="I49" i="40"/>
  <c r="C49" i="40"/>
  <c r="F49" i="40" s="1" a="1"/>
  <c r="F49" i="40" s="1"/>
  <c r="P48" i="40"/>
  <c r="Q48" i="40" s="1"/>
  <c r="M48" i="40"/>
  <c r="L48" i="40"/>
  <c r="I48" i="40"/>
  <c r="C48" i="40"/>
  <c r="F48" i="40" s="1" a="1"/>
  <c r="F48" i="40" s="1"/>
  <c r="P47" i="40"/>
  <c r="Q47" i="40" s="1"/>
  <c r="M47" i="40"/>
  <c r="L47" i="40"/>
  <c r="I47" i="40"/>
  <c r="C47" i="40"/>
  <c r="F47" i="40" s="1" a="1"/>
  <c r="F47" i="40" s="1"/>
  <c r="P46" i="40"/>
  <c r="Q46" i="40" s="1"/>
  <c r="M46" i="40"/>
  <c r="L46" i="40"/>
  <c r="I46" i="40"/>
  <c r="C46" i="40"/>
  <c r="F46" i="40" s="1" a="1"/>
  <c r="F46" i="40" s="1"/>
  <c r="P45" i="40"/>
  <c r="Q45" i="40" s="1"/>
  <c r="M45" i="40"/>
  <c r="L45" i="40"/>
  <c r="I45" i="40"/>
  <c r="C45" i="40"/>
  <c r="F45" i="40" s="1" a="1"/>
  <c r="F45" i="40" s="1"/>
  <c r="P44" i="40"/>
  <c r="Q44" i="40" s="1"/>
  <c r="M44" i="40"/>
  <c r="L44" i="40"/>
  <c r="I44" i="40"/>
  <c r="C44" i="40"/>
  <c r="F44" i="40" s="1" a="1"/>
  <c r="F44" i="40" s="1"/>
  <c r="P43" i="40"/>
  <c r="Q43" i="40" s="1"/>
  <c r="M43" i="40"/>
  <c r="L43" i="40"/>
  <c r="I43" i="40"/>
  <c r="C43" i="40"/>
  <c r="F43" i="40" s="1" a="1"/>
  <c r="F43" i="40" s="1"/>
  <c r="P42" i="40"/>
  <c r="Q42" i="40" s="1"/>
  <c r="M42" i="40"/>
  <c r="L42" i="40"/>
  <c r="I42" i="40"/>
  <c r="C42" i="40"/>
  <c r="F42" i="40" s="1" a="1"/>
  <c r="F42" i="40" s="1"/>
  <c r="P41" i="40"/>
  <c r="Q41" i="40" s="1"/>
  <c r="M41" i="40"/>
  <c r="L41" i="40"/>
  <c r="I41" i="40"/>
  <c r="C41" i="40"/>
  <c r="F41" i="40" s="1" a="1"/>
  <c r="F41" i="40" s="1"/>
  <c r="P40" i="40"/>
  <c r="Q40" i="40" s="1"/>
  <c r="M40" i="40"/>
  <c r="L40" i="40"/>
  <c r="I40" i="40"/>
  <c r="C40" i="40"/>
  <c r="F40" i="40" s="1" a="1"/>
  <c r="F40" i="40" s="1"/>
  <c r="P39" i="40"/>
  <c r="Q39" i="40" s="1"/>
  <c r="M39" i="40"/>
  <c r="L39" i="40"/>
  <c r="I39" i="40"/>
  <c r="C39" i="40"/>
  <c r="F39" i="40" s="1" a="1"/>
  <c r="F39" i="40" s="1"/>
  <c r="P38" i="40"/>
  <c r="Q38" i="40" s="1"/>
  <c r="M38" i="40"/>
  <c r="L38" i="40"/>
  <c r="I38" i="40"/>
  <c r="C38" i="40"/>
  <c r="F38" i="40" s="1" a="1"/>
  <c r="F38" i="40" s="1"/>
  <c r="P37" i="40"/>
  <c r="Q37" i="40" s="1"/>
  <c r="M37" i="40"/>
  <c r="L37" i="40"/>
  <c r="I37" i="40"/>
  <c r="C37" i="40"/>
  <c r="F37" i="40" s="1" a="1"/>
  <c r="F37" i="40" s="1"/>
  <c r="P36" i="40"/>
  <c r="Q36" i="40" s="1"/>
  <c r="M36" i="40"/>
  <c r="L36" i="40"/>
  <c r="I36" i="40"/>
  <c r="C36" i="40"/>
  <c r="F36" i="40" s="1" a="1"/>
  <c r="F36" i="40" s="1"/>
  <c r="P35" i="40"/>
  <c r="Q35" i="40" s="1"/>
  <c r="M35" i="40"/>
  <c r="L35" i="40"/>
  <c r="I35" i="40"/>
  <c r="C35" i="40"/>
  <c r="F35" i="40" s="1" a="1"/>
  <c r="F35" i="40" s="1"/>
  <c r="P34" i="40"/>
  <c r="Q34" i="40" s="1"/>
  <c r="M34" i="40"/>
  <c r="L34" i="40"/>
  <c r="I34" i="40"/>
  <c r="C34" i="40"/>
  <c r="F34" i="40" s="1" a="1"/>
  <c r="F34" i="40" s="1"/>
  <c r="P33" i="40"/>
  <c r="Q33" i="40" s="1"/>
  <c r="M33" i="40"/>
  <c r="L33" i="40"/>
  <c r="I33" i="40"/>
  <c r="C33" i="40"/>
  <c r="F33" i="40" s="1" a="1"/>
  <c r="F33" i="40" s="1"/>
  <c r="P32" i="40"/>
  <c r="Q32" i="40" s="1"/>
  <c r="M32" i="40"/>
  <c r="L32" i="40"/>
  <c r="I32" i="40"/>
  <c r="C32" i="40"/>
  <c r="F32" i="40" s="1" a="1"/>
  <c r="F32" i="40" s="1"/>
  <c r="P31" i="40"/>
  <c r="Q31" i="40" s="1"/>
  <c r="M31" i="40"/>
  <c r="L31" i="40"/>
  <c r="I31" i="40"/>
  <c r="C31" i="40"/>
  <c r="D31" i="40" s="1"/>
  <c r="P30" i="40"/>
  <c r="Q30" i="40" s="1"/>
  <c r="M30" i="40"/>
  <c r="L30" i="40"/>
  <c r="I30" i="40"/>
  <c r="C30" i="40"/>
  <c r="F30" i="40" s="1" a="1"/>
  <c r="F30" i="40" s="1"/>
  <c r="P29" i="40"/>
  <c r="Q29" i="40" s="1"/>
  <c r="M29" i="40"/>
  <c r="L29" i="40"/>
  <c r="I29" i="40"/>
  <c r="C29" i="40"/>
  <c r="F29" i="40" s="1" a="1"/>
  <c r="F29" i="40" s="1"/>
  <c r="P28" i="40"/>
  <c r="Q28" i="40" s="1"/>
  <c r="M28" i="40"/>
  <c r="L28" i="40"/>
  <c r="I28" i="40"/>
  <c r="C28" i="40"/>
  <c r="F28" i="40" s="1" a="1"/>
  <c r="F28" i="40" s="1"/>
  <c r="P27" i="40"/>
  <c r="Q27" i="40" s="1"/>
  <c r="M27" i="40"/>
  <c r="L27" i="40"/>
  <c r="I27" i="40"/>
  <c r="C27" i="40"/>
  <c r="D27" i="40" s="1"/>
  <c r="P26" i="40"/>
  <c r="Q26" i="40" s="1"/>
  <c r="M26" i="40"/>
  <c r="L26" i="40"/>
  <c r="I26" i="40"/>
  <c r="C26" i="40"/>
  <c r="F26" i="40" s="1" a="1"/>
  <c r="F26" i="40" s="1"/>
  <c r="P25" i="40"/>
  <c r="Q25" i="40" s="1"/>
  <c r="M25" i="40"/>
  <c r="L25" i="40"/>
  <c r="I25" i="40"/>
  <c r="C25" i="40"/>
  <c r="F25" i="40" s="1" a="1"/>
  <c r="F25" i="40" s="1"/>
  <c r="P24" i="40"/>
  <c r="Q24" i="40" s="1"/>
  <c r="M24" i="40"/>
  <c r="L24" i="40"/>
  <c r="I24" i="40"/>
  <c r="C24" i="40"/>
  <c r="F24" i="40" s="1" a="1"/>
  <c r="F24" i="40" s="1"/>
  <c r="P23" i="40"/>
  <c r="Q23" i="40" s="1"/>
  <c r="M23" i="40"/>
  <c r="L23" i="40"/>
  <c r="I23" i="40"/>
  <c r="C23" i="40"/>
  <c r="F23" i="40" s="1" a="1"/>
  <c r="F23" i="40" s="1"/>
  <c r="P22" i="40"/>
  <c r="Q22" i="40" s="1"/>
  <c r="M22" i="40"/>
  <c r="L22" i="40"/>
  <c r="I22" i="40"/>
  <c r="C22" i="40"/>
  <c r="F22" i="40" s="1" a="1"/>
  <c r="F22" i="40" s="1"/>
  <c r="P21" i="40"/>
  <c r="Q21" i="40" s="1"/>
  <c r="M21" i="40"/>
  <c r="L21" i="40"/>
  <c r="I21" i="40"/>
  <c r="C21" i="40"/>
  <c r="F21" i="40" s="1" a="1"/>
  <c r="F21" i="40" s="1"/>
  <c r="P20" i="40"/>
  <c r="Q20" i="40" s="1"/>
  <c r="M20" i="40"/>
  <c r="L20" i="40"/>
  <c r="I20" i="40"/>
  <c r="C20" i="40"/>
  <c r="F20" i="40" s="1" a="1"/>
  <c r="F20" i="40" s="1"/>
  <c r="P19" i="40"/>
  <c r="Q19" i="40" s="1"/>
  <c r="M19" i="40"/>
  <c r="L19" i="40"/>
  <c r="I19" i="40"/>
  <c r="C19" i="40"/>
  <c r="F19" i="40" s="1" a="1"/>
  <c r="F19" i="40" s="1"/>
  <c r="P18" i="40"/>
  <c r="Q18" i="40" s="1"/>
  <c r="M18" i="40"/>
  <c r="L18" i="40"/>
  <c r="I18" i="40"/>
  <c r="C18" i="40"/>
  <c r="F18" i="40" s="1" a="1"/>
  <c r="F18" i="40" s="1"/>
  <c r="P17" i="40"/>
  <c r="Q17" i="40" s="1"/>
  <c r="M17" i="40"/>
  <c r="L17" i="40"/>
  <c r="I17" i="40"/>
  <c r="C17" i="40"/>
  <c r="F17" i="40" s="1" a="1"/>
  <c r="F17" i="40" s="1"/>
  <c r="P16" i="40"/>
  <c r="Q16" i="40" s="1"/>
  <c r="M16" i="40"/>
  <c r="L16" i="40"/>
  <c r="I16" i="40"/>
  <c r="C16" i="40"/>
  <c r="F16" i="40" s="1" a="1"/>
  <c r="F16" i="40" s="1"/>
  <c r="P15" i="40"/>
  <c r="Q15" i="40" s="1"/>
  <c r="M15" i="40"/>
  <c r="L15" i="40"/>
  <c r="I15" i="40"/>
  <c r="C15" i="40"/>
  <c r="F15" i="40" s="1" a="1"/>
  <c r="F15" i="40" s="1"/>
  <c r="P14" i="40"/>
  <c r="Q14" i="40" s="1"/>
  <c r="M14" i="40"/>
  <c r="L14" i="40"/>
  <c r="I14" i="40"/>
  <c r="C14" i="40"/>
  <c r="F14" i="40" s="1" a="1"/>
  <c r="F14" i="40" s="1"/>
  <c r="P13" i="40"/>
  <c r="Q13" i="40" s="1"/>
  <c r="M13" i="40"/>
  <c r="L13" i="40"/>
  <c r="I13" i="40"/>
  <c r="C13" i="40"/>
  <c r="F13" i="40" s="1" a="1"/>
  <c r="F13" i="40" s="1"/>
  <c r="P12" i="40"/>
  <c r="Q12" i="40" s="1"/>
  <c r="M12" i="40"/>
  <c r="L12" i="40"/>
  <c r="I12" i="40"/>
  <c r="C12" i="40"/>
  <c r="F12" i="40" s="1" a="1"/>
  <c r="F12" i="40" s="1"/>
  <c r="P11" i="40"/>
  <c r="Q11" i="40" s="1"/>
  <c r="M11" i="40"/>
  <c r="L11" i="40"/>
  <c r="I11" i="40"/>
  <c r="C11" i="40"/>
  <c r="F11" i="40" s="1" a="1"/>
  <c r="F11" i="40" s="1"/>
  <c r="P10" i="40"/>
  <c r="Q10" i="40" s="1"/>
  <c r="M10" i="40"/>
  <c r="L10" i="40"/>
  <c r="I10" i="40"/>
  <c r="C10" i="40"/>
  <c r="F10" i="40" s="1" a="1"/>
  <c r="F10" i="40" s="1"/>
  <c r="P9" i="40"/>
  <c r="Q9" i="40" s="1"/>
  <c r="M9" i="40"/>
  <c r="L9" i="40"/>
  <c r="I9" i="40"/>
  <c r="C9" i="40"/>
  <c r="F9" i="40" s="1" a="1"/>
  <c r="F9" i="40" s="1"/>
  <c r="Q8" i="40"/>
  <c r="P8" i="40"/>
  <c r="M8" i="40"/>
  <c r="L8" i="40"/>
  <c r="I8" i="40"/>
  <c r="D8" i="40"/>
  <c r="Q7" i="40"/>
  <c r="P7" i="40"/>
  <c r="M7" i="40"/>
  <c r="L7" i="40"/>
  <c r="I7" i="40"/>
  <c r="P6" i="40"/>
  <c r="Q6" i="40" s="1"/>
  <c r="M6" i="40"/>
  <c r="L6" i="40"/>
  <c r="I6" i="40"/>
  <c r="D6" i="40"/>
  <c r="P100" i="39"/>
  <c r="Q100" i="39" s="1"/>
  <c r="M100" i="39"/>
  <c r="L100" i="39"/>
  <c r="I100" i="39"/>
  <c r="C100" i="39"/>
  <c r="D100" i="39" s="1"/>
  <c r="P99" i="39"/>
  <c r="Q99" i="39" s="1"/>
  <c r="M99" i="39"/>
  <c r="L99" i="39"/>
  <c r="I99" i="39"/>
  <c r="C99" i="39"/>
  <c r="D99" i="39" s="1"/>
  <c r="P98" i="39"/>
  <c r="Q98" i="39" s="1"/>
  <c r="M98" i="39"/>
  <c r="L98" i="39"/>
  <c r="I98" i="39"/>
  <c r="C98" i="39"/>
  <c r="F98" i="39" s="1" a="1"/>
  <c r="F98" i="39" s="1"/>
  <c r="P97" i="39"/>
  <c r="Q97" i="39" s="1"/>
  <c r="M97" i="39"/>
  <c r="L97" i="39"/>
  <c r="I97" i="39"/>
  <c r="C97" i="39"/>
  <c r="D97" i="39" s="1"/>
  <c r="P96" i="39"/>
  <c r="Q96" i="39" s="1"/>
  <c r="M96" i="39"/>
  <c r="L96" i="39"/>
  <c r="I96" i="39"/>
  <c r="C96" i="39"/>
  <c r="D96" i="39" s="1"/>
  <c r="P95" i="39"/>
  <c r="Q95" i="39" s="1"/>
  <c r="M95" i="39"/>
  <c r="L95" i="39"/>
  <c r="I95" i="39"/>
  <c r="C95" i="39"/>
  <c r="D95" i="39" s="1"/>
  <c r="P94" i="39"/>
  <c r="Q94" i="39" s="1"/>
  <c r="M94" i="39"/>
  <c r="L94" i="39"/>
  <c r="I94" i="39"/>
  <c r="C94" i="39"/>
  <c r="F94" i="39" s="1" a="1"/>
  <c r="F94" i="39" s="1"/>
  <c r="P93" i="39"/>
  <c r="Q93" i="39" s="1"/>
  <c r="M93" i="39"/>
  <c r="L93" i="39"/>
  <c r="I93" i="39"/>
  <c r="C93" i="39"/>
  <c r="D93" i="39" s="1"/>
  <c r="P92" i="39"/>
  <c r="Q92" i="39" s="1"/>
  <c r="M92" i="39"/>
  <c r="L92" i="39"/>
  <c r="I92" i="39"/>
  <c r="C92" i="39"/>
  <c r="D92" i="39" s="1"/>
  <c r="P91" i="39"/>
  <c r="Q91" i="39" s="1"/>
  <c r="M91" i="39"/>
  <c r="L91" i="39"/>
  <c r="I91" i="39"/>
  <c r="C91" i="39"/>
  <c r="D91" i="39" s="1"/>
  <c r="P90" i="39"/>
  <c r="Q90" i="39" s="1"/>
  <c r="M90" i="39"/>
  <c r="L90" i="39"/>
  <c r="I90" i="39"/>
  <c r="C90" i="39"/>
  <c r="F90" i="39" s="1" a="1"/>
  <c r="F90" i="39" s="1"/>
  <c r="P89" i="39"/>
  <c r="Q89" i="39" s="1"/>
  <c r="M89" i="39"/>
  <c r="L89" i="39"/>
  <c r="I89" i="39"/>
  <c r="C89" i="39"/>
  <c r="D89" i="39" s="1"/>
  <c r="P88" i="39"/>
  <c r="Q88" i="39" s="1"/>
  <c r="M88" i="39"/>
  <c r="L88" i="39"/>
  <c r="I88" i="39"/>
  <c r="C88" i="39"/>
  <c r="D88" i="39" s="1"/>
  <c r="P87" i="39"/>
  <c r="Q87" i="39" s="1"/>
  <c r="M87" i="39"/>
  <c r="L87" i="39"/>
  <c r="I87" i="39"/>
  <c r="C87" i="39"/>
  <c r="D87" i="39" s="1"/>
  <c r="P86" i="39"/>
  <c r="Q86" i="39" s="1"/>
  <c r="M86" i="39"/>
  <c r="L86" i="39"/>
  <c r="I86" i="39"/>
  <c r="C86" i="39"/>
  <c r="F86" i="39" s="1" a="1"/>
  <c r="F86" i="39" s="1"/>
  <c r="P85" i="39"/>
  <c r="Q85" i="39" s="1"/>
  <c r="M85" i="39"/>
  <c r="L85" i="39"/>
  <c r="I85" i="39"/>
  <c r="C85" i="39"/>
  <c r="D85" i="39" s="1"/>
  <c r="P84" i="39"/>
  <c r="Q84" i="39" s="1"/>
  <c r="M84" i="39"/>
  <c r="L84" i="39"/>
  <c r="I84" i="39"/>
  <c r="C84" i="39"/>
  <c r="F84" i="39" s="1" a="1"/>
  <c r="F84" i="39" s="1"/>
  <c r="P83" i="39"/>
  <c r="Q83" i="39" s="1"/>
  <c r="M83" i="39"/>
  <c r="L83" i="39"/>
  <c r="I83" i="39"/>
  <c r="C83" i="39"/>
  <c r="D83" i="39" s="1"/>
  <c r="P82" i="39"/>
  <c r="Q82" i="39" s="1"/>
  <c r="M82" i="39"/>
  <c r="L82" i="39"/>
  <c r="I82" i="39"/>
  <c r="C82" i="39"/>
  <c r="F82" i="39" s="1" a="1"/>
  <c r="F82" i="39" s="1"/>
  <c r="P81" i="39"/>
  <c r="Q81" i="39" s="1"/>
  <c r="M81" i="39"/>
  <c r="L81" i="39"/>
  <c r="I81" i="39"/>
  <c r="C81" i="39"/>
  <c r="D81" i="39" s="1"/>
  <c r="P80" i="39"/>
  <c r="Q80" i="39" s="1"/>
  <c r="M80" i="39"/>
  <c r="L80" i="39"/>
  <c r="I80" i="39"/>
  <c r="C80" i="39"/>
  <c r="F80" i="39" s="1" a="1"/>
  <c r="F80" i="39" s="1"/>
  <c r="P79" i="39"/>
  <c r="Q79" i="39" s="1"/>
  <c r="M79" i="39"/>
  <c r="L79" i="39"/>
  <c r="I79" i="39"/>
  <c r="C79" i="39"/>
  <c r="D79" i="39" s="1"/>
  <c r="P78" i="39"/>
  <c r="Q78" i="39" s="1"/>
  <c r="M78" i="39"/>
  <c r="L78" i="39"/>
  <c r="I78" i="39"/>
  <c r="C78" i="39"/>
  <c r="F78" i="39" s="1" a="1"/>
  <c r="F78" i="39" s="1"/>
  <c r="P77" i="39"/>
  <c r="Q77" i="39" s="1"/>
  <c r="M77" i="39"/>
  <c r="L77" i="39"/>
  <c r="I77" i="39"/>
  <c r="C77" i="39"/>
  <c r="D77" i="39" s="1"/>
  <c r="P76" i="39"/>
  <c r="Q76" i="39" s="1"/>
  <c r="M76" i="39"/>
  <c r="L76" i="39"/>
  <c r="I76" i="39"/>
  <c r="C76" i="39"/>
  <c r="F76" i="39" s="1" a="1"/>
  <c r="F76" i="39" s="1"/>
  <c r="P75" i="39"/>
  <c r="Q75" i="39" s="1"/>
  <c r="M75" i="39"/>
  <c r="L75" i="39"/>
  <c r="I75" i="39"/>
  <c r="C75" i="39"/>
  <c r="D75" i="39" s="1"/>
  <c r="P74" i="39"/>
  <c r="Q74" i="39" s="1"/>
  <c r="M74" i="39"/>
  <c r="L74" i="39"/>
  <c r="I74" i="39"/>
  <c r="C74" i="39"/>
  <c r="F74" i="39" s="1" a="1"/>
  <c r="F74" i="39" s="1"/>
  <c r="P73" i="39"/>
  <c r="Q73" i="39" s="1"/>
  <c r="M73" i="39"/>
  <c r="L73" i="39"/>
  <c r="I73" i="39"/>
  <c r="C73" i="39"/>
  <c r="D73" i="39" s="1"/>
  <c r="P72" i="39"/>
  <c r="Q72" i="39" s="1"/>
  <c r="M72" i="39"/>
  <c r="L72" i="39"/>
  <c r="I72" i="39"/>
  <c r="C72" i="39"/>
  <c r="F72" i="39" s="1" a="1"/>
  <c r="F72" i="39" s="1"/>
  <c r="P71" i="39"/>
  <c r="Q71" i="39" s="1"/>
  <c r="M71" i="39"/>
  <c r="L71" i="39"/>
  <c r="I71" i="39"/>
  <c r="C71" i="39"/>
  <c r="D71" i="39" s="1"/>
  <c r="P70" i="39"/>
  <c r="Q70" i="39" s="1"/>
  <c r="M70" i="39"/>
  <c r="L70" i="39"/>
  <c r="I70" i="39"/>
  <c r="C70" i="39"/>
  <c r="F70" i="39" s="1" a="1"/>
  <c r="F70" i="39" s="1"/>
  <c r="P69" i="39"/>
  <c r="Q69" i="39" s="1"/>
  <c r="M69" i="39"/>
  <c r="L69" i="39"/>
  <c r="I69" i="39"/>
  <c r="C69" i="39"/>
  <c r="D69" i="39" s="1"/>
  <c r="P68" i="39"/>
  <c r="Q68" i="39" s="1"/>
  <c r="M68" i="39"/>
  <c r="L68" i="39"/>
  <c r="I68" i="39"/>
  <c r="C68" i="39"/>
  <c r="F68" i="39" s="1" a="1"/>
  <c r="F68" i="39" s="1"/>
  <c r="P67" i="39"/>
  <c r="Q67" i="39" s="1"/>
  <c r="M67" i="39"/>
  <c r="L67" i="39"/>
  <c r="I67" i="39"/>
  <c r="C67" i="39"/>
  <c r="D67" i="39" s="1"/>
  <c r="P66" i="39"/>
  <c r="Q66" i="39" s="1"/>
  <c r="M66" i="39"/>
  <c r="L66" i="39"/>
  <c r="I66" i="39"/>
  <c r="C66" i="39"/>
  <c r="F66" i="39" s="1" a="1"/>
  <c r="F66" i="39" s="1"/>
  <c r="P65" i="39"/>
  <c r="Q65" i="39" s="1"/>
  <c r="M65" i="39"/>
  <c r="L65" i="39"/>
  <c r="I65" i="39"/>
  <c r="C65" i="39"/>
  <c r="D65" i="39" s="1"/>
  <c r="P64" i="39"/>
  <c r="Q64" i="39" s="1"/>
  <c r="M64" i="39"/>
  <c r="L64" i="39"/>
  <c r="I64" i="39"/>
  <c r="C64" i="39"/>
  <c r="F64" i="39" s="1" a="1"/>
  <c r="F64" i="39" s="1"/>
  <c r="P63" i="39"/>
  <c r="Q63" i="39" s="1"/>
  <c r="M63" i="39"/>
  <c r="L63" i="39"/>
  <c r="I63" i="39"/>
  <c r="C63" i="39"/>
  <c r="D63" i="39" s="1"/>
  <c r="P62" i="39"/>
  <c r="Q62" i="39" s="1"/>
  <c r="M62" i="39"/>
  <c r="L62" i="39"/>
  <c r="I62" i="39"/>
  <c r="C62" i="39"/>
  <c r="F62" i="39" s="1" a="1"/>
  <c r="F62" i="39" s="1"/>
  <c r="P61" i="39"/>
  <c r="Q61" i="39" s="1"/>
  <c r="M61" i="39"/>
  <c r="L61" i="39"/>
  <c r="I61" i="39"/>
  <c r="C61" i="39"/>
  <c r="D61" i="39" s="1"/>
  <c r="P60" i="39"/>
  <c r="Q60" i="39" s="1"/>
  <c r="M60" i="39"/>
  <c r="L60" i="39"/>
  <c r="I60" i="39"/>
  <c r="C60" i="39"/>
  <c r="D60" i="39" s="1"/>
  <c r="P59" i="39"/>
  <c r="Q59" i="39" s="1"/>
  <c r="M59" i="39"/>
  <c r="L59" i="39"/>
  <c r="I59" i="39"/>
  <c r="C59" i="39"/>
  <c r="D59" i="39" s="1"/>
  <c r="P58" i="39"/>
  <c r="Q58" i="39" s="1"/>
  <c r="M58" i="39"/>
  <c r="L58" i="39"/>
  <c r="I58" i="39"/>
  <c r="C58" i="39"/>
  <c r="F58" i="39" s="1" a="1"/>
  <c r="F58" i="39" s="1"/>
  <c r="P57" i="39"/>
  <c r="Q57" i="39" s="1"/>
  <c r="M57" i="39"/>
  <c r="L57" i="39"/>
  <c r="I57" i="39"/>
  <c r="C57" i="39"/>
  <c r="F57" i="39" s="1" a="1"/>
  <c r="F57" i="39" s="1"/>
  <c r="P56" i="39"/>
  <c r="Q56" i="39" s="1"/>
  <c r="M56" i="39"/>
  <c r="L56" i="39"/>
  <c r="I56" i="39"/>
  <c r="C56" i="39"/>
  <c r="D56" i="39" s="1"/>
  <c r="P55" i="39"/>
  <c r="Q55" i="39" s="1"/>
  <c r="M55" i="39"/>
  <c r="L55" i="39"/>
  <c r="I55" i="39"/>
  <c r="C55" i="39"/>
  <c r="D55" i="39" s="1"/>
  <c r="P54" i="39"/>
  <c r="Q54" i="39" s="1"/>
  <c r="M54" i="39"/>
  <c r="L54" i="39"/>
  <c r="I54" i="39"/>
  <c r="C54" i="39"/>
  <c r="F54" i="39" s="1" a="1"/>
  <c r="F54" i="39" s="1"/>
  <c r="P53" i="39"/>
  <c r="Q53" i="39" s="1"/>
  <c r="M53" i="39"/>
  <c r="L53" i="39"/>
  <c r="I53" i="39"/>
  <c r="C53" i="39"/>
  <c r="F53" i="39" s="1" a="1"/>
  <c r="F53" i="39" s="1"/>
  <c r="P52" i="39"/>
  <c r="Q52" i="39" s="1"/>
  <c r="M52" i="39"/>
  <c r="L52" i="39"/>
  <c r="I52" i="39"/>
  <c r="C52" i="39"/>
  <c r="D52" i="39" s="1"/>
  <c r="P51" i="39"/>
  <c r="Q51" i="39" s="1"/>
  <c r="M51" i="39"/>
  <c r="L51" i="39"/>
  <c r="I51" i="39"/>
  <c r="C51" i="39"/>
  <c r="D51" i="39" s="1"/>
  <c r="P50" i="39"/>
  <c r="Q50" i="39" s="1"/>
  <c r="M50" i="39"/>
  <c r="L50" i="39"/>
  <c r="I50" i="39"/>
  <c r="C50" i="39"/>
  <c r="F50" i="39" s="1" a="1"/>
  <c r="F50" i="39" s="1"/>
  <c r="P49" i="39"/>
  <c r="Q49" i="39" s="1"/>
  <c r="M49" i="39"/>
  <c r="L49" i="39"/>
  <c r="I49" i="39"/>
  <c r="C49" i="39"/>
  <c r="D49" i="39" s="1"/>
  <c r="P48" i="39"/>
  <c r="Q48" i="39" s="1"/>
  <c r="M48" i="39"/>
  <c r="L48" i="39"/>
  <c r="I48" i="39"/>
  <c r="C48" i="39"/>
  <c r="D48" i="39" s="1"/>
  <c r="P47" i="39"/>
  <c r="Q47" i="39" s="1"/>
  <c r="M47" i="39"/>
  <c r="L47" i="39"/>
  <c r="I47" i="39"/>
  <c r="C47" i="39"/>
  <c r="D47" i="39" s="1"/>
  <c r="P46" i="39"/>
  <c r="Q46" i="39" s="1"/>
  <c r="M46" i="39"/>
  <c r="L46" i="39"/>
  <c r="I46" i="39"/>
  <c r="C46" i="39"/>
  <c r="F46" i="39" s="1" a="1"/>
  <c r="F46" i="39" s="1"/>
  <c r="P45" i="39"/>
  <c r="Q45" i="39" s="1"/>
  <c r="M45" i="39"/>
  <c r="L45" i="39"/>
  <c r="I45" i="39"/>
  <c r="C45" i="39"/>
  <c r="D45" i="39" s="1"/>
  <c r="P44" i="39"/>
  <c r="Q44" i="39" s="1"/>
  <c r="M44" i="39"/>
  <c r="L44" i="39"/>
  <c r="I44" i="39"/>
  <c r="C44" i="39"/>
  <c r="D44" i="39" s="1"/>
  <c r="P43" i="39"/>
  <c r="Q43" i="39" s="1"/>
  <c r="M43" i="39"/>
  <c r="L43" i="39"/>
  <c r="I43" i="39"/>
  <c r="C43" i="39"/>
  <c r="D43" i="39" s="1"/>
  <c r="P42" i="39"/>
  <c r="Q42" i="39" s="1"/>
  <c r="M42" i="39"/>
  <c r="L42" i="39"/>
  <c r="I42" i="39"/>
  <c r="C42" i="39"/>
  <c r="F42" i="39" s="1" a="1"/>
  <c r="F42" i="39" s="1"/>
  <c r="P41" i="39"/>
  <c r="Q41" i="39" s="1"/>
  <c r="M41" i="39"/>
  <c r="L41" i="39"/>
  <c r="I41" i="39"/>
  <c r="C41" i="39"/>
  <c r="F41" i="39" s="1" a="1"/>
  <c r="F41" i="39" s="1"/>
  <c r="P40" i="39"/>
  <c r="Q40" i="39" s="1"/>
  <c r="M40" i="39"/>
  <c r="L40" i="39"/>
  <c r="I40" i="39"/>
  <c r="C40" i="39"/>
  <c r="D40" i="39" s="1"/>
  <c r="P39" i="39"/>
  <c r="Q39" i="39" s="1"/>
  <c r="M39" i="39"/>
  <c r="L39" i="39"/>
  <c r="I39" i="39"/>
  <c r="C39" i="39"/>
  <c r="D39" i="39" s="1"/>
  <c r="P38" i="39"/>
  <c r="Q38" i="39" s="1"/>
  <c r="M38" i="39"/>
  <c r="L38" i="39"/>
  <c r="I38" i="39"/>
  <c r="C38" i="39"/>
  <c r="F38" i="39" s="1" a="1"/>
  <c r="F38" i="39" s="1"/>
  <c r="P37" i="39"/>
  <c r="Q37" i="39" s="1"/>
  <c r="M37" i="39"/>
  <c r="L37" i="39"/>
  <c r="I37" i="39"/>
  <c r="C37" i="39"/>
  <c r="D37" i="39" s="1"/>
  <c r="P36" i="39"/>
  <c r="Q36" i="39" s="1"/>
  <c r="M36" i="39"/>
  <c r="L36" i="39"/>
  <c r="I36" i="39"/>
  <c r="C36" i="39"/>
  <c r="D36" i="39" s="1"/>
  <c r="P35" i="39"/>
  <c r="Q35" i="39" s="1"/>
  <c r="M35" i="39"/>
  <c r="L35" i="39"/>
  <c r="I35" i="39"/>
  <c r="C35" i="39"/>
  <c r="D35" i="39" s="1"/>
  <c r="P34" i="39"/>
  <c r="Q34" i="39" s="1"/>
  <c r="M34" i="39"/>
  <c r="L34" i="39"/>
  <c r="I34" i="39"/>
  <c r="C34" i="39"/>
  <c r="F34" i="39" s="1" a="1"/>
  <c r="F34" i="39" s="1"/>
  <c r="P33" i="39"/>
  <c r="Q33" i="39" s="1"/>
  <c r="M33" i="39"/>
  <c r="L33" i="39"/>
  <c r="I33" i="39"/>
  <c r="C33" i="39"/>
  <c r="F33" i="39" s="1" a="1"/>
  <c r="F33" i="39" s="1"/>
  <c r="P32" i="39"/>
  <c r="Q32" i="39" s="1"/>
  <c r="M32" i="39"/>
  <c r="L32" i="39"/>
  <c r="I32" i="39"/>
  <c r="C32" i="39"/>
  <c r="D32" i="39" s="1"/>
  <c r="P31" i="39"/>
  <c r="Q31" i="39" s="1"/>
  <c r="M31" i="39"/>
  <c r="L31" i="39"/>
  <c r="I31" i="39"/>
  <c r="C31" i="39"/>
  <c r="D31" i="39" s="1"/>
  <c r="P30" i="39"/>
  <c r="Q30" i="39" s="1"/>
  <c r="M30" i="39"/>
  <c r="L30" i="39"/>
  <c r="I30" i="39"/>
  <c r="C30" i="39"/>
  <c r="F30" i="39" s="1" a="1"/>
  <c r="F30" i="39" s="1"/>
  <c r="P29" i="39"/>
  <c r="Q29" i="39" s="1"/>
  <c r="M29" i="39"/>
  <c r="L29" i="39"/>
  <c r="I29" i="39"/>
  <c r="C29" i="39"/>
  <c r="F29" i="39" s="1" a="1"/>
  <c r="F29" i="39" s="1"/>
  <c r="P28" i="39"/>
  <c r="Q28" i="39" s="1"/>
  <c r="M28" i="39"/>
  <c r="L28" i="39"/>
  <c r="I28" i="39"/>
  <c r="C28" i="39"/>
  <c r="D28" i="39" s="1"/>
  <c r="P27" i="39"/>
  <c r="Q27" i="39" s="1"/>
  <c r="M27" i="39"/>
  <c r="L27" i="39"/>
  <c r="I27" i="39"/>
  <c r="C27" i="39"/>
  <c r="D27" i="39" s="1"/>
  <c r="P26" i="39"/>
  <c r="Q26" i="39" s="1"/>
  <c r="M26" i="39"/>
  <c r="L26" i="39"/>
  <c r="I26" i="39"/>
  <c r="C26" i="39"/>
  <c r="F26" i="39" s="1" a="1"/>
  <c r="F26" i="39" s="1"/>
  <c r="P25" i="39"/>
  <c r="Q25" i="39" s="1"/>
  <c r="M25" i="39"/>
  <c r="L25" i="39"/>
  <c r="I25" i="39"/>
  <c r="C25" i="39"/>
  <c r="D25" i="39" s="1"/>
  <c r="P24" i="39"/>
  <c r="Q24" i="39" s="1"/>
  <c r="M24" i="39"/>
  <c r="L24" i="39"/>
  <c r="I24" i="39"/>
  <c r="C24" i="39"/>
  <c r="D24" i="39" s="1"/>
  <c r="P23" i="39"/>
  <c r="Q23" i="39" s="1"/>
  <c r="M23" i="39"/>
  <c r="L23" i="39"/>
  <c r="I23" i="39"/>
  <c r="C23" i="39"/>
  <c r="D23" i="39" s="1"/>
  <c r="P22" i="39"/>
  <c r="Q22" i="39" s="1"/>
  <c r="M22" i="39"/>
  <c r="L22" i="39"/>
  <c r="I22" i="39"/>
  <c r="C22" i="39"/>
  <c r="F22" i="39" s="1" a="1"/>
  <c r="F22" i="39" s="1"/>
  <c r="P21" i="39"/>
  <c r="Q21" i="39" s="1"/>
  <c r="M21" i="39"/>
  <c r="L21" i="39"/>
  <c r="I21" i="39"/>
  <c r="C21" i="39"/>
  <c r="F21" i="39" s="1" a="1"/>
  <c r="F21" i="39" s="1"/>
  <c r="P20" i="39"/>
  <c r="Q20" i="39" s="1"/>
  <c r="M20" i="39"/>
  <c r="L20" i="39"/>
  <c r="I20" i="39"/>
  <c r="C20" i="39"/>
  <c r="D20" i="39" s="1"/>
  <c r="P19" i="39"/>
  <c r="Q19" i="39" s="1"/>
  <c r="M19" i="39"/>
  <c r="L19" i="39"/>
  <c r="I19" i="39"/>
  <c r="C19" i="39"/>
  <c r="D19" i="39" s="1"/>
  <c r="P18" i="39"/>
  <c r="Q18" i="39" s="1"/>
  <c r="M18" i="39"/>
  <c r="L18" i="39"/>
  <c r="I18" i="39"/>
  <c r="C18" i="39"/>
  <c r="F18" i="39" s="1" a="1"/>
  <c r="F18" i="39" s="1"/>
  <c r="P17" i="39"/>
  <c r="Q17" i="39" s="1"/>
  <c r="M17" i="39"/>
  <c r="L17" i="39"/>
  <c r="I17" i="39"/>
  <c r="C17" i="39"/>
  <c r="D17" i="39" s="1"/>
  <c r="P16" i="39"/>
  <c r="Q16" i="39" s="1"/>
  <c r="M16" i="39"/>
  <c r="L16" i="39"/>
  <c r="I16" i="39"/>
  <c r="C16" i="39"/>
  <c r="D16" i="39" s="1"/>
  <c r="P15" i="39"/>
  <c r="Q15" i="39" s="1"/>
  <c r="M15" i="39"/>
  <c r="L15" i="39"/>
  <c r="I15" i="39"/>
  <c r="C15" i="39"/>
  <c r="D15" i="39" s="1"/>
  <c r="P14" i="39"/>
  <c r="Q14" i="39" s="1"/>
  <c r="M14" i="39"/>
  <c r="L14" i="39"/>
  <c r="I14" i="39"/>
  <c r="C14" i="39"/>
  <c r="F14" i="39" s="1" a="1"/>
  <c r="F14" i="39" s="1"/>
  <c r="P13" i="39"/>
  <c r="Q13" i="39" s="1"/>
  <c r="M13" i="39"/>
  <c r="L13" i="39"/>
  <c r="I13" i="39"/>
  <c r="C13" i="39"/>
  <c r="F13" i="39" s="1" a="1"/>
  <c r="F13" i="39" s="1"/>
  <c r="P12" i="39"/>
  <c r="Q12" i="39" s="1"/>
  <c r="M12" i="39"/>
  <c r="L12" i="39"/>
  <c r="I12" i="39"/>
  <c r="C12" i="39"/>
  <c r="D12" i="39" s="1"/>
  <c r="P11" i="39"/>
  <c r="Q11" i="39" s="1"/>
  <c r="M11" i="39"/>
  <c r="L11" i="39"/>
  <c r="I11" i="39"/>
  <c r="C11" i="39"/>
  <c r="D11" i="39" s="1"/>
  <c r="P10" i="39"/>
  <c r="Q10" i="39" s="1"/>
  <c r="M10" i="39"/>
  <c r="L10" i="39"/>
  <c r="I10" i="39"/>
  <c r="C10" i="39"/>
  <c r="F10" i="39" s="1" a="1"/>
  <c r="F10" i="39" s="1"/>
  <c r="Q9" i="39"/>
  <c r="P9" i="39"/>
  <c r="M9" i="39"/>
  <c r="L9" i="39"/>
  <c r="I9" i="39"/>
  <c r="D9" i="39"/>
  <c r="P8" i="39"/>
  <c r="Q8" i="39" s="1"/>
  <c r="M8" i="39"/>
  <c r="L8" i="39"/>
  <c r="I8" i="39"/>
  <c r="P7" i="39"/>
  <c r="Q7" i="39" s="1"/>
  <c r="M7" i="39"/>
  <c r="L7" i="39"/>
  <c r="I7" i="39"/>
  <c r="P6" i="39"/>
  <c r="Q6" i="39" s="1"/>
  <c r="M6" i="39"/>
  <c r="L6" i="39"/>
  <c r="I6" i="39"/>
  <c r="D6" i="39"/>
  <c r="B13" i="24"/>
  <c r="P100" i="38"/>
  <c r="Q100" i="38" s="1"/>
  <c r="M100" i="38"/>
  <c r="L100" i="38"/>
  <c r="I100" i="38"/>
  <c r="C100" i="38"/>
  <c r="F100" i="38" s="1" a="1"/>
  <c r="F100" i="38" s="1"/>
  <c r="P99" i="38"/>
  <c r="Q99" i="38" s="1"/>
  <c r="M99" i="38"/>
  <c r="L99" i="38"/>
  <c r="I99" i="38"/>
  <c r="C99" i="38"/>
  <c r="F99" i="38" s="1" a="1"/>
  <c r="F99" i="38" s="1"/>
  <c r="P98" i="38"/>
  <c r="Q98" i="38" s="1"/>
  <c r="M98" i="38"/>
  <c r="L98" i="38"/>
  <c r="I98" i="38"/>
  <c r="C98" i="38"/>
  <c r="F98" i="38" s="1" a="1"/>
  <c r="F98" i="38" s="1"/>
  <c r="P97" i="38"/>
  <c r="Q97" i="38" s="1"/>
  <c r="M97" i="38"/>
  <c r="L97" i="38"/>
  <c r="I97" i="38"/>
  <c r="C97" i="38"/>
  <c r="D97" i="38" s="1"/>
  <c r="P96" i="38"/>
  <c r="Q96" i="38" s="1"/>
  <c r="M96" i="38"/>
  <c r="L96" i="38"/>
  <c r="I96" i="38"/>
  <c r="C96" i="38"/>
  <c r="F96" i="38" s="1" a="1"/>
  <c r="F96" i="38" s="1"/>
  <c r="P95" i="38"/>
  <c r="Q95" i="38" s="1"/>
  <c r="M95" i="38"/>
  <c r="L95" i="38"/>
  <c r="I95" i="38"/>
  <c r="C95" i="38"/>
  <c r="F95" i="38" s="1" a="1"/>
  <c r="F95" i="38" s="1"/>
  <c r="P94" i="38"/>
  <c r="Q94" i="38" s="1"/>
  <c r="M94" i="38"/>
  <c r="L94" i="38"/>
  <c r="I94" i="38"/>
  <c r="C94" i="38"/>
  <c r="F94" i="38" s="1" a="1"/>
  <c r="F94" i="38" s="1"/>
  <c r="P93" i="38"/>
  <c r="Q93" i="38" s="1"/>
  <c r="M93" i="38"/>
  <c r="L93" i="38"/>
  <c r="I93" i="38"/>
  <c r="C93" i="38"/>
  <c r="D93" i="38" s="1"/>
  <c r="P92" i="38"/>
  <c r="Q92" i="38" s="1"/>
  <c r="M92" i="38"/>
  <c r="L92" i="38"/>
  <c r="I92" i="38"/>
  <c r="C92" i="38"/>
  <c r="F92" i="38" s="1" a="1"/>
  <c r="F92" i="38" s="1"/>
  <c r="P91" i="38"/>
  <c r="Q91" i="38" s="1"/>
  <c r="M91" i="38"/>
  <c r="L91" i="38"/>
  <c r="I91" i="38"/>
  <c r="C91" i="38"/>
  <c r="F91" i="38" s="1" a="1"/>
  <c r="F91" i="38" s="1"/>
  <c r="P90" i="38"/>
  <c r="Q90" i="38" s="1"/>
  <c r="M90" i="38"/>
  <c r="L90" i="38"/>
  <c r="I90" i="38"/>
  <c r="C90" i="38"/>
  <c r="F90" i="38" s="1" a="1"/>
  <c r="F90" i="38" s="1"/>
  <c r="P89" i="38"/>
  <c r="Q89" i="38" s="1"/>
  <c r="M89" i="38"/>
  <c r="L89" i="38"/>
  <c r="I89" i="38"/>
  <c r="C89" i="38"/>
  <c r="D89" i="38" s="1"/>
  <c r="P88" i="38"/>
  <c r="Q88" i="38" s="1"/>
  <c r="M88" i="38"/>
  <c r="L88" i="38"/>
  <c r="I88" i="38"/>
  <c r="C88" i="38"/>
  <c r="F88" i="38" s="1" a="1"/>
  <c r="F88" i="38" s="1"/>
  <c r="P87" i="38"/>
  <c r="Q87" i="38" s="1"/>
  <c r="M87" i="38"/>
  <c r="L87" i="38"/>
  <c r="I87" i="38"/>
  <c r="C87" i="38"/>
  <c r="F87" i="38" s="1" a="1"/>
  <c r="F87" i="38" s="1"/>
  <c r="P86" i="38"/>
  <c r="Q86" i="38" s="1"/>
  <c r="M86" i="38"/>
  <c r="L86" i="38"/>
  <c r="I86" i="38"/>
  <c r="C86" i="38"/>
  <c r="F86" i="38" s="1" a="1"/>
  <c r="F86" i="38" s="1"/>
  <c r="P85" i="38"/>
  <c r="Q85" i="38" s="1"/>
  <c r="M85" i="38"/>
  <c r="L85" i="38"/>
  <c r="I85" i="38"/>
  <c r="C85" i="38"/>
  <c r="D85" i="38" s="1"/>
  <c r="P84" i="38"/>
  <c r="Q84" i="38" s="1"/>
  <c r="M84" i="38"/>
  <c r="L84" i="38"/>
  <c r="I84" i="38"/>
  <c r="C84" i="38"/>
  <c r="F84" i="38" s="1" a="1"/>
  <c r="F84" i="38" s="1"/>
  <c r="P83" i="38"/>
  <c r="Q83" i="38" s="1"/>
  <c r="M83" i="38"/>
  <c r="L83" i="38"/>
  <c r="I83" i="38"/>
  <c r="C83" i="38"/>
  <c r="F83" i="38" s="1" a="1"/>
  <c r="F83" i="38" s="1"/>
  <c r="P82" i="38"/>
  <c r="Q82" i="38" s="1"/>
  <c r="M82" i="38"/>
  <c r="L82" i="38"/>
  <c r="I82" i="38"/>
  <c r="C82" i="38"/>
  <c r="F82" i="38" s="1" a="1"/>
  <c r="F82" i="38" s="1"/>
  <c r="P81" i="38"/>
  <c r="Q81" i="38" s="1"/>
  <c r="M81" i="38"/>
  <c r="L81" i="38"/>
  <c r="I81" i="38"/>
  <c r="C81" i="38"/>
  <c r="D81" i="38" s="1"/>
  <c r="P80" i="38"/>
  <c r="Q80" i="38" s="1"/>
  <c r="M80" i="38"/>
  <c r="L80" i="38"/>
  <c r="I80" i="38"/>
  <c r="C80" i="38"/>
  <c r="F80" i="38" s="1" a="1"/>
  <c r="F80" i="38" s="1"/>
  <c r="P79" i="38"/>
  <c r="Q79" i="38" s="1"/>
  <c r="M79" i="38"/>
  <c r="L79" i="38"/>
  <c r="I79" i="38"/>
  <c r="C79" i="38"/>
  <c r="F79" i="38" s="1" a="1"/>
  <c r="F79" i="38" s="1"/>
  <c r="P78" i="38"/>
  <c r="Q78" i="38" s="1"/>
  <c r="M78" i="38"/>
  <c r="L78" i="38"/>
  <c r="I78" i="38"/>
  <c r="C78" i="38"/>
  <c r="F78" i="38" s="1" a="1"/>
  <c r="F78" i="38" s="1"/>
  <c r="P77" i="38"/>
  <c r="Q77" i="38" s="1"/>
  <c r="M77" i="38"/>
  <c r="L77" i="38"/>
  <c r="I77" i="38"/>
  <c r="C77" i="38"/>
  <c r="D77" i="38" s="1"/>
  <c r="P76" i="38"/>
  <c r="Q76" i="38" s="1"/>
  <c r="M76" i="38"/>
  <c r="L76" i="38"/>
  <c r="I76" i="38"/>
  <c r="C76" i="38"/>
  <c r="F76" i="38" s="1" a="1"/>
  <c r="F76" i="38" s="1"/>
  <c r="P75" i="38"/>
  <c r="Q75" i="38" s="1"/>
  <c r="M75" i="38"/>
  <c r="L75" i="38"/>
  <c r="I75" i="38"/>
  <c r="C75" i="38"/>
  <c r="F75" i="38" s="1" a="1"/>
  <c r="F75" i="38" s="1"/>
  <c r="P74" i="38"/>
  <c r="Q74" i="38" s="1"/>
  <c r="M74" i="38"/>
  <c r="L74" i="38"/>
  <c r="I74" i="38"/>
  <c r="C74" i="38"/>
  <c r="F74" i="38" s="1" a="1"/>
  <c r="F74" i="38" s="1"/>
  <c r="P73" i="38"/>
  <c r="Q73" i="38" s="1"/>
  <c r="M73" i="38"/>
  <c r="L73" i="38"/>
  <c r="I73" i="38"/>
  <c r="C73" i="38"/>
  <c r="D73" i="38" s="1"/>
  <c r="P72" i="38"/>
  <c r="Q72" i="38" s="1"/>
  <c r="M72" i="38"/>
  <c r="L72" i="38"/>
  <c r="I72" i="38"/>
  <c r="C72" i="38"/>
  <c r="F72" i="38" s="1" a="1"/>
  <c r="F72" i="38" s="1"/>
  <c r="P71" i="38"/>
  <c r="Q71" i="38" s="1"/>
  <c r="M71" i="38"/>
  <c r="L71" i="38"/>
  <c r="I71" i="38"/>
  <c r="C71" i="38"/>
  <c r="F71" i="38" s="1" a="1"/>
  <c r="F71" i="38" s="1"/>
  <c r="P70" i="38"/>
  <c r="Q70" i="38" s="1"/>
  <c r="M70" i="38"/>
  <c r="L70" i="38"/>
  <c r="I70" i="38"/>
  <c r="C70" i="38"/>
  <c r="F70" i="38" s="1" a="1"/>
  <c r="F70" i="38" s="1"/>
  <c r="P69" i="38"/>
  <c r="Q69" i="38" s="1"/>
  <c r="M69" i="38"/>
  <c r="L69" i="38"/>
  <c r="I69" i="38"/>
  <c r="C69" i="38"/>
  <c r="D69" i="38" s="1"/>
  <c r="P68" i="38"/>
  <c r="Q68" i="38" s="1"/>
  <c r="M68" i="38"/>
  <c r="L68" i="38"/>
  <c r="I68" i="38"/>
  <c r="C68" i="38"/>
  <c r="F68" i="38" s="1" a="1"/>
  <c r="F68" i="38" s="1"/>
  <c r="P67" i="38"/>
  <c r="Q67" i="38" s="1"/>
  <c r="M67" i="38"/>
  <c r="L67" i="38"/>
  <c r="I67" i="38"/>
  <c r="C67" i="38"/>
  <c r="F67" i="38" s="1" a="1"/>
  <c r="F67" i="38" s="1"/>
  <c r="P66" i="38"/>
  <c r="Q66" i="38" s="1"/>
  <c r="M66" i="38"/>
  <c r="L66" i="38"/>
  <c r="I66" i="38"/>
  <c r="C66" i="38"/>
  <c r="F66" i="38" s="1" a="1"/>
  <c r="F66" i="38" s="1"/>
  <c r="P65" i="38"/>
  <c r="Q65" i="38" s="1"/>
  <c r="M65" i="38"/>
  <c r="L65" i="38"/>
  <c r="I65" i="38"/>
  <c r="C65" i="38"/>
  <c r="D65" i="38" s="1"/>
  <c r="P64" i="38"/>
  <c r="Q64" i="38" s="1"/>
  <c r="M64" i="38"/>
  <c r="L64" i="38"/>
  <c r="I64" i="38"/>
  <c r="C64" i="38"/>
  <c r="F64" i="38" s="1" a="1"/>
  <c r="F64" i="38" s="1"/>
  <c r="P63" i="38"/>
  <c r="Q63" i="38" s="1"/>
  <c r="M63" i="38"/>
  <c r="L63" i="38"/>
  <c r="I63" i="38"/>
  <c r="C63" i="38"/>
  <c r="F63" i="38" s="1" a="1"/>
  <c r="F63" i="38" s="1"/>
  <c r="P62" i="38"/>
  <c r="Q62" i="38" s="1"/>
  <c r="M62" i="38"/>
  <c r="L62" i="38"/>
  <c r="I62" i="38"/>
  <c r="C62" i="38"/>
  <c r="F62" i="38" s="1" a="1"/>
  <c r="F62" i="38" s="1"/>
  <c r="P61" i="38"/>
  <c r="Q61" i="38" s="1"/>
  <c r="M61" i="38"/>
  <c r="L61" i="38"/>
  <c r="I61" i="38"/>
  <c r="C61" i="38"/>
  <c r="D61" i="38" s="1"/>
  <c r="P60" i="38"/>
  <c r="Q60" i="38" s="1"/>
  <c r="M60" i="38"/>
  <c r="L60" i="38"/>
  <c r="I60" i="38"/>
  <c r="C60" i="38"/>
  <c r="F60" i="38" s="1" a="1"/>
  <c r="F60" i="38" s="1"/>
  <c r="P59" i="38"/>
  <c r="Q59" i="38" s="1"/>
  <c r="M59" i="38"/>
  <c r="L59" i="38"/>
  <c r="I59" i="38"/>
  <c r="C59" i="38"/>
  <c r="D59" i="38" s="1"/>
  <c r="P58" i="38"/>
  <c r="Q58" i="38" s="1"/>
  <c r="M58" i="38"/>
  <c r="L58" i="38"/>
  <c r="I58" i="38"/>
  <c r="C58" i="38"/>
  <c r="F58" i="38" s="1" a="1"/>
  <c r="F58" i="38" s="1"/>
  <c r="P57" i="38"/>
  <c r="Q57" i="38" s="1"/>
  <c r="M57" i="38"/>
  <c r="L57" i="38"/>
  <c r="I57" i="38"/>
  <c r="C57" i="38"/>
  <c r="D57" i="38" s="1"/>
  <c r="P56" i="38"/>
  <c r="Q56" i="38" s="1"/>
  <c r="M56" i="38"/>
  <c r="L56" i="38"/>
  <c r="I56" i="38"/>
  <c r="C56" i="38"/>
  <c r="F56" i="38" s="1" a="1"/>
  <c r="F56" i="38" s="1"/>
  <c r="P55" i="38"/>
  <c r="Q55" i="38" s="1"/>
  <c r="M55" i="38"/>
  <c r="L55" i="38"/>
  <c r="I55" i="38"/>
  <c r="C55" i="38"/>
  <c r="D55" i="38" s="1"/>
  <c r="P54" i="38"/>
  <c r="Q54" i="38" s="1"/>
  <c r="M54" i="38"/>
  <c r="L54" i="38"/>
  <c r="I54" i="38"/>
  <c r="C54" i="38"/>
  <c r="F54" i="38" s="1" a="1"/>
  <c r="F54" i="38" s="1"/>
  <c r="P53" i="38"/>
  <c r="Q53" i="38" s="1"/>
  <c r="M53" i="38"/>
  <c r="L53" i="38"/>
  <c r="I53" i="38"/>
  <c r="C53" i="38"/>
  <c r="D53" i="38" s="1"/>
  <c r="P52" i="38"/>
  <c r="Q52" i="38" s="1"/>
  <c r="M52" i="38"/>
  <c r="L52" i="38"/>
  <c r="I52" i="38"/>
  <c r="C52" i="38"/>
  <c r="F52" i="38" s="1" a="1"/>
  <c r="F52" i="38" s="1"/>
  <c r="P51" i="38"/>
  <c r="Q51" i="38" s="1"/>
  <c r="M51" i="38"/>
  <c r="L51" i="38"/>
  <c r="I51" i="38"/>
  <c r="C51" i="38"/>
  <c r="D51" i="38" s="1"/>
  <c r="P50" i="38"/>
  <c r="Q50" i="38" s="1"/>
  <c r="M50" i="38"/>
  <c r="L50" i="38"/>
  <c r="I50" i="38"/>
  <c r="C50" i="38"/>
  <c r="F50" i="38" s="1" a="1"/>
  <c r="F50" i="38" s="1"/>
  <c r="P49" i="38"/>
  <c r="Q49" i="38" s="1"/>
  <c r="M49" i="38"/>
  <c r="L49" i="38"/>
  <c r="I49" i="38"/>
  <c r="C49" i="38"/>
  <c r="D49" i="38" s="1"/>
  <c r="P48" i="38"/>
  <c r="Q48" i="38" s="1"/>
  <c r="M48" i="38"/>
  <c r="L48" i="38"/>
  <c r="I48" i="38"/>
  <c r="C48" i="38"/>
  <c r="F48" i="38" s="1" a="1"/>
  <c r="F48" i="38" s="1"/>
  <c r="P47" i="38"/>
  <c r="Q47" i="38" s="1"/>
  <c r="M47" i="38"/>
  <c r="L47" i="38"/>
  <c r="I47" i="38"/>
  <c r="C47" i="38"/>
  <c r="D47" i="38" s="1"/>
  <c r="P46" i="38"/>
  <c r="Q46" i="38" s="1"/>
  <c r="M46" i="38"/>
  <c r="L46" i="38"/>
  <c r="I46" i="38"/>
  <c r="C46" i="38"/>
  <c r="F46" i="38" s="1" a="1"/>
  <c r="F46" i="38" s="1"/>
  <c r="P45" i="38"/>
  <c r="Q45" i="38" s="1"/>
  <c r="M45" i="38"/>
  <c r="L45" i="38"/>
  <c r="I45" i="38"/>
  <c r="C45" i="38"/>
  <c r="D45" i="38" s="1"/>
  <c r="P44" i="38"/>
  <c r="Q44" i="38" s="1"/>
  <c r="M44" i="38"/>
  <c r="L44" i="38"/>
  <c r="I44" i="38"/>
  <c r="C44" i="38"/>
  <c r="F44" i="38" s="1" a="1"/>
  <c r="F44" i="38" s="1"/>
  <c r="P43" i="38"/>
  <c r="Q43" i="38" s="1"/>
  <c r="M43" i="38"/>
  <c r="L43" i="38"/>
  <c r="I43" i="38"/>
  <c r="C43" i="38"/>
  <c r="D43" i="38" s="1"/>
  <c r="P42" i="38"/>
  <c r="Q42" i="38" s="1"/>
  <c r="M42" i="38"/>
  <c r="L42" i="38"/>
  <c r="I42" i="38"/>
  <c r="C42" i="38"/>
  <c r="F42" i="38" s="1" a="1"/>
  <c r="F42" i="38" s="1"/>
  <c r="P41" i="38"/>
  <c r="Q41" i="38" s="1"/>
  <c r="M41" i="38"/>
  <c r="L41" i="38"/>
  <c r="I41" i="38"/>
  <c r="C41" i="38"/>
  <c r="D41" i="38" s="1"/>
  <c r="P40" i="38"/>
  <c r="Q40" i="38" s="1"/>
  <c r="M40" i="38"/>
  <c r="L40" i="38"/>
  <c r="I40" i="38"/>
  <c r="C40" i="38"/>
  <c r="F40" i="38" s="1" a="1"/>
  <c r="F40" i="38" s="1"/>
  <c r="P39" i="38"/>
  <c r="Q39" i="38" s="1"/>
  <c r="M39" i="38"/>
  <c r="L39" i="38"/>
  <c r="I39" i="38"/>
  <c r="C39" i="38"/>
  <c r="D39" i="38" s="1"/>
  <c r="P38" i="38"/>
  <c r="Q38" i="38" s="1"/>
  <c r="M38" i="38"/>
  <c r="L38" i="38"/>
  <c r="I38" i="38"/>
  <c r="C38" i="38"/>
  <c r="F38" i="38" s="1" a="1"/>
  <c r="F38" i="38" s="1"/>
  <c r="P37" i="38"/>
  <c r="Q37" i="38" s="1"/>
  <c r="M37" i="38"/>
  <c r="L37" i="38"/>
  <c r="I37" i="38"/>
  <c r="C37" i="38"/>
  <c r="D37" i="38" s="1"/>
  <c r="P36" i="38"/>
  <c r="Q36" i="38" s="1"/>
  <c r="M36" i="38"/>
  <c r="L36" i="38"/>
  <c r="I36" i="38"/>
  <c r="C36" i="38"/>
  <c r="F36" i="38" s="1" a="1"/>
  <c r="F36" i="38" s="1"/>
  <c r="P35" i="38"/>
  <c r="Q35" i="38" s="1"/>
  <c r="M35" i="38"/>
  <c r="L35" i="38"/>
  <c r="I35" i="38"/>
  <c r="C35" i="38"/>
  <c r="D35" i="38" s="1"/>
  <c r="P34" i="38"/>
  <c r="Q34" i="38" s="1"/>
  <c r="M34" i="38"/>
  <c r="L34" i="38"/>
  <c r="I34" i="38"/>
  <c r="C34" i="38"/>
  <c r="F34" i="38" s="1" a="1"/>
  <c r="F34" i="38" s="1"/>
  <c r="P33" i="38"/>
  <c r="Q33" i="38" s="1"/>
  <c r="M33" i="38"/>
  <c r="L33" i="38"/>
  <c r="I33" i="38"/>
  <c r="C33" i="38"/>
  <c r="D33" i="38" s="1"/>
  <c r="P32" i="38"/>
  <c r="Q32" i="38" s="1"/>
  <c r="M32" i="38"/>
  <c r="L32" i="38"/>
  <c r="I32" i="38"/>
  <c r="C32" i="38"/>
  <c r="F32" i="38" s="1" a="1"/>
  <c r="F32" i="38" s="1"/>
  <c r="P31" i="38"/>
  <c r="Q31" i="38" s="1"/>
  <c r="M31" i="38"/>
  <c r="L31" i="38"/>
  <c r="I31" i="38"/>
  <c r="C31" i="38"/>
  <c r="D31" i="38" s="1"/>
  <c r="P30" i="38"/>
  <c r="Q30" i="38" s="1"/>
  <c r="M30" i="38"/>
  <c r="L30" i="38"/>
  <c r="I30" i="38"/>
  <c r="C30" i="38"/>
  <c r="F30" i="38" s="1" a="1"/>
  <c r="F30" i="38" s="1"/>
  <c r="P29" i="38"/>
  <c r="Q29" i="38" s="1"/>
  <c r="M29" i="38"/>
  <c r="L29" i="38"/>
  <c r="I29" i="38"/>
  <c r="C29" i="38"/>
  <c r="D29" i="38" s="1"/>
  <c r="P28" i="38"/>
  <c r="Q28" i="38" s="1"/>
  <c r="M28" i="38"/>
  <c r="L28" i="38"/>
  <c r="I28" i="38"/>
  <c r="C28" i="38"/>
  <c r="F28" i="38" s="1" a="1"/>
  <c r="F28" i="38" s="1"/>
  <c r="P27" i="38"/>
  <c r="Q27" i="38" s="1"/>
  <c r="M27" i="38"/>
  <c r="L27" i="38"/>
  <c r="I27" i="38"/>
  <c r="C27" i="38"/>
  <c r="D27" i="38" s="1"/>
  <c r="P26" i="38"/>
  <c r="Q26" i="38" s="1"/>
  <c r="M26" i="38"/>
  <c r="L26" i="38"/>
  <c r="I26" i="38"/>
  <c r="C26" i="38"/>
  <c r="F26" i="38" s="1" a="1"/>
  <c r="F26" i="38" s="1"/>
  <c r="P25" i="38"/>
  <c r="Q25" i="38" s="1"/>
  <c r="M25" i="38"/>
  <c r="L25" i="38"/>
  <c r="I25" i="38"/>
  <c r="C25" i="38"/>
  <c r="D25" i="38" s="1"/>
  <c r="P24" i="38"/>
  <c r="Q24" i="38" s="1"/>
  <c r="M24" i="38"/>
  <c r="L24" i="38"/>
  <c r="I24" i="38"/>
  <c r="C24" i="38"/>
  <c r="F24" i="38" s="1" a="1"/>
  <c r="F24" i="38" s="1"/>
  <c r="P23" i="38"/>
  <c r="Q23" i="38" s="1"/>
  <c r="M23" i="38"/>
  <c r="L23" i="38"/>
  <c r="I23" i="38"/>
  <c r="C23" i="38"/>
  <c r="D23" i="38" s="1"/>
  <c r="P22" i="38"/>
  <c r="Q22" i="38" s="1"/>
  <c r="M22" i="38"/>
  <c r="L22" i="38"/>
  <c r="I22" i="38"/>
  <c r="C22" i="38"/>
  <c r="F22" i="38" s="1" a="1"/>
  <c r="F22" i="38" s="1"/>
  <c r="P21" i="38"/>
  <c r="Q21" i="38" s="1"/>
  <c r="M21" i="38"/>
  <c r="L21" i="38"/>
  <c r="I21" i="38"/>
  <c r="C21" i="38"/>
  <c r="F21" i="38" s="1" a="1"/>
  <c r="F21" i="38" s="1"/>
  <c r="P20" i="38"/>
  <c r="Q20" i="38" s="1"/>
  <c r="M20" i="38"/>
  <c r="L20" i="38"/>
  <c r="I20" i="38"/>
  <c r="C20" i="38"/>
  <c r="F20" i="38" s="1" a="1"/>
  <c r="F20" i="38" s="1"/>
  <c r="P19" i="38"/>
  <c r="Q19" i="38" s="1"/>
  <c r="M19" i="38"/>
  <c r="L19" i="38"/>
  <c r="I19" i="38"/>
  <c r="C19" i="38"/>
  <c r="D19" i="38" s="1"/>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C15" i="38"/>
  <c r="D15" i="38" s="1"/>
  <c r="P14" i="38"/>
  <c r="Q14" i="38" s="1"/>
  <c r="M14" i="38"/>
  <c r="L14" i="38"/>
  <c r="I14" i="38"/>
  <c r="C14" i="38"/>
  <c r="F14" i="38" s="1" a="1"/>
  <c r="F14" i="38" s="1"/>
  <c r="P13" i="38"/>
  <c r="Q13" i="38" s="1"/>
  <c r="M13" i="38"/>
  <c r="L13" i="38"/>
  <c r="I13" i="38"/>
  <c r="C13" i="38"/>
  <c r="D13" i="38" s="1"/>
  <c r="P12" i="38"/>
  <c r="Q12" i="38" s="1"/>
  <c r="M12" i="38"/>
  <c r="L12" i="38"/>
  <c r="I12" i="38"/>
  <c r="C12" i="38"/>
  <c r="F12" i="38" s="1" a="1"/>
  <c r="F12" i="38" s="1"/>
  <c r="P11" i="38"/>
  <c r="Q11" i="38" s="1"/>
  <c r="M11" i="38"/>
  <c r="L11" i="38"/>
  <c r="I11" i="38"/>
  <c r="C11" i="38"/>
  <c r="D11" i="38" s="1"/>
  <c r="P10" i="38"/>
  <c r="Q10" i="38" s="1"/>
  <c r="M10" i="38"/>
  <c r="L10" i="38"/>
  <c r="I10" i="38"/>
  <c r="C10" i="38"/>
  <c r="F10" i="38" s="1" a="1"/>
  <c r="F10" i="38" s="1"/>
  <c r="P9" i="38"/>
  <c r="Q9" i="38" s="1"/>
  <c r="M9" i="38"/>
  <c r="L9" i="38"/>
  <c r="I9" i="38"/>
  <c r="C9" i="38"/>
  <c r="F9" i="38" s="1" a="1"/>
  <c r="F9" i="38" s="1"/>
  <c r="P8" i="38"/>
  <c r="Q8" i="38" s="1"/>
  <c r="M8" i="38"/>
  <c r="L8" i="38"/>
  <c r="I8" i="38"/>
  <c r="D8" i="38"/>
  <c r="Q7" i="38"/>
  <c r="P7" i="38"/>
  <c r="M7" i="38"/>
  <c r="I7" i="38"/>
  <c r="D7" i="38"/>
  <c r="Q6" i="38"/>
  <c r="P6" i="38"/>
  <c r="M6" i="38"/>
  <c r="L6" i="38"/>
  <c r="I6" i="38"/>
  <c r="D6" i="38"/>
  <c r="P100" i="37"/>
  <c r="Q100" i="37" s="1"/>
  <c r="M100" i="37"/>
  <c r="L100" i="37"/>
  <c r="I100" i="37"/>
  <c r="C100" i="37"/>
  <c r="F100" i="37" s="1" a="1"/>
  <c r="F100" i="37" s="1"/>
  <c r="P99" i="37"/>
  <c r="Q99" i="37" s="1"/>
  <c r="M99" i="37"/>
  <c r="L99" i="37"/>
  <c r="I99" i="37"/>
  <c r="C99" i="37"/>
  <c r="F99" i="37" s="1" a="1"/>
  <c r="F99" i="37" s="1"/>
  <c r="P98" i="37"/>
  <c r="Q98" i="37" s="1"/>
  <c r="M98" i="37"/>
  <c r="L98" i="37"/>
  <c r="I98" i="37"/>
  <c r="C98" i="37"/>
  <c r="F98" i="37" s="1" a="1"/>
  <c r="F98" i="37" s="1"/>
  <c r="P97" i="37"/>
  <c r="Q97" i="37" s="1"/>
  <c r="M97" i="37"/>
  <c r="L97" i="37"/>
  <c r="I97" i="37"/>
  <c r="C97" i="37"/>
  <c r="D97" i="37" s="1"/>
  <c r="P96" i="37"/>
  <c r="Q96" i="37" s="1"/>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D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29" i="37"/>
  <c r="Q29" i="37" s="1"/>
  <c r="M29" i="37"/>
  <c r="L29" i="37"/>
  <c r="I29" i="37"/>
  <c r="C29" i="37"/>
  <c r="D29" i="37" s="1"/>
  <c r="P28" i="37"/>
  <c r="Q28" i="37" s="1"/>
  <c r="M28" i="37"/>
  <c r="L28" i="37"/>
  <c r="I28" i="37"/>
  <c r="C28" i="37"/>
  <c r="F28" i="37" s="1" a="1"/>
  <c r="F28" i="37" s="1"/>
  <c r="P27" i="37"/>
  <c r="Q27" i="37" s="1"/>
  <c r="M27" i="37"/>
  <c r="L27" i="37"/>
  <c r="I27" i="37"/>
  <c r="C27" i="37"/>
  <c r="F27" i="37" s="1" a="1"/>
  <c r="F27" i="37" s="1"/>
  <c r="P26" i="37"/>
  <c r="Q26" i="37" s="1"/>
  <c r="M26" i="37"/>
  <c r="L26" i="37"/>
  <c r="I26" i="37"/>
  <c r="C26" i="37"/>
  <c r="F26" i="37" s="1" a="1"/>
  <c r="F26" i="37" s="1"/>
  <c r="P25" i="37"/>
  <c r="Q25" i="37" s="1"/>
  <c r="M25" i="37"/>
  <c r="L25" i="37"/>
  <c r="I25" i="37"/>
  <c r="C25" i="37"/>
  <c r="D25" i="37" s="1"/>
  <c r="P24" i="37"/>
  <c r="Q24" i="37" s="1"/>
  <c r="M24" i="37"/>
  <c r="L24" i="37"/>
  <c r="I24" i="37"/>
  <c r="C24" i="37"/>
  <c r="F24" i="37" s="1" a="1"/>
  <c r="F24" i="37" s="1"/>
  <c r="P23" i="37"/>
  <c r="Q23" i="37" s="1"/>
  <c r="M23" i="37"/>
  <c r="L23" i="37"/>
  <c r="I23" i="37"/>
  <c r="C23" i="37"/>
  <c r="F23" i="37" s="1" a="1"/>
  <c r="F23" i="37" s="1"/>
  <c r="P22" i="37"/>
  <c r="Q22" i="37" s="1"/>
  <c r="M22" i="37"/>
  <c r="L22" i="37"/>
  <c r="I22" i="37"/>
  <c r="C22" i="37"/>
  <c r="F22" i="37" s="1" a="1"/>
  <c r="F22" i="37" s="1"/>
  <c r="P21" i="37"/>
  <c r="Q21" i="37" s="1"/>
  <c r="M21" i="37"/>
  <c r="L21" i="37"/>
  <c r="I21" i="37"/>
  <c r="C21" i="37"/>
  <c r="D21" i="37" s="1"/>
  <c r="P20" i="37"/>
  <c r="Q20" i="37" s="1"/>
  <c r="M20" i="37"/>
  <c r="L20" i="37"/>
  <c r="I20" i="37"/>
  <c r="C20" i="37"/>
  <c r="F20" i="37" s="1" a="1"/>
  <c r="F20" i="37" s="1"/>
  <c r="P19" i="37"/>
  <c r="Q19" i="37" s="1"/>
  <c r="M19" i="37"/>
  <c r="L19" i="37"/>
  <c r="I19" i="37"/>
  <c r="C19" i="37"/>
  <c r="F19" i="37" s="1" a="1"/>
  <c r="F19" i="37" s="1"/>
  <c r="P18" i="37"/>
  <c r="Q18" i="37" s="1"/>
  <c r="M18" i="37"/>
  <c r="L18" i="37"/>
  <c r="I18" i="37"/>
  <c r="C18" i="37"/>
  <c r="F18" i="37" s="1" a="1"/>
  <c r="F18" i="37" s="1"/>
  <c r="P17" i="37"/>
  <c r="Q17" i="37" s="1"/>
  <c r="M17" i="37"/>
  <c r="L17" i="37"/>
  <c r="I17" i="37"/>
  <c r="C17" i="37"/>
  <c r="D17" i="37" s="1"/>
  <c r="P16" i="37"/>
  <c r="Q16" i="37" s="1"/>
  <c r="M16" i="37"/>
  <c r="L16" i="37"/>
  <c r="I16" i="37"/>
  <c r="C16" i="37"/>
  <c r="F16" i="37" s="1" a="1"/>
  <c r="F16" i="37" s="1"/>
  <c r="P15" i="37"/>
  <c r="Q15" i="37" s="1"/>
  <c r="M15" i="37"/>
  <c r="L15" i="37"/>
  <c r="I15" i="37"/>
  <c r="C15" i="37"/>
  <c r="F15" i="37" s="1" a="1"/>
  <c r="F15" i="37" s="1"/>
  <c r="P14" i="37"/>
  <c r="Q14" i="37" s="1"/>
  <c r="M14" i="37"/>
  <c r="L14" i="37"/>
  <c r="I14" i="37"/>
  <c r="C14" i="37"/>
  <c r="F14" i="37" s="1" a="1"/>
  <c r="F14" i="37" s="1"/>
  <c r="P13" i="37"/>
  <c r="Q13" i="37" s="1"/>
  <c r="M13" i="37"/>
  <c r="L13" i="37"/>
  <c r="I13" i="37"/>
  <c r="C13" i="37"/>
  <c r="D13" i="37" s="1"/>
  <c r="P12" i="37"/>
  <c r="Q12" i="37" s="1"/>
  <c r="M12" i="37"/>
  <c r="L12" i="37"/>
  <c r="I12" i="37"/>
  <c r="C12" i="37"/>
  <c r="F12" i="37" s="1" a="1"/>
  <c r="F12" i="37" s="1"/>
  <c r="P11" i="37"/>
  <c r="Q11" i="37" s="1"/>
  <c r="M11" i="37"/>
  <c r="L11" i="37"/>
  <c r="I11" i="37"/>
  <c r="C11" i="37"/>
  <c r="F11" i="37" s="1" a="1"/>
  <c r="F11" i="37" s="1"/>
  <c r="P10" i="37"/>
  <c r="Q10" i="37" s="1"/>
  <c r="M10" i="37"/>
  <c r="L10" i="37"/>
  <c r="I10" i="37"/>
  <c r="C10" i="37"/>
  <c r="F10" i="37" s="1" a="1"/>
  <c r="F10" i="37" s="1"/>
  <c r="P9" i="37"/>
  <c r="Q9" i="37" s="1"/>
  <c r="M9" i="37"/>
  <c r="L9" i="37"/>
  <c r="I9" i="37"/>
  <c r="C9" i="37"/>
  <c r="D9" i="37" s="1"/>
  <c r="P8" i="37"/>
  <c r="Q8" i="37" s="1"/>
  <c r="M8" i="37"/>
  <c r="L8" i="37"/>
  <c r="I8" i="37"/>
  <c r="D8" i="37"/>
  <c r="P7" i="37"/>
  <c r="Q7" i="37" s="1"/>
  <c r="M7" i="37"/>
  <c r="L7" i="37"/>
  <c r="I7" i="37"/>
  <c r="P6" i="37"/>
  <c r="Q6" i="37" s="1"/>
  <c r="M6" i="37"/>
  <c r="L6" i="37"/>
  <c r="I6" i="37"/>
  <c r="D6" i="37"/>
  <c r="P100" i="36"/>
  <c r="Q100" i="36" s="1"/>
  <c r="M100" i="36"/>
  <c r="L100" i="36"/>
  <c r="I100" i="36"/>
  <c r="C100" i="36"/>
  <c r="D100" i="36" s="1"/>
  <c r="P99" i="36"/>
  <c r="Q99" i="36" s="1"/>
  <c r="M99" i="36"/>
  <c r="L99" i="36"/>
  <c r="I99" i="36"/>
  <c r="C99" i="36"/>
  <c r="F99" i="36" s="1" a="1"/>
  <c r="F99" i="36" s="1"/>
  <c r="P98" i="36"/>
  <c r="Q98" i="36" s="1"/>
  <c r="M98" i="36"/>
  <c r="L98" i="36"/>
  <c r="I98" i="36"/>
  <c r="C98" i="36"/>
  <c r="F98" i="36" s="1" a="1"/>
  <c r="F98" i="36" s="1"/>
  <c r="P97" i="36"/>
  <c r="Q97" i="36" s="1"/>
  <c r="M97" i="36"/>
  <c r="L97" i="36"/>
  <c r="I97" i="36"/>
  <c r="C97" i="36"/>
  <c r="F97" i="36" s="1" a="1"/>
  <c r="F97" i="36" s="1"/>
  <c r="P96" i="36"/>
  <c r="Q96" i="36" s="1"/>
  <c r="M96" i="36"/>
  <c r="L96" i="36"/>
  <c r="I96" i="36"/>
  <c r="C96" i="36"/>
  <c r="D96" i="36" s="1"/>
  <c r="P95" i="36"/>
  <c r="Q95" i="36" s="1"/>
  <c r="M95" i="36"/>
  <c r="L95" i="36"/>
  <c r="I95" i="36"/>
  <c r="C95" i="36"/>
  <c r="F95" i="36" s="1" a="1"/>
  <c r="F95" i="36" s="1"/>
  <c r="P94" i="36"/>
  <c r="Q94" i="36" s="1"/>
  <c r="M94" i="36"/>
  <c r="L94" i="36"/>
  <c r="I94" i="36"/>
  <c r="C94" i="36"/>
  <c r="F94" i="36" s="1" a="1"/>
  <c r="F94" i="36" s="1"/>
  <c r="P93" i="36"/>
  <c r="Q93" i="36" s="1"/>
  <c r="M93" i="36"/>
  <c r="L93" i="36"/>
  <c r="I93" i="36"/>
  <c r="C93" i="36"/>
  <c r="F93" i="36" s="1" a="1"/>
  <c r="F93" i="36" s="1"/>
  <c r="P92" i="36"/>
  <c r="Q92" i="36" s="1"/>
  <c r="M92" i="36"/>
  <c r="L92" i="36"/>
  <c r="I92" i="36"/>
  <c r="C92" i="36"/>
  <c r="F92" i="36" s="1" a="1"/>
  <c r="F92" i="36" s="1"/>
  <c r="P91" i="36"/>
  <c r="Q91" i="36" s="1"/>
  <c r="M91" i="36"/>
  <c r="L91" i="36"/>
  <c r="I91" i="36"/>
  <c r="C91" i="36"/>
  <c r="F91" i="36" s="1" a="1"/>
  <c r="F91" i="36" s="1"/>
  <c r="P90" i="36"/>
  <c r="Q90" i="36" s="1"/>
  <c r="M90" i="36"/>
  <c r="L90" i="36"/>
  <c r="I90" i="36"/>
  <c r="C90" i="36"/>
  <c r="F90" i="36" s="1" a="1"/>
  <c r="F90" i="36" s="1"/>
  <c r="P89" i="36"/>
  <c r="Q89" i="36" s="1"/>
  <c r="M89" i="36"/>
  <c r="L89" i="36"/>
  <c r="I89" i="36"/>
  <c r="C89" i="36"/>
  <c r="F89" i="36" s="1" a="1"/>
  <c r="F89" i="36" s="1"/>
  <c r="P88" i="36"/>
  <c r="Q88" i="36" s="1"/>
  <c r="M88" i="36"/>
  <c r="L88" i="36"/>
  <c r="I88" i="36"/>
  <c r="C88" i="36"/>
  <c r="F88" i="36" s="1" a="1"/>
  <c r="F88" i="36" s="1"/>
  <c r="P87" i="36"/>
  <c r="Q87" i="36" s="1"/>
  <c r="M87" i="36"/>
  <c r="L87" i="36"/>
  <c r="I87" i="36"/>
  <c r="C87" i="36"/>
  <c r="F87" i="36" s="1" a="1"/>
  <c r="F87" i="36" s="1"/>
  <c r="P86" i="36"/>
  <c r="Q86" i="36" s="1"/>
  <c r="M86" i="36"/>
  <c r="L86" i="36"/>
  <c r="I86" i="36"/>
  <c r="C86" i="36"/>
  <c r="F86" i="36" s="1" a="1"/>
  <c r="F86" i="36" s="1"/>
  <c r="P85" i="36"/>
  <c r="Q85" i="36" s="1"/>
  <c r="M85" i="36"/>
  <c r="L85" i="36"/>
  <c r="I85" i="36"/>
  <c r="C85" i="36"/>
  <c r="F85" i="36" s="1" a="1"/>
  <c r="F85" i="36" s="1"/>
  <c r="P84" i="36"/>
  <c r="Q84" i="36" s="1"/>
  <c r="M84" i="36"/>
  <c r="L84" i="36"/>
  <c r="I84" i="36"/>
  <c r="C84" i="36"/>
  <c r="F84" i="36" s="1" a="1"/>
  <c r="F84" i="36" s="1"/>
  <c r="P83" i="36"/>
  <c r="Q83" i="36" s="1"/>
  <c r="M83" i="36"/>
  <c r="L83" i="36"/>
  <c r="I83" i="36"/>
  <c r="C83" i="36"/>
  <c r="F83" i="36" s="1" a="1"/>
  <c r="F83" i="36" s="1"/>
  <c r="P82" i="36"/>
  <c r="Q82" i="36" s="1"/>
  <c r="M82" i="36"/>
  <c r="L82" i="36"/>
  <c r="I82" i="36"/>
  <c r="C82" i="36"/>
  <c r="F82" i="36" s="1" a="1"/>
  <c r="F82" i="36" s="1"/>
  <c r="P81" i="36"/>
  <c r="Q81" i="36" s="1"/>
  <c r="M81" i="36"/>
  <c r="L81" i="36"/>
  <c r="I81" i="36"/>
  <c r="C81" i="36"/>
  <c r="F81" i="36" s="1" a="1"/>
  <c r="F81" i="36" s="1"/>
  <c r="P80" i="36"/>
  <c r="Q80" i="36" s="1"/>
  <c r="M80" i="36"/>
  <c r="L80" i="36"/>
  <c r="I80" i="36"/>
  <c r="C80" i="36"/>
  <c r="F80" i="36" s="1" a="1"/>
  <c r="F80" i="36" s="1"/>
  <c r="P79" i="36"/>
  <c r="Q79" i="36" s="1"/>
  <c r="M79" i="36"/>
  <c r="L79" i="36"/>
  <c r="I79" i="36"/>
  <c r="C79" i="36"/>
  <c r="F79" i="36" s="1" a="1"/>
  <c r="F79" i="36" s="1"/>
  <c r="P78" i="36"/>
  <c r="Q78" i="36" s="1"/>
  <c r="M78" i="36"/>
  <c r="L78" i="36"/>
  <c r="I78" i="36"/>
  <c r="C78" i="36"/>
  <c r="F78" i="36" s="1" a="1"/>
  <c r="F78" i="36" s="1"/>
  <c r="P77" i="36"/>
  <c r="Q77" i="36" s="1"/>
  <c r="M77" i="36"/>
  <c r="L77" i="36"/>
  <c r="I77" i="36"/>
  <c r="C77" i="36"/>
  <c r="F77" i="36" s="1" a="1"/>
  <c r="F77" i="36" s="1"/>
  <c r="P76" i="36"/>
  <c r="Q76" i="36" s="1"/>
  <c r="M76" i="36"/>
  <c r="L76" i="36"/>
  <c r="I76" i="36"/>
  <c r="C76" i="36"/>
  <c r="F76" i="36" s="1" a="1"/>
  <c r="F76" i="36" s="1"/>
  <c r="P75" i="36"/>
  <c r="Q75" i="36" s="1"/>
  <c r="M75" i="36"/>
  <c r="L75" i="36"/>
  <c r="I75" i="36"/>
  <c r="C75" i="36"/>
  <c r="F75" i="36" s="1" a="1"/>
  <c r="F75" i="36" s="1"/>
  <c r="P74" i="36"/>
  <c r="Q74" i="36" s="1"/>
  <c r="M74" i="36"/>
  <c r="L74" i="36"/>
  <c r="I74" i="36"/>
  <c r="C74" i="36"/>
  <c r="F74" i="36" s="1" a="1"/>
  <c r="F74" i="36" s="1"/>
  <c r="P73" i="36"/>
  <c r="Q73" i="36" s="1"/>
  <c r="M73" i="36"/>
  <c r="L73" i="36"/>
  <c r="I73" i="36"/>
  <c r="C73" i="36"/>
  <c r="D73" i="36" s="1"/>
  <c r="P72" i="36"/>
  <c r="Q72" i="36" s="1"/>
  <c r="M72" i="36"/>
  <c r="L72" i="36"/>
  <c r="I72" i="36"/>
  <c r="C72" i="36"/>
  <c r="F72" i="36" s="1" a="1"/>
  <c r="F72" i="36" s="1"/>
  <c r="P71" i="36"/>
  <c r="Q71" i="36" s="1"/>
  <c r="M71" i="36"/>
  <c r="L71" i="36"/>
  <c r="I71" i="36"/>
  <c r="C71" i="36"/>
  <c r="F71" i="36" s="1" a="1"/>
  <c r="F71" i="36" s="1"/>
  <c r="P70" i="36"/>
  <c r="Q70" i="36" s="1"/>
  <c r="M70" i="36"/>
  <c r="L70" i="36"/>
  <c r="I70" i="36"/>
  <c r="C70" i="36"/>
  <c r="F70" i="36" s="1" a="1"/>
  <c r="F70" i="36" s="1"/>
  <c r="P69" i="36"/>
  <c r="Q69" i="36" s="1"/>
  <c r="M69" i="36"/>
  <c r="L69" i="36"/>
  <c r="I69" i="36"/>
  <c r="C69" i="36"/>
  <c r="D69" i="36" s="1"/>
  <c r="P68" i="36"/>
  <c r="Q68" i="36" s="1"/>
  <c r="M68" i="36"/>
  <c r="L68" i="36"/>
  <c r="I68" i="36"/>
  <c r="C68" i="36"/>
  <c r="D68" i="36" s="1"/>
  <c r="P67" i="36"/>
  <c r="Q67" i="36" s="1"/>
  <c r="M67" i="36"/>
  <c r="L67" i="36"/>
  <c r="I67" i="36"/>
  <c r="C67" i="36"/>
  <c r="F67" i="36" s="1" a="1"/>
  <c r="F67" i="36" s="1"/>
  <c r="P66" i="36"/>
  <c r="Q66" i="36" s="1"/>
  <c r="M66" i="36"/>
  <c r="L66" i="36"/>
  <c r="I66" i="36"/>
  <c r="C66" i="36"/>
  <c r="F66" i="36" s="1" a="1"/>
  <c r="F66" i="36" s="1"/>
  <c r="P65" i="36"/>
  <c r="Q65" i="36" s="1"/>
  <c r="M65" i="36"/>
  <c r="L65" i="36"/>
  <c r="I65" i="36"/>
  <c r="C65" i="36"/>
  <c r="D65" i="36" s="1"/>
  <c r="P64" i="36"/>
  <c r="Q64" i="36" s="1"/>
  <c r="M64" i="36"/>
  <c r="L64" i="36"/>
  <c r="I64" i="36"/>
  <c r="C64" i="36"/>
  <c r="F64" i="36" s="1" a="1"/>
  <c r="F64" i="36" s="1"/>
  <c r="P63" i="36"/>
  <c r="Q63" i="36" s="1"/>
  <c r="M63" i="36"/>
  <c r="L63" i="36"/>
  <c r="I63" i="36"/>
  <c r="C63" i="36"/>
  <c r="F63" i="36" s="1" a="1"/>
  <c r="F63" i="36" s="1"/>
  <c r="P62" i="36"/>
  <c r="Q62" i="36" s="1"/>
  <c r="M62" i="36"/>
  <c r="L62" i="36"/>
  <c r="I62" i="36"/>
  <c r="C62" i="36"/>
  <c r="F62" i="36" s="1" a="1"/>
  <c r="F62" i="36" s="1"/>
  <c r="P61" i="36"/>
  <c r="Q61" i="36" s="1"/>
  <c r="M61" i="36"/>
  <c r="L61" i="36"/>
  <c r="I61" i="36"/>
  <c r="C61" i="36"/>
  <c r="D61" i="36" s="1"/>
  <c r="P60" i="36"/>
  <c r="Q60" i="36" s="1"/>
  <c r="M60" i="36"/>
  <c r="L60" i="36"/>
  <c r="I60" i="36"/>
  <c r="C60" i="36"/>
  <c r="F60" i="36" s="1" a="1"/>
  <c r="F60" i="36" s="1"/>
  <c r="P59" i="36"/>
  <c r="Q59" i="36" s="1"/>
  <c r="M59" i="36"/>
  <c r="L59" i="36"/>
  <c r="I59" i="36"/>
  <c r="C59" i="36"/>
  <c r="F59" i="36" s="1" a="1"/>
  <c r="F59" i="36" s="1"/>
  <c r="P58" i="36"/>
  <c r="Q58" i="36" s="1"/>
  <c r="M58" i="36"/>
  <c r="L58" i="36"/>
  <c r="I58" i="36"/>
  <c r="C58" i="36"/>
  <c r="F58" i="36" s="1" a="1"/>
  <c r="F58" i="36" s="1"/>
  <c r="P57" i="36"/>
  <c r="Q57" i="36" s="1"/>
  <c r="M57" i="36"/>
  <c r="L57" i="36"/>
  <c r="I57" i="36"/>
  <c r="C57" i="36"/>
  <c r="D57" i="36" s="1"/>
  <c r="P56" i="36"/>
  <c r="Q56" i="36" s="1"/>
  <c r="M56" i="36"/>
  <c r="L56" i="36"/>
  <c r="I56" i="36"/>
  <c r="C56" i="36"/>
  <c r="F56" i="36" s="1" a="1"/>
  <c r="F56" i="36" s="1"/>
  <c r="P55" i="36"/>
  <c r="Q55" i="36" s="1"/>
  <c r="M55" i="36"/>
  <c r="L55" i="36"/>
  <c r="I55" i="36"/>
  <c r="C55" i="36"/>
  <c r="F55" i="36" s="1" a="1"/>
  <c r="F55" i="36" s="1"/>
  <c r="P54" i="36"/>
  <c r="Q54" i="36" s="1"/>
  <c r="M54" i="36"/>
  <c r="L54" i="36"/>
  <c r="I54" i="36"/>
  <c r="C54" i="36"/>
  <c r="F54" i="36" s="1" a="1"/>
  <c r="F54" i="36" s="1"/>
  <c r="P53" i="36"/>
  <c r="Q53" i="36" s="1"/>
  <c r="M53" i="36"/>
  <c r="L53" i="36"/>
  <c r="I53" i="36"/>
  <c r="C53" i="36"/>
  <c r="D53" i="36" s="1"/>
  <c r="P52" i="36"/>
  <c r="Q52" i="36" s="1"/>
  <c r="M52" i="36"/>
  <c r="L52" i="36"/>
  <c r="I52" i="36"/>
  <c r="C52" i="36"/>
  <c r="D52" i="36" s="1"/>
  <c r="P51" i="36"/>
  <c r="Q51" i="36" s="1"/>
  <c r="M51" i="36"/>
  <c r="L51" i="36"/>
  <c r="I51" i="36"/>
  <c r="C51" i="36"/>
  <c r="F51" i="36" s="1" a="1"/>
  <c r="F51" i="36" s="1"/>
  <c r="P50" i="36"/>
  <c r="Q50" i="36" s="1"/>
  <c r="M50" i="36"/>
  <c r="L50" i="36"/>
  <c r="I50" i="36"/>
  <c r="C50" i="36"/>
  <c r="F50" i="36" s="1" a="1"/>
  <c r="F50" i="36" s="1"/>
  <c r="P49" i="36"/>
  <c r="Q49" i="36" s="1"/>
  <c r="M49" i="36"/>
  <c r="L49" i="36"/>
  <c r="I49" i="36"/>
  <c r="C49" i="36"/>
  <c r="D49" i="36" s="1"/>
  <c r="P48" i="36"/>
  <c r="Q48" i="36" s="1"/>
  <c r="M48" i="36"/>
  <c r="L48" i="36"/>
  <c r="I48" i="36"/>
  <c r="C48" i="36"/>
  <c r="F48" i="36" s="1" a="1"/>
  <c r="F48" i="36" s="1"/>
  <c r="P47" i="36"/>
  <c r="Q47" i="36" s="1"/>
  <c r="M47" i="36"/>
  <c r="L47" i="36"/>
  <c r="I47" i="36"/>
  <c r="C47" i="36"/>
  <c r="F47" i="36" s="1" a="1"/>
  <c r="F47" i="36" s="1"/>
  <c r="P46" i="36"/>
  <c r="Q46" i="36" s="1"/>
  <c r="M46" i="36"/>
  <c r="L46" i="36"/>
  <c r="I46" i="36"/>
  <c r="C46" i="36"/>
  <c r="F46" i="36" s="1" a="1"/>
  <c r="F46" i="36" s="1"/>
  <c r="P45" i="36"/>
  <c r="Q45" i="36" s="1"/>
  <c r="M45" i="36"/>
  <c r="L45" i="36"/>
  <c r="I45" i="36"/>
  <c r="C45" i="36"/>
  <c r="D45" i="36" s="1"/>
  <c r="P44" i="36"/>
  <c r="Q44" i="36" s="1"/>
  <c r="M44" i="36"/>
  <c r="L44" i="36"/>
  <c r="I44" i="36"/>
  <c r="C44" i="36"/>
  <c r="F44" i="36" s="1" a="1"/>
  <c r="F44" i="36" s="1"/>
  <c r="P43" i="36"/>
  <c r="Q43" i="36" s="1"/>
  <c r="M43" i="36"/>
  <c r="L43" i="36"/>
  <c r="I43" i="36"/>
  <c r="C43" i="36"/>
  <c r="F43" i="36" s="1" a="1"/>
  <c r="F43" i="36" s="1"/>
  <c r="P42" i="36"/>
  <c r="Q42" i="36" s="1"/>
  <c r="M42" i="36"/>
  <c r="L42" i="36"/>
  <c r="I42" i="36"/>
  <c r="C42" i="36"/>
  <c r="F42" i="36" s="1" a="1"/>
  <c r="F42" i="36" s="1"/>
  <c r="P41" i="36"/>
  <c r="Q41" i="36" s="1"/>
  <c r="M41" i="36"/>
  <c r="L41" i="36"/>
  <c r="I41" i="36"/>
  <c r="C41" i="36"/>
  <c r="F41" i="36" s="1" a="1"/>
  <c r="F41" i="36" s="1"/>
  <c r="P40" i="36"/>
  <c r="Q40" i="36" s="1"/>
  <c r="M40" i="36"/>
  <c r="L40" i="36"/>
  <c r="I40" i="36"/>
  <c r="C40" i="36"/>
  <c r="F40" i="36" s="1" a="1"/>
  <c r="F40" i="36" s="1"/>
  <c r="P39" i="36"/>
  <c r="Q39" i="36" s="1"/>
  <c r="M39" i="36"/>
  <c r="L39" i="36"/>
  <c r="I39" i="36"/>
  <c r="C39" i="36"/>
  <c r="F39" i="36" s="1" a="1"/>
  <c r="F39" i="36" s="1"/>
  <c r="P38" i="36"/>
  <c r="Q38" i="36" s="1"/>
  <c r="M38" i="36"/>
  <c r="L38" i="36"/>
  <c r="I38" i="36"/>
  <c r="C38" i="36"/>
  <c r="F38" i="36" s="1" a="1"/>
  <c r="F38" i="36" s="1"/>
  <c r="P37" i="36"/>
  <c r="Q37" i="36" s="1"/>
  <c r="M37" i="36"/>
  <c r="L37" i="36"/>
  <c r="I37" i="36"/>
  <c r="C37" i="36"/>
  <c r="F37" i="36" s="1" a="1"/>
  <c r="F37" i="36" s="1"/>
  <c r="P36" i="36"/>
  <c r="Q36" i="36" s="1"/>
  <c r="M36" i="36"/>
  <c r="L36" i="36"/>
  <c r="I36" i="36"/>
  <c r="C36" i="36"/>
  <c r="F36" i="36" s="1" a="1"/>
  <c r="F36" i="36" s="1"/>
  <c r="P35" i="36"/>
  <c r="Q35" i="36" s="1"/>
  <c r="M35" i="36"/>
  <c r="L35" i="36"/>
  <c r="I35" i="36"/>
  <c r="C35" i="36"/>
  <c r="F35" i="36" s="1" a="1"/>
  <c r="F35" i="36" s="1"/>
  <c r="P34" i="36"/>
  <c r="Q34" i="36" s="1"/>
  <c r="M34" i="36"/>
  <c r="L34" i="36"/>
  <c r="I34" i="36"/>
  <c r="C34" i="36"/>
  <c r="F34" i="36" s="1" a="1"/>
  <c r="F34" i="36" s="1"/>
  <c r="P33" i="36"/>
  <c r="Q33" i="36" s="1"/>
  <c r="M33" i="36"/>
  <c r="L33" i="36"/>
  <c r="I33" i="36"/>
  <c r="C33" i="36"/>
  <c r="D33" i="36" s="1"/>
  <c r="P32" i="36"/>
  <c r="Q32" i="36" s="1"/>
  <c r="M32" i="36"/>
  <c r="L32" i="36"/>
  <c r="I32" i="36"/>
  <c r="C32" i="36"/>
  <c r="D32" i="36" s="1"/>
  <c r="P31" i="36"/>
  <c r="Q31" i="36" s="1"/>
  <c r="M31" i="36"/>
  <c r="L31" i="36"/>
  <c r="I31" i="36"/>
  <c r="C31" i="36"/>
  <c r="F31" i="36" s="1" a="1"/>
  <c r="F31" i="36" s="1"/>
  <c r="P30" i="36"/>
  <c r="Q30" i="36" s="1"/>
  <c r="M30" i="36"/>
  <c r="L30" i="36"/>
  <c r="I30" i="36"/>
  <c r="C30" i="36"/>
  <c r="F30" i="36" s="1" a="1"/>
  <c r="F30" i="36" s="1"/>
  <c r="P29" i="36"/>
  <c r="Q29" i="36" s="1"/>
  <c r="M29" i="36"/>
  <c r="L29" i="36"/>
  <c r="I29" i="36"/>
  <c r="C29" i="36"/>
  <c r="F29" i="36" s="1" a="1"/>
  <c r="F29" i="36" s="1"/>
  <c r="P28" i="36"/>
  <c r="Q28" i="36" s="1"/>
  <c r="M28" i="36"/>
  <c r="L28" i="36"/>
  <c r="I28" i="36"/>
  <c r="C28" i="36"/>
  <c r="F28" i="36" s="1" a="1"/>
  <c r="F28" i="36" s="1"/>
  <c r="P27" i="36"/>
  <c r="Q27" i="36" s="1"/>
  <c r="M27" i="36"/>
  <c r="L27" i="36"/>
  <c r="I27" i="36"/>
  <c r="C27" i="36"/>
  <c r="F27" i="36" s="1" a="1"/>
  <c r="F27" i="36" s="1"/>
  <c r="P26" i="36"/>
  <c r="Q26" i="36" s="1"/>
  <c r="M26" i="36"/>
  <c r="L26" i="36"/>
  <c r="I26" i="36"/>
  <c r="C26" i="36"/>
  <c r="F26" i="36" s="1" a="1"/>
  <c r="F26" i="36" s="1"/>
  <c r="P25" i="36"/>
  <c r="Q25" i="36" s="1"/>
  <c r="M25" i="36"/>
  <c r="L25" i="36"/>
  <c r="I25" i="36"/>
  <c r="C25" i="36"/>
  <c r="D25" i="36" s="1"/>
  <c r="P24" i="36"/>
  <c r="Q24" i="36" s="1"/>
  <c r="M24" i="36"/>
  <c r="L24" i="36"/>
  <c r="I24" i="36"/>
  <c r="C24" i="36"/>
  <c r="D24" i="36" s="1"/>
  <c r="P23" i="36"/>
  <c r="Q23" i="36" s="1"/>
  <c r="M23" i="36"/>
  <c r="L23" i="36"/>
  <c r="I23" i="36"/>
  <c r="C23" i="36"/>
  <c r="F23" i="36" s="1" a="1"/>
  <c r="F23" i="36" s="1"/>
  <c r="P22" i="36"/>
  <c r="Q22" i="36" s="1"/>
  <c r="M22" i="36"/>
  <c r="L22" i="36"/>
  <c r="I22" i="36"/>
  <c r="C22" i="36"/>
  <c r="F22" i="36" s="1" a="1"/>
  <c r="F22" i="36" s="1"/>
  <c r="P21" i="36"/>
  <c r="Q21" i="36" s="1"/>
  <c r="M21" i="36"/>
  <c r="L21" i="36"/>
  <c r="I21" i="36"/>
  <c r="C21" i="36"/>
  <c r="F21" i="36" s="1" a="1"/>
  <c r="F21" i="36" s="1"/>
  <c r="P20" i="36"/>
  <c r="Q20" i="36" s="1"/>
  <c r="M20" i="36"/>
  <c r="L20" i="36"/>
  <c r="I20" i="36"/>
  <c r="C20" i="36"/>
  <c r="D20" i="36" s="1"/>
  <c r="P19" i="36"/>
  <c r="Q19" i="36" s="1"/>
  <c r="M19" i="36"/>
  <c r="L19" i="36"/>
  <c r="I19" i="36"/>
  <c r="C19" i="36"/>
  <c r="F19" i="36" s="1" a="1"/>
  <c r="F19" i="36" s="1"/>
  <c r="P18" i="36"/>
  <c r="Q18" i="36" s="1"/>
  <c r="M18" i="36"/>
  <c r="L18" i="36"/>
  <c r="I18" i="36"/>
  <c r="C18" i="36"/>
  <c r="F18" i="36" s="1" a="1"/>
  <c r="F18" i="36" s="1"/>
  <c r="P17" i="36"/>
  <c r="Q17" i="36" s="1"/>
  <c r="M17" i="36"/>
  <c r="L17" i="36"/>
  <c r="I17" i="36"/>
  <c r="C17" i="36"/>
  <c r="F17" i="36" s="1" a="1"/>
  <c r="F17" i="36" s="1"/>
  <c r="P16" i="36"/>
  <c r="Q16" i="36" s="1"/>
  <c r="M16" i="36"/>
  <c r="L16" i="36"/>
  <c r="I16" i="36"/>
  <c r="C16" i="36"/>
  <c r="D16" i="36" s="1"/>
  <c r="P15" i="36"/>
  <c r="Q15" i="36" s="1"/>
  <c r="M15" i="36"/>
  <c r="L15" i="36"/>
  <c r="I15" i="36"/>
  <c r="C15" i="36"/>
  <c r="F15" i="36" s="1" a="1"/>
  <c r="F15" i="36" s="1"/>
  <c r="P14" i="36"/>
  <c r="Q14" i="36" s="1"/>
  <c r="M14" i="36"/>
  <c r="L14" i="36"/>
  <c r="I14" i="36"/>
  <c r="C14" i="36"/>
  <c r="F14" i="36" s="1" a="1"/>
  <c r="F14" i="36" s="1"/>
  <c r="P13" i="36"/>
  <c r="Q13" i="36" s="1"/>
  <c r="M13" i="36"/>
  <c r="L13" i="36"/>
  <c r="I13" i="36"/>
  <c r="C13" i="36"/>
  <c r="F13" i="36" s="1" a="1"/>
  <c r="F13" i="36" s="1"/>
  <c r="P12" i="36"/>
  <c r="Q12" i="36" s="1"/>
  <c r="M12" i="36"/>
  <c r="L12" i="36"/>
  <c r="I12" i="36"/>
  <c r="C12" i="36"/>
  <c r="F12" i="36" s="1" a="1"/>
  <c r="F12" i="36" s="1"/>
  <c r="P11" i="36"/>
  <c r="Q11" i="36" s="1"/>
  <c r="M11" i="36"/>
  <c r="L11" i="36"/>
  <c r="I11" i="36"/>
  <c r="C11" i="36"/>
  <c r="F11" i="36" s="1" a="1"/>
  <c r="F11" i="36" s="1"/>
  <c r="P10" i="36"/>
  <c r="Q10" i="36" s="1"/>
  <c r="M10" i="36"/>
  <c r="L10" i="36"/>
  <c r="I10" i="36"/>
  <c r="C10" i="36"/>
  <c r="F10" i="36" s="1" a="1"/>
  <c r="F10" i="36" s="1"/>
  <c r="P9" i="36"/>
  <c r="Q9" i="36" s="1"/>
  <c r="M9" i="36"/>
  <c r="L9" i="36"/>
  <c r="I9" i="36"/>
  <c r="C9" i="36"/>
  <c r="D9" i="36" s="1"/>
  <c r="P8" i="36"/>
  <c r="Q8" i="36" s="1"/>
  <c r="M8" i="36"/>
  <c r="L8" i="36"/>
  <c r="I8" i="36"/>
  <c r="D8" i="36"/>
  <c r="P7" i="36"/>
  <c r="Q7" i="36" s="1"/>
  <c r="M7" i="36"/>
  <c r="L7" i="36"/>
  <c r="I7" i="36"/>
  <c r="P6" i="36"/>
  <c r="Q6" i="36" s="1"/>
  <c r="M6" i="36"/>
  <c r="L6" i="36"/>
  <c r="I6" i="36"/>
  <c r="D6" i="36"/>
  <c r="F29" i="38" l="1" a="1"/>
  <c r="F29" i="38" s="1"/>
  <c r="F62" i="40" a="1"/>
  <c r="F62" i="40" s="1"/>
  <c r="F69" i="38" a="1"/>
  <c r="F69" i="38" s="1"/>
  <c r="D67" i="40"/>
  <c r="D74" i="40"/>
  <c r="F99" i="39" a="1"/>
  <c r="F99" i="39" s="1"/>
  <c r="F58" i="40" a="1"/>
  <c r="F58" i="40" s="1"/>
  <c r="F31" i="38" a="1"/>
  <c r="F31" i="38" s="1"/>
  <c r="D38" i="38"/>
  <c r="D26" i="40"/>
  <c r="D82" i="40"/>
  <c r="F13" i="38" a="1"/>
  <c r="F13" i="38" s="1"/>
  <c r="D10" i="40"/>
  <c r="F63" i="39" a="1"/>
  <c r="F63" i="39" s="1"/>
  <c r="F27" i="40" a="1"/>
  <c r="F27" i="40" s="1"/>
  <c r="F53" i="38" a="1"/>
  <c r="F53" i="38" s="1"/>
  <c r="F75" i="39" a="1"/>
  <c r="F75" i="39" s="1"/>
  <c r="D57" i="40"/>
  <c r="F86" i="40" a="1"/>
  <c r="F86" i="40" s="1"/>
  <c r="D78" i="38"/>
  <c r="F47" i="39" a="1"/>
  <c r="F47" i="39" s="1"/>
  <c r="D46" i="40"/>
  <c r="F55" i="40" a="1"/>
  <c r="F55" i="40" s="1"/>
  <c r="D59" i="40"/>
  <c r="D80" i="39"/>
  <c r="D22" i="40"/>
  <c r="D35" i="40"/>
  <c r="D17" i="38"/>
  <c r="F31" i="40" a="1"/>
  <c r="F31" i="40" s="1"/>
  <c r="F51" i="40" a="1"/>
  <c r="F51" i="40" s="1"/>
  <c r="F31" i="39" a="1"/>
  <c r="F31" i="39" s="1"/>
  <c r="F25" i="37" a="1"/>
  <c r="F25" i="37" s="1"/>
  <c r="F27" i="38" a="1"/>
  <c r="F27" i="38" s="1"/>
  <c r="D34" i="40"/>
  <c r="D38" i="40"/>
  <c r="D54" i="40"/>
  <c r="D14" i="40"/>
  <c r="D30" i="40"/>
  <c r="F73" i="38" a="1"/>
  <c r="F73" i="38" s="1"/>
  <c r="F51" i="39" a="1"/>
  <c r="F51" i="39" s="1"/>
  <c r="D64" i="39"/>
  <c r="F15" i="38" a="1"/>
  <c r="F15" i="38" s="1"/>
  <c r="D54" i="38"/>
  <c r="D82" i="38"/>
  <c r="F60" i="39" a="1"/>
  <c r="F60" i="39" s="1"/>
  <c r="D29" i="40"/>
  <c r="D33" i="40"/>
  <c r="D69" i="40"/>
  <c r="F69" i="37" a="1"/>
  <c r="F69" i="37" s="1"/>
  <c r="F35" i="38" a="1"/>
  <c r="F35" i="38" s="1"/>
  <c r="F37" i="38" a="1"/>
  <c r="F37" i="38" s="1"/>
  <c r="F92" i="39" a="1"/>
  <c r="F92" i="39" s="1"/>
  <c r="D90" i="40"/>
  <c r="F35" i="39" a="1"/>
  <c r="F35" i="39" s="1"/>
  <c r="F56" i="39" a="1"/>
  <c r="F56" i="39" s="1"/>
  <c r="F83" i="39" a="1"/>
  <c r="F83" i="39" s="1"/>
  <c r="D53" i="40"/>
  <c r="F53" i="37" a="1"/>
  <c r="F53" i="37" s="1"/>
  <c r="D10" i="38"/>
  <c r="D14" i="38"/>
  <c r="D94" i="38"/>
  <c r="F19" i="39" a="1"/>
  <c r="F19" i="39" s="1"/>
  <c r="D78" i="40"/>
  <c r="D34" i="38"/>
  <c r="F51" i="38" a="1"/>
  <c r="F51" i="38" s="1"/>
  <c r="F55" i="38" a="1"/>
  <c r="F55" i="38" s="1"/>
  <c r="F57" i="38" a="1"/>
  <c r="F57" i="38" s="1"/>
  <c r="F15" i="39" a="1"/>
  <c r="F15" i="39" s="1"/>
  <c r="D9" i="40"/>
  <c r="F91" i="39" a="1"/>
  <c r="F91" i="39" s="1"/>
  <c r="D11" i="40"/>
  <c r="F93" i="37" a="1"/>
  <c r="F93" i="37" s="1"/>
  <c r="F59" i="38" a="1"/>
  <c r="F59" i="38" s="1"/>
  <c r="F61" i="38" a="1"/>
  <c r="F61" i="38" s="1"/>
  <c r="D90" i="38"/>
  <c r="D72" i="39"/>
  <c r="D76" i="39"/>
  <c r="F95" i="39" a="1"/>
  <c r="F95" i="39" s="1"/>
  <c r="D18" i="40"/>
  <c r="D39" i="40"/>
  <c r="D41" i="40"/>
  <c r="D43" i="40"/>
  <c r="D45" i="40"/>
  <c r="F70" i="40" a="1"/>
  <c r="F70" i="40" s="1"/>
  <c r="D94" i="40"/>
  <c r="D98" i="40"/>
  <c r="F49" i="37" a="1"/>
  <c r="F49" i="37" s="1"/>
  <c r="F77" i="37" a="1"/>
  <c r="F77" i="37" s="1"/>
  <c r="F33" i="38" a="1"/>
  <c r="F33" i="38" s="1"/>
  <c r="F87" i="39" a="1"/>
  <c r="F87" i="39" s="1"/>
  <c r="D47" i="40"/>
  <c r="D18" i="38"/>
  <c r="F39" i="38" a="1"/>
  <c r="F39" i="38" s="1"/>
  <c r="F41" i="38" a="1"/>
  <c r="F41" i="38" s="1"/>
  <c r="D58" i="38"/>
  <c r="D66" i="38"/>
  <c r="D74" i="38"/>
  <c r="F89" i="38" a="1"/>
  <c r="F89" i="38" s="1"/>
  <c r="F93" i="38" a="1"/>
  <c r="F93" i="38" s="1"/>
  <c r="F11" i="39" a="1"/>
  <c r="F11" i="39" s="1"/>
  <c r="F100" i="39" a="1"/>
  <c r="F100" i="39" s="1"/>
  <c r="F96" i="39" a="1"/>
  <c r="F96" i="39" s="1"/>
  <c r="D15" i="40"/>
  <c r="D17" i="40"/>
  <c r="D19" i="40"/>
  <c r="D21" i="40"/>
  <c r="D42" i="40"/>
  <c r="D63" i="40"/>
  <c r="D65" i="40"/>
  <c r="D62" i="38"/>
  <c r="F81" i="38" a="1"/>
  <c r="F81" i="38" s="1"/>
  <c r="F27" i="39" a="1"/>
  <c r="F27" i="39" s="1"/>
  <c r="F43" i="39" a="1"/>
  <c r="F43" i="39" s="1"/>
  <c r="D50" i="40"/>
  <c r="F67" i="39" a="1"/>
  <c r="F67" i="39" s="1"/>
  <c r="F88" i="39" a="1"/>
  <c r="F88" i="39" s="1"/>
  <c r="D23" i="40"/>
  <c r="F23" i="39" a="1"/>
  <c r="F23" i="39" s="1"/>
  <c r="F39" i="39" a="1"/>
  <c r="F39" i="39" s="1"/>
  <c r="F55" i="39" a="1"/>
  <c r="F55" i="39" s="1"/>
  <c r="F17" i="37" a="1"/>
  <c r="F17" i="37" s="1"/>
  <c r="F33" i="37" a="1"/>
  <c r="F33" i="37" s="1"/>
  <c r="D9" i="38"/>
  <c r="F23" i="38" a="1"/>
  <c r="F23" i="38" s="1"/>
  <c r="F25" i="38" a="1"/>
  <c r="F25" i="38" s="1"/>
  <c r="F47" i="38" a="1"/>
  <c r="F47" i="38" s="1"/>
  <c r="F49" i="38" a="1"/>
  <c r="F49" i="38" s="1"/>
  <c r="F85" i="38" a="1"/>
  <c r="F85" i="38" s="1"/>
  <c r="F12" i="39" a="1"/>
  <c r="F12" i="39" s="1"/>
  <c r="F16" i="39" a="1"/>
  <c r="F16" i="39" s="1"/>
  <c r="F20" i="39" a="1"/>
  <c r="F20" i="39" s="1"/>
  <c r="F24" i="39" a="1"/>
  <c r="F24" i="39" s="1"/>
  <c r="F28" i="39" a="1"/>
  <c r="F28" i="39" s="1"/>
  <c r="F32" i="39" a="1"/>
  <c r="F32" i="39" s="1"/>
  <c r="F36" i="39" a="1"/>
  <c r="F36" i="39" s="1"/>
  <c r="F40" i="39" a="1"/>
  <c r="F40" i="39" s="1"/>
  <c r="F44" i="39" a="1"/>
  <c r="F44" i="39" s="1"/>
  <c r="F48" i="39" a="1"/>
  <c r="F48" i="39" s="1"/>
  <c r="F52" i="39" a="1"/>
  <c r="F52" i="39" s="1"/>
  <c r="F79" i="39" a="1"/>
  <c r="F79" i="39" s="1"/>
  <c r="F75" i="40" a="1"/>
  <c r="F75" i="40" s="1"/>
  <c r="D77" i="40"/>
  <c r="F91" i="40" a="1"/>
  <c r="F91" i="40" s="1"/>
  <c r="D93" i="40"/>
  <c r="F45" i="37" a="1"/>
  <c r="F45" i="37" s="1"/>
  <c r="F29" i="37" a="1"/>
  <c r="F29" i="37" s="1"/>
  <c r="F89" i="37" a="1"/>
  <c r="F89" i="37" s="1"/>
  <c r="F11" i="38" a="1"/>
  <c r="F11" i="38" s="1"/>
  <c r="D42" i="38"/>
  <c r="D70" i="38"/>
  <c r="F97" i="38" a="1"/>
  <c r="F97" i="38" s="1"/>
  <c r="D68" i="39"/>
  <c r="F79" i="40" a="1"/>
  <c r="F79" i="40" s="1"/>
  <c r="D81" i="40"/>
  <c r="F95" i="40" a="1"/>
  <c r="F95" i="40" s="1"/>
  <c r="D97" i="40"/>
  <c r="F41" i="37" a="1"/>
  <c r="F41" i="37" s="1"/>
  <c r="F57" i="37" a="1"/>
  <c r="F57" i="37" s="1"/>
  <c r="F73" i="37" a="1"/>
  <c r="F73" i="37" s="1"/>
  <c r="D22" i="38"/>
  <c r="D46" i="38"/>
  <c r="F9" i="37" a="1"/>
  <c r="F9" i="37" s="1"/>
  <c r="D26" i="38"/>
  <c r="D50" i="38"/>
  <c r="F65" i="38" a="1"/>
  <c r="F65" i="38" s="1"/>
  <c r="D86" i="38"/>
  <c r="F59" i="39" a="1"/>
  <c r="F59" i="39" s="1"/>
  <c r="D84" i="39"/>
  <c r="F83" i="40" a="1"/>
  <c r="F83" i="40" s="1"/>
  <c r="D85" i="40"/>
  <c r="F99" i="40" a="1"/>
  <c r="F99" i="40" s="1"/>
  <c r="F21" i="37" a="1"/>
  <c r="F21" i="37" s="1"/>
  <c r="F19" i="38" a="1"/>
  <c r="F19" i="38" s="1"/>
  <c r="D21" i="38"/>
  <c r="D30" i="38"/>
  <c r="D66" i="40"/>
  <c r="D71" i="40"/>
  <c r="F65" i="37" a="1"/>
  <c r="F65" i="37" s="1"/>
  <c r="F97" i="37" a="1"/>
  <c r="F97" i="37" s="1"/>
  <c r="F43" i="38" a="1"/>
  <c r="F43" i="38" s="1"/>
  <c r="F45" i="38" a="1"/>
  <c r="F45" i="38" s="1"/>
  <c r="F77" i="38" a="1"/>
  <c r="F77" i="38" s="1"/>
  <c r="D98" i="38"/>
  <c r="F71" i="39" a="1"/>
  <c r="F71" i="39" s="1"/>
  <c r="D13" i="40"/>
  <c r="D25" i="40"/>
  <c r="D37" i="40"/>
  <c r="D49" i="40"/>
  <c r="D61" i="40"/>
  <c r="D73" i="40"/>
  <c r="F87" i="40" a="1"/>
  <c r="F87" i="40" s="1"/>
  <c r="D89" i="40"/>
  <c r="D12" i="40"/>
  <c r="D16" i="40"/>
  <c r="D20" i="40"/>
  <c r="D24" i="40"/>
  <c r="D28" i="40"/>
  <c r="D32" i="40"/>
  <c r="D36" i="40"/>
  <c r="D40" i="40"/>
  <c r="D44" i="40"/>
  <c r="D48" i="40"/>
  <c r="D52" i="40"/>
  <c r="D56" i="40"/>
  <c r="D60" i="40"/>
  <c r="D64" i="40"/>
  <c r="D68" i="40"/>
  <c r="D72" i="40"/>
  <c r="D76" i="40"/>
  <c r="D80" i="40"/>
  <c r="D84" i="40"/>
  <c r="D88" i="40"/>
  <c r="D92" i="40"/>
  <c r="D96" i="40"/>
  <c r="D13" i="39"/>
  <c r="D33" i="39"/>
  <c r="D41" i="39"/>
  <c r="D53" i="39"/>
  <c r="D21" i="39"/>
  <c r="D29" i="39"/>
  <c r="D57" i="39"/>
  <c r="F17" i="39" a="1"/>
  <c r="F17" i="39" s="1"/>
  <c r="F25" i="39" a="1"/>
  <c r="F25" i="39" s="1"/>
  <c r="F37" i="39" a="1"/>
  <c r="F37" i="39" s="1"/>
  <c r="F45" i="39" a="1"/>
  <c r="F45" i="39" s="1"/>
  <c r="F49" i="39" a="1"/>
  <c r="F49" i="39" s="1"/>
  <c r="F61" i="39" a="1"/>
  <c r="F61" i="39" s="1"/>
  <c r="F65" i="39" a="1"/>
  <c r="F65" i="39" s="1"/>
  <c r="F69" i="39" a="1"/>
  <c r="F69" i="39" s="1"/>
  <c r="F73" i="39" a="1"/>
  <c r="F73" i="39" s="1"/>
  <c r="F77" i="39" a="1"/>
  <c r="F77" i="39" s="1"/>
  <c r="F81" i="39" a="1"/>
  <c r="F81" i="39" s="1"/>
  <c r="F85" i="39" a="1"/>
  <c r="F85" i="39" s="1"/>
  <c r="F89" i="39" a="1"/>
  <c r="F89" i="39" s="1"/>
  <c r="F93" i="39" a="1"/>
  <c r="F93" i="39" s="1"/>
  <c r="F97" i="39" a="1"/>
  <c r="F97" i="39" s="1"/>
  <c r="D10" i="39"/>
  <c r="D14" i="39"/>
  <c r="D18" i="39"/>
  <c r="D22" i="39"/>
  <c r="D26" i="39"/>
  <c r="D30" i="39"/>
  <c r="D34" i="39"/>
  <c r="D38" i="39"/>
  <c r="D42" i="39"/>
  <c r="D46" i="39"/>
  <c r="D50" i="39"/>
  <c r="D54" i="39"/>
  <c r="D58" i="39"/>
  <c r="D62" i="39"/>
  <c r="D66" i="39"/>
  <c r="D70" i="39"/>
  <c r="D74" i="39"/>
  <c r="D78" i="39"/>
  <c r="D82" i="39"/>
  <c r="D86" i="39"/>
  <c r="D90" i="39"/>
  <c r="D94" i="39"/>
  <c r="D98" i="39"/>
  <c r="F13" i="37" a="1"/>
  <c r="F13" i="37" s="1"/>
  <c r="F37" i="37" a="1"/>
  <c r="F37" i="37" s="1"/>
  <c r="F61" i="37" a="1"/>
  <c r="F61" i="37" s="1"/>
  <c r="F85" i="37" a="1"/>
  <c r="F85" i="37" s="1"/>
  <c r="D12" i="38"/>
  <c r="D16" i="38"/>
  <c r="D20" i="38"/>
  <c r="D24" i="38"/>
  <c r="D28" i="38"/>
  <c r="D32" i="38"/>
  <c r="D36" i="38"/>
  <c r="D40" i="38"/>
  <c r="D44" i="38"/>
  <c r="D48" i="38"/>
  <c r="D52" i="38"/>
  <c r="D56" i="38"/>
  <c r="D60" i="38"/>
  <c r="D64" i="38"/>
  <c r="D68" i="38"/>
  <c r="D72" i="38"/>
  <c r="D76" i="38"/>
  <c r="D80" i="38"/>
  <c r="D84" i="38"/>
  <c r="D88" i="38"/>
  <c r="D92" i="38"/>
  <c r="D96" i="38"/>
  <c r="D100" i="38"/>
  <c r="F81" i="37" a="1"/>
  <c r="F81" i="37" s="1"/>
  <c r="D63" i="38"/>
  <c r="D67" i="38"/>
  <c r="D71" i="38"/>
  <c r="D75" i="38"/>
  <c r="D79" i="38"/>
  <c r="D83" i="38"/>
  <c r="D87" i="38"/>
  <c r="D91" i="38"/>
  <c r="D95" i="38"/>
  <c r="D99" i="38"/>
  <c r="D10" i="37"/>
  <c r="D14" i="37"/>
  <c r="D26" i="37"/>
  <c r="D30" i="37"/>
  <c r="D42" i="37"/>
  <c r="D46" i="37"/>
  <c r="D50" i="37"/>
  <c r="D70" i="37"/>
  <c r="D74" i="37"/>
  <c r="D78" i="37"/>
  <c r="D82" i="37"/>
  <c r="D86" i="37"/>
  <c r="D90" i="37"/>
  <c r="D94" i="37"/>
  <c r="D22" i="37"/>
  <c r="D58" i="37"/>
  <c r="D66" i="37"/>
  <c r="D12" i="37"/>
  <c r="D16" i="37"/>
  <c r="D20" i="37"/>
  <c r="D24" i="37"/>
  <c r="D28" i="37"/>
  <c r="D32" i="37"/>
  <c r="D36" i="37"/>
  <c r="D40" i="37"/>
  <c r="D44" i="37"/>
  <c r="D48" i="37"/>
  <c r="D52" i="37"/>
  <c r="D56" i="37"/>
  <c r="D60" i="37"/>
  <c r="D64" i="37"/>
  <c r="D68" i="37"/>
  <c r="D72" i="37"/>
  <c r="D76" i="37"/>
  <c r="D80" i="37"/>
  <c r="D84" i="37"/>
  <c r="D88" i="37"/>
  <c r="D92" i="37"/>
  <c r="D96" i="37"/>
  <c r="D100" i="37"/>
  <c r="D11" i="37"/>
  <c r="D15" i="37"/>
  <c r="D19" i="37"/>
  <c r="D23" i="37"/>
  <c r="D27" i="37"/>
  <c r="D31" i="37"/>
  <c r="D35" i="37"/>
  <c r="D39" i="37"/>
  <c r="D43" i="37"/>
  <c r="D47" i="37"/>
  <c r="D51" i="37"/>
  <c r="D55" i="37"/>
  <c r="D59" i="37"/>
  <c r="D63" i="37"/>
  <c r="D67" i="37"/>
  <c r="D71" i="37"/>
  <c r="D75" i="37"/>
  <c r="D79" i="37"/>
  <c r="D83" i="37"/>
  <c r="D87" i="37"/>
  <c r="D91" i="37"/>
  <c r="D95" i="37"/>
  <c r="D99" i="37"/>
  <c r="D18" i="37"/>
  <c r="D34" i="37"/>
  <c r="D38" i="37"/>
  <c r="D54" i="37"/>
  <c r="D62" i="37"/>
  <c r="D98" i="37"/>
  <c r="D17" i="36"/>
  <c r="D97" i="36"/>
  <c r="F9" i="36" a="1"/>
  <c r="F9" i="36" s="1"/>
  <c r="F45" i="36" a="1"/>
  <c r="F45" i="36" s="1"/>
  <c r="F65" i="36" a="1"/>
  <c r="F65" i="36" s="1"/>
  <c r="F73" i="36" a="1"/>
  <c r="F73" i="36" s="1"/>
  <c r="D12" i="36"/>
  <c r="D28" i="36"/>
  <c r="D36" i="36"/>
  <c r="D56" i="36"/>
  <c r="D72" i="36"/>
  <c r="D76" i="36"/>
  <c r="D80" i="36"/>
  <c r="D84" i="36"/>
  <c r="D92" i="36"/>
  <c r="F20" i="36" a="1"/>
  <c r="F20" i="36" s="1"/>
  <c r="F52" i="36" a="1"/>
  <c r="F52" i="36" s="1"/>
  <c r="F68" i="36" a="1"/>
  <c r="F68" i="36" s="1"/>
  <c r="F100" i="36" a="1"/>
  <c r="F100" i="36" s="1"/>
  <c r="F25" i="36" a="1"/>
  <c r="F25" i="36" s="1"/>
  <c r="F49" i="36" a="1"/>
  <c r="F49" i="36" s="1"/>
  <c r="F57" i="36" a="1"/>
  <c r="F57" i="36" s="1"/>
  <c r="D88" i="36"/>
  <c r="F16" i="36" a="1"/>
  <c r="F16" i="36" s="1"/>
  <c r="F24" i="36" a="1"/>
  <c r="F24" i="36" s="1"/>
  <c r="F32" i="36" a="1"/>
  <c r="F32" i="36" s="1"/>
  <c r="D11" i="36"/>
  <c r="D15" i="36"/>
  <c r="D19" i="36"/>
  <c r="D23" i="36"/>
  <c r="D27" i="36"/>
  <c r="D31" i="36"/>
  <c r="D35" i="36"/>
  <c r="D39" i="36"/>
  <c r="D43" i="36"/>
  <c r="D47" i="36"/>
  <c r="D51" i="36"/>
  <c r="D55" i="36"/>
  <c r="D59" i="36"/>
  <c r="D63" i="36"/>
  <c r="D67" i="36"/>
  <c r="D71" i="36"/>
  <c r="D75" i="36"/>
  <c r="D79" i="36"/>
  <c r="D83" i="36"/>
  <c r="D87" i="36"/>
  <c r="D91" i="36"/>
  <c r="D95" i="36"/>
  <c r="D99" i="36"/>
  <c r="D13" i="36"/>
  <c r="D41" i="36"/>
  <c r="D77" i="36"/>
  <c r="D81" i="36"/>
  <c r="D85" i="36"/>
  <c r="D89" i="36"/>
  <c r="F53" i="36" a="1"/>
  <c r="F53" i="36" s="1"/>
  <c r="F61" i="36" a="1"/>
  <c r="F61" i="36" s="1"/>
  <c r="D40" i="36"/>
  <c r="D48" i="36"/>
  <c r="D64" i="36"/>
  <c r="F33" i="36" a="1"/>
  <c r="F33" i="36" s="1"/>
  <c r="F69" i="36" a="1"/>
  <c r="F69" i="36" s="1"/>
  <c r="D29" i="36"/>
  <c r="D37" i="36"/>
  <c r="D93" i="36"/>
  <c r="D44" i="36"/>
  <c r="D60" i="36"/>
  <c r="F96" i="36" a="1"/>
  <c r="F96" i="36" s="1"/>
  <c r="D10" i="36"/>
  <c r="D14" i="36"/>
  <c r="D18" i="36"/>
  <c r="D22" i="36"/>
  <c r="D26" i="36"/>
  <c r="D30" i="36"/>
  <c r="D34" i="36"/>
  <c r="D38" i="36"/>
  <c r="D42" i="36"/>
  <c r="D46" i="36"/>
  <c r="D50" i="36"/>
  <c r="D54" i="36"/>
  <c r="D58" i="36"/>
  <c r="D62" i="36"/>
  <c r="D66" i="36"/>
  <c r="D70" i="36"/>
  <c r="D74" i="36"/>
  <c r="D78" i="36"/>
  <c r="D82" i="36"/>
  <c r="D86" i="36"/>
  <c r="D90" i="36"/>
  <c r="D94" i="36"/>
  <c r="D98" i="36"/>
  <c r="D21" i="36"/>
  <c r="P100" i="35" l="1"/>
  <c r="Q100" i="35" s="1"/>
  <c r="M100" i="35"/>
  <c r="L100" i="35"/>
  <c r="I100" i="35"/>
  <c r="C100" i="35"/>
  <c r="F100" i="35" s="1" a="1"/>
  <c r="F100" i="35" s="1"/>
  <c r="P99" i="35"/>
  <c r="Q99" i="35" s="1"/>
  <c r="M99" i="35"/>
  <c r="L99" i="35"/>
  <c r="I99" i="35"/>
  <c r="C99" i="35"/>
  <c r="F99" i="35" s="1" a="1"/>
  <c r="F99" i="35" s="1"/>
  <c r="P98" i="35"/>
  <c r="Q98" i="35" s="1"/>
  <c r="M98" i="35"/>
  <c r="L98" i="35"/>
  <c r="I98" i="35"/>
  <c r="C98" i="35"/>
  <c r="D98" i="35" s="1"/>
  <c r="P97" i="35"/>
  <c r="Q97" i="35" s="1"/>
  <c r="M97" i="35"/>
  <c r="L97" i="35"/>
  <c r="I97" i="35"/>
  <c r="C97" i="35"/>
  <c r="D97" i="35" s="1"/>
  <c r="P96" i="35"/>
  <c r="Q96" i="35" s="1"/>
  <c r="M96" i="35"/>
  <c r="L96" i="35"/>
  <c r="I96" i="35"/>
  <c r="C96" i="35"/>
  <c r="F96" i="35" s="1" a="1"/>
  <c r="F96" i="35" s="1"/>
  <c r="P95" i="35"/>
  <c r="Q95" i="35" s="1"/>
  <c r="M95" i="35"/>
  <c r="L95" i="35"/>
  <c r="I95" i="35"/>
  <c r="C95" i="35"/>
  <c r="F95" i="35" s="1" a="1"/>
  <c r="F95" i="35" s="1"/>
  <c r="P94" i="35"/>
  <c r="Q94" i="35" s="1"/>
  <c r="M94" i="35"/>
  <c r="L94" i="35"/>
  <c r="I94" i="35"/>
  <c r="C94" i="35"/>
  <c r="F94" i="35" s="1" a="1"/>
  <c r="F94" i="35" s="1"/>
  <c r="P93" i="35"/>
  <c r="Q93" i="35" s="1"/>
  <c r="M93" i="35"/>
  <c r="L93" i="35"/>
  <c r="I93" i="35"/>
  <c r="C93" i="35"/>
  <c r="F93" i="35" s="1" a="1"/>
  <c r="F93" i="35" s="1"/>
  <c r="P92" i="35"/>
  <c r="Q92" i="35" s="1"/>
  <c r="M92" i="35"/>
  <c r="L92" i="35"/>
  <c r="I92" i="35"/>
  <c r="C92" i="35"/>
  <c r="F92" i="35" s="1" a="1"/>
  <c r="F92" i="35" s="1"/>
  <c r="P91" i="35"/>
  <c r="Q91" i="35" s="1"/>
  <c r="M91" i="35"/>
  <c r="L91" i="35"/>
  <c r="I91" i="35"/>
  <c r="C91" i="35"/>
  <c r="F91" i="35" s="1" a="1"/>
  <c r="F91" i="35" s="1"/>
  <c r="P90" i="35"/>
  <c r="Q90" i="35" s="1"/>
  <c r="M90" i="35"/>
  <c r="L90" i="35"/>
  <c r="I90" i="35"/>
  <c r="C90" i="35"/>
  <c r="D90" i="35" s="1"/>
  <c r="P89" i="35"/>
  <c r="Q89" i="35" s="1"/>
  <c r="M89" i="35"/>
  <c r="L89" i="35"/>
  <c r="I89" i="35"/>
  <c r="C89" i="35"/>
  <c r="D89" i="35" s="1"/>
  <c r="P88" i="35"/>
  <c r="Q88" i="35" s="1"/>
  <c r="M88" i="35"/>
  <c r="L88" i="35"/>
  <c r="I88" i="35"/>
  <c r="C88" i="35"/>
  <c r="F88" i="35" s="1" a="1"/>
  <c r="F88" i="35" s="1"/>
  <c r="P87" i="35"/>
  <c r="Q87" i="35" s="1"/>
  <c r="M87" i="35"/>
  <c r="L87" i="35"/>
  <c r="I87" i="35"/>
  <c r="C87" i="35"/>
  <c r="F87" i="35" s="1" a="1"/>
  <c r="F87" i="35" s="1"/>
  <c r="P86" i="35"/>
  <c r="Q86" i="35" s="1"/>
  <c r="M86" i="35"/>
  <c r="L86" i="35"/>
  <c r="I86" i="35"/>
  <c r="C86" i="35"/>
  <c r="F86" i="35" s="1" a="1"/>
  <c r="F86" i="35" s="1"/>
  <c r="P85" i="35"/>
  <c r="Q85" i="35" s="1"/>
  <c r="M85" i="35"/>
  <c r="L85" i="35"/>
  <c r="I85" i="35"/>
  <c r="C85" i="35"/>
  <c r="F85" i="35" s="1" a="1"/>
  <c r="F85" i="35" s="1"/>
  <c r="P84" i="35"/>
  <c r="Q84" i="35" s="1"/>
  <c r="M84" i="35"/>
  <c r="L84" i="35"/>
  <c r="I84" i="35"/>
  <c r="C84" i="35"/>
  <c r="F84" i="35" s="1" a="1"/>
  <c r="F84" i="35" s="1"/>
  <c r="P83" i="35"/>
  <c r="Q83" i="35" s="1"/>
  <c r="M83" i="35"/>
  <c r="L83" i="35"/>
  <c r="I83" i="35"/>
  <c r="C83" i="35"/>
  <c r="F83" i="35" s="1" a="1"/>
  <c r="F83" i="35" s="1"/>
  <c r="P82" i="35"/>
  <c r="Q82" i="35" s="1"/>
  <c r="M82" i="35"/>
  <c r="L82" i="35"/>
  <c r="I82" i="35"/>
  <c r="C82" i="35"/>
  <c r="D82" i="35" s="1"/>
  <c r="P81" i="35"/>
  <c r="Q81" i="35" s="1"/>
  <c r="M81" i="35"/>
  <c r="L81" i="35"/>
  <c r="I81" i="35"/>
  <c r="C81" i="35"/>
  <c r="F81" i="35" s="1" a="1"/>
  <c r="F81" i="35" s="1"/>
  <c r="P80" i="35"/>
  <c r="Q80" i="35" s="1"/>
  <c r="M80" i="35"/>
  <c r="L80" i="35"/>
  <c r="I80" i="35"/>
  <c r="C80" i="35"/>
  <c r="D80" i="35" s="1"/>
  <c r="P79" i="35"/>
  <c r="Q79" i="35" s="1"/>
  <c r="M79" i="35"/>
  <c r="L79" i="35"/>
  <c r="I79" i="35"/>
  <c r="C79" i="35"/>
  <c r="F79" i="35" s="1" a="1"/>
  <c r="F79" i="35" s="1"/>
  <c r="P78" i="35"/>
  <c r="Q78" i="35" s="1"/>
  <c r="M78" i="35"/>
  <c r="L78" i="35"/>
  <c r="I78" i="35"/>
  <c r="C78" i="35"/>
  <c r="F78" i="35" s="1" a="1"/>
  <c r="F78" i="35" s="1"/>
  <c r="P77" i="35"/>
  <c r="Q77" i="35" s="1"/>
  <c r="M77" i="35"/>
  <c r="L77" i="35"/>
  <c r="I77" i="35"/>
  <c r="C77" i="35"/>
  <c r="F77" i="35" s="1" a="1"/>
  <c r="F77" i="35" s="1"/>
  <c r="P76" i="35"/>
  <c r="Q76" i="35" s="1"/>
  <c r="M76" i="35"/>
  <c r="L76" i="35"/>
  <c r="I76" i="35"/>
  <c r="C76" i="35"/>
  <c r="F76" i="35" s="1" a="1"/>
  <c r="F76" i="35" s="1"/>
  <c r="P75" i="35"/>
  <c r="Q75" i="35" s="1"/>
  <c r="M75" i="35"/>
  <c r="L75" i="35"/>
  <c r="I75" i="35"/>
  <c r="C75" i="35"/>
  <c r="F75" i="35" s="1" a="1"/>
  <c r="F75" i="35" s="1"/>
  <c r="P74" i="35"/>
  <c r="Q74" i="35" s="1"/>
  <c r="M74" i="35"/>
  <c r="L74" i="35"/>
  <c r="I74" i="35"/>
  <c r="C74" i="35"/>
  <c r="D74" i="35" s="1"/>
  <c r="P73" i="35"/>
  <c r="Q73" i="35" s="1"/>
  <c r="M73" i="35"/>
  <c r="L73" i="35"/>
  <c r="I73" i="35"/>
  <c r="C73" i="35"/>
  <c r="F73" i="35" s="1" a="1"/>
  <c r="F73" i="35" s="1"/>
  <c r="P72" i="35"/>
  <c r="Q72" i="35" s="1"/>
  <c r="M72" i="35"/>
  <c r="L72" i="35"/>
  <c r="I72" i="35"/>
  <c r="C72" i="35"/>
  <c r="D72" i="35" s="1"/>
  <c r="P71" i="35"/>
  <c r="Q71" i="35" s="1"/>
  <c r="M71" i="35"/>
  <c r="L71" i="35"/>
  <c r="I71" i="35"/>
  <c r="C71" i="35"/>
  <c r="F71" i="35" s="1" a="1"/>
  <c r="F71" i="35" s="1"/>
  <c r="P70" i="35"/>
  <c r="Q70" i="35" s="1"/>
  <c r="M70" i="35"/>
  <c r="L70" i="35"/>
  <c r="I70" i="35"/>
  <c r="C70" i="35"/>
  <c r="F70" i="35" s="1" a="1"/>
  <c r="F70" i="35" s="1"/>
  <c r="P69" i="35"/>
  <c r="Q69" i="35" s="1"/>
  <c r="M69" i="35"/>
  <c r="L69" i="35"/>
  <c r="I69" i="35"/>
  <c r="C69" i="35"/>
  <c r="D69" i="35" s="1"/>
  <c r="P68" i="35"/>
  <c r="Q68" i="35" s="1"/>
  <c r="M68" i="35"/>
  <c r="L68" i="35"/>
  <c r="I68" i="35"/>
  <c r="C68" i="35"/>
  <c r="F68" i="35" s="1" a="1"/>
  <c r="F68" i="35" s="1"/>
  <c r="P67" i="35"/>
  <c r="Q67" i="35" s="1"/>
  <c r="M67" i="35"/>
  <c r="L67" i="35"/>
  <c r="I67" i="35"/>
  <c r="C67" i="35"/>
  <c r="F67" i="35" s="1" a="1"/>
  <c r="F67" i="35" s="1"/>
  <c r="P66" i="35"/>
  <c r="Q66" i="35" s="1"/>
  <c r="M66" i="35"/>
  <c r="L66" i="35"/>
  <c r="I66" i="35"/>
  <c r="C66" i="35"/>
  <c r="D66" i="35" s="1"/>
  <c r="P65" i="35"/>
  <c r="Q65" i="35" s="1"/>
  <c r="M65" i="35"/>
  <c r="L65" i="35"/>
  <c r="I65" i="35"/>
  <c r="C65" i="35"/>
  <c r="F65" i="35" s="1" a="1"/>
  <c r="F65" i="35" s="1"/>
  <c r="P64" i="35"/>
  <c r="Q64" i="35" s="1"/>
  <c r="M64" i="35"/>
  <c r="L64" i="35"/>
  <c r="I64" i="35"/>
  <c r="C64" i="35"/>
  <c r="F64" i="35" s="1" a="1"/>
  <c r="F64" i="35" s="1"/>
  <c r="P63" i="35"/>
  <c r="Q63" i="35" s="1"/>
  <c r="M63" i="35"/>
  <c r="L63" i="35"/>
  <c r="I63" i="35"/>
  <c r="C63" i="35"/>
  <c r="F63" i="35" s="1" a="1"/>
  <c r="F63" i="35" s="1"/>
  <c r="P62" i="35"/>
  <c r="Q62" i="35" s="1"/>
  <c r="M62" i="35"/>
  <c r="L62" i="35"/>
  <c r="I62" i="35"/>
  <c r="C62" i="35"/>
  <c r="F62" i="35" s="1" a="1"/>
  <c r="F62" i="35" s="1"/>
  <c r="P61" i="35"/>
  <c r="Q61" i="35" s="1"/>
  <c r="M61" i="35"/>
  <c r="L61" i="35"/>
  <c r="I61" i="35"/>
  <c r="C61" i="35"/>
  <c r="F61" i="35" s="1" a="1"/>
  <c r="F61" i="35" s="1"/>
  <c r="P60" i="35"/>
  <c r="Q60" i="35" s="1"/>
  <c r="M60" i="35"/>
  <c r="L60" i="35"/>
  <c r="I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F57" i="35" s="1" a="1"/>
  <c r="F57" i="35" s="1"/>
  <c r="P56" i="35"/>
  <c r="Q56" i="35" s="1"/>
  <c r="M56" i="35"/>
  <c r="L56" i="35"/>
  <c r="I56" i="35"/>
  <c r="C56" i="35"/>
  <c r="D56" i="35" s="1"/>
  <c r="P55" i="35"/>
  <c r="Q55" i="35" s="1"/>
  <c r="M55" i="35"/>
  <c r="L55" i="35"/>
  <c r="I55" i="35"/>
  <c r="C55" i="35"/>
  <c r="F55" i="35" s="1" a="1"/>
  <c r="F55" i="35" s="1"/>
  <c r="P54" i="35"/>
  <c r="Q54" i="35" s="1"/>
  <c r="M54" i="35"/>
  <c r="L54" i="35"/>
  <c r="I54" i="35"/>
  <c r="C54" i="35"/>
  <c r="F54" i="35" s="1" a="1"/>
  <c r="F54" i="35" s="1"/>
  <c r="P53" i="35"/>
  <c r="Q53" i="35" s="1"/>
  <c r="M53" i="35"/>
  <c r="L53" i="35"/>
  <c r="I53" i="35"/>
  <c r="C53" i="35"/>
  <c r="F53" i="35" s="1" a="1"/>
  <c r="F53" i="35" s="1"/>
  <c r="P52" i="35"/>
  <c r="Q52" i="35" s="1"/>
  <c r="M52" i="35"/>
  <c r="L52" i="35"/>
  <c r="I52" i="35"/>
  <c r="C52" i="35"/>
  <c r="F52" i="35" s="1" a="1"/>
  <c r="F52" i="35" s="1"/>
  <c r="P51" i="35"/>
  <c r="Q51" i="35" s="1"/>
  <c r="M51" i="35"/>
  <c r="L51" i="35"/>
  <c r="I51" i="35"/>
  <c r="C51" i="35"/>
  <c r="D51" i="35" s="1"/>
  <c r="P50" i="35"/>
  <c r="Q50" i="35" s="1"/>
  <c r="M50" i="35"/>
  <c r="L50" i="35"/>
  <c r="I50" i="35"/>
  <c r="C50" i="35"/>
  <c r="F50" i="35" s="1" a="1"/>
  <c r="F50" i="35" s="1"/>
  <c r="P49" i="35"/>
  <c r="Q49" i="35" s="1"/>
  <c r="M49" i="35"/>
  <c r="L49" i="35"/>
  <c r="I49" i="35"/>
  <c r="C49" i="35"/>
  <c r="F49" i="35" s="1" a="1"/>
  <c r="F49" i="35" s="1"/>
  <c r="P48" i="35"/>
  <c r="Q48" i="35" s="1"/>
  <c r="M48" i="35"/>
  <c r="L48" i="35"/>
  <c r="I48" i="35"/>
  <c r="C48" i="35"/>
  <c r="D48" i="35" s="1"/>
  <c r="P47" i="35"/>
  <c r="Q47" i="35" s="1"/>
  <c r="M47" i="35"/>
  <c r="L47" i="35"/>
  <c r="I47" i="35"/>
  <c r="C47" i="35"/>
  <c r="F47" i="35" s="1" a="1"/>
  <c r="F47" i="35" s="1"/>
  <c r="P46" i="35"/>
  <c r="Q46" i="35" s="1"/>
  <c r="M46" i="35"/>
  <c r="L46" i="35"/>
  <c r="I46" i="35"/>
  <c r="C46" i="35"/>
  <c r="F46" i="35" s="1" a="1"/>
  <c r="F46" i="35" s="1"/>
  <c r="P45" i="35"/>
  <c r="Q45" i="35" s="1"/>
  <c r="M45" i="35"/>
  <c r="L45" i="35"/>
  <c r="I45" i="35"/>
  <c r="C45" i="35"/>
  <c r="F45" i="35" s="1" a="1"/>
  <c r="F45" i="35" s="1"/>
  <c r="P44" i="35"/>
  <c r="Q44" i="35" s="1"/>
  <c r="M44" i="35"/>
  <c r="L44" i="35"/>
  <c r="I44" i="35"/>
  <c r="C44" i="35"/>
  <c r="F44" i="35" s="1" a="1"/>
  <c r="F44" i="35" s="1"/>
  <c r="P43" i="35"/>
  <c r="Q43" i="35" s="1"/>
  <c r="M43" i="35"/>
  <c r="L43" i="35"/>
  <c r="I43" i="35"/>
  <c r="C43" i="35"/>
  <c r="D43" i="35" s="1"/>
  <c r="P42" i="35"/>
  <c r="Q42" i="35" s="1"/>
  <c r="M42" i="35"/>
  <c r="L42" i="35"/>
  <c r="I42" i="35"/>
  <c r="C42" i="35"/>
  <c r="F42" i="35" s="1" a="1"/>
  <c r="F42" i="35" s="1"/>
  <c r="P41" i="35"/>
  <c r="Q41" i="35" s="1"/>
  <c r="M41" i="35"/>
  <c r="L41" i="35"/>
  <c r="I41" i="35"/>
  <c r="C41" i="35"/>
  <c r="F41" i="35" s="1" a="1"/>
  <c r="F41" i="35" s="1"/>
  <c r="P40" i="35"/>
  <c r="Q40" i="35" s="1"/>
  <c r="M40" i="35"/>
  <c r="L40" i="35"/>
  <c r="I40" i="35"/>
  <c r="C40" i="35"/>
  <c r="D40" i="35" s="1"/>
  <c r="P39" i="35"/>
  <c r="Q39" i="35" s="1"/>
  <c r="M39" i="35"/>
  <c r="L39" i="35"/>
  <c r="I39" i="35"/>
  <c r="C39" i="35"/>
  <c r="F39" i="35" s="1" a="1"/>
  <c r="F39" i="35" s="1"/>
  <c r="P38" i="35"/>
  <c r="Q38" i="35" s="1"/>
  <c r="M38" i="35"/>
  <c r="L38" i="35"/>
  <c r="I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C33" i="35"/>
  <c r="F33" i="35" s="1" a="1"/>
  <c r="F33" i="35" s="1"/>
  <c r="P32" i="35"/>
  <c r="Q32" i="35" s="1"/>
  <c r="M32" i="35"/>
  <c r="L32" i="35"/>
  <c r="I32" i="35"/>
  <c r="C32" i="35"/>
  <c r="D32" i="35" s="1"/>
  <c r="P31" i="35"/>
  <c r="Q31" i="35" s="1"/>
  <c r="M31" i="35"/>
  <c r="L31" i="35"/>
  <c r="I31" i="35"/>
  <c r="C31" i="35"/>
  <c r="F31" i="35" s="1" a="1"/>
  <c r="F31" i="35" s="1"/>
  <c r="P30" i="35"/>
  <c r="Q30" i="35" s="1"/>
  <c r="M30" i="35"/>
  <c r="L30" i="35"/>
  <c r="I30" i="35"/>
  <c r="C30" i="35"/>
  <c r="F30" i="35" s="1" a="1"/>
  <c r="F30" i="35" s="1"/>
  <c r="P29" i="35"/>
  <c r="Q29" i="35" s="1"/>
  <c r="M29" i="35"/>
  <c r="L29" i="35"/>
  <c r="I29" i="35"/>
  <c r="C29" i="35"/>
  <c r="F29" i="35" s="1" a="1"/>
  <c r="F29" i="35" s="1"/>
  <c r="P28" i="35"/>
  <c r="Q28" i="35" s="1"/>
  <c r="M28" i="35"/>
  <c r="L28" i="35"/>
  <c r="I28" i="35"/>
  <c r="C28" i="35"/>
  <c r="F28" i="35" s="1" a="1"/>
  <c r="F28" i="35" s="1"/>
  <c r="P27" i="35"/>
  <c r="Q27" i="35" s="1"/>
  <c r="M27" i="35"/>
  <c r="L27" i="35"/>
  <c r="I27" i="35"/>
  <c r="C27" i="35"/>
  <c r="D27" i="35" s="1"/>
  <c r="P26" i="35"/>
  <c r="Q26" i="35" s="1"/>
  <c r="M26" i="35"/>
  <c r="L26" i="35"/>
  <c r="I26" i="35"/>
  <c r="C26" i="35"/>
  <c r="F26" i="35" s="1" a="1"/>
  <c r="F26" i="35" s="1"/>
  <c r="P25" i="35"/>
  <c r="Q25" i="35" s="1"/>
  <c r="M25" i="35"/>
  <c r="L25" i="35"/>
  <c r="I25" i="35"/>
  <c r="C25" i="35"/>
  <c r="F25" i="35" s="1" a="1"/>
  <c r="F25" i="35" s="1"/>
  <c r="P24" i="35"/>
  <c r="Q24" i="35" s="1"/>
  <c r="M24" i="35"/>
  <c r="L24" i="35"/>
  <c r="I24" i="35"/>
  <c r="C24" i="35"/>
  <c r="D24" i="35" s="1"/>
  <c r="P23" i="35"/>
  <c r="Q23" i="35" s="1"/>
  <c r="M23" i="35"/>
  <c r="L23" i="35"/>
  <c r="I23" i="35"/>
  <c r="C23" i="35"/>
  <c r="F23" i="35" s="1" a="1"/>
  <c r="F23" i="35" s="1"/>
  <c r="P22" i="35"/>
  <c r="Q22" i="35" s="1"/>
  <c r="M22" i="35"/>
  <c r="L22" i="35"/>
  <c r="I22" i="35"/>
  <c r="C22" i="35"/>
  <c r="F22" i="35" s="1" a="1"/>
  <c r="F22" i="35" s="1"/>
  <c r="P21" i="35"/>
  <c r="Q21" i="35" s="1"/>
  <c r="M21" i="35"/>
  <c r="L21" i="35"/>
  <c r="I21" i="35"/>
  <c r="C21" i="35"/>
  <c r="F21" i="35" s="1" a="1"/>
  <c r="F21" i="35" s="1"/>
  <c r="P20" i="35"/>
  <c r="Q20" i="35" s="1"/>
  <c r="M20" i="35"/>
  <c r="L20" i="35"/>
  <c r="I20" i="35"/>
  <c r="C20" i="35"/>
  <c r="F20" i="35" s="1" a="1"/>
  <c r="F20" i="35" s="1"/>
  <c r="P19" i="35"/>
  <c r="Q19" i="35" s="1"/>
  <c r="M19" i="35"/>
  <c r="L19" i="35"/>
  <c r="I19" i="35"/>
  <c r="C19" i="35"/>
  <c r="D19" i="35" s="1"/>
  <c r="P18" i="35"/>
  <c r="Q18" i="35" s="1"/>
  <c r="M18" i="35"/>
  <c r="L18" i="35"/>
  <c r="I18" i="35"/>
  <c r="C18" i="35"/>
  <c r="F18" i="35" s="1" a="1"/>
  <c r="F18" i="35" s="1"/>
  <c r="P17" i="35"/>
  <c r="Q17" i="35" s="1"/>
  <c r="M17" i="35"/>
  <c r="L17" i="35"/>
  <c r="I17" i="35"/>
  <c r="C17" i="35"/>
  <c r="D17" i="35" s="1"/>
  <c r="P16" i="35"/>
  <c r="Q16" i="35" s="1"/>
  <c r="M16" i="35"/>
  <c r="L16" i="35"/>
  <c r="I16" i="35"/>
  <c r="C16" i="35"/>
  <c r="D16" i="35" s="1"/>
  <c r="P15" i="35"/>
  <c r="Q15" i="35" s="1"/>
  <c r="M15" i="35"/>
  <c r="L15" i="35"/>
  <c r="I15" i="35"/>
  <c r="C15" i="35"/>
  <c r="F15" i="35" s="1" a="1"/>
  <c r="F15" i="35" s="1"/>
  <c r="P14" i="35"/>
  <c r="Q14" i="35" s="1"/>
  <c r="M14" i="35"/>
  <c r="L14" i="35"/>
  <c r="I14" i="35"/>
  <c r="C14" i="35"/>
  <c r="F14" i="35" s="1" a="1"/>
  <c r="F14" i="35" s="1"/>
  <c r="P13" i="35"/>
  <c r="Q13" i="35" s="1"/>
  <c r="M13" i="35"/>
  <c r="L13" i="35"/>
  <c r="I13" i="35"/>
  <c r="C13" i="35"/>
  <c r="F13" i="35" s="1" a="1"/>
  <c r="F13" i="35" s="1"/>
  <c r="P12" i="35"/>
  <c r="Q12" i="35" s="1"/>
  <c r="M12" i="35"/>
  <c r="L12" i="35"/>
  <c r="I12" i="35"/>
  <c r="C12" i="35"/>
  <c r="F12" i="35" s="1" a="1"/>
  <c r="F12" i="35" s="1"/>
  <c r="P11" i="35"/>
  <c r="Q11" i="35" s="1"/>
  <c r="M11" i="35"/>
  <c r="L11" i="35"/>
  <c r="I11" i="35"/>
  <c r="C11" i="35"/>
  <c r="D11" i="35" s="1"/>
  <c r="P10" i="35"/>
  <c r="Q10" i="35" s="1"/>
  <c r="M10" i="35"/>
  <c r="L10" i="35"/>
  <c r="I10" i="35"/>
  <c r="C10" i="35"/>
  <c r="F10" i="35" s="1" a="1"/>
  <c r="F10" i="35" s="1"/>
  <c r="P9" i="35"/>
  <c r="Q9" i="35" s="1"/>
  <c r="M9" i="35"/>
  <c r="L9" i="35"/>
  <c r="I9" i="35"/>
  <c r="C9" i="35"/>
  <c r="F9" i="35" s="1" a="1"/>
  <c r="F9" i="35" s="1"/>
  <c r="P8" i="35"/>
  <c r="Q8" i="35" s="1"/>
  <c r="M8" i="35"/>
  <c r="L8" i="35"/>
  <c r="I8" i="35"/>
  <c r="C8" i="35"/>
  <c r="D8" i="35" s="1"/>
  <c r="M7" i="35"/>
  <c r="L7" i="35"/>
  <c r="I7" i="35"/>
  <c r="Q6" i="35"/>
  <c r="P6" i="35"/>
  <c r="M6" i="35"/>
  <c r="L6" i="35"/>
  <c r="I6" i="35"/>
  <c r="D99" i="35" l="1"/>
  <c r="F69" i="35" a="1"/>
  <c r="F69" i="35" s="1"/>
  <c r="D65" i="35"/>
  <c r="F17" i="35" a="1"/>
  <c r="F17" i="35" s="1"/>
  <c r="D85" i="35"/>
  <c r="F8" i="35" a="1"/>
  <c r="F8" i="35" s="1"/>
  <c r="D81" i="35"/>
  <c r="F89" i="35" a="1"/>
  <c r="F89" i="35" s="1"/>
  <c r="F40" i="35" a="1"/>
  <c r="F40" i="35" s="1"/>
  <c r="D54" i="35"/>
  <c r="D93" i="35"/>
  <c r="F97" i="35" a="1"/>
  <c r="F97" i="35" s="1"/>
  <c r="F32" i="35" a="1"/>
  <c r="F32" i="35" s="1"/>
  <c r="D64" i="35"/>
  <c r="F72" i="35" a="1"/>
  <c r="F72" i="35" s="1"/>
  <c r="D62" i="35"/>
  <c r="D96" i="35"/>
  <c r="D33" i="35"/>
  <c r="D37" i="35"/>
  <c r="D29" i="35"/>
  <c r="D25" i="35"/>
  <c r="D21" i="35"/>
  <c r="D49" i="35"/>
  <c r="D53" i="35"/>
  <c r="D61" i="35"/>
  <c r="D57" i="35"/>
  <c r="D94" i="35"/>
  <c r="F98" i="35" a="1"/>
  <c r="F98" i="35" s="1"/>
  <c r="D78" i="35"/>
  <c r="F80" i="35" a="1"/>
  <c r="F80" i="35" s="1"/>
  <c r="D86" i="35"/>
  <c r="F48" i="35" a="1"/>
  <c r="F48" i="35" s="1"/>
  <c r="F16" i="35" a="1"/>
  <c r="F16" i="35" s="1"/>
  <c r="D30" i="35"/>
  <c r="D88" i="35"/>
  <c r="D9" i="35"/>
  <c r="D13" i="35"/>
  <c r="F24" i="35" a="1"/>
  <c r="F24" i="35" s="1"/>
  <c r="D41" i="35"/>
  <c r="D45" i="35"/>
  <c r="F56" i="35" a="1"/>
  <c r="F56" i="35" s="1"/>
  <c r="D73" i="35"/>
  <c r="D77" i="35"/>
  <c r="D22" i="35"/>
  <c r="D38" i="35"/>
  <c r="D70" i="35"/>
  <c r="D14" i="35"/>
  <c r="D46" i="35"/>
  <c r="F66" i="35"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7" i="29" l="1"/>
  <c r="D18" i="29"/>
  <c r="L17" i="29"/>
  <c r="L18" i="29"/>
  <c r="M17" i="29"/>
  <c r="M18" i="29"/>
  <c r="P17" i="29"/>
  <c r="Q17" i="29" s="1"/>
  <c r="P18" i="29"/>
  <c r="Q18" i="29" s="1"/>
  <c r="D16" i="29" l="1"/>
  <c r="I16" i="29"/>
  <c r="L16" i="29"/>
  <c r="M16" i="29"/>
  <c r="P16" i="29"/>
  <c r="Q16" i="29" s="1"/>
  <c r="I13" i="29"/>
  <c r="L13" i="29"/>
  <c r="M13" i="29"/>
  <c r="P13" i="29"/>
  <c r="Q13" i="29" s="1"/>
  <c r="I10" i="29" l="1"/>
  <c r="L10" i="29"/>
  <c r="M10" i="29"/>
  <c r="P10" i="29"/>
  <c r="Q10" i="29" s="1"/>
  <c r="I9" i="29"/>
  <c r="L9" i="29"/>
  <c r="M9" i="29"/>
  <c r="P9" i="29"/>
  <c r="Q9" i="29" s="1"/>
  <c r="D7" i="29"/>
  <c r="I7" i="29"/>
  <c r="L7" i="29"/>
  <c r="M7" i="29"/>
  <c r="P7" i="29"/>
  <c r="Q7" i="29" s="1"/>
  <c r="P99" i="33"/>
  <c r="Q99" i="33" s="1"/>
  <c r="M99" i="33"/>
  <c r="L99" i="33"/>
  <c r="I99" i="33"/>
  <c r="C99" i="33"/>
  <c r="F99" i="33" s="1" a="1"/>
  <c r="F99" i="33" s="1"/>
  <c r="P98" i="33"/>
  <c r="Q98" i="33" s="1"/>
  <c r="M98" i="33"/>
  <c r="L98" i="33"/>
  <c r="I98" i="33"/>
  <c r="C98" i="33"/>
  <c r="F98" i="33" s="1" a="1"/>
  <c r="F98" i="33" s="1"/>
  <c r="P97" i="33"/>
  <c r="Q97" i="33" s="1"/>
  <c r="M97" i="33"/>
  <c r="L97" i="33"/>
  <c r="I97" i="33"/>
  <c r="C97" i="33"/>
  <c r="D97" i="33" s="1"/>
  <c r="P96" i="33"/>
  <c r="Q96" i="33" s="1"/>
  <c r="M96" i="33"/>
  <c r="L96" i="33"/>
  <c r="I96" i="33"/>
  <c r="C96" i="33"/>
  <c r="F96" i="33" s="1" a="1"/>
  <c r="F96" i="33" s="1"/>
  <c r="P95" i="33"/>
  <c r="Q95" i="33" s="1"/>
  <c r="M95" i="33"/>
  <c r="L95" i="33"/>
  <c r="I95" i="33"/>
  <c r="C95" i="33"/>
  <c r="D95" i="33" s="1"/>
  <c r="P94" i="33"/>
  <c r="Q94" i="33" s="1"/>
  <c r="M94" i="33"/>
  <c r="L94" i="33"/>
  <c r="I94" i="33"/>
  <c r="C94" i="33"/>
  <c r="F94" i="33" s="1" a="1"/>
  <c r="F94" i="33" s="1"/>
  <c r="P93" i="33"/>
  <c r="Q93" i="33" s="1"/>
  <c r="M93" i="33"/>
  <c r="L93" i="33"/>
  <c r="I93" i="33"/>
  <c r="C93" i="33"/>
  <c r="D93" i="33" s="1"/>
  <c r="P92" i="33"/>
  <c r="Q92" i="33" s="1"/>
  <c r="M92" i="33"/>
  <c r="L92" i="33"/>
  <c r="I92" i="33"/>
  <c r="C92" i="33"/>
  <c r="D92" i="33" s="1"/>
  <c r="P91" i="33"/>
  <c r="Q91" i="33" s="1"/>
  <c r="M91" i="33"/>
  <c r="L91" i="33"/>
  <c r="I91" i="33"/>
  <c r="C91" i="33"/>
  <c r="F91" i="33" s="1" a="1"/>
  <c r="F91" i="33" s="1"/>
  <c r="P90" i="33"/>
  <c r="Q90" i="33" s="1"/>
  <c r="M90" i="33"/>
  <c r="L90" i="33"/>
  <c r="I90" i="33"/>
  <c r="C90" i="33"/>
  <c r="F90" i="33" s="1" a="1"/>
  <c r="F90" i="33" s="1"/>
  <c r="P89" i="33"/>
  <c r="Q89" i="33" s="1"/>
  <c r="M89" i="33"/>
  <c r="L89" i="33"/>
  <c r="I89" i="33"/>
  <c r="C89" i="33"/>
  <c r="D89" i="33" s="1"/>
  <c r="P88" i="33"/>
  <c r="Q88" i="33" s="1"/>
  <c r="M88" i="33"/>
  <c r="L88" i="33"/>
  <c r="I88" i="33"/>
  <c r="C88" i="33"/>
  <c r="F88" i="33" s="1" a="1"/>
  <c r="F88" i="33" s="1"/>
  <c r="P87" i="33"/>
  <c r="Q87" i="33" s="1"/>
  <c r="M87" i="33"/>
  <c r="L87" i="33"/>
  <c r="I87" i="33"/>
  <c r="C87" i="33"/>
  <c r="D87" i="33" s="1"/>
  <c r="P86" i="33"/>
  <c r="Q86" i="33" s="1"/>
  <c r="M86" i="33"/>
  <c r="L86" i="33"/>
  <c r="I86" i="33"/>
  <c r="C86" i="33"/>
  <c r="D86" i="33" s="1"/>
  <c r="P85" i="33"/>
  <c r="Q85" i="33" s="1"/>
  <c r="M85" i="33"/>
  <c r="L85" i="33"/>
  <c r="I85" i="33"/>
  <c r="C85" i="33"/>
  <c r="F85" i="33" s="1" a="1"/>
  <c r="F85" i="33" s="1"/>
  <c r="P84" i="33"/>
  <c r="Q84" i="33" s="1"/>
  <c r="M84" i="33"/>
  <c r="L84" i="33"/>
  <c r="I84" i="33"/>
  <c r="C84" i="33"/>
  <c r="D84" i="33" s="1"/>
  <c r="P83" i="33"/>
  <c r="Q83" i="33" s="1"/>
  <c r="M83" i="33"/>
  <c r="L83" i="33"/>
  <c r="I83" i="33"/>
  <c r="C83" i="33"/>
  <c r="F83" i="33" s="1" a="1"/>
  <c r="F83" i="33" s="1"/>
  <c r="P82" i="33"/>
  <c r="Q82" i="33" s="1"/>
  <c r="M82" i="33"/>
  <c r="L82" i="33"/>
  <c r="I82" i="33"/>
  <c r="C82" i="33"/>
  <c r="F82" i="33" s="1" a="1"/>
  <c r="F82" i="33" s="1"/>
  <c r="P81" i="33"/>
  <c r="Q81" i="33" s="1"/>
  <c r="M81" i="33"/>
  <c r="L81" i="33"/>
  <c r="I81" i="33"/>
  <c r="C81" i="33"/>
  <c r="D81" i="33" s="1"/>
  <c r="P80" i="33"/>
  <c r="Q80" i="33" s="1"/>
  <c r="M80" i="33"/>
  <c r="L80" i="33"/>
  <c r="I80" i="33"/>
  <c r="C80" i="33"/>
  <c r="F80" i="33" s="1" a="1"/>
  <c r="F80" i="33" s="1"/>
  <c r="P79" i="33"/>
  <c r="Q79" i="33" s="1"/>
  <c r="M79" i="33"/>
  <c r="L79" i="33"/>
  <c r="I79" i="33"/>
  <c r="C79" i="33"/>
  <c r="D79" i="33" s="1"/>
  <c r="P78" i="33"/>
  <c r="Q78" i="33" s="1"/>
  <c r="M78" i="33"/>
  <c r="L78" i="33"/>
  <c r="I78" i="33"/>
  <c r="C78" i="33"/>
  <c r="F78" i="33" s="1" a="1"/>
  <c r="F78" i="33" s="1"/>
  <c r="P77" i="33"/>
  <c r="Q77" i="33" s="1"/>
  <c r="M77" i="33"/>
  <c r="L77" i="33"/>
  <c r="I77" i="33"/>
  <c r="C77" i="33"/>
  <c r="F77" i="33" s="1" a="1"/>
  <c r="F77" i="33" s="1"/>
  <c r="P76" i="33"/>
  <c r="Q76" i="33" s="1"/>
  <c r="M76" i="33"/>
  <c r="L76" i="33"/>
  <c r="I76" i="33"/>
  <c r="C76" i="33"/>
  <c r="D76" i="33" s="1"/>
  <c r="P75" i="33"/>
  <c r="Q75" i="33" s="1"/>
  <c r="M75" i="33"/>
  <c r="L75" i="33"/>
  <c r="I75" i="33"/>
  <c r="C75" i="33"/>
  <c r="F75" i="33" s="1" a="1"/>
  <c r="F75" i="33" s="1"/>
  <c r="P74" i="33"/>
  <c r="Q74" i="33" s="1"/>
  <c r="M74" i="33"/>
  <c r="L74" i="33"/>
  <c r="I74" i="33"/>
  <c r="C74" i="33"/>
  <c r="F74" i="33" s="1" a="1"/>
  <c r="F74" i="33" s="1"/>
  <c r="P73" i="33"/>
  <c r="Q73" i="33" s="1"/>
  <c r="M73" i="33"/>
  <c r="L73" i="33"/>
  <c r="I73" i="33"/>
  <c r="C73" i="33"/>
  <c r="D73" i="33" s="1"/>
  <c r="P72" i="33"/>
  <c r="Q72" i="33" s="1"/>
  <c r="M72" i="33"/>
  <c r="L72" i="33"/>
  <c r="I72" i="33"/>
  <c r="C72" i="33"/>
  <c r="F72" i="33" s="1" a="1"/>
  <c r="F72" i="33" s="1"/>
  <c r="P71" i="33"/>
  <c r="Q71" i="33" s="1"/>
  <c r="M71" i="33"/>
  <c r="L71" i="33"/>
  <c r="I71" i="33"/>
  <c r="C71" i="33"/>
  <c r="D71" i="33" s="1"/>
  <c r="P70" i="33"/>
  <c r="Q70" i="33" s="1"/>
  <c r="M70" i="33"/>
  <c r="L70" i="33"/>
  <c r="I70" i="33"/>
  <c r="C70" i="33"/>
  <c r="F70" i="33" s="1" a="1"/>
  <c r="F70" i="33" s="1"/>
  <c r="P69" i="33"/>
  <c r="Q69" i="33" s="1"/>
  <c r="M69" i="33"/>
  <c r="L69" i="33"/>
  <c r="I69" i="33"/>
  <c r="C69" i="33"/>
  <c r="D69" i="33" s="1"/>
  <c r="P68" i="33"/>
  <c r="Q68" i="33" s="1"/>
  <c r="M68" i="33"/>
  <c r="L68" i="33"/>
  <c r="I68" i="33"/>
  <c r="C68" i="33"/>
  <c r="D68" i="33" s="1"/>
  <c r="P67" i="33"/>
  <c r="Q67" i="33" s="1"/>
  <c r="M67" i="33"/>
  <c r="L67" i="33"/>
  <c r="I67" i="33"/>
  <c r="C67" i="33"/>
  <c r="F67" i="33" s="1" a="1"/>
  <c r="F67" i="33" s="1"/>
  <c r="P66" i="33"/>
  <c r="Q66" i="33" s="1"/>
  <c r="M66" i="33"/>
  <c r="L66" i="33"/>
  <c r="I66" i="33"/>
  <c r="C66" i="33"/>
  <c r="F66" i="33" s="1" a="1"/>
  <c r="F66" i="33" s="1"/>
  <c r="P65" i="33"/>
  <c r="Q65" i="33" s="1"/>
  <c r="M65" i="33"/>
  <c r="L65" i="33"/>
  <c r="I65" i="33"/>
  <c r="C65" i="33"/>
  <c r="D65" i="33" s="1"/>
  <c r="P64" i="33"/>
  <c r="Q64" i="33" s="1"/>
  <c r="M64" i="33"/>
  <c r="L64" i="33"/>
  <c r="I64" i="33"/>
  <c r="C64" i="33"/>
  <c r="F64" i="33" s="1" a="1"/>
  <c r="F64" i="33" s="1"/>
  <c r="P63" i="33"/>
  <c r="Q63" i="33" s="1"/>
  <c r="M63" i="33"/>
  <c r="L63" i="33"/>
  <c r="I63" i="33"/>
  <c r="C63" i="33"/>
  <c r="D63" i="33" s="1"/>
  <c r="P62" i="33"/>
  <c r="Q62" i="33" s="1"/>
  <c r="M62" i="33"/>
  <c r="L62" i="33"/>
  <c r="I62" i="33"/>
  <c r="C62" i="33"/>
  <c r="F62" i="33" s="1" a="1"/>
  <c r="F62" i="33" s="1"/>
  <c r="P61" i="33"/>
  <c r="Q61" i="33" s="1"/>
  <c r="M61" i="33"/>
  <c r="L61" i="33"/>
  <c r="I61" i="33"/>
  <c r="C61" i="33"/>
  <c r="F61" i="33" s="1" a="1"/>
  <c r="F61" i="33" s="1"/>
  <c r="P60" i="33"/>
  <c r="Q60" i="33" s="1"/>
  <c r="M60" i="33"/>
  <c r="L60" i="33"/>
  <c r="I60" i="33"/>
  <c r="C60" i="33"/>
  <c r="D60" i="33" s="1"/>
  <c r="P59" i="33"/>
  <c r="Q59" i="33" s="1"/>
  <c r="M59" i="33"/>
  <c r="L59" i="33"/>
  <c r="I59" i="33"/>
  <c r="C59" i="33"/>
  <c r="F59" i="33" s="1" a="1"/>
  <c r="F59" i="33" s="1"/>
  <c r="P58" i="33"/>
  <c r="Q58" i="33" s="1"/>
  <c r="M58" i="33"/>
  <c r="L58" i="33"/>
  <c r="I58" i="33"/>
  <c r="C58" i="33"/>
  <c r="F58" i="33" s="1" a="1"/>
  <c r="F58" i="33" s="1"/>
  <c r="P57" i="33"/>
  <c r="Q57" i="33" s="1"/>
  <c r="M57" i="33"/>
  <c r="L57" i="33"/>
  <c r="I57" i="33"/>
  <c r="C57" i="33"/>
  <c r="D57" i="33" s="1"/>
  <c r="P56" i="33"/>
  <c r="Q56" i="33" s="1"/>
  <c r="M56" i="33"/>
  <c r="L56" i="33"/>
  <c r="I56" i="33"/>
  <c r="C56" i="33"/>
  <c r="F56" i="33" s="1" a="1"/>
  <c r="F56" i="33" s="1"/>
  <c r="P55" i="33"/>
  <c r="Q55" i="33" s="1"/>
  <c r="M55" i="33"/>
  <c r="L55" i="33"/>
  <c r="I55" i="33"/>
  <c r="C55" i="33"/>
  <c r="D55" i="33" s="1"/>
  <c r="P54" i="33"/>
  <c r="Q54" i="33" s="1"/>
  <c r="M54" i="33"/>
  <c r="L54" i="33"/>
  <c r="I54" i="33"/>
  <c r="C54" i="33"/>
  <c r="D54" i="33" s="1"/>
  <c r="P53" i="33"/>
  <c r="Q53" i="33" s="1"/>
  <c r="M53" i="33"/>
  <c r="L53" i="33"/>
  <c r="I53" i="33"/>
  <c r="C53" i="33"/>
  <c r="D53" i="33" s="1"/>
  <c r="P52" i="33"/>
  <c r="Q52" i="33" s="1"/>
  <c r="M52" i="33"/>
  <c r="L52" i="33"/>
  <c r="I52" i="33"/>
  <c r="C52" i="33"/>
  <c r="D52" i="33" s="1"/>
  <c r="P51" i="33"/>
  <c r="Q51" i="33" s="1"/>
  <c r="M51" i="33"/>
  <c r="L51" i="33"/>
  <c r="I51" i="33"/>
  <c r="C51" i="33"/>
  <c r="F51" i="33" s="1" a="1"/>
  <c r="F51" i="33" s="1"/>
  <c r="P50" i="33"/>
  <c r="Q50" i="33" s="1"/>
  <c r="M50" i="33"/>
  <c r="L50" i="33"/>
  <c r="I50" i="33"/>
  <c r="C50" i="33"/>
  <c r="D50" i="33" s="1"/>
  <c r="P49" i="33"/>
  <c r="Q49" i="33" s="1"/>
  <c r="M49" i="33"/>
  <c r="L49" i="33"/>
  <c r="I49" i="33"/>
  <c r="C49" i="33"/>
  <c r="D49" i="33" s="1"/>
  <c r="P48" i="33"/>
  <c r="Q48" i="33" s="1"/>
  <c r="M48" i="33"/>
  <c r="L48" i="33"/>
  <c r="I48" i="33"/>
  <c r="C48" i="33"/>
  <c r="F48" i="33" s="1" a="1"/>
  <c r="F48" i="33" s="1"/>
  <c r="P47" i="33"/>
  <c r="Q47" i="33" s="1"/>
  <c r="M47" i="33"/>
  <c r="L47" i="33"/>
  <c r="I47" i="33"/>
  <c r="C47" i="33"/>
  <c r="D47" i="33" s="1"/>
  <c r="P46" i="33"/>
  <c r="Q46" i="33" s="1"/>
  <c r="M46" i="33"/>
  <c r="L46" i="33"/>
  <c r="I46" i="33"/>
  <c r="C46" i="33"/>
  <c r="F46" i="33" s="1" a="1"/>
  <c r="F46" i="33" s="1"/>
  <c r="P45" i="33"/>
  <c r="Q45" i="33" s="1"/>
  <c r="M45" i="33"/>
  <c r="L45" i="33"/>
  <c r="I45" i="33"/>
  <c r="C45" i="33"/>
  <c r="F45" i="33" s="1" a="1"/>
  <c r="F45" i="33" s="1"/>
  <c r="P44" i="33"/>
  <c r="Q44" i="33" s="1"/>
  <c r="M44" i="33"/>
  <c r="L44" i="33"/>
  <c r="I44" i="33"/>
  <c r="C44" i="33"/>
  <c r="F44" i="33" s="1" a="1"/>
  <c r="F44" i="33" s="1"/>
  <c r="P43" i="33"/>
  <c r="Q43" i="33" s="1"/>
  <c r="M43" i="33"/>
  <c r="L43" i="33"/>
  <c r="I43" i="33"/>
  <c r="C43" i="33"/>
  <c r="F43" i="33" s="1" a="1"/>
  <c r="F43" i="33" s="1"/>
  <c r="P42" i="33"/>
  <c r="Q42" i="33" s="1"/>
  <c r="M42" i="33"/>
  <c r="L42" i="33"/>
  <c r="I42" i="33"/>
  <c r="C42" i="33"/>
  <c r="D42" i="33" s="1"/>
  <c r="P41" i="33"/>
  <c r="Q41" i="33" s="1"/>
  <c r="M41" i="33"/>
  <c r="L41" i="33"/>
  <c r="I41" i="33"/>
  <c r="C41" i="33"/>
  <c r="F41" i="33" s="1" a="1"/>
  <c r="F41" i="33" s="1"/>
  <c r="P40" i="33"/>
  <c r="Q40" i="33" s="1"/>
  <c r="M40" i="33"/>
  <c r="L40" i="33"/>
  <c r="I40" i="33"/>
  <c r="C40" i="33"/>
  <c r="F40" i="33" s="1" a="1"/>
  <c r="F40" i="33" s="1"/>
  <c r="P39" i="33"/>
  <c r="Q39" i="33" s="1"/>
  <c r="M39" i="33"/>
  <c r="L39" i="33"/>
  <c r="I39" i="33"/>
  <c r="C39" i="33"/>
  <c r="F39" i="33" s="1" a="1"/>
  <c r="F39" i="33" s="1"/>
  <c r="P38" i="33"/>
  <c r="Q38" i="33" s="1"/>
  <c r="M38" i="33"/>
  <c r="L38" i="33"/>
  <c r="I38" i="33"/>
  <c r="C38" i="33"/>
  <c r="F38" i="33" s="1" a="1"/>
  <c r="F38" i="33" s="1"/>
  <c r="P37" i="33"/>
  <c r="Q37" i="33" s="1"/>
  <c r="M37" i="33"/>
  <c r="L37" i="33"/>
  <c r="I37" i="33"/>
  <c r="C37" i="33"/>
  <c r="F37" i="33" s="1" a="1"/>
  <c r="F37" i="33" s="1"/>
  <c r="P36" i="33"/>
  <c r="Q36" i="33" s="1"/>
  <c r="M36" i="33"/>
  <c r="L36" i="33"/>
  <c r="I36" i="33"/>
  <c r="C36" i="33"/>
  <c r="D36" i="33" s="1"/>
  <c r="P35" i="33"/>
  <c r="Q35" i="33" s="1"/>
  <c r="M35" i="33"/>
  <c r="L35" i="33"/>
  <c r="I35" i="33"/>
  <c r="C35" i="33"/>
  <c r="F35" i="33" s="1" a="1"/>
  <c r="F35" i="33" s="1"/>
  <c r="P34" i="33"/>
  <c r="Q34" i="33" s="1"/>
  <c r="M34" i="33"/>
  <c r="L34" i="33"/>
  <c r="I34" i="33"/>
  <c r="C34" i="33"/>
  <c r="D34" i="33" s="1"/>
  <c r="P33" i="33"/>
  <c r="Q33" i="33" s="1"/>
  <c r="M33" i="33"/>
  <c r="L33" i="33"/>
  <c r="I33" i="33"/>
  <c r="C33" i="33"/>
  <c r="F33" i="33" s="1" a="1"/>
  <c r="F33" i="33" s="1"/>
  <c r="P32" i="33"/>
  <c r="Q32" i="33" s="1"/>
  <c r="M32" i="33"/>
  <c r="L32" i="33"/>
  <c r="I32" i="33"/>
  <c r="C32" i="33"/>
  <c r="D32" i="33" s="1"/>
  <c r="P31" i="33"/>
  <c r="Q31" i="33" s="1"/>
  <c r="M31" i="33"/>
  <c r="L31" i="33"/>
  <c r="I31" i="33"/>
  <c r="C31" i="33"/>
  <c r="D31" i="33" s="1"/>
  <c r="P30" i="33"/>
  <c r="Q30" i="33" s="1"/>
  <c r="M30" i="33"/>
  <c r="L30" i="33"/>
  <c r="I30" i="33"/>
  <c r="C30" i="33"/>
  <c r="D30" i="33" s="1"/>
  <c r="P29" i="33"/>
  <c r="Q29" i="33" s="1"/>
  <c r="M29" i="33"/>
  <c r="L29" i="33"/>
  <c r="I29" i="33"/>
  <c r="C29" i="33"/>
  <c r="D29" i="33" s="1"/>
  <c r="P28" i="33"/>
  <c r="Q28" i="33" s="1"/>
  <c r="M28" i="33"/>
  <c r="L28" i="33"/>
  <c r="I28" i="33"/>
  <c r="C28" i="33"/>
  <c r="F28" i="33" s="1" a="1"/>
  <c r="F28" i="33" s="1"/>
  <c r="P27" i="33"/>
  <c r="Q27" i="33" s="1"/>
  <c r="M27" i="33"/>
  <c r="L27" i="33"/>
  <c r="I27" i="33"/>
  <c r="C27" i="33"/>
  <c r="F27" i="33" s="1" a="1"/>
  <c r="F27" i="33" s="1"/>
  <c r="P26" i="33"/>
  <c r="Q26" i="33" s="1"/>
  <c r="M26" i="33"/>
  <c r="L26" i="33"/>
  <c r="I26" i="33"/>
  <c r="C26" i="33"/>
  <c r="D26" i="33" s="1"/>
  <c r="P25" i="33"/>
  <c r="Q25" i="33" s="1"/>
  <c r="M25" i="33"/>
  <c r="L25" i="33"/>
  <c r="I25" i="33"/>
  <c r="C25" i="33"/>
  <c r="F25" i="33" s="1" a="1"/>
  <c r="F25" i="33" s="1"/>
  <c r="P24" i="33"/>
  <c r="Q24" i="33" s="1"/>
  <c r="M24" i="33"/>
  <c r="L24" i="33"/>
  <c r="I24" i="33"/>
  <c r="C24" i="33"/>
  <c r="D24" i="33" s="1"/>
  <c r="P23" i="33"/>
  <c r="Q23" i="33" s="1"/>
  <c r="M23" i="33"/>
  <c r="L23" i="33"/>
  <c r="I23" i="33"/>
  <c r="C23" i="33"/>
  <c r="D23" i="33" s="1"/>
  <c r="P22" i="33"/>
  <c r="Q22" i="33" s="1"/>
  <c r="M22" i="33"/>
  <c r="L22" i="33"/>
  <c r="I22" i="33"/>
  <c r="C22" i="33"/>
  <c r="F22" i="33" s="1" a="1"/>
  <c r="F22" i="33" s="1"/>
  <c r="P21" i="33"/>
  <c r="Q21" i="33" s="1"/>
  <c r="M21" i="33"/>
  <c r="L21" i="33"/>
  <c r="I21" i="33"/>
  <c r="C21" i="33"/>
  <c r="F21" i="33" s="1" a="1"/>
  <c r="F21" i="33" s="1"/>
  <c r="P20" i="33"/>
  <c r="Q20" i="33" s="1"/>
  <c r="M20" i="33"/>
  <c r="L20" i="33"/>
  <c r="I20" i="33"/>
  <c r="C20" i="33"/>
  <c r="F20" i="33" s="1" a="1"/>
  <c r="F20" i="33" s="1"/>
  <c r="P19" i="33"/>
  <c r="Q19" i="33" s="1"/>
  <c r="M19" i="33"/>
  <c r="L19" i="33"/>
  <c r="I19" i="33"/>
  <c r="C19" i="33"/>
  <c r="F19" i="33" s="1" a="1"/>
  <c r="F19" i="33" s="1"/>
  <c r="P18" i="33"/>
  <c r="Q18" i="33" s="1"/>
  <c r="M18" i="33"/>
  <c r="L18" i="33"/>
  <c r="I18" i="33"/>
  <c r="C18" i="33"/>
  <c r="D18" i="33" s="1"/>
  <c r="P17" i="33"/>
  <c r="Q17" i="33" s="1"/>
  <c r="M17" i="33"/>
  <c r="L17" i="33"/>
  <c r="I17" i="33"/>
  <c r="C17" i="33"/>
  <c r="F17" i="33" s="1" a="1"/>
  <c r="F17" i="33" s="1"/>
  <c r="P16" i="33"/>
  <c r="Q16" i="33" s="1"/>
  <c r="M16" i="33"/>
  <c r="L16" i="33"/>
  <c r="I16" i="33"/>
  <c r="C16" i="33"/>
  <c r="F16" i="33" s="1" a="1"/>
  <c r="F16" i="33" s="1"/>
  <c r="P15" i="33"/>
  <c r="Q15" i="33" s="1"/>
  <c r="M15" i="33"/>
  <c r="L15" i="33"/>
  <c r="I15" i="33"/>
  <c r="C15" i="33"/>
  <c r="D15" i="33" s="1"/>
  <c r="P14" i="33"/>
  <c r="Q14" i="33" s="1"/>
  <c r="M14" i="33"/>
  <c r="L14" i="33"/>
  <c r="I14" i="33"/>
  <c r="C14" i="33"/>
  <c r="D14" i="33" s="1"/>
  <c r="P13" i="33"/>
  <c r="Q13" i="33" s="1"/>
  <c r="M13" i="33"/>
  <c r="L13" i="33"/>
  <c r="I13" i="33"/>
  <c r="C13" i="33"/>
  <c r="F13" i="33" s="1" a="1"/>
  <c r="F13" i="33" s="1"/>
  <c r="P12" i="33"/>
  <c r="Q12" i="33" s="1"/>
  <c r="M12" i="33"/>
  <c r="L12" i="33"/>
  <c r="I12" i="33"/>
  <c r="C12" i="33"/>
  <c r="F12" i="33" s="1" a="1"/>
  <c r="F12" i="33" s="1"/>
  <c r="P11" i="33"/>
  <c r="Q11" i="33" s="1"/>
  <c r="M11" i="33"/>
  <c r="L11" i="33"/>
  <c r="I11" i="33"/>
  <c r="C11" i="33"/>
  <c r="F11" i="33" s="1" a="1"/>
  <c r="F11" i="33" s="1"/>
  <c r="P10" i="33"/>
  <c r="Q10" i="33" s="1"/>
  <c r="M10" i="33"/>
  <c r="L10" i="33"/>
  <c r="I10" i="33"/>
  <c r="C10" i="33"/>
  <c r="D10" i="33" s="1"/>
  <c r="P9" i="33"/>
  <c r="Q9" i="33" s="1"/>
  <c r="M9" i="33"/>
  <c r="L9" i="33"/>
  <c r="I9" i="33"/>
  <c r="C9" i="33"/>
  <c r="F9" i="33" s="1" a="1"/>
  <c r="F9" i="33" s="1"/>
  <c r="P8" i="33"/>
  <c r="Q8" i="33" s="1"/>
  <c r="M8" i="33"/>
  <c r="L8" i="33"/>
  <c r="I8" i="33"/>
  <c r="D8" i="33"/>
  <c r="P7" i="33"/>
  <c r="Q7" i="33" s="1"/>
  <c r="M7" i="33"/>
  <c r="L7" i="33"/>
  <c r="I7" i="33"/>
  <c r="P6" i="33"/>
  <c r="Q6" i="33" s="1"/>
  <c r="M6" i="33"/>
  <c r="L6" i="33"/>
  <c r="I6" i="33"/>
  <c r="D6" i="33"/>
  <c r="P100" i="32"/>
  <c r="Q100" i="32" s="1"/>
  <c r="M100" i="32"/>
  <c r="L100" i="32"/>
  <c r="I100" i="32"/>
  <c r="C100" i="32"/>
  <c r="F100" i="32" s="1" a="1"/>
  <c r="F100" i="32" s="1"/>
  <c r="P99" i="32"/>
  <c r="Q99" i="32" s="1"/>
  <c r="M99" i="32"/>
  <c r="L99" i="32"/>
  <c r="I99" i="32"/>
  <c r="C99" i="32"/>
  <c r="D99" i="32" s="1"/>
  <c r="P98" i="32"/>
  <c r="Q98" i="32" s="1"/>
  <c r="M98" i="32"/>
  <c r="L98" i="32"/>
  <c r="I98" i="32"/>
  <c r="C98" i="32"/>
  <c r="F98" i="32" s="1" a="1"/>
  <c r="F98" i="32" s="1"/>
  <c r="P97" i="32"/>
  <c r="Q97" i="32" s="1"/>
  <c r="M97" i="32"/>
  <c r="L97" i="32"/>
  <c r="I97" i="32"/>
  <c r="C97" i="32"/>
  <c r="D97" i="32" s="1"/>
  <c r="P96" i="32"/>
  <c r="Q96" i="32" s="1"/>
  <c r="M96" i="32"/>
  <c r="L96" i="32"/>
  <c r="I96" i="32"/>
  <c r="C96" i="32"/>
  <c r="D96" i="32" s="1"/>
  <c r="P95" i="32"/>
  <c r="Q95" i="32" s="1"/>
  <c r="M95" i="32"/>
  <c r="L95" i="32"/>
  <c r="I95" i="32"/>
  <c r="C95" i="32"/>
  <c r="F95" i="32" s="1" a="1"/>
  <c r="F95" i="32" s="1"/>
  <c r="P94" i="32"/>
  <c r="Q94" i="32" s="1"/>
  <c r="M94" i="32"/>
  <c r="L94" i="32"/>
  <c r="I94" i="32"/>
  <c r="C94" i="32"/>
  <c r="F94" i="32" s="1" a="1"/>
  <c r="F94" i="32" s="1"/>
  <c r="P93" i="32"/>
  <c r="Q93" i="32" s="1"/>
  <c r="M93" i="32"/>
  <c r="L93" i="32"/>
  <c r="I93" i="32"/>
  <c r="C93" i="32"/>
  <c r="D93" i="32" s="1"/>
  <c r="P92" i="32"/>
  <c r="Q92" i="32" s="1"/>
  <c r="M92" i="32"/>
  <c r="L92" i="32"/>
  <c r="I92" i="32"/>
  <c r="C92" i="32"/>
  <c r="F92" i="32" s="1" a="1"/>
  <c r="F92" i="32" s="1"/>
  <c r="P91" i="32"/>
  <c r="Q91" i="32" s="1"/>
  <c r="M91" i="32"/>
  <c r="L91" i="32"/>
  <c r="I91" i="32"/>
  <c r="C91" i="32"/>
  <c r="D91" i="32" s="1"/>
  <c r="P90" i="32"/>
  <c r="Q90" i="32" s="1"/>
  <c r="M90" i="32"/>
  <c r="L90" i="32"/>
  <c r="I90" i="32"/>
  <c r="C90" i="32"/>
  <c r="F90" i="32" s="1" a="1"/>
  <c r="F90" i="32" s="1"/>
  <c r="P89" i="32"/>
  <c r="Q89" i="32" s="1"/>
  <c r="M89" i="32"/>
  <c r="L89" i="32"/>
  <c r="I89" i="32"/>
  <c r="C89" i="32"/>
  <c r="D89" i="32" s="1"/>
  <c r="P88" i="32"/>
  <c r="Q88" i="32" s="1"/>
  <c r="M88" i="32"/>
  <c r="L88" i="32"/>
  <c r="I88" i="32"/>
  <c r="C88" i="32"/>
  <c r="D88" i="32" s="1"/>
  <c r="P87" i="32"/>
  <c r="Q87" i="32" s="1"/>
  <c r="M87" i="32"/>
  <c r="L87" i="32"/>
  <c r="I87" i="32"/>
  <c r="C87" i="32"/>
  <c r="P86" i="32"/>
  <c r="Q86" i="32" s="1"/>
  <c r="M86" i="32"/>
  <c r="L86" i="32"/>
  <c r="I86" i="32"/>
  <c r="C86" i="32"/>
  <c r="F86" i="32" s="1" a="1"/>
  <c r="F86" i="32" s="1"/>
  <c r="P85" i="32"/>
  <c r="Q85" i="32" s="1"/>
  <c r="M85" i="32"/>
  <c r="L85" i="32"/>
  <c r="I85" i="32"/>
  <c r="C85" i="32"/>
  <c r="D85" i="32" s="1"/>
  <c r="P84" i="32"/>
  <c r="Q84" i="32" s="1"/>
  <c r="M84" i="32"/>
  <c r="L84" i="32"/>
  <c r="I84" i="32"/>
  <c r="C84" i="32"/>
  <c r="F84" i="32" s="1" a="1"/>
  <c r="F84" i="32" s="1"/>
  <c r="P83" i="32"/>
  <c r="Q83" i="32" s="1"/>
  <c r="M83" i="32"/>
  <c r="L83" i="32"/>
  <c r="I83" i="32"/>
  <c r="C83" i="32"/>
  <c r="D83" i="32" s="1"/>
  <c r="P82" i="32"/>
  <c r="Q82" i="32" s="1"/>
  <c r="M82" i="32"/>
  <c r="L82" i="32"/>
  <c r="I82" i="32"/>
  <c r="C82" i="32"/>
  <c r="P81" i="32"/>
  <c r="Q81" i="32" s="1"/>
  <c r="M81" i="32"/>
  <c r="L81" i="32"/>
  <c r="I81" i="32"/>
  <c r="C81" i="32"/>
  <c r="D81" i="32" s="1"/>
  <c r="P80" i="32"/>
  <c r="Q80" i="32" s="1"/>
  <c r="M80" i="32"/>
  <c r="L80" i="32"/>
  <c r="I80" i="32"/>
  <c r="C80" i="32"/>
  <c r="F80" i="32" s="1" a="1"/>
  <c r="F80" i="32" s="1"/>
  <c r="P79" i="32"/>
  <c r="Q79" i="32" s="1"/>
  <c r="M79" i="32"/>
  <c r="L79" i="32"/>
  <c r="I79" i="32"/>
  <c r="C79" i="32"/>
  <c r="P78" i="32"/>
  <c r="Q78" i="32" s="1"/>
  <c r="M78" i="32"/>
  <c r="L78" i="32"/>
  <c r="I78" i="32"/>
  <c r="C78" i="32"/>
  <c r="F78" i="32" s="1" a="1"/>
  <c r="F78" i="32" s="1"/>
  <c r="P77" i="32"/>
  <c r="Q77" i="32" s="1"/>
  <c r="M77" i="32"/>
  <c r="L77" i="32"/>
  <c r="I77" i="32"/>
  <c r="C77" i="32"/>
  <c r="F77" i="32" s="1" a="1"/>
  <c r="F77" i="32" s="1"/>
  <c r="P76" i="32"/>
  <c r="Q76" i="32" s="1"/>
  <c r="M76" i="32"/>
  <c r="L76" i="32"/>
  <c r="I76" i="32"/>
  <c r="C76" i="32"/>
  <c r="F76" i="32" s="1" a="1"/>
  <c r="F76" i="32" s="1"/>
  <c r="P75" i="32"/>
  <c r="Q75" i="32" s="1"/>
  <c r="M75" i="32"/>
  <c r="L75" i="32"/>
  <c r="I75" i="32"/>
  <c r="C75" i="32"/>
  <c r="F75" i="32" s="1" a="1"/>
  <c r="F75" i="32" s="1"/>
  <c r="P74" i="32"/>
  <c r="Q74" i="32" s="1"/>
  <c r="M74" i="32"/>
  <c r="L74" i="32"/>
  <c r="I74" i="32"/>
  <c r="C74" i="32"/>
  <c r="P73" i="32"/>
  <c r="Q73" i="32" s="1"/>
  <c r="M73" i="32"/>
  <c r="L73" i="32"/>
  <c r="I73" i="32"/>
  <c r="C73" i="32"/>
  <c r="F73" i="32" s="1" a="1"/>
  <c r="F73" i="32" s="1"/>
  <c r="P72" i="32"/>
  <c r="Q72" i="32" s="1"/>
  <c r="M72" i="32"/>
  <c r="L72" i="32"/>
  <c r="I72" i="32"/>
  <c r="C72" i="32"/>
  <c r="D72" i="32" s="1"/>
  <c r="P71" i="32"/>
  <c r="Q71" i="32" s="1"/>
  <c r="M71" i="32"/>
  <c r="L71" i="32"/>
  <c r="I71" i="32"/>
  <c r="C71" i="32"/>
  <c r="P70" i="32"/>
  <c r="Q70" i="32" s="1"/>
  <c r="M70" i="32"/>
  <c r="L70" i="32"/>
  <c r="I70" i="32"/>
  <c r="C70" i="32"/>
  <c r="F70" i="32" s="1" a="1"/>
  <c r="F70" i="32" s="1"/>
  <c r="P69" i="32"/>
  <c r="Q69" i="32" s="1"/>
  <c r="M69" i="32"/>
  <c r="L69" i="32"/>
  <c r="I69" i="32"/>
  <c r="C69" i="32"/>
  <c r="F69" i="32" s="1" a="1"/>
  <c r="F69" i="32" s="1"/>
  <c r="P68" i="32"/>
  <c r="Q68" i="32" s="1"/>
  <c r="M68" i="32"/>
  <c r="L68" i="32"/>
  <c r="I68" i="32"/>
  <c r="C68" i="32"/>
  <c r="F68" i="32" s="1" a="1"/>
  <c r="F68" i="32" s="1"/>
  <c r="P67" i="32"/>
  <c r="Q67" i="32" s="1"/>
  <c r="M67" i="32"/>
  <c r="L67" i="32"/>
  <c r="I67" i="32"/>
  <c r="C67" i="32"/>
  <c r="D67" i="32" s="1"/>
  <c r="P66" i="32"/>
  <c r="Q66" i="32" s="1"/>
  <c r="M66" i="32"/>
  <c r="L66" i="32"/>
  <c r="I66" i="32"/>
  <c r="C66" i="32"/>
  <c r="P65" i="32"/>
  <c r="Q65" i="32" s="1"/>
  <c r="M65" i="32"/>
  <c r="L65" i="32"/>
  <c r="I65" i="32"/>
  <c r="C65" i="32"/>
  <c r="F65" i="32" s="1" a="1"/>
  <c r="F65" i="32" s="1"/>
  <c r="P64" i="32"/>
  <c r="Q64" i="32" s="1"/>
  <c r="M64" i="32"/>
  <c r="L64" i="32"/>
  <c r="I64" i="32"/>
  <c r="C64" i="32"/>
  <c r="F64" i="32" s="1" a="1"/>
  <c r="F64" i="32" s="1"/>
  <c r="P63" i="32"/>
  <c r="Q63" i="32" s="1"/>
  <c r="M63" i="32"/>
  <c r="L63" i="32"/>
  <c r="I63" i="32"/>
  <c r="C63" i="32"/>
  <c r="P62" i="32"/>
  <c r="Q62" i="32" s="1"/>
  <c r="M62" i="32"/>
  <c r="L62" i="32"/>
  <c r="I62" i="32"/>
  <c r="C62" i="32"/>
  <c r="F62" i="32" s="1" a="1"/>
  <c r="F62" i="32" s="1"/>
  <c r="P61" i="32"/>
  <c r="Q61" i="32" s="1"/>
  <c r="M61" i="32"/>
  <c r="L61" i="32"/>
  <c r="I61" i="32"/>
  <c r="C61" i="32"/>
  <c r="F61" i="32" s="1" a="1"/>
  <c r="F61" i="32" s="1"/>
  <c r="P60" i="32"/>
  <c r="Q60" i="32" s="1"/>
  <c r="M60" i="32"/>
  <c r="L60" i="32"/>
  <c r="I60" i="32"/>
  <c r="C60" i="32"/>
  <c r="F60" i="32" s="1" a="1"/>
  <c r="F60" i="32" s="1"/>
  <c r="P59" i="32"/>
  <c r="Q59" i="32" s="1"/>
  <c r="M59" i="32"/>
  <c r="L59" i="32"/>
  <c r="I59" i="32"/>
  <c r="C59" i="32"/>
  <c r="F59" i="32" s="1" a="1"/>
  <c r="F59" i="32" s="1"/>
  <c r="P58" i="32"/>
  <c r="Q58" i="32" s="1"/>
  <c r="M58" i="32"/>
  <c r="L58" i="32"/>
  <c r="I58" i="32"/>
  <c r="C58" i="32"/>
  <c r="P57" i="32"/>
  <c r="Q57" i="32" s="1"/>
  <c r="M57" i="32"/>
  <c r="L57" i="32"/>
  <c r="I57" i="32"/>
  <c r="C57" i="32"/>
  <c r="F57" i="32" s="1" a="1"/>
  <c r="F57" i="32" s="1"/>
  <c r="P56" i="32"/>
  <c r="Q56" i="32" s="1"/>
  <c r="M56" i="32"/>
  <c r="L56" i="32"/>
  <c r="I56" i="32"/>
  <c r="C56" i="32"/>
  <c r="D56" i="32" s="1"/>
  <c r="P55" i="32"/>
  <c r="Q55" i="32" s="1"/>
  <c r="M55" i="32"/>
  <c r="L55" i="32"/>
  <c r="I55" i="32"/>
  <c r="C55" i="32"/>
  <c r="P54" i="32"/>
  <c r="Q54" i="32" s="1"/>
  <c r="M54" i="32"/>
  <c r="L54" i="32"/>
  <c r="I54" i="32"/>
  <c r="C54" i="32"/>
  <c r="F54" i="32" s="1" a="1"/>
  <c r="F54" i="32" s="1"/>
  <c r="P53" i="32"/>
  <c r="Q53" i="32" s="1"/>
  <c r="M53" i="32"/>
  <c r="L53" i="32"/>
  <c r="I53" i="32"/>
  <c r="C53" i="32"/>
  <c r="D53" i="32" s="1"/>
  <c r="P52" i="32"/>
  <c r="Q52" i="32" s="1"/>
  <c r="M52" i="32"/>
  <c r="L52" i="32"/>
  <c r="I52" i="32"/>
  <c r="C52" i="32"/>
  <c r="F52" i="32" s="1" a="1"/>
  <c r="F52" i="32" s="1"/>
  <c r="P51" i="32"/>
  <c r="Q51" i="32" s="1"/>
  <c r="M51" i="32"/>
  <c r="L51" i="32"/>
  <c r="I51" i="32"/>
  <c r="C51" i="32"/>
  <c r="P50" i="32"/>
  <c r="Q50" i="32" s="1"/>
  <c r="M50" i="32"/>
  <c r="L50" i="32"/>
  <c r="I50" i="32"/>
  <c r="C50" i="32"/>
  <c r="F50" i="32" s="1" a="1"/>
  <c r="F50" i="32" s="1"/>
  <c r="P49" i="32"/>
  <c r="Q49" i="32" s="1"/>
  <c r="M49" i="32"/>
  <c r="L49" i="32"/>
  <c r="I49" i="32"/>
  <c r="C49" i="32"/>
  <c r="D49" i="32" s="1"/>
  <c r="P48" i="32"/>
  <c r="Q48" i="32" s="1"/>
  <c r="M48" i="32"/>
  <c r="L48" i="32"/>
  <c r="I48" i="32"/>
  <c r="C48" i="32"/>
  <c r="F48" i="32" s="1" a="1"/>
  <c r="F48" i="32" s="1"/>
  <c r="P47" i="32"/>
  <c r="Q47" i="32" s="1"/>
  <c r="M47" i="32"/>
  <c r="L47" i="32"/>
  <c r="I47" i="32"/>
  <c r="C47" i="32"/>
  <c r="P46" i="32"/>
  <c r="Q46" i="32" s="1"/>
  <c r="M46" i="32"/>
  <c r="L46" i="32"/>
  <c r="I46" i="32"/>
  <c r="C46" i="32"/>
  <c r="D46" i="32" s="1"/>
  <c r="P45" i="32"/>
  <c r="Q45" i="32" s="1"/>
  <c r="M45" i="32"/>
  <c r="L45" i="32"/>
  <c r="I45" i="32"/>
  <c r="C45" i="32"/>
  <c r="D45" i="32" s="1"/>
  <c r="P44" i="32"/>
  <c r="Q44" i="32" s="1"/>
  <c r="M44" i="32"/>
  <c r="L44" i="32"/>
  <c r="I44" i="32"/>
  <c r="C44" i="32"/>
  <c r="F44" i="32" s="1" a="1"/>
  <c r="F44" i="32" s="1"/>
  <c r="P43" i="32"/>
  <c r="Q43" i="32" s="1"/>
  <c r="M43" i="32"/>
  <c r="L43" i="32"/>
  <c r="I43" i="32"/>
  <c r="C43" i="32"/>
  <c r="P42" i="32"/>
  <c r="Q42" i="32" s="1"/>
  <c r="M42" i="32"/>
  <c r="L42" i="32"/>
  <c r="I42" i="32"/>
  <c r="C42" i="32"/>
  <c r="F42" i="32" s="1" a="1"/>
  <c r="F42" i="32" s="1"/>
  <c r="P41" i="32"/>
  <c r="Q41" i="32" s="1"/>
  <c r="M41" i="32"/>
  <c r="L41" i="32"/>
  <c r="I41" i="32"/>
  <c r="C41" i="32"/>
  <c r="D41" i="32" s="1"/>
  <c r="P40" i="32"/>
  <c r="Q40" i="32" s="1"/>
  <c r="M40" i="32"/>
  <c r="L40" i="32"/>
  <c r="I40" i="32"/>
  <c r="C40" i="32"/>
  <c r="F40" i="32" s="1" a="1"/>
  <c r="F40" i="32" s="1"/>
  <c r="P39" i="32"/>
  <c r="Q39" i="32" s="1"/>
  <c r="M39" i="32"/>
  <c r="L39" i="32"/>
  <c r="I39" i="32"/>
  <c r="C39" i="32"/>
  <c r="P38" i="32"/>
  <c r="Q38" i="32" s="1"/>
  <c r="M38" i="32"/>
  <c r="L38" i="32"/>
  <c r="I38" i="32"/>
  <c r="C38" i="32"/>
  <c r="D38" i="32" s="1"/>
  <c r="P37" i="32"/>
  <c r="Q37" i="32" s="1"/>
  <c r="M37" i="32"/>
  <c r="L37" i="32"/>
  <c r="I37" i="32"/>
  <c r="C37" i="32"/>
  <c r="D37" i="32" s="1"/>
  <c r="P36" i="32"/>
  <c r="Q36" i="32" s="1"/>
  <c r="M36" i="32"/>
  <c r="L36" i="32"/>
  <c r="I36" i="32"/>
  <c r="C36" i="32"/>
  <c r="F36" i="32" s="1" a="1"/>
  <c r="F36" i="32" s="1"/>
  <c r="P35" i="32"/>
  <c r="Q35" i="32" s="1"/>
  <c r="M35" i="32"/>
  <c r="L35" i="32"/>
  <c r="I35" i="32"/>
  <c r="C35" i="32"/>
  <c r="P34" i="32"/>
  <c r="Q34" i="32" s="1"/>
  <c r="M34" i="32"/>
  <c r="L34" i="32"/>
  <c r="I34" i="32"/>
  <c r="C34" i="32"/>
  <c r="F34" i="32" s="1" a="1"/>
  <c r="F34" i="32" s="1"/>
  <c r="P33" i="32"/>
  <c r="Q33" i="32" s="1"/>
  <c r="M33" i="32"/>
  <c r="L33" i="32"/>
  <c r="I33" i="32"/>
  <c r="C33" i="32"/>
  <c r="F33" i="32" s="1" a="1"/>
  <c r="F33" i="32" s="1"/>
  <c r="P32" i="32"/>
  <c r="Q32" i="32" s="1"/>
  <c r="M32" i="32"/>
  <c r="L32" i="32"/>
  <c r="I32" i="32"/>
  <c r="C32" i="32"/>
  <c r="F32" i="32" s="1" a="1"/>
  <c r="F32" i="32" s="1"/>
  <c r="P31" i="32"/>
  <c r="Q31" i="32" s="1"/>
  <c r="M31" i="32"/>
  <c r="L31" i="32"/>
  <c r="I31" i="32"/>
  <c r="C31" i="32"/>
  <c r="D31" i="32" s="1"/>
  <c r="P30" i="32"/>
  <c r="Q30" i="32" s="1"/>
  <c r="M30" i="32"/>
  <c r="L30" i="32"/>
  <c r="I30" i="32"/>
  <c r="C30" i="32"/>
  <c r="D30" i="32" s="1"/>
  <c r="P29" i="32"/>
  <c r="Q29" i="32" s="1"/>
  <c r="M29" i="32"/>
  <c r="L29" i="32"/>
  <c r="I29" i="32"/>
  <c r="C29" i="32"/>
  <c r="D29" i="32" s="1"/>
  <c r="P28" i="32"/>
  <c r="Q28" i="32" s="1"/>
  <c r="M28" i="32"/>
  <c r="L28" i="32"/>
  <c r="I28" i="32"/>
  <c r="C28" i="32"/>
  <c r="F28" i="32" s="1" a="1"/>
  <c r="F28" i="32" s="1"/>
  <c r="P27" i="32"/>
  <c r="Q27" i="32" s="1"/>
  <c r="M27" i="32"/>
  <c r="L27" i="32"/>
  <c r="I27" i="32"/>
  <c r="C27" i="32"/>
  <c r="P26" i="32"/>
  <c r="Q26" i="32" s="1"/>
  <c r="M26" i="32"/>
  <c r="L26" i="32"/>
  <c r="I26" i="32"/>
  <c r="C26" i="32"/>
  <c r="F26" i="32" s="1" a="1"/>
  <c r="F26" i="32" s="1"/>
  <c r="P25" i="32"/>
  <c r="Q25" i="32" s="1"/>
  <c r="M25" i="32"/>
  <c r="L25" i="32"/>
  <c r="I25" i="32"/>
  <c r="C25" i="32"/>
  <c r="F25" i="32" s="1" a="1"/>
  <c r="F25" i="32" s="1"/>
  <c r="P24" i="32"/>
  <c r="Q24" i="32" s="1"/>
  <c r="M24" i="32"/>
  <c r="L24" i="32"/>
  <c r="I24" i="32"/>
  <c r="C24" i="32"/>
  <c r="D24" i="32" s="1"/>
  <c r="P23" i="32"/>
  <c r="Q23" i="32" s="1"/>
  <c r="M23" i="32"/>
  <c r="L23" i="32"/>
  <c r="I23" i="32"/>
  <c r="C23" i="32"/>
  <c r="D23" i="32" s="1"/>
  <c r="P22" i="32"/>
  <c r="Q22" i="32" s="1"/>
  <c r="M22" i="32"/>
  <c r="L22" i="32"/>
  <c r="I22" i="32"/>
  <c r="C22" i="32"/>
  <c r="F22" i="32" s="1" a="1"/>
  <c r="F22" i="32" s="1"/>
  <c r="P21" i="32"/>
  <c r="Q21" i="32" s="1"/>
  <c r="M21" i="32"/>
  <c r="L21" i="32"/>
  <c r="I21" i="32"/>
  <c r="C21" i="32"/>
  <c r="D21" i="32" s="1"/>
  <c r="P20" i="32"/>
  <c r="Q20" i="32" s="1"/>
  <c r="M20" i="32"/>
  <c r="L20" i="32"/>
  <c r="I20" i="32"/>
  <c r="C20" i="32"/>
  <c r="F20" i="32" s="1" a="1"/>
  <c r="F20" i="32" s="1"/>
  <c r="P19" i="32"/>
  <c r="Q19" i="32" s="1"/>
  <c r="M19" i="32"/>
  <c r="L19" i="32"/>
  <c r="I19" i="32"/>
  <c r="C19" i="32"/>
  <c r="P18" i="32"/>
  <c r="Q18" i="32" s="1"/>
  <c r="M18" i="32"/>
  <c r="L18" i="32"/>
  <c r="I18" i="32"/>
  <c r="C18" i="32"/>
  <c r="F18" i="32" s="1" a="1"/>
  <c r="F18" i="32" s="1"/>
  <c r="P17" i="32"/>
  <c r="Q17" i="32" s="1"/>
  <c r="M17" i="32"/>
  <c r="L17" i="32"/>
  <c r="I17" i="32"/>
  <c r="C17" i="32"/>
  <c r="F17" i="32" s="1" a="1"/>
  <c r="F17" i="32" s="1"/>
  <c r="P16" i="32"/>
  <c r="Q16" i="32" s="1"/>
  <c r="M16" i="32"/>
  <c r="L16" i="32"/>
  <c r="I16" i="32"/>
  <c r="C16" i="32"/>
  <c r="F16" i="32" s="1" a="1"/>
  <c r="F16" i="32" s="1"/>
  <c r="P15" i="32"/>
  <c r="Q15" i="32" s="1"/>
  <c r="M15" i="32"/>
  <c r="L15" i="32"/>
  <c r="I15" i="32"/>
  <c r="C15" i="32"/>
  <c r="D15" i="32" s="1"/>
  <c r="P14" i="32"/>
  <c r="Q14" i="32" s="1"/>
  <c r="M14" i="32"/>
  <c r="L14" i="32"/>
  <c r="I14" i="32"/>
  <c r="C14" i="32"/>
  <c r="F14" i="32" s="1" a="1"/>
  <c r="F14" i="32" s="1"/>
  <c r="P13" i="32"/>
  <c r="Q13" i="32" s="1"/>
  <c r="M13" i="32"/>
  <c r="L13" i="32"/>
  <c r="I13" i="32"/>
  <c r="C13" i="32"/>
  <c r="D13" i="32" s="1"/>
  <c r="P12" i="32"/>
  <c r="Q12" i="32" s="1"/>
  <c r="M12" i="32"/>
  <c r="L12" i="32"/>
  <c r="I12" i="32"/>
  <c r="C12" i="32"/>
  <c r="F12" i="32" s="1" a="1"/>
  <c r="F12" i="32" s="1"/>
  <c r="P11" i="32"/>
  <c r="Q11" i="32" s="1"/>
  <c r="M11" i="32"/>
  <c r="L11" i="32"/>
  <c r="I11" i="32"/>
  <c r="C11" i="32"/>
  <c r="P10" i="32"/>
  <c r="Q10" i="32" s="1"/>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88" i="32" l="1" a="1"/>
  <c r="F88" i="32" s="1"/>
  <c r="F56" i="32" a="1"/>
  <c r="F56" i="32" s="1"/>
  <c r="F46" i="32" a="1"/>
  <c r="F46" i="32" s="1"/>
  <c r="D20" i="33"/>
  <c r="D54" i="32"/>
  <c r="D80" i="32"/>
  <c r="D62" i="32"/>
  <c r="F96" i="32" a="1"/>
  <c r="F96" i="32" s="1"/>
  <c r="F29" i="33" a="1"/>
  <c r="F29" i="33" s="1"/>
  <c r="D13" i="33"/>
  <c r="F52" i="33" a="1"/>
  <c r="F52" i="33" s="1"/>
  <c r="F49" i="32" a="1"/>
  <c r="F49" i="32" s="1"/>
  <c r="D41" i="33"/>
  <c r="F81" i="32" a="1"/>
  <c r="F81" i="32" s="1"/>
  <c r="F32" i="33" a="1"/>
  <c r="F32" i="33" s="1"/>
  <c r="D70" i="32"/>
  <c r="F14" i="33" a="1"/>
  <c r="F14" i="33" s="1"/>
  <c r="D77" i="33"/>
  <c r="F41" i="32" a="1"/>
  <c r="F41" i="32" s="1"/>
  <c r="F72" i="32" a="1"/>
  <c r="F72" i="32" s="1"/>
  <c r="F85" i="32" a="1"/>
  <c r="F85" i="32" s="1"/>
  <c r="F89" i="32" a="1"/>
  <c r="F89" i="32" s="1"/>
  <c r="D28" i="33"/>
  <c r="F30" i="33" a="1"/>
  <c r="F30" i="33" s="1"/>
  <c r="F47" i="33" a="1"/>
  <c r="F47" i="33" s="1"/>
  <c r="F49" i="33" a="1"/>
  <c r="F49" i="33" s="1"/>
  <c r="F60" i="33" a="1"/>
  <c r="F60" i="33" s="1"/>
  <c r="D22" i="32"/>
  <c r="F24" i="32" a="1"/>
  <c r="F24" i="32" s="1"/>
  <c r="F37" i="32" a="1"/>
  <c r="F37" i="32" s="1"/>
  <c r="D45" i="33"/>
  <c r="F81" i="33" a="1"/>
  <c r="F81" i="33" s="1"/>
  <c r="F92" i="33" a="1"/>
  <c r="F92" i="33" s="1"/>
  <c r="F29" i="32" a="1"/>
  <c r="F29" i="32" s="1"/>
  <c r="F54" i="33" a="1"/>
  <c r="F54" i="33" s="1"/>
  <c r="F86" i="33" a="1"/>
  <c r="F86" i="33" s="1"/>
  <c r="F95" i="33" a="1"/>
  <c r="F95" i="33" s="1"/>
  <c r="D40" i="32"/>
  <c r="D61" i="32"/>
  <c r="F89" i="33" a="1"/>
  <c r="F89" i="33" s="1"/>
  <c r="F23" i="32" a="1"/>
  <c r="F23" i="32" s="1"/>
  <c r="F38" i="32" a="1"/>
  <c r="F38" i="32" s="1"/>
  <c r="F36" i="33" a="1"/>
  <c r="F36" i="33" s="1"/>
  <c r="D38" i="33"/>
  <c r="D14" i="32"/>
  <c r="D32" i="32"/>
  <c r="D57" i="32"/>
  <c r="F30" i="32" a="1"/>
  <c r="F30" i="32" s="1"/>
  <c r="F93" i="32" a="1"/>
  <c r="F93" i="32" s="1"/>
  <c r="F97" i="32" a="1"/>
  <c r="F97" i="32" s="1"/>
  <c r="F55" i="33" a="1"/>
  <c r="F55" i="33" s="1"/>
  <c r="F69" i="33" a="1"/>
  <c r="F69" i="33" s="1"/>
  <c r="D12" i="33"/>
  <c r="D46" i="33"/>
  <c r="D26" i="32"/>
  <c r="F13" i="32" a="1"/>
  <c r="F13" i="32" s="1"/>
  <c r="F21" i="32" a="1"/>
  <c r="F21" i="32" s="1"/>
  <c r="F53" i="32" a="1"/>
  <c r="F53" i="32" s="1"/>
  <c r="D64" i="32"/>
  <c r="D73" i="32"/>
  <c r="D77" i="32"/>
  <c r="D86" i="32"/>
  <c r="D95" i="32"/>
  <c r="D48" i="33"/>
  <c r="F65" i="33" a="1"/>
  <c r="F65" i="33" s="1"/>
  <c r="F87" i="33" a="1"/>
  <c r="F87" i="33" s="1"/>
  <c r="D48" i="32"/>
  <c r="D94" i="32"/>
  <c r="D33" i="33"/>
  <c r="D25" i="32"/>
  <c r="D16" i="32"/>
  <c r="D65" i="32"/>
  <c r="D69" i="32"/>
  <c r="D78" i="32"/>
  <c r="F53" i="33" a="1"/>
  <c r="F53" i="33" s="1"/>
  <c r="F73" i="33" a="1"/>
  <c r="F73" i="33" s="1"/>
  <c r="F45" i="32" a="1"/>
  <c r="F45" i="32" s="1"/>
  <c r="F24" i="33" a="1"/>
  <c r="F24" i="33" s="1"/>
  <c r="F15" i="33" a="1"/>
  <c r="F15" i="33" s="1"/>
  <c r="D37" i="33"/>
  <c r="D17" i="33"/>
  <c r="F63" i="33" a="1"/>
  <c r="F63" i="33" s="1"/>
  <c r="F71" i="33" a="1"/>
  <c r="F71" i="33" s="1"/>
  <c r="F79" i="33" a="1"/>
  <c r="F79" i="33" s="1"/>
  <c r="F84" i="33" a="1"/>
  <c r="F84" i="33" s="1"/>
  <c r="F93" i="33" a="1"/>
  <c r="F93" i="33" s="1"/>
  <c r="F97" i="33" a="1"/>
  <c r="F97" i="33" s="1"/>
  <c r="D21" i="33"/>
  <c r="D40" i="33"/>
  <c r="D62" i="33"/>
  <c r="D70" i="33"/>
  <c r="D78" i="33"/>
  <c r="D90" i="33"/>
  <c r="D96" i="33"/>
  <c r="D9" i="33"/>
  <c r="F57" i="33" a="1"/>
  <c r="F57" i="33" s="1"/>
  <c r="D16" i="33"/>
  <c r="F31" i="33" a="1"/>
  <c r="F31" i="33" s="1"/>
  <c r="D39" i="33"/>
  <c r="D44" i="33"/>
  <c r="D56" i="33"/>
  <c r="D61" i="33"/>
  <c r="F23" i="33" a="1"/>
  <c r="F23" i="33" s="1"/>
  <c r="D64" i="33"/>
  <c r="D72" i="33"/>
  <c r="D80" i="33"/>
  <c r="D85" i="33"/>
  <c r="D98" i="33"/>
  <c r="D94" i="33"/>
  <c r="D58" i="33"/>
  <c r="D88" i="33"/>
  <c r="D22" i="33"/>
  <c r="D25" i="33"/>
  <c r="D66" i="33"/>
  <c r="F68" i="33" a="1"/>
  <c r="F68" i="33" s="1"/>
  <c r="D74" i="33"/>
  <c r="F76" i="33" a="1"/>
  <c r="F76" i="33" s="1"/>
  <c r="D82" i="33"/>
  <c r="F10" i="33" a="1"/>
  <c r="F10" i="33" s="1"/>
  <c r="D11" i="33"/>
  <c r="F18" i="33" a="1"/>
  <c r="F18" i="33" s="1"/>
  <c r="D19" i="33"/>
  <c r="F26" i="33" a="1"/>
  <c r="F26" i="33" s="1"/>
  <c r="D27" i="33"/>
  <c r="F34" i="33" a="1"/>
  <c r="F34" i="33" s="1"/>
  <c r="D35" i="33"/>
  <c r="F42" i="33" a="1"/>
  <c r="F42" i="33" s="1"/>
  <c r="D43" i="33"/>
  <c r="F50" i="33" a="1"/>
  <c r="F50" i="33" s="1"/>
  <c r="D51" i="33"/>
  <c r="D59" i="33"/>
  <c r="D67" i="33"/>
  <c r="D75" i="33"/>
  <c r="D83" i="33"/>
  <c r="D91" i="33"/>
  <c r="D99"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P98" i="31"/>
  <c r="Q98" i="31" s="1"/>
  <c r="M98" i="31"/>
  <c r="L98" i="31"/>
  <c r="I98" i="31"/>
  <c r="C98" i="31"/>
  <c r="F98" i="31" s="1" a="1"/>
  <c r="F98" i="31" s="1"/>
  <c r="P97" i="31"/>
  <c r="Q97" i="31" s="1"/>
  <c r="M97" i="31"/>
  <c r="L97" i="31"/>
  <c r="I97" i="31"/>
  <c r="C97" i="31"/>
  <c r="F97" i="31" s="1" a="1"/>
  <c r="F97" i="31" s="1"/>
  <c r="P96" i="31"/>
  <c r="Q96" i="31" s="1"/>
  <c r="M96" i="31"/>
  <c r="L96" i="31"/>
  <c r="I96" i="31"/>
  <c r="C96" i="31"/>
  <c r="D96" i="31" s="1"/>
  <c r="P95" i="31"/>
  <c r="Q95" i="31" s="1"/>
  <c r="M95" i="31"/>
  <c r="L95" i="31"/>
  <c r="I95" i="31"/>
  <c r="C95" i="31"/>
  <c r="F95" i="31" s="1" a="1"/>
  <c r="F95" i="31" s="1"/>
  <c r="P94" i="31"/>
  <c r="Q94" i="31" s="1"/>
  <c r="M94" i="31"/>
  <c r="L94" i="31"/>
  <c r="I94" i="31"/>
  <c r="C94" i="31"/>
  <c r="F94" i="31" s="1" a="1"/>
  <c r="F94" i="31" s="1"/>
  <c r="P93" i="31"/>
  <c r="Q93" i="31" s="1"/>
  <c r="M93" i="31"/>
  <c r="L93" i="31"/>
  <c r="I93" i="31"/>
  <c r="C93" i="31"/>
  <c r="F93" i="31" s="1" a="1"/>
  <c r="F93" i="31" s="1"/>
  <c r="P92" i="31"/>
  <c r="Q92" i="31" s="1"/>
  <c r="M92" i="31"/>
  <c r="L92" i="31"/>
  <c r="I92" i="31"/>
  <c r="C92" i="31"/>
  <c r="D92" i="31" s="1"/>
  <c r="P91" i="31"/>
  <c r="Q91" i="31" s="1"/>
  <c r="M91" i="31"/>
  <c r="L91" i="31"/>
  <c r="I91" i="31"/>
  <c r="C91" i="31"/>
  <c r="F91" i="31" s="1" a="1"/>
  <c r="F91" i="31" s="1"/>
  <c r="P90" i="31"/>
  <c r="Q90" i="31" s="1"/>
  <c r="M90" i="31"/>
  <c r="L90" i="31"/>
  <c r="I90" i="31"/>
  <c r="C90" i="31"/>
  <c r="F90" i="31" s="1" a="1"/>
  <c r="F90" i="31" s="1"/>
  <c r="P89" i="31"/>
  <c r="Q89" i="31" s="1"/>
  <c r="M89" i="31"/>
  <c r="L89" i="31"/>
  <c r="I89" i="31"/>
  <c r="C89" i="31"/>
  <c r="F89" i="31" s="1" a="1"/>
  <c r="F89" i="31" s="1"/>
  <c r="P88" i="31"/>
  <c r="Q88" i="31" s="1"/>
  <c r="M88" i="31"/>
  <c r="L88" i="31"/>
  <c r="I88" i="31"/>
  <c r="C88" i="31"/>
  <c r="D88" i="31" s="1"/>
  <c r="P87" i="31"/>
  <c r="Q87" i="31" s="1"/>
  <c r="M87" i="31"/>
  <c r="L87" i="31"/>
  <c r="I87" i="31"/>
  <c r="C87" i="31"/>
  <c r="F87" i="31" s="1" a="1"/>
  <c r="F87" i="31" s="1"/>
  <c r="P86" i="31"/>
  <c r="Q86" i="31" s="1"/>
  <c r="M86" i="31"/>
  <c r="L86" i="31"/>
  <c r="I86" i="31"/>
  <c r="C86" i="31"/>
  <c r="F86" i="31" s="1" a="1"/>
  <c r="F86" i="31" s="1"/>
  <c r="P85" i="31"/>
  <c r="Q85" i="31" s="1"/>
  <c r="M85" i="31"/>
  <c r="L85" i="31"/>
  <c r="I85" i="31"/>
  <c r="C85" i="31"/>
  <c r="F85" i="31" s="1" a="1"/>
  <c r="F85" i="31" s="1"/>
  <c r="P84" i="31"/>
  <c r="Q84" i="31" s="1"/>
  <c r="M84" i="31"/>
  <c r="L84" i="31"/>
  <c r="I84" i="31"/>
  <c r="C84" i="31"/>
  <c r="F84" i="31" s="1" a="1"/>
  <c r="F84" i="31" s="1"/>
  <c r="P83" i="31"/>
  <c r="Q83" i="31" s="1"/>
  <c r="M83" i="31"/>
  <c r="L83" i="31"/>
  <c r="I83" i="31"/>
  <c r="C83" i="31"/>
  <c r="F83" i="31" s="1" a="1"/>
  <c r="F83" i="31" s="1"/>
  <c r="P82" i="31"/>
  <c r="Q82" i="31" s="1"/>
  <c r="M82" i="31"/>
  <c r="L82" i="31"/>
  <c r="I82" i="31"/>
  <c r="C82" i="31"/>
  <c r="F82" i="31" s="1" a="1"/>
  <c r="F82" i="31" s="1"/>
  <c r="P81" i="31"/>
  <c r="Q81" i="31" s="1"/>
  <c r="M81" i="31"/>
  <c r="L81" i="31"/>
  <c r="I81" i="31"/>
  <c r="C81" i="31"/>
  <c r="F81" i="31" s="1" a="1"/>
  <c r="F81" i="31" s="1"/>
  <c r="P80" i="31"/>
  <c r="Q80" i="31" s="1"/>
  <c r="M80" i="31"/>
  <c r="L80" i="31"/>
  <c r="I80" i="31"/>
  <c r="C80" i="31"/>
  <c r="D80" i="31" s="1"/>
  <c r="P79" i="31"/>
  <c r="Q79" i="31" s="1"/>
  <c r="M79" i="31"/>
  <c r="L79" i="31"/>
  <c r="I79" i="31"/>
  <c r="C79" i="31"/>
  <c r="F79" i="31" s="1" a="1"/>
  <c r="F79" i="31" s="1"/>
  <c r="P78" i="31"/>
  <c r="Q78" i="31" s="1"/>
  <c r="M78" i="31"/>
  <c r="L78" i="31"/>
  <c r="I78" i="31"/>
  <c r="C78" i="31"/>
  <c r="F78" i="31" s="1" a="1"/>
  <c r="F78" i="31" s="1"/>
  <c r="P77" i="31"/>
  <c r="Q77" i="31" s="1"/>
  <c r="M77" i="31"/>
  <c r="L77" i="31"/>
  <c r="I77" i="31"/>
  <c r="C77" i="31"/>
  <c r="F77" i="31" s="1" a="1"/>
  <c r="F77" i="31" s="1"/>
  <c r="P76" i="31"/>
  <c r="Q76" i="31" s="1"/>
  <c r="M76" i="31"/>
  <c r="L76" i="31"/>
  <c r="I76" i="31"/>
  <c r="C76" i="31"/>
  <c r="F76" i="31" s="1" a="1"/>
  <c r="F76" i="31" s="1"/>
  <c r="P75" i="31"/>
  <c r="Q75" i="31" s="1"/>
  <c r="M75" i="31"/>
  <c r="L75" i="31"/>
  <c r="I75" i="31"/>
  <c r="C75" i="31"/>
  <c r="F75" i="31" s="1" a="1"/>
  <c r="F75" i="31" s="1"/>
  <c r="P74" i="31"/>
  <c r="Q74" i="31" s="1"/>
  <c r="M74" i="31"/>
  <c r="L74" i="31"/>
  <c r="I74" i="31"/>
  <c r="C74" i="31"/>
  <c r="F74" i="31" s="1" a="1"/>
  <c r="F74" i="31" s="1"/>
  <c r="P73" i="31"/>
  <c r="Q73" i="31" s="1"/>
  <c r="M73" i="31"/>
  <c r="L73" i="31"/>
  <c r="I73" i="31"/>
  <c r="C73" i="31"/>
  <c r="F73" i="31" s="1" a="1"/>
  <c r="F73" i="31" s="1"/>
  <c r="P72" i="31"/>
  <c r="Q72" i="31" s="1"/>
  <c r="M72" i="31"/>
  <c r="L72" i="31"/>
  <c r="I72" i="31"/>
  <c r="C72" i="31"/>
  <c r="D72" i="31" s="1"/>
  <c r="P71" i="31"/>
  <c r="Q71" i="31" s="1"/>
  <c r="M71" i="31"/>
  <c r="L71" i="31"/>
  <c r="I71" i="31"/>
  <c r="C71" i="31"/>
  <c r="F71" i="31" s="1" a="1"/>
  <c r="F71" i="31" s="1"/>
  <c r="P70" i="31"/>
  <c r="Q70" i="31" s="1"/>
  <c r="M70" i="31"/>
  <c r="L70" i="31"/>
  <c r="I70" i="31"/>
  <c r="C70" i="31"/>
  <c r="F70" i="31" s="1" a="1"/>
  <c r="F70" i="31" s="1"/>
  <c r="P69" i="31"/>
  <c r="Q69" i="31" s="1"/>
  <c r="M69" i="31"/>
  <c r="L69" i="31"/>
  <c r="I69" i="31"/>
  <c r="C69" i="31"/>
  <c r="F69" i="31" s="1" a="1"/>
  <c r="F69" i="31" s="1"/>
  <c r="P68" i="31"/>
  <c r="Q68" i="31" s="1"/>
  <c r="M68" i="31"/>
  <c r="L68" i="31"/>
  <c r="I68" i="31"/>
  <c r="C68" i="31"/>
  <c r="F68" i="31" s="1" a="1"/>
  <c r="F68" i="31" s="1"/>
  <c r="P67" i="31"/>
  <c r="Q67" i="31" s="1"/>
  <c r="M67" i="31"/>
  <c r="L67" i="31"/>
  <c r="I67" i="31"/>
  <c r="C67" i="31"/>
  <c r="F67" i="31" s="1" a="1"/>
  <c r="F67" i="31" s="1"/>
  <c r="P66" i="31"/>
  <c r="Q66" i="31" s="1"/>
  <c r="M66" i="31"/>
  <c r="L66" i="31"/>
  <c r="I66" i="31"/>
  <c r="C66" i="31"/>
  <c r="F66" i="31" s="1" a="1"/>
  <c r="F66" i="31" s="1"/>
  <c r="P65" i="31"/>
  <c r="Q65" i="31" s="1"/>
  <c r="M65" i="31"/>
  <c r="L65" i="31"/>
  <c r="I65" i="31"/>
  <c r="C65" i="31"/>
  <c r="F65" i="31" s="1" a="1"/>
  <c r="F65" i="31" s="1"/>
  <c r="P64" i="31"/>
  <c r="Q64" i="31" s="1"/>
  <c r="M64" i="31"/>
  <c r="L64" i="31"/>
  <c r="I64" i="31"/>
  <c r="C64" i="31"/>
  <c r="F64" i="31" s="1" a="1"/>
  <c r="F64" i="31" s="1"/>
  <c r="P63" i="31"/>
  <c r="Q63" i="31" s="1"/>
  <c r="M63" i="31"/>
  <c r="L63" i="31"/>
  <c r="I63" i="31"/>
  <c r="C63" i="31"/>
  <c r="F63" i="31" s="1" a="1"/>
  <c r="F63" i="31" s="1"/>
  <c r="P62" i="31"/>
  <c r="Q62" i="31" s="1"/>
  <c r="M62" i="31"/>
  <c r="L62" i="31"/>
  <c r="I62" i="31"/>
  <c r="C62" i="31"/>
  <c r="F62" i="31" s="1" a="1"/>
  <c r="F62" i="31" s="1"/>
  <c r="P61" i="31"/>
  <c r="Q61" i="31" s="1"/>
  <c r="M61" i="31"/>
  <c r="L61" i="31"/>
  <c r="I61" i="31"/>
  <c r="C61" i="31"/>
  <c r="F61" i="31" s="1" a="1"/>
  <c r="F61" i="31" s="1"/>
  <c r="P60" i="31"/>
  <c r="Q60" i="31" s="1"/>
  <c r="M60" i="31"/>
  <c r="L60" i="31"/>
  <c r="I60" i="31"/>
  <c r="C60" i="31"/>
  <c r="F60" i="31" s="1" a="1"/>
  <c r="F60" i="31" s="1"/>
  <c r="P59" i="31"/>
  <c r="Q59" i="31" s="1"/>
  <c r="M59" i="31"/>
  <c r="L59" i="31"/>
  <c r="I59" i="31"/>
  <c r="C59" i="31"/>
  <c r="F59" i="31" s="1" a="1"/>
  <c r="F59" i="31" s="1"/>
  <c r="P58" i="31"/>
  <c r="Q58" i="31" s="1"/>
  <c r="M58" i="31"/>
  <c r="L58" i="31"/>
  <c r="I58" i="31"/>
  <c r="C58" i="31"/>
  <c r="F58" i="31" s="1" a="1"/>
  <c r="F58" i="31" s="1"/>
  <c r="P57" i="31"/>
  <c r="Q57" i="31" s="1"/>
  <c r="M57" i="31"/>
  <c r="L57" i="31"/>
  <c r="I57" i="31"/>
  <c r="C57" i="31"/>
  <c r="F57" i="31" s="1" a="1"/>
  <c r="F57" i="31" s="1"/>
  <c r="P56" i="31"/>
  <c r="Q56" i="31" s="1"/>
  <c r="M56" i="31"/>
  <c r="L56" i="31"/>
  <c r="I56" i="31"/>
  <c r="C56" i="31"/>
  <c r="F56" i="31" s="1" a="1"/>
  <c r="F56" i="31" s="1"/>
  <c r="P55" i="31"/>
  <c r="Q55" i="31" s="1"/>
  <c r="M55" i="31"/>
  <c r="L55" i="31"/>
  <c r="I55" i="31"/>
  <c r="C55" i="31"/>
  <c r="F55" i="31" s="1" a="1"/>
  <c r="F55" i="31" s="1"/>
  <c r="P54" i="31"/>
  <c r="Q54" i="31" s="1"/>
  <c r="M54" i="31"/>
  <c r="L54" i="31"/>
  <c r="I54" i="31"/>
  <c r="C54" i="31"/>
  <c r="F54" i="31" s="1" a="1"/>
  <c r="F54" i="31" s="1"/>
  <c r="P53" i="31"/>
  <c r="Q53" i="31" s="1"/>
  <c r="M53" i="31"/>
  <c r="L53" i="31"/>
  <c r="I53" i="31"/>
  <c r="C53" i="31"/>
  <c r="D53" i="31" s="1"/>
  <c r="P52" i="31"/>
  <c r="Q52" i="31" s="1"/>
  <c r="M52" i="31"/>
  <c r="L52" i="31"/>
  <c r="I52" i="31"/>
  <c r="C52" i="31"/>
  <c r="F52" i="31" s="1" a="1"/>
  <c r="F52" i="31" s="1"/>
  <c r="P51" i="31"/>
  <c r="Q51" i="31" s="1"/>
  <c r="M51" i="31"/>
  <c r="L51" i="31"/>
  <c r="I51" i="31"/>
  <c r="C51" i="31"/>
  <c r="F51" i="31" s="1" a="1"/>
  <c r="F51" i="31" s="1"/>
  <c r="P50" i="31"/>
  <c r="Q50" i="31" s="1"/>
  <c r="M50" i="31"/>
  <c r="L50" i="31"/>
  <c r="I50" i="31"/>
  <c r="C50" i="31"/>
  <c r="F50" i="31" s="1" a="1"/>
  <c r="F50" i="31" s="1"/>
  <c r="P49" i="31"/>
  <c r="Q49" i="31" s="1"/>
  <c r="M49" i="31"/>
  <c r="L49" i="31"/>
  <c r="I49" i="31"/>
  <c r="C49" i="31"/>
  <c r="F49" i="31" s="1" a="1"/>
  <c r="F49" i="31" s="1"/>
  <c r="P48" i="31"/>
  <c r="Q48" i="31" s="1"/>
  <c r="M48" i="31"/>
  <c r="L48" i="31"/>
  <c r="I48" i="31"/>
  <c r="C48" i="31"/>
  <c r="F48" i="31" s="1" a="1"/>
  <c r="F48" i="31" s="1"/>
  <c r="P47" i="31"/>
  <c r="Q47" i="31" s="1"/>
  <c r="M47" i="31"/>
  <c r="L47" i="31"/>
  <c r="I47" i="31"/>
  <c r="C47" i="31"/>
  <c r="F47" i="31" s="1" a="1"/>
  <c r="F47" i="31" s="1"/>
  <c r="P46" i="31"/>
  <c r="Q46" i="31" s="1"/>
  <c r="M46" i="31"/>
  <c r="L46" i="31"/>
  <c r="I46" i="31"/>
  <c r="C46" i="31"/>
  <c r="F46" i="31" s="1" a="1"/>
  <c r="F46" i="31" s="1"/>
  <c r="P45" i="31"/>
  <c r="Q45" i="31" s="1"/>
  <c r="M45" i="31"/>
  <c r="L45" i="31"/>
  <c r="I45" i="31"/>
  <c r="C45" i="31"/>
  <c r="F45" i="31" s="1" a="1"/>
  <c r="F45" i="31" s="1"/>
  <c r="P44" i="31"/>
  <c r="Q44" i="31" s="1"/>
  <c r="M44" i="31"/>
  <c r="L44" i="31"/>
  <c r="I44" i="31"/>
  <c r="C44" i="31"/>
  <c r="F44" i="31" s="1" a="1"/>
  <c r="F44" i="31" s="1"/>
  <c r="P43" i="31"/>
  <c r="Q43" i="31" s="1"/>
  <c r="M43" i="31"/>
  <c r="L43" i="31"/>
  <c r="I43" i="31"/>
  <c r="C43" i="31"/>
  <c r="F43" i="31" s="1" a="1"/>
  <c r="F43" i="31" s="1"/>
  <c r="P42" i="31"/>
  <c r="Q42" i="31" s="1"/>
  <c r="M42" i="31"/>
  <c r="L42" i="31"/>
  <c r="I42" i="31"/>
  <c r="C42" i="31"/>
  <c r="D42" i="31" s="1"/>
  <c r="P41" i="31"/>
  <c r="Q41" i="31" s="1"/>
  <c r="M41" i="31"/>
  <c r="L41" i="31"/>
  <c r="I41" i="31"/>
  <c r="C41" i="31"/>
  <c r="F41" i="31" s="1" a="1"/>
  <c r="F41" i="31" s="1"/>
  <c r="P40" i="31"/>
  <c r="Q40" i="31" s="1"/>
  <c r="M40" i="31"/>
  <c r="L40" i="31"/>
  <c r="I40" i="31"/>
  <c r="C40" i="31"/>
  <c r="F40" i="31" s="1" a="1"/>
  <c r="F40" i="31" s="1"/>
  <c r="P39" i="31"/>
  <c r="Q39" i="31" s="1"/>
  <c r="M39" i="31"/>
  <c r="L39" i="31"/>
  <c r="I39" i="31"/>
  <c r="C39" i="31"/>
  <c r="F39" i="31" s="1" a="1"/>
  <c r="F39" i="31" s="1"/>
  <c r="P38" i="31"/>
  <c r="Q38" i="31" s="1"/>
  <c r="M38" i="31"/>
  <c r="L38" i="31"/>
  <c r="I38" i="31"/>
  <c r="C38" i="31"/>
  <c r="F38" i="31" s="1" a="1"/>
  <c r="F38" i="31" s="1"/>
  <c r="P37" i="31"/>
  <c r="Q37" i="31" s="1"/>
  <c r="M37" i="31"/>
  <c r="L37" i="31"/>
  <c r="I37" i="31"/>
  <c r="C37" i="31"/>
  <c r="D37" i="31" s="1"/>
  <c r="P36" i="31"/>
  <c r="Q36" i="31" s="1"/>
  <c r="M36" i="31"/>
  <c r="L36" i="31"/>
  <c r="I36" i="31"/>
  <c r="C36" i="31"/>
  <c r="D36" i="31" s="1"/>
  <c r="P35" i="31"/>
  <c r="Q35" i="31" s="1"/>
  <c r="M35" i="31"/>
  <c r="L35" i="31"/>
  <c r="I35" i="31"/>
  <c r="C35" i="31"/>
  <c r="F35" i="31" s="1" a="1"/>
  <c r="F35" i="31" s="1"/>
  <c r="P34" i="31"/>
  <c r="Q34" i="31" s="1"/>
  <c r="M34" i="31"/>
  <c r="L34" i="31"/>
  <c r="I34" i="31"/>
  <c r="C34" i="31"/>
  <c r="F34" i="31" s="1" a="1"/>
  <c r="F34" i="31" s="1"/>
  <c r="P33" i="31"/>
  <c r="Q33" i="31" s="1"/>
  <c r="M33" i="31"/>
  <c r="L33" i="31"/>
  <c r="I33" i="31"/>
  <c r="C33" i="31"/>
  <c r="F33" i="31" s="1" a="1"/>
  <c r="F33" i="31" s="1"/>
  <c r="P32" i="31"/>
  <c r="Q32" i="31" s="1"/>
  <c r="M32" i="31"/>
  <c r="L32" i="31"/>
  <c r="I32" i="31"/>
  <c r="C32" i="31"/>
  <c r="F32" i="31" s="1" a="1"/>
  <c r="F32" i="31" s="1"/>
  <c r="P31" i="31"/>
  <c r="Q31" i="31" s="1"/>
  <c r="M31" i="31"/>
  <c r="L31" i="31"/>
  <c r="I31" i="31"/>
  <c r="C31" i="31"/>
  <c r="F31" i="31" s="1" a="1"/>
  <c r="F31" i="31" s="1"/>
  <c r="P30" i="31"/>
  <c r="Q30" i="31" s="1"/>
  <c r="M30" i="31"/>
  <c r="L30" i="31"/>
  <c r="I30" i="31"/>
  <c r="C30" i="31"/>
  <c r="F30" i="31" s="1" a="1"/>
  <c r="F30" i="31" s="1"/>
  <c r="P29" i="31"/>
  <c r="Q29" i="31" s="1"/>
  <c r="M29" i="31"/>
  <c r="L29" i="31"/>
  <c r="I29" i="31"/>
  <c r="C29" i="31"/>
  <c r="F29" i="31" s="1" a="1"/>
  <c r="F29" i="31" s="1"/>
  <c r="P28" i="31"/>
  <c r="Q28" i="31" s="1"/>
  <c r="M28" i="31"/>
  <c r="L28" i="31"/>
  <c r="I28" i="31"/>
  <c r="C28" i="31"/>
  <c r="F28" i="31" s="1" a="1"/>
  <c r="F28" i="31" s="1"/>
  <c r="P27" i="31"/>
  <c r="Q27" i="31" s="1"/>
  <c r="M27" i="31"/>
  <c r="L27" i="31"/>
  <c r="I27" i="31"/>
  <c r="C27" i="31"/>
  <c r="F27" i="31" s="1" a="1"/>
  <c r="F27" i="31" s="1"/>
  <c r="P26" i="31"/>
  <c r="Q26" i="31" s="1"/>
  <c r="M26" i="31"/>
  <c r="L26" i="31"/>
  <c r="I26" i="31"/>
  <c r="C26" i="31"/>
  <c r="F26" i="31" s="1" a="1"/>
  <c r="F26" i="31" s="1"/>
  <c r="P25" i="31"/>
  <c r="Q25" i="31" s="1"/>
  <c r="M25" i="31"/>
  <c r="L25" i="31"/>
  <c r="I25" i="31"/>
  <c r="C25" i="31"/>
  <c r="F25" i="31" s="1" a="1"/>
  <c r="F25" i="31" s="1"/>
  <c r="P24" i="31"/>
  <c r="Q24" i="31" s="1"/>
  <c r="M24" i="31"/>
  <c r="L24" i="31"/>
  <c r="I24" i="31"/>
  <c r="C24" i="31"/>
  <c r="F24" i="31" s="1" a="1"/>
  <c r="F24" i="31" s="1"/>
  <c r="P23" i="31"/>
  <c r="Q23" i="31" s="1"/>
  <c r="M23" i="31"/>
  <c r="L23" i="31"/>
  <c r="I23" i="31"/>
  <c r="C23" i="31"/>
  <c r="F23" i="31" s="1" a="1"/>
  <c r="F23" i="31" s="1"/>
  <c r="P22" i="31"/>
  <c r="Q22" i="31" s="1"/>
  <c r="M22" i="31"/>
  <c r="L22" i="31"/>
  <c r="I22" i="31"/>
  <c r="C22" i="31"/>
  <c r="F22" i="31" s="1" a="1"/>
  <c r="F22" i="31" s="1"/>
  <c r="P21" i="31"/>
  <c r="Q21" i="31" s="1"/>
  <c r="M21" i="31"/>
  <c r="L21" i="31"/>
  <c r="I21" i="31"/>
  <c r="C21" i="31"/>
  <c r="D21" i="31" s="1"/>
  <c r="P20" i="31"/>
  <c r="Q20" i="31" s="1"/>
  <c r="M20" i="31"/>
  <c r="L20" i="31"/>
  <c r="I20" i="31"/>
  <c r="C20" i="31"/>
  <c r="F20" i="31" s="1" a="1"/>
  <c r="F20" i="31" s="1"/>
  <c r="P19" i="31"/>
  <c r="Q19" i="31" s="1"/>
  <c r="M19" i="31"/>
  <c r="L19" i="31"/>
  <c r="I19" i="31"/>
  <c r="C19" i="31"/>
  <c r="F19" i="31" s="1" a="1"/>
  <c r="F19" i="31" s="1"/>
  <c r="P18" i="31"/>
  <c r="Q18" i="31" s="1"/>
  <c r="M18" i="31"/>
  <c r="L18" i="31"/>
  <c r="I18" i="31"/>
  <c r="C18" i="31"/>
  <c r="F18" i="31" s="1" a="1"/>
  <c r="F18" i="31" s="1"/>
  <c r="P17" i="31"/>
  <c r="Q17" i="31" s="1"/>
  <c r="M17" i="31"/>
  <c r="L17" i="31"/>
  <c r="I17" i="31"/>
  <c r="C17" i="31"/>
  <c r="F17" i="31" s="1" a="1"/>
  <c r="F17" i="31" s="1"/>
  <c r="P16" i="31"/>
  <c r="Q16" i="31" s="1"/>
  <c r="M16" i="31"/>
  <c r="L16" i="31"/>
  <c r="I16" i="31"/>
  <c r="C16" i="31"/>
  <c r="F16" i="31" s="1" a="1"/>
  <c r="F16" i="31" s="1"/>
  <c r="P15" i="31"/>
  <c r="Q15" i="31" s="1"/>
  <c r="M15" i="31"/>
  <c r="L15" i="31"/>
  <c r="I15" i="31"/>
  <c r="C15" i="31"/>
  <c r="F15" i="31" s="1" a="1"/>
  <c r="F15" i="31" s="1"/>
  <c r="P14" i="31"/>
  <c r="Q14" i="31" s="1"/>
  <c r="M14" i="31"/>
  <c r="L14" i="31"/>
  <c r="I14" i="31"/>
  <c r="C14" i="31"/>
  <c r="F14" i="31" s="1" a="1"/>
  <c r="F14" i="31" s="1"/>
  <c r="P13" i="31"/>
  <c r="Q13" i="31" s="1"/>
  <c r="M13" i="31"/>
  <c r="L13" i="31"/>
  <c r="I13" i="31"/>
  <c r="C13" i="31"/>
  <c r="F13" i="31" s="1" a="1"/>
  <c r="F13" i="31" s="1"/>
  <c r="P12" i="31"/>
  <c r="Q12" i="31" s="1"/>
  <c r="M12" i="31"/>
  <c r="L12" i="31"/>
  <c r="I12" i="31"/>
  <c r="C12" i="31"/>
  <c r="F12" i="31" s="1" a="1"/>
  <c r="F12" i="31" s="1"/>
  <c r="P11" i="31"/>
  <c r="Q11" i="31" s="1"/>
  <c r="M11" i="31"/>
  <c r="L11" i="31"/>
  <c r="I11" i="31"/>
  <c r="C11" i="31"/>
  <c r="F11" i="31" s="1" a="1"/>
  <c r="F11" i="31" s="1"/>
  <c r="P10" i="31"/>
  <c r="Q10" i="31" s="1"/>
  <c r="M10" i="31"/>
  <c r="L10" i="31"/>
  <c r="I10" i="31"/>
  <c r="C10" i="31"/>
  <c r="D10" i="31" s="1"/>
  <c r="P9" i="31"/>
  <c r="Q9" i="31" s="1"/>
  <c r="M9" i="31"/>
  <c r="L9" i="31"/>
  <c r="I9" i="31"/>
  <c r="C9" i="31"/>
  <c r="F9" i="31" s="1" a="1"/>
  <c r="F9" i="31" s="1"/>
  <c r="Q8" i="31"/>
  <c r="P8" i="31"/>
  <c r="M8" i="31"/>
  <c r="L8" i="31"/>
  <c r="I8" i="31"/>
  <c r="D8" i="31"/>
  <c r="Q7" i="31"/>
  <c r="P7" i="31"/>
  <c r="M7" i="31"/>
  <c r="I7" i="31"/>
  <c r="D7" i="31"/>
  <c r="P6" i="31"/>
  <c r="Q6" i="31" s="1"/>
  <c r="M6" i="31"/>
  <c r="L6" i="31"/>
  <c r="I6" i="31"/>
  <c r="D6" i="31"/>
  <c r="P100" i="30"/>
  <c r="Q100" i="30" s="1"/>
  <c r="M100" i="30"/>
  <c r="L100" i="30"/>
  <c r="I100" i="30"/>
  <c r="C100" i="30"/>
  <c r="F100" i="30" s="1" a="1"/>
  <c r="F100" i="30" s="1"/>
  <c r="P99" i="30"/>
  <c r="Q99" i="30" s="1"/>
  <c r="M99" i="30"/>
  <c r="L99" i="30"/>
  <c r="I99" i="30"/>
  <c r="C99" i="30"/>
  <c r="D99" i="30" s="1"/>
  <c r="P98" i="30"/>
  <c r="Q98" i="30" s="1"/>
  <c r="M98" i="30"/>
  <c r="L98" i="30"/>
  <c r="I98" i="30"/>
  <c r="C98" i="30"/>
  <c r="F98" i="30" s="1" a="1"/>
  <c r="F98" i="30" s="1"/>
  <c r="P97" i="30"/>
  <c r="Q97" i="30" s="1"/>
  <c r="M97" i="30"/>
  <c r="L97" i="30"/>
  <c r="I97" i="30"/>
  <c r="C97" i="30"/>
  <c r="F97" i="30" s="1" a="1"/>
  <c r="F97" i="30" s="1"/>
  <c r="P96" i="30"/>
  <c r="Q96" i="30" s="1"/>
  <c r="M96" i="30"/>
  <c r="L96" i="30"/>
  <c r="I96" i="30"/>
  <c r="C96" i="30"/>
  <c r="D96" i="30" s="1"/>
  <c r="P95" i="30"/>
  <c r="Q95" i="30" s="1"/>
  <c r="M95" i="30"/>
  <c r="L95" i="30"/>
  <c r="I95" i="30"/>
  <c r="C95" i="30"/>
  <c r="F95" i="30" s="1" a="1"/>
  <c r="F95" i="30" s="1"/>
  <c r="P94" i="30"/>
  <c r="Q94" i="30" s="1"/>
  <c r="M94" i="30"/>
  <c r="L94" i="30"/>
  <c r="I94" i="30"/>
  <c r="C94" i="30"/>
  <c r="F94" i="30" s="1" a="1"/>
  <c r="F94" i="30" s="1"/>
  <c r="P93" i="30"/>
  <c r="Q93" i="30" s="1"/>
  <c r="M93" i="30"/>
  <c r="L93" i="30"/>
  <c r="I93" i="30"/>
  <c r="C93" i="30"/>
  <c r="F93" i="30" s="1" a="1"/>
  <c r="F93" i="30" s="1"/>
  <c r="P92" i="30"/>
  <c r="Q92" i="30" s="1"/>
  <c r="M92" i="30"/>
  <c r="L92" i="30"/>
  <c r="I92" i="30"/>
  <c r="C92" i="30"/>
  <c r="F92" i="30" s="1" a="1"/>
  <c r="F92" i="30" s="1"/>
  <c r="P91" i="30"/>
  <c r="Q91" i="30" s="1"/>
  <c r="M91" i="30"/>
  <c r="L91" i="30"/>
  <c r="I91" i="30"/>
  <c r="C91" i="30"/>
  <c r="D91" i="30" s="1"/>
  <c r="P90" i="30"/>
  <c r="Q90" i="30" s="1"/>
  <c r="M90" i="30"/>
  <c r="L90" i="30"/>
  <c r="I90" i="30"/>
  <c r="C90" i="30"/>
  <c r="F90" i="30" s="1" a="1"/>
  <c r="F90" i="30" s="1"/>
  <c r="P89" i="30"/>
  <c r="Q89" i="30" s="1"/>
  <c r="M89" i="30"/>
  <c r="L89" i="30"/>
  <c r="I89" i="30"/>
  <c r="C89" i="30"/>
  <c r="D89" i="30" s="1"/>
  <c r="P88" i="30"/>
  <c r="Q88" i="30" s="1"/>
  <c r="M88" i="30"/>
  <c r="L88" i="30"/>
  <c r="I88" i="30"/>
  <c r="C88" i="30"/>
  <c r="D88" i="30" s="1"/>
  <c r="P87" i="30"/>
  <c r="Q87" i="30" s="1"/>
  <c r="M87" i="30"/>
  <c r="L87" i="30"/>
  <c r="I87" i="30"/>
  <c r="C87" i="30"/>
  <c r="F87" i="30" s="1" a="1"/>
  <c r="F87" i="30" s="1"/>
  <c r="P86" i="30"/>
  <c r="Q86" i="30" s="1"/>
  <c r="M86" i="30"/>
  <c r="L86" i="30"/>
  <c r="I86" i="30"/>
  <c r="C86" i="30"/>
  <c r="D86" i="30" s="1"/>
  <c r="P85" i="30"/>
  <c r="Q85" i="30" s="1"/>
  <c r="M85" i="30"/>
  <c r="L85" i="30"/>
  <c r="I85" i="30"/>
  <c r="C85" i="30"/>
  <c r="F85" i="30" s="1" a="1"/>
  <c r="F85" i="30" s="1"/>
  <c r="P84" i="30"/>
  <c r="Q84" i="30" s="1"/>
  <c r="M84" i="30"/>
  <c r="L84" i="30"/>
  <c r="I84" i="30"/>
  <c r="C84" i="30"/>
  <c r="D84" i="30" s="1"/>
  <c r="P83" i="30"/>
  <c r="Q83" i="30" s="1"/>
  <c r="M83" i="30"/>
  <c r="L83" i="30"/>
  <c r="I83" i="30"/>
  <c r="C83" i="30"/>
  <c r="D83" i="30" s="1"/>
  <c r="P82" i="30"/>
  <c r="Q82" i="30" s="1"/>
  <c r="M82" i="30"/>
  <c r="L82" i="30"/>
  <c r="I82" i="30"/>
  <c r="C82" i="30"/>
  <c r="F82" i="30" s="1" a="1"/>
  <c r="F82" i="30" s="1"/>
  <c r="P81" i="30"/>
  <c r="Q81" i="30" s="1"/>
  <c r="M81" i="30"/>
  <c r="L81" i="30"/>
  <c r="I81" i="30"/>
  <c r="C81" i="30"/>
  <c r="D81" i="30" s="1"/>
  <c r="P80" i="30"/>
  <c r="Q80" i="30" s="1"/>
  <c r="M80" i="30"/>
  <c r="L80" i="30"/>
  <c r="I80" i="30"/>
  <c r="C80" i="30"/>
  <c r="D80" i="30" s="1"/>
  <c r="P79" i="30"/>
  <c r="Q79" i="30" s="1"/>
  <c r="M79" i="30"/>
  <c r="L79" i="30"/>
  <c r="I79" i="30"/>
  <c r="C79" i="30"/>
  <c r="F79" i="30" s="1" a="1"/>
  <c r="F79" i="30" s="1"/>
  <c r="P78" i="30"/>
  <c r="Q78" i="30" s="1"/>
  <c r="M78" i="30"/>
  <c r="L78" i="30"/>
  <c r="I78" i="30"/>
  <c r="C78" i="30"/>
  <c r="F78" i="30" s="1" a="1"/>
  <c r="F78" i="30" s="1"/>
  <c r="P77" i="30"/>
  <c r="Q77" i="30" s="1"/>
  <c r="M77" i="30"/>
  <c r="L77" i="30"/>
  <c r="I77" i="30"/>
  <c r="C77" i="30"/>
  <c r="D77" i="30" s="1"/>
  <c r="P76" i="30"/>
  <c r="Q76" i="30" s="1"/>
  <c r="M76" i="30"/>
  <c r="L76" i="30"/>
  <c r="I76" i="30"/>
  <c r="C76" i="30"/>
  <c r="D76" i="30" s="1"/>
  <c r="P75" i="30"/>
  <c r="Q75" i="30" s="1"/>
  <c r="M75" i="30"/>
  <c r="L75" i="30"/>
  <c r="I75" i="30"/>
  <c r="C75" i="30"/>
  <c r="D75" i="30" s="1"/>
  <c r="P74" i="30"/>
  <c r="Q74" i="30" s="1"/>
  <c r="M74" i="30"/>
  <c r="L74" i="30"/>
  <c r="I74" i="30"/>
  <c r="C74" i="30"/>
  <c r="F74" i="30" s="1" a="1"/>
  <c r="F74" i="30" s="1"/>
  <c r="P73" i="30"/>
  <c r="Q73" i="30" s="1"/>
  <c r="M73" i="30"/>
  <c r="L73" i="30"/>
  <c r="I73" i="30"/>
  <c r="C73" i="30"/>
  <c r="D73" i="30" s="1"/>
  <c r="P72" i="30"/>
  <c r="Q72" i="30" s="1"/>
  <c r="M72" i="30"/>
  <c r="L72" i="30"/>
  <c r="I72" i="30"/>
  <c r="C72" i="30"/>
  <c r="D72" i="30" s="1"/>
  <c r="P71" i="30"/>
  <c r="Q71" i="30" s="1"/>
  <c r="M71" i="30"/>
  <c r="L71" i="30"/>
  <c r="I71" i="30"/>
  <c r="C71" i="30"/>
  <c r="F71" i="30" s="1" a="1"/>
  <c r="F71" i="30" s="1"/>
  <c r="P70" i="30"/>
  <c r="Q70" i="30" s="1"/>
  <c r="M70" i="30"/>
  <c r="L70" i="30"/>
  <c r="I70" i="30"/>
  <c r="C70" i="30"/>
  <c r="D70" i="30" s="1"/>
  <c r="P69" i="30"/>
  <c r="Q69" i="30" s="1"/>
  <c r="M69" i="30"/>
  <c r="L69" i="30"/>
  <c r="I69" i="30"/>
  <c r="C69" i="30"/>
  <c r="F69" i="30" s="1" a="1"/>
  <c r="F69" i="30" s="1"/>
  <c r="P68" i="30"/>
  <c r="Q68" i="30" s="1"/>
  <c r="M68" i="30"/>
  <c r="L68" i="30"/>
  <c r="I68" i="30"/>
  <c r="C68" i="30"/>
  <c r="D68" i="30" s="1"/>
  <c r="P67" i="30"/>
  <c r="Q67" i="30" s="1"/>
  <c r="M67" i="30"/>
  <c r="L67" i="30"/>
  <c r="I67" i="30"/>
  <c r="C67" i="30"/>
  <c r="D67" i="30" s="1"/>
  <c r="P66" i="30"/>
  <c r="Q66" i="30" s="1"/>
  <c r="M66" i="30"/>
  <c r="L66" i="30"/>
  <c r="I66" i="30"/>
  <c r="C66" i="30"/>
  <c r="F66" i="30" s="1" a="1"/>
  <c r="F66" i="30" s="1"/>
  <c r="P65" i="30"/>
  <c r="Q65" i="30" s="1"/>
  <c r="M65" i="30"/>
  <c r="L65" i="30"/>
  <c r="I65" i="30"/>
  <c r="C65" i="30"/>
  <c r="F65" i="30" s="1" a="1"/>
  <c r="F65" i="30" s="1"/>
  <c r="P64" i="30"/>
  <c r="Q64" i="30" s="1"/>
  <c r="M64" i="30"/>
  <c r="L64" i="30"/>
  <c r="I64" i="30"/>
  <c r="C64" i="30"/>
  <c r="D64" i="30" s="1"/>
  <c r="P63" i="30"/>
  <c r="Q63" i="30" s="1"/>
  <c r="M63" i="30"/>
  <c r="L63" i="30"/>
  <c r="I63" i="30"/>
  <c r="C63" i="30"/>
  <c r="F63" i="30" s="1" a="1"/>
  <c r="F63" i="30" s="1"/>
  <c r="P62" i="30"/>
  <c r="Q62" i="30" s="1"/>
  <c r="M62" i="30"/>
  <c r="L62" i="30"/>
  <c r="I62" i="30"/>
  <c r="C62" i="30"/>
  <c r="F62" i="30" s="1" a="1"/>
  <c r="F62" i="30" s="1"/>
  <c r="P61" i="30"/>
  <c r="Q61" i="30" s="1"/>
  <c r="M61" i="30"/>
  <c r="L61" i="30"/>
  <c r="I61" i="30"/>
  <c r="C61" i="30"/>
  <c r="F61" i="30" s="1" a="1"/>
  <c r="F61" i="30" s="1"/>
  <c r="P60" i="30"/>
  <c r="Q60" i="30" s="1"/>
  <c r="M60" i="30"/>
  <c r="L60" i="30"/>
  <c r="I60" i="30"/>
  <c r="C60" i="30"/>
  <c r="F60" i="30" s="1" a="1"/>
  <c r="F60" i="30" s="1"/>
  <c r="P59" i="30"/>
  <c r="Q59" i="30" s="1"/>
  <c r="M59" i="30"/>
  <c r="L59" i="30"/>
  <c r="I59" i="30"/>
  <c r="C59" i="30"/>
  <c r="D59" i="30" s="1"/>
  <c r="P58" i="30"/>
  <c r="Q58" i="30" s="1"/>
  <c r="M58" i="30"/>
  <c r="L58" i="30"/>
  <c r="I58" i="30"/>
  <c r="C58" i="30"/>
  <c r="F58" i="30" s="1" a="1"/>
  <c r="F58" i="30" s="1"/>
  <c r="P57" i="30"/>
  <c r="Q57" i="30" s="1"/>
  <c r="M57" i="30"/>
  <c r="L57" i="30"/>
  <c r="I57" i="30"/>
  <c r="C57" i="30"/>
  <c r="F57" i="30" s="1" a="1"/>
  <c r="F57" i="30" s="1"/>
  <c r="P56" i="30"/>
  <c r="Q56" i="30" s="1"/>
  <c r="M56" i="30"/>
  <c r="L56" i="30"/>
  <c r="I56" i="30"/>
  <c r="C56" i="30"/>
  <c r="D56" i="30" s="1"/>
  <c r="P55" i="30"/>
  <c r="Q55" i="30" s="1"/>
  <c r="M55" i="30"/>
  <c r="L55" i="30"/>
  <c r="I55" i="30"/>
  <c r="C55" i="30"/>
  <c r="F55" i="30" s="1" a="1"/>
  <c r="F55" i="30" s="1"/>
  <c r="P54" i="30"/>
  <c r="Q54" i="30" s="1"/>
  <c r="M54" i="30"/>
  <c r="L54" i="30"/>
  <c r="I54" i="30"/>
  <c r="C54" i="30"/>
  <c r="F54" i="30" s="1" a="1"/>
  <c r="F54" i="30" s="1"/>
  <c r="P53" i="30"/>
  <c r="Q53" i="30" s="1"/>
  <c r="M53" i="30"/>
  <c r="L53" i="30"/>
  <c r="I53" i="30"/>
  <c r="C53" i="30"/>
  <c r="D53" i="30" s="1"/>
  <c r="P52" i="30"/>
  <c r="Q52" i="30" s="1"/>
  <c r="M52" i="30"/>
  <c r="L52" i="30"/>
  <c r="I52" i="30"/>
  <c r="C52" i="30"/>
  <c r="F52" i="30" s="1" a="1"/>
  <c r="F52" i="30" s="1"/>
  <c r="P51" i="30"/>
  <c r="Q51" i="30" s="1"/>
  <c r="M51" i="30"/>
  <c r="L51" i="30"/>
  <c r="I51" i="30"/>
  <c r="C51" i="30"/>
  <c r="D51" i="30" s="1"/>
  <c r="P50" i="30"/>
  <c r="Q50" i="30" s="1"/>
  <c r="M50" i="30"/>
  <c r="L50" i="30"/>
  <c r="I50" i="30"/>
  <c r="C50" i="30"/>
  <c r="F50" i="30" s="1" a="1"/>
  <c r="F50" i="30" s="1"/>
  <c r="P49" i="30"/>
  <c r="Q49" i="30" s="1"/>
  <c r="M49" i="30"/>
  <c r="L49" i="30"/>
  <c r="I49" i="30"/>
  <c r="C49" i="30"/>
  <c r="F49" i="30" s="1" a="1"/>
  <c r="F49" i="30" s="1"/>
  <c r="P48" i="30"/>
  <c r="Q48" i="30" s="1"/>
  <c r="M48" i="30"/>
  <c r="L48" i="30"/>
  <c r="I48" i="30"/>
  <c r="C48" i="30"/>
  <c r="D48" i="30" s="1"/>
  <c r="P47" i="30"/>
  <c r="Q47" i="30" s="1"/>
  <c r="M47" i="30"/>
  <c r="L47" i="30"/>
  <c r="I47" i="30"/>
  <c r="C47" i="30"/>
  <c r="F47" i="30" s="1" a="1"/>
  <c r="F47" i="30" s="1"/>
  <c r="P46" i="30"/>
  <c r="Q46" i="30" s="1"/>
  <c r="M46" i="30"/>
  <c r="L46" i="30"/>
  <c r="I46" i="30"/>
  <c r="C46" i="30"/>
  <c r="F46" i="30" s="1" a="1"/>
  <c r="F46" i="30" s="1"/>
  <c r="P45" i="30"/>
  <c r="Q45" i="30" s="1"/>
  <c r="M45" i="30"/>
  <c r="L45" i="30"/>
  <c r="I45" i="30"/>
  <c r="C45" i="30"/>
  <c r="F45" i="30" s="1" a="1"/>
  <c r="F45" i="30" s="1"/>
  <c r="P44" i="30"/>
  <c r="Q44" i="30" s="1"/>
  <c r="M44" i="30"/>
  <c r="L44" i="30"/>
  <c r="I44" i="30"/>
  <c r="C44" i="30"/>
  <c r="D44" i="30" s="1"/>
  <c r="P43" i="30"/>
  <c r="Q43" i="30" s="1"/>
  <c r="M43" i="30"/>
  <c r="L43" i="30"/>
  <c r="I43" i="30"/>
  <c r="C43" i="30"/>
  <c r="D43" i="30" s="1"/>
  <c r="P42" i="30"/>
  <c r="Q42" i="30" s="1"/>
  <c r="M42" i="30"/>
  <c r="L42" i="30"/>
  <c r="I42" i="30"/>
  <c r="C42" i="30"/>
  <c r="F42" i="30" s="1" a="1"/>
  <c r="F42" i="30" s="1"/>
  <c r="P41" i="30"/>
  <c r="Q41" i="30" s="1"/>
  <c r="M41" i="30"/>
  <c r="L41" i="30"/>
  <c r="I41" i="30"/>
  <c r="C41" i="30"/>
  <c r="F41" i="30" s="1" a="1"/>
  <c r="F41" i="30" s="1"/>
  <c r="P40" i="30"/>
  <c r="Q40" i="30" s="1"/>
  <c r="M40" i="30"/>
  <c r="L40" i="30"/>
  <c r="I40" i="30"/>
  <c r="C40" i="30"/>
  <c r="D40" i="30" s="1"/>
  <c r="P39" i="30"/>
  <c r="Q39" i="30" s="1"/>
  <c r="M39" i="30"/>
  <c r="L39" i="30"/>
  <c r="I39" i="30"/>
  <c r="C39" i="30"/>
  <c r="F39" i="30" s="1" a="1"/>
  <c r="F39" i="30" s="1"/>
  <c r="P38" i="30"/>
  <c r="Q38" i="30" s="1"/>
  <c r="M38" i="30"/>
  <c r="L38" i="30"/>
  <c r="I38" i="30"/>
  <c r="C38" i="30"/>
  <c r="F38" i="30" s="1" a="1"/>
  <c r="F38" i="30" s="1"/>
  <c r="P37" i="30"/>
  <c r="Q37" i="30" s="1"/>
  <c r="M37" i="30"/>
  <c r="L37" i="30"/>
  <c r="I37" i="30"/>
  <c r="C37" i="30"/>
  <c r="D37" i="30" s="1"/>
  <c r="P36" i="30"/>
  <c r="Q36" i="30" s="1"/>
  <c r="M36" i="30"/>
  <c r="L36" i="30"/>
  <c r="I36" i="30"/>
  <c r="C36" i="30"/>
  <c r="F36" i="30" s="1" a="1"/>
  <c r="F36" i="30" s="1"/>
  <c r="P35" i="30"/>
  <c r="Q35" i="30" s="1"/>
  <c r="M35" i="30"/>
  <c r="L35" i="30"/>
  <c r="I35" i="30"/>
  <c r="C35" i="30"/>
  <c r="D35" i="30" s="1"/>
  <c r="P34" i="30"/>
  <c r="Q34" i="30" s="1"/>
  <c r="M34" i="30"/>
  <c r="L34" i="30"/>
  <c r="I34" i="30"/>
  <c r="C34" i="30"/>
  <c r="F34" i="30" s="1" a="1"/>
  <c r="F34" i="30" s="1"/>
  <c r="P33" i="30"/>
  <c r="Q33" i="30" s="1"/>
  <c r="M33" i="30"/>
  <c r="L33" i="30"/>
  <c r="I33" i="30"/>
  <c r="C33" i="30"/>
  <c r="F33" i="30" s="1" a="1"/>
  <c r="F33" i="30" s="1"/>
  <c r="P32" i="30"/>
  <c r="Q32" i="30" s="1"/>
  <c r="M32" i="30"/>
  <c r="L32" i="30"/>
  <c r="I32" i="30"/>
  <c r="C32" i="30"/>
  <c r="D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F28" i="30" s="1" a="1"/>
  <c r="F28" i="30" s="1"/>
  <c r="P27" i="30"/>
  <c r="Q27" i="30" s="1"/>
  <c r="M27" i="30"/>
  <c r="L27" i="30"/>
  <c r="I27" i="30"/>
  <c r="C27" i="30"/>
  <c r="D27" i="30" s="1"/>
  <c r="P26" i="30"/>
  <c r="Q26" i="30" s="1"/>
  <c r="M26" i="30"/>
  <c r="L26" i="30"/>
  <c r="I26" i="30"/>
  <c r="C26" i="30"/>
  <c r="F26" i="30" s="1" a="1"/>
  <c r="F26" i="30" s="1"/>
  <c r="P25" i="30"/>
  <c r="Q25" i="30" s="1"/>
  <c r="M25" i="30"/>
  <c r="L25" i="30"/>
  <c r="I25" i="30"/>
  <c r="C25" i="30"/>
  <c r="D25" i="30" s="1"/>
  <c r="P24" i="30"/>
  <c r="Q24" i="30" s="1"/>
  <c r="M24" i="30"/>
  <c r="L24" i="30"/>
  <c r="I24" i="30"/>
  <c r="C24" i="30"/>
  <c r="D24" i="30" s="1"/>
  <c r="P23" i="30"/>
  <c r="Q23" i="30" s="1"/>
  <c r="M23" i="30"/>
  <c r="L23" i="30"/>
  <c r="I23" i="30"/>
  <c r="C23" i="30"/>
  <c r="F23" i="30" s="1" a="1"/>
  <c r="F23" i="30" s="1"/>
  <c r="P22" i="30"/>
  <c r="Q22" i="30" s="1"/>
  <c r="M22" i="30"/>
  <c r="L22" i="30"/>
  <c r="I22" i="30"/>
  <c r="C22" i="30"/>
  <c r="F22" i="30" s="1" a="1"/>
  <c r="F22" i="30" s="1"/>
  <c r="P21" i="30"/>
  <c r="Q21" i="30" s="1"/>
  <c r="M21" i="30"/>
  <c r="L21" i="30"/>
  <c r="I21" i="30"/>
  <c r="C21" i="30"/>
  <c r="F21" i="30" s="1" a="1"/>
  <c r="F21" i="30" s="1"/>
  <c r="P20" i="30"/>
  <c r="Q20" i="30" s="1"/>
  <c r="M20" i="30"/>
  <c r="L20" i="30"/>
  <c r="I20" i="30"/>
  <c r="C20" i="30"/>
  <c r="D20" i="30" s="1"/>
  <c r="P19" i="30"/>
  <c r="Q19" i="30" s="1"/>
  <c r="M19" i="30"/>
  <c r="L19" i="30"/>
  <c r="I19" i="30"/>
  <c r="C19" i="30"/>
  <c r="D19" i="30" s="1"/>
  <c r="P18" i="30"/>
  <c r="Q18" i="30" s="1"/>
  <c r="M18" i="30"/>
  <c r="L18" i="30"/>
  <c r="I18" i="30"/>
  <c r="C18" i="30"/>
  <c r="F18" i="30" s="1" a="1"/>
  <c r="F18" i="30" s="1"/>
  <c r="P17" i="30"/>
  <c r="Q17" i="30" s="1"/>
  <c r="M17" i="30"/>
  <c r="L17" i="30"/>
  <c r="I17" i="30"/>
  <c r="C17" i="30"/>
  <c r="F17" i="30" s="1" a="1"/>
  <c r="F17" i="30" s="1"/>
  <c r="P16" i="30"/>
  <c r="Q16" i="30" s="1"/>
  <c r="M16" i="30"/>
  <c r="L16" i="30"/>
  <c r="I16" i="30"/>
  <c r="C16" i="30"/>
  <c r="D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P11" i="30"/>
  <c r="Q11" i="30" s="1"/>
  <c r="M11" i="30"/>
  <c r="L11" i="30"/>
  <c r="I11" i="30"/>
  <c r="C11" i="30"/>
  <c r="D11" i="30" s="1"/>
  <c r="P10" i="30"/>
  <c r="Q10" i="30" s="1"/>
  <c r="M10" i="30"/>
  <c r="L10" i="30"/>
  <c r="I10" i="30"/>
  <c r="C10" i="30"/>
  <c r="F10" i="30" s="1" a="1"/>
  <c r="F10" i="30" s="1"/>
  <c r="P9" i="30"/>
  <c r="Q9" i="30" s="1"/>
  <c r="M9" i="30"/>
  <c r="L9" i="30"/>
  <c r="I9" i="30"/>
  <c r="C9" i="30"/>
  <c r="F9" i="30" s="1" a="1"/>
  <c r="F9" i="30" s="1"/>
  <c r="P8" i="30"/>
  <c r="Q8" i="30" s="1"/>
  <c r="M8" i="30"/>
  <c r="L8" i="30"/>
  <c r="I8" i="30"/>
  <c r="D8" i="30"/>
  <c r="P7" i="30"/>
  <c r="Q7" i="30" s="1"/>
  <c r="M7" i="30"/>
  <c r="L7" i="30"/>
  <c r="I7" i="30"/>
  <c r="Q6" i="30"/>
  <c r="P6" i="30"/>
  <c r="M6" i="30"/>
  <c r="L6" i="30"/>
  <c r="I6" i="30"/>
  <c r="D6" i="30"/>
  <c r="B11" i="24"/>
  <c r="F56" i="30" l="1" a="1"/>
  <c r="F56" i="30" s="1"/>
  <c r="D65" i="30"/>
  <c r="F67" i="30" a="1"/>
  <c r="F67" i="30" s="1"/>
  <c r="D49" i="30"/>
  <c r="F36" i="31" a="1"/>
  <c r="F36" i="31" s="1"/>
  <c r="D70" i="31"/>
  <c r="D17" i="30"/>
  <c r="D41" i="30"/>
  <c r="F51" i="30" a="1"/>
  <c r="F51" i="30" s="1"/>
  <c r="F89" i="30" a="1"/>
  <c r="F89" i="30" s="1"/>
  <c r="D87" i="31"/>
  <c r="D20" i="31"/>
  <c r="D22" i="31"/>
  <c r="D31" i="31"/>
  <c r="F25" i="30" a="1"/>
  <c r="F25" i="30" s="1"/>
  <c r="F59" i="30" a="1"/>
  <c r="F59" i="30" s="1"/>
  <c r="D76" i="31"/>
  <c r="F72" i="30" a="1"/>
  <c r="F72" i="30" s="1"/>
  <c r="D57" i="30"/>
  <c r="D38" i="31"/>
  <c r="D47" i="31"/>
  <c r="D95" i="31"/>
  <c r="F64" i="30" a="1"/>
  <c r="F64" i="30" s="1"/>
  <c r="F91" i="30" a="1"/>
  <c r="F91" i="30" s="1"/>
  <c r="D100" i="30"/>
  <c r="D68" i="31"/>
  <c r="F24" i="30" a="1"/>
  <c r="F24" i="30" s="1"/>
  <c r="F96" i="30" a="1"/>
  <c r="F96" i="30" s="1"/>
  <c r="D41" i="31"/>
  <c r="D57" i="31"/>
  <c r="F48" i="30" a="1"/>
  <c r="F48" i="30" s="1"/>
  <c r="F73" i="30" a="1"/>
  <c r="F73" i="30" s="1"/>
  <c r="F21" i="31" a="1"/>
  <c r="F21" i="31" s="1"/>
  <c r="D61" i="31"/>
  <c r="D86" i="31"/>
  <c r="F32" i="30" a="1"/>
  <c r="F32" i="30" s="1"/>
  <c r="F75" i="30" a="1"/>
  <c r="F75" i="30" s="1"/>
  <c r="D15" i="31"/>
  <c r="D23" i="31"/>
  <c r="D25" i="31"/>
  <c r="F80" i="30" a="1"/>
  <c r="F80" i="30" s="1"/>
  <c r="D9" i="31"/>
  <c r="F53" i="31" a="1"/>
  <c r="F53" i="31" s="1"/>
  <c r="D78" i="31"/>
  <c r="F80" i="31" a="1"/>
  <c r="F80" i="31" s="1"/>
  <c r="D9" i="30"/>
  <c r="D33" i="30"/>
  <c r="F16" i="30" a="1"/>
  <c r="F16" i="30" s="1"/>
  <c r="F40" i="30" a="1"/>
  <c r="F40" i="30" s="1"/>
  <c r="F83" i="30" a="1"/>
  <c r="F83" i="30" s="1"/>
  <c r="D94" i="30"/>
  <c r="F37" i="31" a="1"/>
  <c r="F37" i="31" s="1"/>
  <c r="D39" i="31"/>
  <c r="D52" i="31"/>
  <c r="D69" i="31"/>
  <c r="D73" i="31"/>
  <c r="D94" i="31"/>
  <c r="F96" i="31" a="1"/>
  <c r="F96" i="31" s="1"/>
  <c r="F81" i="30" a="1"/>
  <c r="F81" i="30" s="1"/>
  <c r="D54" i="31"/>
  <c r="D77" i="31"/>
  <c r="D79" i="31"/>
  <c r="D28" i="30"/>
  <c r="D36" i="30"/>
  <c r="D52" i="30"/>
  <c r="D60" i="30"/>
  <c r="D14" i="31"/>
  <c r="D30" i="31"/>
  <c r="D46" i="31"/>
  <c r="D62" i="31"/>
  <c r="F12" i="30" a="1"/>
  <c r="F12" i="30" s="1"/>
  <c r="F20" i="30" a="1"/>
  <c r="F20" i="30" s="1"/>
  <c r="F44" i="30" a="1"/>
  <c r="F44" i="30" s="1"/>
  <c r="F68" i="30" a="1"/>
  <c r="F68" i="30" s="1"/>
  <c r="F76" i="30" a="1"/>
  <c r="F76" i="30" s="1"/>
  <c r="F84" i="30" a="1"/>
  <c r="F84" i="30" s="1"/>
  <c r="D92" i="30"/>
  <c r="D81" i="31"/>
  <c r="F88" i="31" a="1"/>
  <c r="F88" i="31" s="1"/>
  <c r="D97" i="31"/>
  <c r="F88" i="30" a="1"/>
  <c r="F88" i="30" s="1"/>
  <c r="D55" i="31"/>
  <c r="D71" i="31"/>
  <c r="D85" i="31"/>
  <c r="F92" i="31" a="1"/>
  <c r="F92" i="31" s="1"/>
  <c r="D13" i="31"/>
  <c r="D29" i="31"/>
  <c r="D45" i="31"/>
  <c r="F27" i="30" a="1"/>
  <c r="F27" i="30" s="1"/>
  <c r="D84" i="31"/>
  <c r="F43" i="30" a="1"/>
  <c r="F43" i="30" s="1"/>
  <c r="D97" i="30"/>
  <c r="D63" i="31"/>
  <c r="D89" i="31"/>
  <c r="D93" i="31"/>
  <c r="F11" i="30" a="1"/>
  <c r="F11" i="30" s="1"/>
  <c r="F35" i="30" a="1"/>
  <c r="F35" i="30" s="1"/>
  <c r="F99" i="30" a="1"/>
  <c r="F99" i="30" s="1"/>
  <c r="D12" i="31"/>
  <c r="D17" i="31"/>
  <c r="D28" i="31"/>
  <c r="D33" i="31"/>
  <c r="D44" i="31"/>
  <c r="D49" i="31"/>
  <c r="D60" i="31"/>
  <c r="D65" i="31"/>
  <c r="F72" i="31" a="1"/>
  <c r="F72" i="31" s="1"/>
  <c r="F19" i="30" a="1"/>
  <c r="F19" i="30" s="1"/>
  <c r="D16" i="3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2" i="29" l="1"/>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P82" i="29"/>
  <c r="Q82" i="29" s="1"/>
  <c r="M82" i="29"/>
  <c r="L82" i="29"/>
  <c r="I82" i="29"/>
  <c r="C82" i="29"/>
  <c r="F82" i="29" s="1" a="1"/>
  <c r="F82" i="29" s="1"/>
  <c r="P81" i="29"/>
  <c r="Q81" i="29" s="1"/>
  <c r="M81" i="29"/>
  <c r="L81" i="29"/>
  <c r="I81" i="29"/>
  <c r="C81" i="29"/>
  <c r="D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F70" i="29" s="1" a="1"/>
  <c r="F70" i="29" s="1"/>
  <c r="P69" i="29"/>
  <c r="Q69" i="29" s="1"/>
  <c r="M69" i="29"/>
  <c r="L69" i="29"/>
  <c r="I69" i="29"/>
  <c r="C69" i="29"/>
  <c r="D69" i="29" s="1"/>
  <c r="P68" i="29"/>
  <c r="Q68" i="29" s="1"/>
  <c r="M68" i="29"/>
  <c r="L68" i="29"/>
  <c r="I68" i="29"/>
  <c r="C68" i="29"/>
  <c r="F68" i="29" s="1" a="1"/>
  <c r="F68" i="29" s="1"/>
  <c r="P67" i="29"/>
  <c r="Q67" i="29" s="1"/>
  <c r="M67" i="29"/>
  <c r="L67" i="29"/>
  <c r="I67" i="29"/>
  <c r="C67" i="29"/>
  <c r="F67" i="29" s="1" a="1"/>
  <c r="F67" i="29" s="1"/>
  <c r="P66" i="29"/>
  <c r="Q66" i="29" s="1"/>
  <c r="M66" i="29"/>
  <c r="L66" i="29"/>
  <c r="I66" i="29"/>
  <c r="C66" i="29"/>
  <c r="F66" i="29" s="1" a="1"/>
  <c r="F66" i="29" s="1"/>
  <c r="P65" i="29"/>
  <c r="Q65" i="29" s="1"/>
  <c r="M65" i="29"/>
  <c r="L65" i="29"/>
  <c r="I65" i="29"/>
  <c r="C65" i="29"/>
  <c r="D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F54" i="29" s="1" a="1"/>
  <c r="F54" i="29" s="1"/>
  <c r="P53" i="29"/>
  <c r="Q53" i="29" s="1"/>
  <c r="M53" i="29"/>
  <c r="L53" i="29"/>
  <c r="I53" i="29"/>
  <c r="C53" i="29"/>
  <c r="D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F39" i="29" s="1" a="1"/>
  <c r="F39" i="29" s="1"/>
  <c r="P38" i="29"/>
  <c r="Q38" i="29" s="1"/>
  <c r="M38" i="29"/>
  <c r="L38" i="29"/>
  <c r="I38" i="29"/>
  <c r="C38" i="29"/>
  <c r="D38" i="29" s="1"/>
  <c r="P37" i="29"/>
  <c r="Q37" i="29" s="1"/>
  <c r="M37" i="29"/>
  <c r="L37" i="29"/>
  <c r="I37" i="29"/>
  <c r="C37" i="29"/>
  <c r="F37" i="29" s="1" a="1"/>
  <c r="F37" i="29" s="1"/>
  <c r="P36" i="29"/>
  <c r="Q36" i="29" s="1"/>
  <c r="M36" i="29"/>
  <c r="L36" i="29"/>
  <c r="I36" i="29"/>
  <c r="C36" i="29"/>
  <c r="F36" i="29" s="1" a="1"/>
  <c r="F36" i="29" s="1"/>
  <c r="P35" i="29"/>
  <c r="Q35" i="29" s="1"/>
  <c r="M35" i="29"/>
  <c r="L35" i="29"/>
  <c r="I35" i="29"/>
  <c r="C35" i="29"/>
  <c r="F35" i="29" s="1" a="1"/>
  <c r="F35" i="29" s="1"/>
  <c r="P34" i="29"/>
  <c r="Q34" i="29" s="1"/>
  <c r="M34" i="29"/>
  <c r="L34" i="29"/>
  <c r="I34" i="29"/>
  <c r="C34" i="29"/>
  <c r="D34" i="29" s="1"/>
  <c r="P33" i="29"/>
  <c r="Q33" i="29" s="1"/>
  <c r="M33" i="29"/>
  <c r="L33" i="29"/>
  <c r="I33" i="29"/>
  <c r="C33" i="29"/>
  <c r="F33" i="29" s="1" a="1"/>
  <c r="F33" i="29" s="1"/>
  <c r="P32" i="29"/>
  <c r="Q32" i="29" s="1"/>
  <c r="M32" i="29"/>
  <c r="L32" i="29"/>
  <c r="I32" i="29"/>
  <c r="C32" i="29"/>
  <c r="F32" i="29" s="1" a="1"/>
  <c r="F32" i="29" s="1"/>
  <c r="P31" i="29"/>
  <c r="Q31" i="29" s="1"/>
  <c r="M31" i="29"/>
  <c r="L31" i="29"/>
  <c r="I31" i="29"/>
  <c r="C31" i="29"/>
  <c r="F31" i="29" s="1" a="1"/>
  <c r="F31" i="29" s="1"/>
  <c r="P30" i="29"/>
  <c r="Q30" i="29" s="1"/>
  <c r="M30" i="29"/>
  <c r="L30" i="29"/>
  <c r="I30" i="29"/>
  <c r="C30" i="29"/>
  <c r="D30" i="29" s="1"/>
  <c r="M24" i="29"/>
  <c r="L24" i="29"/>
  <c r="I24" i="29"/>
  <c r="P23" i="29"/>
  <c r="Q23" i="29" s="1"/>
  <c r="M23" i="29"/>
  <c r="L23" i="29"/>
  <c r="I23" i="29"/>
  <c r="P22" i="29"/>
  <c r="Q22" i="29" s="1"/>
  <c r="M22" i="29"/>
  <c r="L22" i="29"/>
  <c r="I22" i="29"/>
  <c r="P21" i="29"/>
  <c r="Q21" i="29" s="1"/>
  <c r="M21" i="29"/>
  <c r="L21" i="29"/>
  <c r="I21" i="29"/>
  <c r="P20" i="29"/>
  <c r="Q20" i="29" s="1"/>
  <c r="M20" i="29"/>
  <c r="L20" i="29"/>
  <c r="I20" i="29"/>
  <c r="M19" i="29"/>
  <c r="L19" i="29"/>
  <c r="P15" i="29"/>
  <c r="Q15" i="29" s="1"/>
  <c r="M15" i="29"/>
  <c r="L15" i="29"/>
  <c r="P14" i="29"/>
  <c r="Q14" i="29" s="1"/>
  <c r="M14" i="29"/>
  <c r="L14" i="29"/>
  <c r="P12" i="29"/>
  <c r="Q12" i="29" s="1"/>
  <c r="M12" i="29"/>
  <c r="L12" i="29"/>
  <c r="P8" i="29"/>
  <c r="Q8" i="29" s="1"/>
  <c r="M8" i="29"/>
  <c r="L8" i="29"/>
  <c r="P6" i="29"/>
  <c r="Q6" i="29" s="1"/>
  <c r="M6" i="29"/>
  <c r="L6" i="29"/>
  <c r="D35" i="29" l="1"/>
  <c r="F53" i="29" a="1"/>
  <c r="F53" i="29" s="1"/>
  <c r="F69" i="29" a="1"/>
  <c r="F69" i="29" s="1"/>
  <c r="D85" i="29"/>
  <c r="D89" i="29"/>
  <c r="D37" i="29"/>
  <c r="D93" i="29"/>
  <c r="F65" i="29" a="1"/>
  <c r="F65" i="29" s="1"/>
  <c r="F81" i="29" a="1"/>
  <c r="F81" i="29" s="1"/>
  <c r="D84" i="29"/>
  <c r="D97" i="29"/>
  <c r="F34" i="29" a="1"/>
  <c r="F34" i="29" s="1"/>
  <c r="D61" i="29"/>
  <c r="D33" i="29"/>
  <c r="F38" i="29" a="1"/>
  <c r="F38" i="29" s="1"/>
  <c r="D57" i="29"/>
  <c r="D77" i="29"/>
  <c r="D41" i="29"/>
  <c r="D45" i="29"/>
  <c r="D49" i="29"/>
  <c r="D73" i="29"/>
  <c r="F30" i="29" a="1"/>
  <c r="F30" i="29" s="1"/>
  <c r="D39" i="29"/>
  <c r="D43" i="29"/>
  <c r="D47" i="29"/>
  <c r="D31" i="29"/>
  <c r="D101" i="29"/>
  <c r="D44" i="29"/>
  <c r="D60" i="29"/>
  <c r="D68" i="29"/>
  <c r="D51" i="29"/>
  <c r="D55" i="29"/>
  <c r="D59" i="29"/>
  <c r="D63" i="29"/>
  <c r="D67" i="29"/>
  <c r="D71" i="29"/>
  <c r="D75" i="29"/>
  <c r="D79" i="29"/>
  <c r="D83" i="29"/>
  <c r="D87" i="29"/>
  <c r="D91" i="29"/>
  <c r="D95" i="29"/>
  <c r="D99" i="29"/>
  <c r="D32" i="29"/>
  <c r="D48" i="29"/>
  <c r="D36" i="29"/>
  <c r="D40" i="29"/>
  <c r="D52" i="29"/>
  <c r="D72" i="29"/>
  <c r="D42" i="29"/>
  <c r="D46" i="29"/>
  <c r="D50" i="29"/>
  <c r="D54" i="29"/>
  <c r="D58" i="29"/>
  <c r="D62" i="29"/>
  <c r="D66" i="29"/>
  <c r="D70" i="29"/>
  <c r="D74" i="29"/>
  <c r="D78" i="29"/>
  <c r="D82" i="29"/>
  <c r="D86" i="29"/>
  <c r="D90" i="29"/>
  <c r="D94" i="29"/>
  <c r="D98" i="29"/>
  <c r="D102" i="29"/>
  <c r="D56" i="29"/>
  <c r="D64" i="29"/>
  <c r="D76" i="29"/>
  <c r="D80" i="29"/>
  <c r="D88" i="29"/>
  <c r="D92" i="29"/>
  <c r="D96" i="29"/>
  <c r="D100" i="29"/>
  <c r="C98" i="10" l="1"/>
  <c r="F98" i="10" s="1" a="1"/>
  <c r="F98" i="10" s="1"/>
  <c r="I98" i="10"/>
  <c r="L98" i="10"/>
  <c r="M98" i="10"/>
  <c r="P98" i="10"/>
  <c r="Q98" i="10" s="1"/>
  <c r="D98" i="10" l="1"/>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8" i="24"/>
  <c r="B16"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5" i="24"/>
  <c r="B17" i="24"/>
  <c r="B20" i="24"/>
  <c r="B21" i="24"/>
  <c r="B22" i="24"/>
  <c r="B23" i="24"/>
  <c r="B24" i="24"/>
  <c r="B25" i="24"/>
  <c r="B26" i="24"/>
  <c r="B27" i="24"/>
  <c r="B28" i="24"/>
  <c r="B29" i="24"/>
  <c r="B30" i="24"/>
  <c r="B31" i="24"/>
  <c r="B32" i="24"/>
  <c r="B33" i="24"/>
  <c r="B34" i="24"/>
  <c r="B35" i="24"/>
  <c r="B36" i="24"/>
  <c r="B37" i="24"/>
  <c r="B40" i="24"/>
  <c r="B19" i="24"/>
  <c r="B14" i="24"/>
  <c r="B10" i="24"/>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C20" i="8"/>
  <c r="D20" i="8"/>
  <c r="E20" i="8"/>
  <c r="F20" i="8"/>
  <c r="G20" i="8"/>
  <c r="H20" i="8"/>
  <c r="I20" i="8"/>
  <c r="J20" i="8"/>
  <c r="K20" i="8"/>
  <c r="L20" i="8"/>
  <c r="M20" i="8"/>
  <c r="N20" i="8"/>
  <c r="O20" i="8"/>
  <c r="P20" i="8"/>
  <c r="Q20" i="8"/>
  <c r="R20" i="8"/>
  <c r="F21" i="8"/>
  <c r="G21" i="8"/>
  <c r="H21" i="8"/>
  <c r="I21" i="8"/>
  <c r="J21" i="8"/>
  <c r="K21" i="8"/>
  <c r="L21" i="8"/>
  <c r="M21" i="8"/>
  <c r="N21" i="8"/>
  <c r="O21" i="8"/>
  <c r="P21" i="8"/>
  <c r="Q21" i="8"/>
  <c r="R21" i="8"/>
  <c r="B15" i="8"/>
  <c r="B16" i="8"/>
  <c r="B17" i="8"/>
  <c r="B18" i="8"/>
  <c r="B19" i="8"/>
  <c r="B20" i="8"/>
  <c r="B14"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<sst xmlns="http://schemas.openxmlformats.org/spreadsheetml/2006/main" count="1330" uniqueCount="378">
  <si>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</si>
  <si>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</si>
  <si>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</si>
  <si>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</si>
  <si>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</si>
  <si>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</si>
  <si>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</si>
  <si>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</si>
  <si>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</si>
  <si>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</si>
  <si>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</si>
  <si>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</si>
  <si>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</si>
  <si>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</si>
  <si>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</si>
  <si>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</si>
  <si>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</si>
  <si>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</si>
  <si>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</si>
  <si>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</si>
  <si>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</si>
  <si>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</si>
  <si>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</si>
  <si>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</si>
  <si>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</si>
  <si>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</si>
  <si>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</si>
  <si>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</si>
  <si>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</si>
  <si>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</si>
  <si>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</si>
  <si>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</si>
  <si>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</si>
  <si>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</si>
  <si>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</si>
  <si>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</si>
  <si>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</si>
  <si>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</si>
  <si>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</si>
  <si>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</si>
  <si>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</si>
  <si>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</si>
  <si>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</si>
  <si>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</si>
  <si>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</si>
  <si>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</si>
  <si>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</si>
  <si>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</si>
  <si>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</si>
  <si>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</si>
  <si>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</si>
  <si>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</si>
  <si>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</si>
  <si>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</si>
  <si>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</si>
  <si>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</si>
  <si>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</si>
  <si>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</si>
  <si>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</si>
  <si>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</si>
  <si>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</si>
  <si>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</si>
  <si>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</si>
  <si>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</si>
  <si>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</si>
  <si>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</si>
  <si>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</si>
  <si>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</si>
  <si>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</si>
  <si>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</si>
  <si>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</si>
  <si>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</si>
  <si>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</si>
  <si>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</si>
  <si>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</si>
  <si>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</si>
  <si>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</si>
  <si>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</si>
  <si>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</si>
  <si>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</si>
  <si>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</si>
  <si>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</si>
  <si>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</si>
  <si>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</si>
  <si>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</si>
  <si>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</si>
  <si>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</si>
  <si>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</si>
  <si>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</si>
  <si>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</si>
  <si>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</si>
  <si>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</si>
  <si>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</si>
  <si>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</si>
  <si>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</si>
  <si>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</si>
  <si>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</si>
  <si>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</si>
  <si>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</si>
  <si>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</si>
  <si>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</si>
  <si>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</si>
  <si>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</si>
  <si>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</si>
  <si>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</si>
  <si>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</si>
  <si>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</si>
  <si>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</si>
  <si>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</si>
  <si>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</si>
  <si>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</si>
  <si>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</si>
  <si>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</si>
  <si>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</si>
  <si>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</si>
  <si>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</si>
  <si>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</si>
  <si>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</si>
  <si>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</si>
  <si>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</si>
  <si>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</si>
  <si>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</si>
  <si>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</si>
  <si>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</si>
  <si>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</si>
  <si>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</si>
  <si>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</si>
  <si>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</si>
  <si>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</si>
  <si>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</si>
  <si>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</si>
  <si>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</si>
  <si>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</si>
  <si>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</si>
  <si>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</si>
  <si>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</si>
  <si>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</si>
  <si>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</si>
  <si>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</si>
  <si>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</si>
  <si>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</si>
  <si>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</si>
  <si>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</si>
  <si>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</si>
  <si>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</si>
  <si>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</si>
  <si>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</si>
  <si>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</si>
  <si>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</si>
  <si>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</si>
  <si>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</si>
  <si>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</si>
  <si>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</si>
  <si>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</si>
  <si>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</si>
  <si>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</si>
  <si>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</si>
  <si>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</si>
  <si>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</si>
  <si>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</si>
  <si>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</si>
  <si>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</si>
  <si>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</si>
  <si>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</si>
  <si>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</si>
  <si>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</si>
  <si>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</si>
  <si>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</si>
  <si>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</si>
  <si>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</si>
  <si>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</si>
  <si>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</si>
  <si>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</si>
  <si>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</si>
  <si>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</si>
  <si>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</si>
  <si>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</si>
  <si>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</si>
  <si>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</si>
  <si>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</si>
  <si>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</si>
  <si>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</si>
  <si>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</si>
  <si>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</si>
  <si>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</si>
  <si>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</si>
  <si>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</si>
  <si>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</si>
  <si>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</si>
  <si>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</si>
  <si>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</si>
  <si>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</si>
  <si>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</si>
  <si>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</si>
  <si>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</si>
  <si>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</si>
  <si>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</si>
  <si>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</si>
  <si>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</si>
  <si>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</si>
  <si>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</si>
  <si>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</si>
  <si>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</si>
  <si>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</si>
  <si>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</si>
  <si>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</si>
  <si>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</si>
  <si>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</si>
  <si>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</si>
  <si>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</si>
  <si>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</si>
  <si>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</si>
  <si>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</si>
  <si>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</si>
  <si>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</si>
  <si>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</si>
  <si>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</si>
  <si>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</si>
  <si>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</si>
  <si>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</si>
  <si>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</si>
  <si>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</si>
  <si>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</si>
  <si>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</si>
  <si>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</si>
  <si>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</si>
  <si>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</si>
  <si>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</si>
  <si>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</si>
  <si>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</si>
  <si>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</si>
  <si>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</si>
  <si>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</si>
  <si>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</si>
  <si>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</si>
  <si>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</si>
  <si>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</si>
  <si>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</si>
  <si>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</si>
  <si>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</si>
  <si>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</si>
  <si>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</si>
  <si>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</si>
  <si>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</si>
  <si>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</si>
  <si>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</si>
  <si>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</si>
  <si>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</si>
  <si>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</si>
  <si>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</si>
  <si>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</si>
  <si>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</si>
  <si>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</si>
  <si>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</si>
  <si>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</si>
  <si>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</si>
  <si>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</si>
  <si>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</si>
  <si>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</si>
  <si>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</si>
  <si>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</si>
  <si>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</si>
  <si>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</si>
  <si>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</si>
  <si>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</si>
  <si>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</si>
  <si>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</si>
  <si>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</si>
  <si>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</si>
  <si>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</si>
  <si>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</si>
  <si>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</si>
  <si>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</si>
  <si>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</si>
  <si>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</si>
  <si>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</si>
  <si>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</si>
  <si>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</si>
  <si>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</si>
  <si>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</si>
  <si>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</si>
  <si>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</si>
  <si>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</si>
  <si>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</si>
  <si>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</si>
  <si>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</si>
  <si>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</si>
  <si>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</si>
  <si>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</si>
  <si>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</si>
  <si>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</si>
  <si>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</si>
  <si>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</si>
  <si>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</si>
  <si>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</si>
  <si>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</si>
  <si>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</si>
  <si>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</si>
  <si>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</si>
  <si>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</si>
  <si>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</si>
  <si>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</si>
  <si>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</si>
  <si>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</si>
  <si>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</si>
  <si>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</si>
  <si>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</si>
  <si>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</si>
  <si>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</si>
  <si>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</si>
  <si>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</si>
  <si>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</si>
  <si>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</si>
  <si>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</si>
  <si>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</si>
  <si>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</si>
  <si>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</si>
  <si>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</si>
  <si>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</si>
  <si>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</si>
  <si>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</si>
  <si>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</si>
  <si>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</si>
  <si>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</si>
  <si>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</si>
  <si>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</si>
  <si>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</si>
  <si>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</si>
  <si>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</si>
  <si>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</si>
  <si>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</si>
  <si>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</si>
  <si>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</si>
  <si>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</si>
  <si>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</si>
  <si>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</si>
  <si>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</si>
  <si>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</si>
  <si>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Forest residue processing</t>
  </si>
  <si>
    <t>Forest residue transportation</t>
  </si>
  <si>
    <t>electricity_units</t>
  </si>
  <si>
    <t>Receiving handling and storage</t>
  </si>
  <si>
    <t>Forest residue preprocessing</t>
  </si>
  <si>
    <t>Fuel production</t>
  </si>
  <si>
    <t>Pine</t>
  </si>
  <si>
    <t>Pine collection</t>
  </si>
  <si>
    <t>Pine processing</t>
  </si>
  <si>
    <t>Pine transportation</t>
  </si>
  <si>
    <t>Pine handling and storage</t>
  </si>
  <si>
    <t>Pine preprocessing</t>
  </si>
  <si>
    <t>Magnesium oxide (MgO)</t>
  </si>
  <si>
    <t>Fresh olivine</t>
  </si>
  <si>
    <t>Tar reformer catalyst</t>
  </si>
  <si>
    <t>Methanol synthesis catalyst</t>
  </si>
  <si>
    <t>DME catalyst</t>
  </si>
  <si>
    <t>Beta zeolite catalyst</t>
  </si>
  <si>
    <t>Zinc oxide catalyst</t>
  </si>
  <si>
    <t>Amine</t>
  </si>
  <si>
    <t>LO-CAT chemicals</t>
  </si>
  <si>
    <t>Shift catalyst</t>
  </si>
  <si>
    <t>Sulfur</t>
  </si>
  <si>
    <t>Dimethyl Disulfide (DMDS)</t>
  </si>
  <si>
    <t>Sand</t>
  </si>
  <si>
    <t>Fixed-Bed VPU Catalyst</t>
  </si>
  <si>
    <t>Hydrotreating catalyst</t>
  </si>
  <si>
    <t>Hydrocracking Catalyst</t>
  </si>
  <si>
    <t>Steam reforming catalyst</t>
  </si>
  <si>
    <t>PSA adsorbent</t>
  </si>
  <si>
    <t>HDS (reforming cleanup)</t>
  </si>
  <si>
    <t>ZSM-5 Catalyst</t>
  </si>
  <si>
    <t>Biogenic fuel gas</t>
  </si>
  <si>
    <t>Fuel gas</t>
  </si>
  <si>
    <t xml:space="preserve"> Boiler</t>
  </si>
  <si>
    <t>biochar_end_use</t>
  </si>
  <si>
    <t>bio_fuel_gas_end_use</t>
  </si>
  <si>
    <t>fuel_gas_end_use</t>
  </si>
  <si>
    <t>Energy</t>
  </si>
  <si>
    <t>energy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</si>
</sst>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167" fontId="0" fillId="0" borderId="2" xfId="1" applyNumberFormat="1" applyFont="1" applyBorder="1"/>
    <xf numFmtId="43" fontId="0" fillId="0" borderId="2" xfId="1" applyFont="1" applyBorder="1"/>
    <xf numFmtId="164" fontId="0" fillId="0" borderId="4"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31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312" dataDxfId="311" tableBorderDxfId="310" dataCellStyle="Percent">
  <autoFilter ref="A5:T100" xr:uid="{1644AED8-49DE-4A1D-989C-1566C9A522B9}"/>
  <tableColumns count="20">
    <tableColumn id="1" xr3:uid="{3C4E83C1-4DAF-4B93-AE9A-B658DBA43631}" name="Type" dataDxfId="309"/>
    <tableColumn id="2" xr3:uid="{7AC9B54E-C457-49EC-A7D6-0ED656B6CFE9}" name="Category" dataDxfId="308"/>
    <tableColumn id="3" xr3:uid="{350F9A14-F368-49FE-AF21-19555EB999FB}" name="Resource" dataDxfId="307">
      <calculatedColumnFormula>_xlfn.XLOOKUP($B6,'SI - Resources'!$A$1:$J$1,'SI - Resources'!$A$2:$J$2, "")</calculatedColumnFormula>
    </tableColumn>
    <tableColumn id="4" xr3:uid="{A0B55D89-6640-4C29-88AC-93188C5097C5}" name="End Use" dataDxfId="306">
      <calculatedColumnFormula>IF(_xlfn.XLOOKUP($C6,'SI - End Use'!$B$2:$B$9,'SI - End Use'!$C$2:$C$9, "")="", "", _xlfn.XLOOKUP($C6,'SI - End Use'!$B$2:$B$9,'SI - End Use'!$C$2:$C$9, ""))</calculatedColumnFormula>
    </tableColumn>
    <tableColumn id="5" xr3:uid="{5ADDDF1D-4510-4428-A882-8D5C8F52BE8C}" name="Amount" dataDxfId="305" dataCellStyle="Comma"/>
    <tableColumn id="6" xr3:uid="{341D427F-5F42-4F22-98AD-9D6883E4330B}" name="Unit" dataDxfId="304">
      <calculatedColumnFormula array="1">IF($B6="Transportation",  'SI - Units'!$B$10:$B$10, _xlfn.XLOOKUP(_xlfn.XLOOKUP($C6,'SI - Units'!$B$25:$B$113,'SI - Units'!$C$25:$C$113, ""),'SI - Units'!$A$2:$A$9,'SI - Units'!$B$2:$B$9, ""))</calculatedColumnFormula>
    </tableColumn>
    <tableColumn id="7" xr3:uid="{515C4DB0-B187-40B1-8F47-45FF3483AEC1}" name="Moisture" dataDxfId="303" dataCellStyle="Percent"/>
    <tableColumn id="8" xr3:uid="{294BC856-42BB-4049-BD49-6A865E88E771}" name="Previous Stage" dataDxfId="302" dataCellStyle="Percent"/>
    <tableColumn id="9" xr3:uid="{CDA23678-EB57-4035-9101-F29AA45C63EE}" name="Always Use Displacement Method for Co-Product?" dataDxfId="301" dataCellStyle="Percent">
      <calculatedColumnFormula>IF(Table1[[#This Row],[Type]]="Co-product", "No", "")</calculatedColumnFormula>
    </tableColumn>
    <tableColumn id="19" xr3:uid="{9ACBBA67-4B7F-43A7-9CF8-0FBB7B61A832}" name="Urban Share" dataDxfId="300" dataCellStyle="Percent"/>
    <tableColumn id="10" xr3:uid="{0E5BF4B8-8667-40EE-B9EF-BC9E06D72AAB}" name="Product Train" dataDxfId="299"/>
    <tableColumn id="14" xr3:uid="{D99A9C54-A8C3-4803-A70D-4659D5193A9A}" name="Payload" dataDxfId="298">
      <calculatedColumnFormula>IF(Table1[[#This Row],[Category]]="Transportation", _xlfn.XLOOKUP(Table1[[#This Row],[Resource]], 'SI - Payload'!$A$10:$A$40,'SI - Payload'!$B$10:$B$40,"",0), "")</calculatedColumnFormula>
    </tableColumn>
    <tableColumn id="15" xr3:uid="{3BF278AE-6D04-4ABA-AACE-E651957B5676}" name="Payload Unit" dataDxfId="297">
      <calculatedColumnFormula>IF(Table1[[#This Row],[Category]]="Transportation", "ton", "")</calculatedColumnFormula>
    </tableColumn>
    <tableColumn id="16" xr3:uid="{B4587E16-116C-48C2-B897-34EA45D2B5E2}" name="Market Price" dataDxfId="296"/>
    <tableColumn id="17" xr3:uid="{CFF030DD-8740-4448-85CE-69419CA7344D}" name="Market Price Unit" dataDxfId="295"/>
    <tableColumn id="12" xr3:uid="{0A5A1CE9-5C17-482C-ACCA-BB3BA789761E}" name="Incumbent Product" dataDxfId="294">
      <calculatedColumnFormula>IF(OR(Table1[[#This Row],[Type]]="Main Product", Table1[[#This Row],[Type]]="Co-Product"), Table1[[#This Row],[Resource]], "")</calculatedColumnFormula>
    </tableColumn>
    <tableColumn id="13" xr3:uid="{A8C514D4-4EE9-4BFC-A5D9-1A3B1C61CAF3}" name="End Use of Incumbent Product" dataDxfId="293">
      <calculatedColumnFormula>IF(_xlfn.XLOOKUP($P6,'SI - End Use'!$B$2:$B$9,'SI - End Use'!$C$2:$C$9, "")="", "", _xlfn.XLOOKUP($C6,'SI - End Use'!$B$2:$B$9,'SI - End Use'!$C$2:$C$9, ""))</calculatedColumnFormula>
    </tableColumn>
    <tableColumn id="20" xr3:uid="{3D510D5D-99B7-4EB4-8590-3620FE598E5C}" name="Surrogate For" dataDxfId="292"/>
    <tableColumn id="18" xr3:uid="{1AFBF91D-E45D-442D-BA06-D58B0AE7953E}" name="Process" dataDxfId="291"/>
    <tableColumn id="11" xr3:uid="{34D8D993-53F9-46B7-8FE9-32F1A6F2DFD2}" name="Note" dataDxfId="2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72" totalsRowShown="0" headerRowDxfId="289" dataDxfId="288">
  <autoFilter ref="A1:K72" xr:uid="{BF352F56-F627-4A8D-9B22-DA497E2644FC}"/>
  <tableColumns count="11">
    <tableColumn id="1" xr3:uid="{B4C1BEA4-EC08-4542-9BC0-5CAC3303F1DE}" name="Biomass" dataDxfId="287"/>
    <tableColumn id="8" xr3:uid="{CA09F49F-4D37-4D57-9F64-66042BBFCAF3}" name="Waste" dataDxfId="286"/>
    <tableColumn id="2" xr3:uid="{16936180-7E0F-4E08-BEC7-75346859C647}" name="Process fuel" dataDxfId="285"/>
    <tableColumn id="6" xr3:uid="{8ABA29FD-C6B0-4B51-8840-E17193E077EC}" name="Electricity" dataDxfId="284"/>
    <tableColumn id="3" xr3:uid="{C1A34163-30E4-47F2-BE75-A919CC80E9BF}" name="Chemicals and catalysts" dataDxfId="283"/>
    <tableColumn id="4" xr3:uid="{CA7E12F4-CA42-4C30-8167-75EC0AE0646A}" name="Water" dataDxfId="282"/>
    <tableColumn id="9" xr3:uid="{6ADE4401-0F6C-4911-9721-036C8287FC6F}" name="Infrastructure" dataDxfId="281"/>
    <tableColumn id="7" xr3:uid="{C235CCC4-A94E-464B-AE35-96309F90FA7A}" name="Transportation" dataDxfId="280"/>
    <tableColumn id="10" xr3:uid="{C8DE9AE9-442D-497B-B981-79FAEF638C23}" name="Other" dataDxfId="279"/>
    <tableColumn id="5" xr3:uid="{FBD24046-BCD6-418A-8FDF-2918685E10CE}" name="Emissions and sequestration" dataDxfId="278"/>
    <tableColumn id="11" xr3:uid="{B559EE47-EDB5-47AD-9A10-77802A08495D}" name="Placeholder" dataDxfId="2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9" totalsRowShown="0">
  <autoFilter ref="A1:O9" xr:uid="{A2520818-4902-482A-9E88-A7A4D5A1D5DD}"/>
  <tableColumns count="15">
    <tableColumn id="1" xr3:uid="{75A5F75F-64ED-4232-9A1E-4D41B091D006}" name="Column1"/>
    <tableColumn id="2" xr3:uid="{18B5F0AA-5D76-44C7-A951-0327634C6CCB}" name="Column2"/>
    <tableColumn id="3" xr3:uid="{ECDC9495-57EB-459F-8C28-D2BCDB1550C0}" name="Column3" dataDxfId="276"/>
    <tableColumn id="4" xr3:uid="{066E5028-FE97-46DD-94DD-3F5362889CC8}" name="Column4" dataDxfId="275"/>
    <tableColumn id="5" xr3:uid="{518CF11D-9FC1-41DC-A48E-08F72F35ADAA}" name="Column5" dataDxfId="27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1" totalsRowShown="0" headerRowDxfId="273">
  <autoFilter ref="A1:R11" xr:uid="{A38095DD-9874-4EE7-A8C2-2706165CCEBD}"/>
  <tableColumns count="18">
    <tableColumn id="1" xr3:uid="{65B7BBF3-4BCE-43A4-9B03-83AE412598EC}" name="Column1"/>
    <tableColumn id="2" xr3:uid="{FFDF068B-D532-4DC4-904E-48D00A60A52E}" name="Column2" dataDxfId="272"/>
    <tableColumn id="3" xr3:uid="{22885E79-E7D2-4EEE-B0A6-74B1C5779681}" name="Column3" dataDxfId="271"/>
    <tableColumn id="4" xr3:uid="{C1DEFD79-EA05-47FD-8251-B29B3BCC06B2}" name="Column4" dataDxfId="270"/>
    <tableColumn id="5" xr3:uid="{29AEEBB1-E43B-4691-B73C-A8FA6D80443C}" name="Column5" dataDxfId="269"/>
    <tableColumn id="6" xr3:uid="{CC08C1F9-C485-4200-A0F9-C8E59BA65B97}" name="Column6" dataDxfId="268"/>
    <tableColumn id="7" xr3:uid="{6C28381F-6253-4E2E-A800-FF075582292A}" name="Column7" dataDxfId="267"/>
    <tableColumn id="8" xr3:uid="{CA3D0B6B-B24F-4751-A1CE-28D7D0B98174}" name="Column8" dataDxfId="266"/>
    <tableColumn id="9" xr3:uid="{7057E753-ED12-407E-950F-CC59E808A2BF}" name="Column9" dataDxfId="26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4:C113" totalsRowShown="0" dataDxfId="264">
  <autoFilter ref="B24:C113" xr:uid="{09147A22-E822-45D3-B3C2-ABDDF48EE5E6}"/>
  <tableColumns count="2">
    <tableColumn id="1" xr3:uid="{CDC0A0AC-3BED-4650-82CE-403A1BF28367}" name="Column1" dataDxfId="263"/>
    <tableColumn id="2" xr3:uid="{B6F8A3B9-3868-4A35-8F6E-BA3E60A1529E}" name="Column2" dataDxfId="2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3:R21" totalsRowShown="0" headerRowDxfId="261">
  <autoFilter ref="A13:R21" xr:uid="{B01EA81C-1645-4ED3-BEC5-6C5396237E43}"/>
  <tableColumns count="18">
    <tableColumn id="1" xr3:uid="{821EE498-6278-4E39-82EF-1F47FBA85A36}" name="Column1"/>
    <tableColumn id="2" xr3:uid="{E81954FF-60B7-4ABD-BC14-40676F73AA3E}" name="Column2" dataDxfId="260">
      <calculatedColumnFormula>IF(B2&lt;&gt;"","$/"&amp;B2, "")</calculatedColumnFormula>
    </tableColumn>
    <tableColumn id="3" xr3:uid="{A15329FC-BC0D-46AE-9A0E-F4CFE0FF184A}" name="Column3" dataDxfId="259">
      <calculatedColumnFormula>IF(C2&lt;&gt;"","$/"&amp;C2, "")</calculatedColumnFormula>
    </tableColumn>
    <tableColumn id="4" xr3:uid="{2197BCF8-40A1-4D22-B05E-D0E1CBFBA215}" name="Column4" dataDxfId="258">
      <calculatedColumnFormula>IF(D2&lt;&gt;"","$/"&amp;D2, "")</calculatedColumnFormula>
    </tableColumn>
    <tableColumn id="5" xr3:uid="{3DAF72F2-745A-4FCF-BD44-BDC825984018}" name="Column5" dataDxfId="257">
      <calculatedColumnFormula>IF(E2&lt;&gt;"","$/"&amp;E2, "")</calculatedColumnFormula>
    </tableColumn>
    <tableColumn id="6" xr3:uid="{820E7353-19C6-4D63-B444-F7CAC7BF01AA}" name="Column6" dataDxfId="256">
      <calculatedColumnFormula>IF(F2&lt;&gt;"","$/"&amp;F2, "")</calculatedColumnFormula>
    </tableColumn>
    <tableColumn id="7" xr3:uid="{91F510E8-B638-43EB-BA78-D4632DA66CD4}" name="Column7" dataDxfId="255">
      <calculatedColumnFormula>IF(G2&lt;&gt;"","$/"&amp;G2, "")</calculatedColumnFormula>
    </tableColumn>
    <tableColumn id="8" xr3:uid="{9CD4EFF6-953E-4257-A2B2-041DCDDBD0BB}" name="Column8" dataDxfId="254">
      <calculatedColumnFormula>IF(H2&lt;&gt;"","$/"&amp;H2, "")</calculatedColumnFormula>
    </tableColumn>
    <tableColumn id="9" xr3:uid="{E1D1E2ED-A567-4428-8C9E-5EE867B5D225}" name="Column9" dataDxfId="25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2" totalsRowShown="0" headerRowDxfId="252" dataDxfId="251" tableBorderDxfId="250" dataCellStyle="Percent">
  <autoFilter ref="A5:T102" xr:uid="{1644AED8-49DE-4A1D-989C-1566C9A522B9}"/>
  <tableColumns count="20">
    <tableColumn id="1" xr3:uid="{4963602F-EE9D-4275-BB06-94275FA0ADC9}" name="Type" dataDxfId="249"/>
    <tableColumn id="2" xr3:uid="{A2EC3194-B813-4DCE-AE01-1C673B9568DE}" name="Category" dataDxfId="248"/>
    <tableColumn id="3" xr3:uid="{35734D3D-B786-40BB-B133-3A0C99319B95}" name="Resource" dataDxfId="247">
      <calculatedColumnFormula>_xlfn.XLOOKUP($B6,'SI - Resources'!$A$1:$J$1,'SI - Resources'!$A$2:$J$2, "")</calculatedColumnFormula>
    </tableColumn>
    <tableColumn id="4" xr3:uid="{1FA39DD6-DF4B-47C8-BE66-FCFED64BAE56}" name="End Use" dataDxfId="246">
      <calculatedColumnFormula>IF(_xlfn.XLOOKUP($C6,'SI - End Use'!$B$2:$B$9,'SI - End Use'!$C$2:$C$9, "")="", "", _xlfn.XLOOKUP($C6,'SI - End Use'!$B$2:$B$9,'SI - End Use'!$C$2:$C$9, ""))</calculatedColumnFormula>
    </tableColumn>
    <tableColumn id="5" xr3:uid="{095C2C61-1536-4D98-864A-5D7D6EC876DE}" name="Amount" dataDxfId="245" dataCellStyle="Comma"/>
    <tableColumn id="6" xr3:uid="{CE6564ED-CD6C-456D-B652-43635DFD9834}" name="Unit" dataDxfId="244">
      <calculatedColumnFormula array="1">IF($B6="Transportation",  'SI - Units'!$B$10:$B$10, _xlfn.XLOOKUP(_xlfn.XLOOKUP($C6,'SI - Units'!$B$25:$B$113,'SI - Units'!$C$25:$C$113, ""),'SI - Units'!$A$2:$A$9,'SI - Units'!$B$2:$B$9, ""))</calculatedColumnFormula>
    </tableColumn>
    <tableColumn id="7" xr3:uid="{93B7310A-05ED-418A-820F-1D6A823213F6}" name="Moisture" dataDxfId="243" dataCellStyle="Percent"/>
    <tableColumn id="8" xr3:uid="{44A8F169-15F2-430B-8821-744C929984E0}" name="Previous Stage" dataDxfId="242" dataCellStyle="Percent"/>
    <tableColumn id="9" xr3:uid="{E71A0842-E5CE-48E8-A252-18C8F430EFAD}" name="Always Use Displacement Method for Co-Product?" dataDxfId="241" dataCellStyle="Percent">
      <calculatedColumnFormula>IF(Table111[[#This Row],[Type]]="Co-product", "No", "")</calculatedColumnFormula>
    </tableColumn>
    <tableColumn id="19" xr3:uid="{2D0F5DB1-12CA-4619-99FB-232F373338EF}" name="Urban Share" dataDxfId="240" dataCellStyle="Percent"/>
    <tableColumn id="10" xr3:uid="{097318D1-F1F3-4567-B18E-213E054F7B08}" name="Product Train" dataDxfId="239"/>
    <tableColumn id="14" xr3:uid="{1D13D1F2-E088-44EC-9D2B-22F8FEA8B4EB}" name="Payload" dataDxfId="238">
      <calculatedColumnFormula>IF(Table111[[#This Row],[Category]]="Transportation", _xlfn.XLOOKUP(Table111[[#This Row],[Resource]], 'SI - Payload'!$A$10:$A$40,'SI - Payload'!$B$10:$B$40,"",0), "")</calculatedColumnFormula>
    </tableColumn>
    <tableColumn id="15" xr3:uid="{89012612-FBFF-4D1A-8D93-A61A932877E9}" name="Payload Unit" dataDxfId="237">
      <calculatedColumnFormula>IF(Table111[[#This Row],[Category]]="Transportation", "ton", "")</calculatedColumnFormula>
    </tableColumn>
    <tableColumn id="16" xr3:uid="{B5098648-5BCC-4ACE-905E-4B4F86D78E95}" name="Market Price" dataDxfId="236"/>
    <tableColumn id="17" xr3:uid="{920B4711-E01C-4180-BC6D-98BF6D2D6376}" name="Market Price Unit" dataDxfId="235"/>
    <tableColumn id="12" xr3:uid="{8073611B-E408-40C3-B6EA-623AEE738E4C}" name="Incumbent Product" dataDxfId="234">
      <calculatedColumnFormula>IF(OR(Table111[[#This Row],[Type]]="Main Product", Table111[[#This Row],[Type]]="Co-Product"), Table111[[#This Row],[Resource]], "")</calculatedColumnFormula>
    </tableColumn>
    <tableColumn id="13" xr3:uid="{6C1DF92A-6FE0-4C7C-9FD0-A294FE8A10AA}" name="End Use of Incumbent Product" dataDxfId="233">
      <calculatedColumnFormula>IF(_xlfn.XLOOKUP($P6,'SI - End Use'!$B$2:$B$9,'SI - End Use'!$C$2:$C$9, "")="", "", _xlfn.XLOOKUP($C6,'SI - End Use'!$B$2:$B$9,'SI - End Use'!$C$2:$C$9, ""))</calculatedColumnFormula>
    </tableColumn>
    <tableColumn id="20" xr3:uid="{12597A7D-90BC-4319-9721-FDDEAC190034}" name="Surrogate For" dataDxfId="232"/>
    <tableColumn id="18" xr3:uid="{CAC8F60F-8ACC-43F8-87C3-5C04CBE58CD8}" name="Process" dataDxfId="231"/>
    <tableColumn id="11" xr3:uid="{F73475E7-AF8D-404A-9124-BC75A281D1BA}" name="Note" dataDxfId="2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9" dataDxfId="228" tableBorderDxfId="227" dataCellStyle="Percent">
  <autoFilter ref="A5:T100" xr:uid="{1644AED8-49DE-4A1D-989C-1566C9A522B9}"/>
  <tableColumns count="20">
    <tableColumn id="1" xr3:uid="{4C830710-FB02-4DF8-BC3E-6405433A13B9}" name="Type" dataDxfId="226"/>
    <tableColumn id="2" xr3:uid="{8E0C8C0E-4DB7-44FF-A570-27DCC988274F}" name="Category" dataDxfId="225"/>
    <tableColumn id="3" xr3:uid="{7E5FF22D-4194-448A-B23F-666980BB0190}" name="Resource" dataDxfId="224">
      <calculatedColumnFormula>_xlfn.XLOOKUP($B6,'SI - Resources'!$A$1:$J$1,'SI - Resources'!$A$2:$J$2, "")</calculatedColumnFormula>
    </tableColumn>
    <tableColumn id="4" xr3:uid="{DF216969-0B81-48EF-80CC-167841DF51A0}" name="End Use" dataDxfId="223">
      <calculatedColumnFormula>IF(_xlfn.XLOOKUP($C6,'SI - End Use'!$B$2:$B$9,'SI - End Use'!$C$2:$C$9, "")="", "", _xlfn.XLOOKUP($C6,'SI - End Use'!$B$2:$B$9,'SI - End Use'!$C$2:$C$9, ""))</calculatedColumnFormula>
    </tableColumn>
    <tableColumn id="5" xr3:uid="{A6E22296-B836-43B8-91B7-F20F46496ED3}" name="Amount" dataDxfId="222" dataCellStyle="Comma"/>
    <tableColumn id="6" xr3:uid="{23B6F9F3-5AA2-4D03-A71E-CF62C4FD583E}" name="Unit" dataDxfId="221">
      <calculatedColumnFormula array="1">IF($B6="Transportation",  'SI - Units'!$B$10:$B$10, _xlfn.XLOOKUP(_xlfn.XLOOKUP($C6,'SI - Units'!$B$25:$B$113,'SI - Units'!$C$25:$C$113, ""),'SI - Units'!$A$2:$A$9,'SI - Units'!$B$2:$B$9, ""))</calculatedColumnFormula>
    </tableColumn>
    <tableColumn id="7" xr3:uid="{6AC7B02D-28A8-4B5B-873A-5B4240A7A6D5}" name="Moisture" dataDxfId="220" dataCellStyle="Percent"/>
    <tableColumn id="8" xr3:uid="{0988DDB1-70F8-4CA7-8CA4-31F89648D91D}" name="Previous Stage" dataDxfId="219" dataCellStyle="Percent"/>
    <tableColumn id="9" xr3:uid="{603E2440-22A0-4377-B1FA-0EEDD8E65E9E}" name="Always Use Displacement Method for Co-Product?" dataDxfId="218" dataCellStyle="Percent">
      <calculatedColumnFormula>IF(Table115[[#This Row],[Type]]="Co-product", "No", "")</calculatedColumnFormula>
    </tableColumn>
    <tableColumn id="19" xr3:uid="{AB65BE87-2FFC-42B8-8353-52BFD7B8454F}" name="Urban Share" dataDxfId="217" dataCellStyle="Percent"/>
    <tableColumn id="10" xr3:uid="{3AF800B1-EC4F-4EAC-9DC5-207539CC5216}" name="Product Train" dataDxfId="216"/>
    <tableColumn id="14" xr3:uid="{CB2C74E0-C15C-4471-A970-3BB124BF3DE6}" name="Payload" dataDxfId="215">
      <calculatedColumnFormula>IF(Table115[[#This Row],[Category]]="Transportation", _xlfn.XLOOKUP(Table115[[#This Row],[Resource]], 'SI - Payload'!$A$10:$A$40,'SI - Payload'!$B$10:$B$40,"",0), "")</calculatedColumnFormula>
    </tableColumn>
    <tableColumn id="15" xr3:uid="{7282E5E5-3AAC-45EA-BF33-0D656E850FBD}" name="Payload Unit" dataDxfId="214">
      <calculatedColumnFormula>IF(Table115[[#This Row],[Category]]="Transportation", "ton", "")</calculatedColumnFormula>
    </tableColumn>
    <tableColumn id="16" xr3:uid="{93A169E1-454C-457C-904F-03CF1D11C15D}" name="Market Price" dataDxfId="213"/>
    <tableColumn id="17" xr3:uid="{552CAF43-7069-4D28-9530-1D72CCAF8F07}" name="Market Price Unit" dataDxfId="212"/>
    <tableColumn id="12" xr3:uid="{314EE3B1-5BE9-4DD9-A860-5FEE2CDAA800}" name="Incumbent Product" dataDxfId="211">
      <calculatedColumnFormula>IF(OR(Table115[[#This Row],[Type]]="Main Product", Table115[[#This Row],[Type]]="Co-Product"), Table115[[#This Row],[Resource]], "")</calculatedColumnFormula>
    </tableColumn>
    <tableColumn id="13" xr3:uid="{9E00B83B-4683-4B4E-914D-FDA82604DB6C}" name="End Use of Incumbent Product" dataDxfId="210">
      <calculatedColumnFormula>IF(_xlfn.XLOOKUP($P6,'SI - End Use'!$B$2:$B$9,'SI - End Use'!$C$2:$C$9, "")="", "", _xlfn.XLOOKUP($C6,'SI - End Use'!$B$2:$B$9,'SI - End Use'!$C$2:$C$9, ""))</calculatedColumnFormula>
    </tableColumn>
    <tableColumn id="20" xr3:uid="{C839458D-301C-4F4E-B472-32F89449C6E8}" name="Surrogate For" dataDxfId="209"/>
    <tableColumn id="18" xr3:uid="{70F6FECF-B070-485C-BC1E-308371056536}" name="Process" dataDxfId="208"/>
    <tableColumn id="11" xr3:uid="{70515806-0784-45AF-A16D-3587C17C0E43}" name="Note" dataDxfId="20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206" dataDxfId="205" tableBorderDxfId="204" dataCellStyle="Percent">
  <autoFilter ref="A5:T100" xr:uid="{1644AED8-49DE-4A1D-989C-1566C9A522B9}"/>
  <tableColumns count="20">
    <tableColumn id="1" xr3:uid="{4DE4F306-3300-44EB-B5BE-476B296920FE}" name="Type" dataDxfId="203"/>
    <tableColumn id="2" xr3:uid="{8924AF68-5919-4384-9AC3-3BFBC216A663}" name="Category" dataDxfId="202"/>
    <tableColumn id="3" xr3:uid="{B7002DB0-EE94-424E-8B5B-4E0236FB8491}" name="Resource" dataDxfId="201">
      <calculatedColumnFormula>_xlfn.XLOOKUP($B6,'SI - Resources'!$A$1:$J$1,'SI - Resources'!$A$2:$J$2, "")</calculatedColumnFormula>
    </tableColumn>
    <tableColumn id="4" xr3:uid="{9F84E59A-E518-428D-8E2F-6FF4058E754B}" name="End Use" dataDxfId="200">
      <calculatedColumnFormula>IF(_xlfn.XLOOKUP($C6,'SI - End Use'!$B$2:$B$9,'SI - End Use'!$C$2:$C$9, "")="", "", _xlfn.XLOOKUP($C6,'SI - End Use'!$B$2:$B$9,'SI - End Use'!$C$2:$C$9, ""))</calculatedColumnFormula>
    </tableColumn>
    <tableColumn id="5" xr3:uid="{7256AC60-9844-405A-A921-61E8C8FD3AA7}" name="Amount" dataDxfId="199" dataCellStyle="Comma"/>
    <tableColumn id="6" xr3:uid="{44BE0D75-FAE9-4832-B6D6-D8CF06B71D0C}" name="Unit" dataDxfId="198">
      <calculatedColumnFormula array="1">IF($B6="Transportation",  'SI - Units'!$B$10:$B$10, _xlfn.XLOOKUP(_xlfn.XLOOKUP($C6,'SI - Units'!$B$25:$B$113,'SI - Units'!$C$25:$C$113, ""),'SI - Units'!$A$2:$A$9,'SI - Units'!$B$2:$B$9, ""))</calculatedColumnFormula>
    </tableColumn>
    <tableColumn id="7" xr3:uid="{43D5A240-8AB8-4961-B551-66B594CD0D62}" name="Moisture" dataDxfId="197" dataCellStyle="Percent"/>
    <tableColumn id="8" xr3:uid="{625625FF-7AC8-489E-BEC1-FF26AEDC5726}" name="Previous Stage" dataDxfId="196" dataCellStyle="Percent"/>
    <tableColumn id="9" xr3:uid="{687A2E2A-BBA4-4CE3-BA8D-96A3BA5E0FBB}" name="Always Use Displacement Method for Co-Product?" dataDxfId="195" dataCellStyle="Percent">
      <calculatedColumnFormula>IF(Table16[[#This Row],[Type]]="Co-product", "No", "")</calculatedColumnFormula>
    </tableColumn>
    <tableColumn id="19" xr3:uid="{AFAE3135-776B-4172-B5D1-9D0477D6BFF4}" name="Urban Share" dataDxfId="194" dataCellStyle="Percent"/>
    <tableColumn id="10" xr3:uid="{82EF3DFB-6C96-4FA1-BA8F-810301136673}" name="Product Train" dataDxfId="193"/>
    <tableColumn id="14" xr3:uid="{CCEF1C10-3BF7-45DF-B1B3-1E1D16FCAB66}" name="Payload" dataDxfId="192">
      <calculatedColumnFormula>IF(Table16[[#This Row],[Category]]="Transportation", _xlfn.XLOOKUP(Table16[[#This Row],[Resource]], 'SI - Payload'!$A$10:$A$40,'SI - Payload'!$B$10:$B$40,"",0), "")</calculatedColumnFormula>
    </tableColumn>
    <tableColumn id="15" xr3:uid="{68170548-B8D8-452A-9BDF-57DE514A5A59}" name="Payload Unit" dataDxfId="191">
      <calculatedColumnFormula>IF(Table16[[#This Row],[Category]]="Transportation", "ton", "")</calculatedColumnFormula>
    </tableColumn>
    <tableColumn id="16" xr3:uid="{F5E0D2B0-9C80-4B2A-9BDC-DA79777EBD93}" name="Market Price" dataDxfId="190"/>
    <tableColumn id="17" xr3:uid="{C86C9923-2805-4906-9A19-EB41F6FA61C0}" name="Market Price Unit" dataDxfId="189"/>
    <tableColumn id="12" xr3:uid="{EAB5714C-2FB4-4C92-A2E3-EED8D19B69E9}" name="Incumbent Product" dataDxfId="188">
      <calculatedColumnFormula>IF(OR(Table16[[#This Row],[Type]]="Main Product", Table16[[#This Row],[Type]]="Co-Product"), Table16[[#This Row],[Resource]], "")</calculatedColumnFormula>
    </tableColumn>
    <tableColumn id="13" xr3:uid="{04B19DE7-96C0-432D-BCDB-9AFB92069E79}" name="End Use of Incumbent Product" dataDxfId="187">
      <calculatedColumnFormula>IF(_xlfn.XLOOKUP($P6,'SI - End Use'!$B$2:$B$9,'SI - End Use'!$C$2:$C$9, "")="", "", _xlfn.XLOOKUP($C6,'SI - End Use'!$B$2:$B$9,'SI - End Use'!$C$2:$C$9, ""))</calculatedColumnFormula>
    </tableColumn>
    <tableColumn id="20" xr3:uid="{D42C39ED-A6B2-4FB7-BD47-767E08826531}" name="Surrogate For" dataDxfId="186"/>
    <tableColumn id="18" xr3:uid="{78C3B200-3712-4A9B-B0B0-F43C3FC85978}" name="Process" dataDxfId="185"/>
    <tableColumn id="11" xr3:uid="{52DC74A1-C8D8-4428-9C8D-6B94E271C7DB}" name="Note"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183" dataDxfId="182" tableBorderDxfId="181" dataCellStyle="Percent">
  <autoFilter ref="A5:T100" xr:uid="{1644AED8-49DE-4A1D-989C-1566C9A522B9}"/>
  <tableColumns count="20">
    <tableColumn id="1" xr3:uid="{2CB032B9-D44E-4982-9B52-71CACFAA31B7}" name="Type" dataDxfId="180"/>
    <tableColumn id="2" xr3:uid="{68863F2A-5ED2-4D2D-9321-0694E0002A4D}" name="Category" dataDxfId="179"/>
    <tableColumn id="3" xr3:uid="{6F6A00AA-2114-4E89-ACA6-F79D0CCB10FE}" name="Resource" dataDxfId="178">
      <calculatedColumnFormula>_xlfn.XLOOKUP($B6,'SI - Resources'!$A$1:$J$1,'SI - Resources'!$A$2:$J$2, "")</calculatedColumnFormula>
    </tableColumn>
    <tableColumn id="4" xr3:uid="{9EA4BC64-2518-49EB-96FE-47C6D7D0A619}" name="End Use" dataDxfId="177">
      <calculatedColumnFormula>IF(_xlfn.XLOOKUP($C6,'SI - End Use'!$B$2:$B$9,'SI - End Use'!$C$2:$C$9, "")="", "", _xlfn.XLOOKUP($C6,'SI - End Use'!$B$2:$B$9,'SI - End Use'!$C$2:$C$9, ""))</calculatedColumnFormula>
    </tableColumn>
    <tableColumn id="5" xr3:uid="{FEEC8BBE-142D-470F-B857-356BF2881BE2}" name="Amount" dataDxfId="176" dataCellStyle="Comma"/>
    <tableColumn id="6" xr3:uid="{4C75A85A-690F-4C1C-B366-37885C4C05E9}" name="Unit" dataDxfId="175">
      <calculatedColumnFormula array="1">IF($B6="Transportation",  'SI - Units'!$B$10:$B$10, _xlfn.XLOOKUP(_xlfn.XLOOKUP($C6,'SI - Units'!$B$25:$B$113,'SI - Units'!$C$25:$C$113, ""),'SI - Units'!$A$2:$A$9,'SI - Units'!$B$2:$B$9, ""))</calculatedColumnFormula>
    </tableColumn>
    <tableColumn id="7" xr3:uid="{04EB82E7-0D31-4373-9323-8FE7ABD0453D}" name="Moisture" dataDxfId="174" dataCellStyle="Percent"/>
    <tableColumn id="8" xr3:uid="{EA1D1281-616C-4C33-BC33-15137860670A}" name="Previous Stage" dataDxfId="173" dataCellStyle="Percent"/>
    <tableColumn id="9" xr3:uid="{032753C9-1EF2-495C-A94D-E887DC18620F}" name="Always Use Displacement Method for Co-Product?" dataDxfId="172" dataCellStyle="Percent">
      <calculatedColumnFormula>IF(Table18[[#This Row],[Type]]="Co-product", "No", "")</calculatedColumnFormula>
    </tableColumn>
    <tableColumn id="19" xr3:uid="{393ED02F-81F2-4156-A237-869BECD41DC7}" name="Urban Share" dataDxfId="171" dataCellStyle="Percent"/>
    <tableColumn id="10" xr3:uid="{53E3C02C-2DC7-41CB-89C1-6D5F8A6A5EB5}" name="Product Train" dataDxfId="170"/>
    <tableColumn id="14" xr3:uid="{E23EC0B8-FBC1-42BE-A92D-8C31AA437B4C}" name="Payload" dataDxfId="169">
      <calculatedColumnFormula>IF(Table18[[#This Row],[Category]]="Transportation", _xlfn.XLOOKUP(Table18[[#This Row],[Resource]], 'SI - Payload'!$A$10:$A$40,'SI - Payload'!$B$10:$B$40,"",0), "")</calculatedColumnFormula>
    </tableColumn>
    <tableColumn id="15" xr3:uid="{42AC4B14-4042-4A75-910F-5580454B0995}" name="Payload Unit" dataDxfId="168">
      <calculatedColumnFormula>IF(Table18[[#This Row],[Category]]="Transportation", "ton", "")</calculatedColumnFormula>
    </tableColumn>
    <tableColumn id="16" xr3:uid="{A7DD5412-C938-4375-9218-792E0CDCB11F}" name="Market Price" dataDxfId="167"/>
    <tableColumn id="17" xr3:uid="{24218AD5-48BA-45D0-93FA-04007D428029}" name="Market Price Unit" dataDxfId="166"/>
    <tableColumn id="12" xr3:uid="{F8D31996-38CD-420E-9185-024F9E10DC79}" name="Incumbent Product" dataDxfId="165">
      <calculatedColumnFormula>IF(OR(Table18[[#This Row],[Type]]="Main Product", Table18[[#This Row],[Type]]="Co-Product"), Table18[[#This Row],[Resource]], "")</calculatedColumnFormula>
    </tableColumn>
    <tableColumn id="13" xr3:uid="{65220A8F-B5EF-4B30-9EF4-3898FB323CE9}" name="End Use of Incumbent Product" dataDxfId="164">
      <calculatedColumnFormula>IF(_xlfn.XLOOKUP($P6,'SI - End Use'!$B$2:$B$9,'SI - End Use'!$C$2:$C$9, "")="", "", _xlfn.XLOOKUP($C6,'SI - End Use'!$B$2:$B$9,'SI - End Use'!$C$2:$C$9, ""))</calculatedColumnFormula>
    </tableColumn>
    <tableColumn id="20" xr3:uid="{160C4CBB-B69B-4789-AFA3-70BBC8C4D452}" name="Surrogate For" dataDxfId="163"/>
    <tableColumn id="18" xr3:uid="{B7B7DFEF-9AA7-4C9A-BCCA-30B907F85428}" name="Process" dataDxfId="162"/>
    <tableColumn id="11" xr3:uid="{B3275D68-769D-493E-BE61-29C8645E2901}" name="Not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160" dataDxfId="159" tableBorderDxfId="158" dataCellStyle="Percent">
  <autoFilter ref="A5:T100" xr:uid="{1644AED8-49DE-4A1D-989C-1566C9A522B9}"/>
  <tableColumns count="20">
    <tableColumn id="1" xr3:uid="{F9268571-DF00-4FFB-9A83-7682AEBC5180}" name="Type" dataDxfId="157"/>
    <tableColumn id="2" xr3:uid="{8CEA012C-141E-43D7-9FB1-3A233DF5B0D9}" name="Category" dataDxfId="156"/>
    <tableColumn id="3" xr3:uid="{071183EA-B158-4630-8453-44BFE1F93BFA}" name="Resource" dataDxfId="155">
      <calculatedColumnFormula>_xlfn.XLOOKUP($B6,'SI - Resources'!$A$1:$J$1,'SI - Resources'!$A$2:$J$2, "")</calculatedColumnFormula>
    </tableColumn>
    <tableColumn id="4" xr3:uid="{8538D180-C57D-4272-A2C2-25F9B92E8F44}" name="End Use" dataDxfId="154">
      <calculatedColumnFormula>IF(_xlfn.XLOOKUP($C6,'SI - End Use'!$B$2:$B$9,'SI - End Use'!$C$2:$C$9, "")="", "", _xlfn.XLOOKUP($C6,'SI - End Use'!$B$2:$B$9,'SI - End Use'!$C$2:$C$9, ""))</calculatedColumnFormula>
    </tableColumn>
    <tableColumn id="5" xr3:uid="{7EE740BC-C484-4543-87EF-F7BE2F712141}" name="Amount" dataDxfId="153" dataCellStyle="Comma"/>
    <tableColumn id="6" xr3:uid="{3D4210C9-4B39-4FD7-8451-0C8A9446B267}" name="Unit" dataDxfId="152">
      <calculatedColumnFormula array="1">IF($B6="Transportation",  'SI - Units'!$B$10:$B$10, _xlfn.XLOOKUP(_xlfn.XLOOKUP($C6,'SI - Units'!$B$25:$B$113,'SI - Units'!$C$25:$C$113, ""),'SI - Units'!$A$2:$A$9,'SI - Units'!$B$2:$B$9, ""))</calculatedColumnFormula>
    </tableColumn>
    <tableColumn id="7" xr3:uid="{5EA55020-1C05-432C-B854-5E615D3C5BAB}" name="Moisture" dataDxfId="151" dataCellStyle="Percent"/>
    <tableColumn id="8" xr3:uid="{DD7861DE-DF22-4FAE-B0C3-778E13FE1B6A}" name="Previous Stage" dataDxfId="150" dataCellStyle="Percent"/>
    <tableColumn id="9" xr3:uid="{2E9C44F5-492F-4BFD-A22E-077E6EA854F0}" name="Always Use Displacement Method for Co-Product?" dataDxfId="149" dataCellStyle="Percent">
      <calculatedColumnFormula>IF(Table112[[#This Row],[Type]]="Co-product", "No", "")</calculatedColumnFormula>
    </tableColumn>
    <tableColumn id="19" xr3:uid="{7EF4FF93-AD32-4BA9-84B7-380D3C8B3BAA}" name="Urban Share" dataDxfId="148" dataCellStyle="Percent"/>
    <tableColumn id="10" xr3:uid="{834831EB-0FE7-4150-A095-4C38C6C96EBB}" name="Product Train" dataDxfId="147"/>
    <tableColumn id="14" xr3:uid="{92196EBB-3FF1-483D-A0E6-4184C9C7F441}" name="Payload" dataDxfId="146">
      <calculatedColumnFormula>IF(Table112[[#This Row],[Category]]="Transportation", _xlfn.XLOOKUP(Table112[[#This Row],[Resource]], 'SI - Payload'!$A$10:$A$40,'SI - Payload'!$B$10:$B$40,"",0), "")</calculatedColumnFormula>
    </tableColumn>
    <tableColumn id="15" xr3:uid="{766842DD-2003-44A7-BF0D-2160522E75B5}" name="Payload Unit" dataDxfId="145">
      <calculatedColumnFormula>IF(Table112[[#This Row],[Category]]="Transportation", "ton", "")</calculatedColumnFormula>
    </tableColumn>
    <tableColumn id="16" xr3:uid="{047CF82A-DBA2-4E6B-BB30-3676F27FBCF6}" name="Market Price" dataDxfId="144"/>
    <tableColumn id="17" xr3:uid="{A0392FFC-E5EF-4E3D-86D1-40AAE36E4A98}" name="Market Price Unit" dataDxfId="143"/>
    <tableColumn id="12" xr3:uid="{96F477C6-DF4B-445F-8ADE-886D864B9D7C}" name="Incumbent Product" dataDxfId="142">
      <calculatedColumnFormula>IF(OR(Table112[[#This Row],[Type]]="Main Product", Table112[[#This Row],[Type]]="Co-Product"), Table112[[#This Row],[Resource]], "")</calculatedColumnFormula>
    </tableColumn>
    <tableColumn id="13" xr3:uid="{B92420EF-B58D-42DF-97E0-DE4FD9E773D2}" name="End Use of Incumbent Product" dataDxfId="141">
      <calculatedColumnFormula>IF(_xlfn.XLOOKUP($P6,'SI - End Use'!$B$2:$B$9,'SI - End Use'!$C$2:$C$9, "")="", "", _xlfn.XLOOKUP($C6,'SI - End Use'!$B$2:$B$9,'SI - End Use'!$C$2:$C$9, ""))</calculatedColumnFormula>
    </tableColumn>
    <tableColumn id="20" xr3:uid="{2EBB5AC0-853B-46D0-A0CA-EEE613506D2C}" name="Surrogate For" dataDxfId="140"/>
    <tableColumn id="18" xr3:uid="{50E2788C-325B-4941-B41B-BEEC6F58A31B}" name="Process" dataDxfId="139"/>
    <tableColumn id="11" xr3:uid="{4387B92E-E28A-49DF-A217-66DD1969DCD3}" name="Note"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99" totalsRowShown="0" headerRowDxfId="137" dataDxfId="136" tableBorderDxfId="135" dataCellStyle="Percent">
  <autoFilter ref="A5:T99" xr:uid="{1644AED8-49DE-4A1D-989C-1566C9A522B9}"/>
  <tableColumns count="20">
    <tableColumn id="1" xr3:uid="{B3CEA4CB-FBE2-4452-B090-D9E08EBB2473}" name="Type" dataDxfId="134"/>
    <tableColumn id="2" xr3:uid="{45559C56-C563-4D9E-B960-59C2C2F18959}" name="Category" dataDxfId="133"/>
    <tableColumn id="3" xr3:uid="{7B4FBFCD-F58B-4B56-B139-3A59FBC43CAD}" name="Resource" dataDxfId="132">
      <calculatedColumnFormula>_xlfn.XLOOKUP($B6,'SI - Resources'!$A$1:$J$1,'SI - Resources'!$A$2:$J$2, "")</calculatedColumnFormula>
    </tableColumn>
    <tableColumn id="4" xr3:uid="{525A2627-4460-4824-9E3F-281886F29CC9}" name="End Use" dataDxfId="131">
      <calculatedColumnFormula>IF(_xlfn.XLOOKUP($C6,'SI - End Use'!$B$2:$B$9,'SI - End Use'!$C$2:$C$9, "")="", "", _xlfn.XLOOKUP($C6,'SI - End Use'!$B$2:$B$9,'SI - End Use'!$C$2:$C$9, ""))</calculatedColumnFormula>
    </tableColumn>
    <tableColumn id="5" xr3:uid="{B3C6A26A-3CB0-4E2B-AFCA-67CD6B76D916}" name="Amount" dataDxfId="130" dataCellStyle="Comma"/>
    <tableColumn id="6" xr3:uid="{8FD22B6B-8AA1-4DBB-9F76-CBB79FA09A06}" name="Unit" dataDxfId="129">
      <calculatedColumnFormula array="1">IF($B6="Transportation",  'SI - Units'!$B$10:$B$10, _xlfn.XLOOKUP(_xlfn.XLOOKUP($C6,'SI - Units'!$B$25:$B$113,'SI - Units'!$C$25:$C$113, ""),'SI - Units'!$A$2:$A$9,'SI - Units'!$B$2:$B$9, ""))</calculatedColumnFormula>
    </tableColumn>
    <tableColumn id="7" xr3:uid="{6DD41B9C-0A14-41AE-96A2-29DEB981099B}" name="Moisture" dataDxfId="128" dataCellStyle="Percent"/>
    <tableColumn id="8" xr3:uid="{B0A1A10D-3735-4890-B84B-F8D3D675E318}" name="Previous Stage" dataDxfId="127" dataCellStyle="Percent"/>
    <tableColumn id="9" xr3:uid="{EDC3F019-DE4D-4042-AE8E-00D5436A51E3}" name="Always Use Displacement Method for Co-Product?" dataDxfId="126" dataCellStyle="Percent">
      <calculatedColumnFormula>IF(Table113[[#This Row],[Type]]="Co-product", "No", "")</calculatedColumnFormula>
    </tableColumn>
    <tableColumn id="19" xr3:uid="{3A563F43-D647-40C7-9E96-488CC44C996C}" name="Urban Share" dataDxfId="125" dataCellStyle="Percent"/>
    <tableColumn id="10" xr3:uid="{EA570375-6059-4EED-8557-BFD832A8E540}" name="Product Train" dataDxfId="124"/>
    <tableColumn id="14" xr3:uid="{E6BD6136-7D68-4093-A430-C21A38704D87}" name="Payload" dataDxfId="123">
      <calculatedColumnFormula>IF(Table113[[#This Row],[Category]]="Transportation", _xlfn.XLOOKUP(Table113[[#This Row],[Resource]], 'SI - Payload'!$A$10:$A$40,'SI - Payload'!$B$10:$B$40,"",0), "")</calculatedColumnFormula>
    </tableColumn>
    <tableColumn id="15" xr3:uid="{DBA86F02-3775-4CAA-BB53-A444AC9F92AE}" name="Payload Unit" dataDxfId="122">
      <calculatedColumnFormula>IF(Table113[[#This Row],[Category]]="Transportation", "ton", "")</calculatedColumnFormula>
    </tableColumn>
    <tableColumn id="16" xr3:uid="{46C5E33E-E5D3-4CE0-9EB8-22B1E275F577}" name="Market Price" dataDxfId="121"/>
    <tableColumn id="17" xr3:uid="{ADF82CAB-0594-49FA-8B95-8FBF3B048294}" name="Market Price Unit" dataDxfId="120"/>
    <tableColumn id="12" xr3:uid="{28C78F97-3922-4FC5-97A8-2A973E0AC108}" name="Incumbent Product" dataDxfId="119">
      <calculatedColumnFormula>IF(OR(Table113[[#This Row],[Type]]="Main Product", Table113[[#This Row],[Type]]="Co-Product"), Table113[[#This Row],[Resource]], "")</calculatedColumnFormula>
    </tableColumn>
    <tableColumn id="13" xr3:uid="{1699A0FF-DDBB-45EC-BAA2-491F1834CBA7}" name="End Use of Incumbent Product" dataDxfId="118">
      <calculatedColumnFormula>IF(_xlfn.XLOOKUP($P6,'SI - End Use'!$B$2:$B$9,'SI - End Use'!$C$2:$C$9, "")="", "", _xlfn.XLOOKUP($C6,'SI - End Use'!$B$2:$B$9,'SI - End Use'!$C$2:$C$9, ""))</calculatedColumnFormula>
    </tableColumn>
    <tableColumn id="20" xr3:uid="{C7AD867E-640B-4EA6-8359-ADFC9A5A6354}" name="Surrogate For" dataDxfId="117"/>
    <tableColumn id="18" xr3:uid="{CC8A460B-D074-4A36-9D2A-CBEB86D375E0}" name="Process" dataDxfId="116"/>
    <tableColumn id="11" xr3:uid="{E4454EBC-EADB-4606-BBBC-5B9E129F8CDA}" name="No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08383-563A-42B1-95E6-3D4483051C7F}" name="Table1616" displayName="Table1616" ref="A5:T100" totalsRowShown="0" headerRowDxfId="114" dataDxfId="113" tableBorderDxfId="112" dataCellStyle="Percent">
  <autoFilter ref="A5:T100" xr:uid="{1644AED8-49DE-4A1D-989C-1566C9A522B9}"/>
  <tableColumns count="20">
    <tableColumn id="1" xr3:uid="{E127D728-14DC-40AF-9306-680FF09F7ADD}" name="Type" dataDxfId="111"/>
    <tableColumn id="2" xr3:uid="{265C8B7C-5445-4924-B818-0364D5DE210C}" name="Category" dataDxfId="110"/>
    <tableColumn id="3" xr3:uid="{8F84F10E-5751-40D9-ABFE-A9F5111AF6EC}" name="Resource" dataDxfId="109">
      <calculatedColumnFormula>_xlfn.XLOOKUP($B6,'SI - Resources'!$A$1:$J$1,'SI - Resources'!$A$2:$J$2, "")</calculatedColumnFormula>
    </tableColumn>
    <tableColumn id="4" xr3:uid="{18A80738-E92E-4DFF-AEE1-0B3678A41FAC}" name="End Use" dataDxfId="108">
      <calculatedColumnFormula>IF(_xlfn.XLOOKUP($C6,'SI - End Use'!$B$2:$B$9,'SI - End Use'!$C$2:$C$9, "")="", "", _xlfn.XLOOKUP($C6,'SI - End Use'!$B$2:$B$9,'SI - End Use'!$C$2:$C$9, ""))</calculatedColumnFormula>
    </tableColumn>
    <tableColumn id="5" xr3:uid="{F1351DF7-420A-4836-9448-04D5B118CC8A}" name="Amount" dataDxfId="107" dataCellStyle="Comma"/>
    <tableColumn id="6" xr3:uid="{7427B12E-49EE-43DA-95AC-4179C50DB1DA}" name="Unit" dataDxfId="106">
      <calculatedColumnFormula array="1">IF($B6="Transportation",  'SI - Units'!$B$10:$B$10, _xlfn.XLOOKUP(_xlfn.XLOOKUP($C6,'SI - Units'!$B$25:$B$113,'SI - Units'!$C$25:$C$113, ""),'SI - Units'!$A$2:$A$9,'SI - Units'!$B$2:$B$9, ""))</calculatedColumnFormula>
    </tableColumn>
    <tableColumn id="7" xr3:uid="{8A3CC0DB-1E31-41CC-A1BA-DAA4736384F5}" name="Moisture" dataDxfId="105" dataCellStyle="Percent"/>
    <tableColumn id="8" xr3:uid="{0DC9109E-B3AB-4201-9D77-A6610708FD83}" name="Previous Stage" dataDxfId="104" dataCellStyle="Percent"/>
    <tableColumn id="9" xr3:uid="{69398FF4-C9A6-4923-A9EA-01AF9194E448}" name="Always Use Displacement Method for Co-Product?" dataDxfId="103" dataCellStyle="Percent">
      <calculatedColumnFormula>IF(Table1616[[#This Row],[Type]]="Co-product", "No", "")</calculatedColumnFormula>
    </tableColumn>
    <tableColumn id="19" xr3:uid="{FDB7D928-949B-4D96-A1F4-E829FE8ED307}" name="Urban Share" dataDxfId="102" dataCellStyle="Percent"/>
    <tableColumn id="10" xr3:uid="{ADFFE663-6B1A-4E0F-B051-4BF45E38E835}" name="Product Train" dataDxfId="101"/>
    <tableColumn id="14" xr3:uid="{290E03BA-CD68-4F04-A802-329B5F180D34}" name="Payload" dataDxfId="100">
      <calculatedColumnFormula>IF(Table1616[[#This Row],[Category]]="Transportation", _xlfn.XLOOKUP(Table1616[[#This Row],[Resource]], 'SI - Payload'!$A$10:$A$40,'SI - Payload'!$B$10:$B$40,"",0), "")</calculatedColumnFormula>
    </tableColumn>
    <tableColumn id="15" xr3:uid="{03BBFF2A-7B02-4CEE-835A-94393EF5C66D}" name="Payload Unit" dataDxfId="99">
      <calculatedColumnFormula>IF(Table1616[[#This Row],[Category]]="Transportation", "ton", "")</calculatedColumnFormula>
    </tableColumn>
    <tableColumn id="16" xr3:uid="{83D97049-94E5-437C-9942-7B393BE1039E}" name="Market Price" dataDxfId="98"/>
    <tableColumn id="17" xr3:uid="{091AEF14-B33C-4D0D-9038-D3F1D49423C6}" name="Market Price Unit" dataDxfId="97"/>
    <tableColumn id="12" xr3:uid="{BABCA2CF-6E9B-4FE6-920E-C57E088212AC}" name="Incumbent Product" dataDxfId="96">
      <calculatedColumnFormula>IF(OR(Table1616[[#This Row],[Type]]="Main Product", Table1616[[#This Row],[Type]]="Co-Product"), Table1616[[#This Row],[Resource]], "")</calculatedColumnFormula>
    </tableColumn>
    <tableColumn id="13" xr3:uid="{6064AFF3-C984-4760-B4FE-68511FB2BA48}" name="End Use of Incumbent Product" dataDxfId="95">
      <calculatedColumnFormula>IF(_xlfn.XLOOKUP($P6,'SI - End Use'!$B$2:$B$9,'SI - End Use'!$C$2:$C$9, "")="", "", _xlfn.XLOOKUP($C6,'SI - End Use'!$B$2:$B$9,'SI - End Use'!$C$2:$C$9, ""))</calculatedColumnFormula>
    </tableColumn>
    <tableColumn id="20" xr3:uid="{5D66F823-8F4E-4102-8291-088B4E32D119}" name="Surrogate For" dataDxfId="94"/>
    <tableColumn id="18" xr3:uid="{1FA48A55-B5B6-4B64-94BD-AD94256EA120}" name="Process" dataDxfId="93"/>
    <tableColumn id="11" xr3:uid="{7CA74202-DB48-40C6-8776-A380FCAD05E8}" name="Note" dataDxfId="9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94F6-16BD-4864-9FA7-DC7CC7F98910}" name="Table117" displayName="Table117" ref="A5:T100" totalsRowShown="0" headerRowDxfId="91" dataDxfId="90" tableBorderDxfId="89" dataCellStyle="Percent">
  <autoFilter ref="A5:T100" xr:uid="{1644AED8-49DE-4A1D-989C-1566C9A522B9}"/>
  <tableColumns count="20">
    <tableColumn id="1" xr3:uid="{0F7F1342-D5B3-43C4-A5E5-00E6A5B6DAEC}" name="Type" dataDxfId="88"/>
    <tableColumn id="2" xr3:uid="{9935BEB5-53E3-4B09-9816-E3D1F31514B0}" name="Category" dataDxfId="87"/>
    <tableColumn id="3" xr3:uid="{AAD40AC6-4FAC-42AF-8B50-CDB25EB1FAB0}" name="Resource" dataDxfId="86">
      <calculatedColumnFormula>_xlfn.XLOOKUP($B6,'SI - Resources'!$A$1:$J$1,'SI - Resources'!$A$2:$J$2, "")</calculatedColumnFormula>
    </tableColumn>
    <tableColumn id="4" xr3:uid="{6242EEE2-7F5C-42D7-B31D-CF785B278D55}" name="End Use" dataDxfId="85">
      <calculatedColumnFormula>IF(_xlfn.XLOOKUP($C6,'SI - End Use'!$B$2:$B$9,'SI - End Use'!$C$2:$C$9, "")="", "", _xlfn.XLOOKUP($C6,'SI - End Use'!$B$2:$B$9,'SI - End Use'!$C$2:$C$9, ""))</calculatedColumnFormula>
    </tableColumn>
    <tableColumn id="5" xr3:uid="{2322179D-2215-498E-AD3A-A5360E6DDF00}" name="Amount" dataDxfId="84" dataCellStyle="Comma"/>
    <tableColumn id="6" xr3:uid="{908142C9-BB3C-4A66-8D8F-1C427E32B16D}" name="Unit" dataDxfId="83">
      <calculatedColumnFormula array="1">IF($B6="Transportation",  'SI - Units'!$B$10:$B$10, _xlfn.XLOOKUP(_xlfn.XLOOKUP($C6,'SI - Units'!$B$25:$B$113,'SI - Units'!$C$25:$C$113, ""),'SI - Units'!$A$2:$A$9,'SI - Units'!$B$2:$B$9, ""))</calculatedColumnFormula>
    </tableColumn>
    <tableColumn id="7" xr3:uid="{54D28480-151E-4478-A221-3ED1CE1D650B}" name="Moisture" dataDxfId="82" dataCellStyle="Percent"/>
    <tableColumn id="8" xr3:uid="{2B34470A-6BF1-4757-B5E0-4C3D570F2FAB}" name="Previous Stage" dataDxfId="81" dataCellStyle="Percent"/>
    <tableColumn id="9" xr3:uid="{5A9B57A4-CF2E-452F-955F-AD11C9FD8C6C}" name="Always Use Displacement Method for Co-Product?" dataDxfId="80" dataCellStyle="Percent">
      <calculatedColumnFormula>IF(Table117[[#This Row],[Type]]="Co-product", "No", "")</calculatedColumnFormula>
    </tableColumn>
    <tableColumn id="19" xr3:uid="{5EF2EF88-1A9B-4D0C-8493-ED048CD2BE2B}" name="Urban Share" dataDxfId="79" dataCellStyle="Percent"/>
    <tableColumn id="10" xr3:uid="{028422C2-4DED-4FF5-8ADA-2A099DCC0860}" name="Product Train" dataDxfId="78"/>
    <tableColumn id="14" xr3:uid="{9CE1B175-76DC-422B-BA1E-1C29731EBE91}" name="Payload" dataDxfId="77">
      <calculatedColumnFormula>IF(Table117[[#This Row],[Category]]="Transportation", _xlfn.XLOOKUP(Table117[[#This Row],[Resource]], 'SI - Payload'!$A$10:$A$40,'SI - Payload'!$B$10:$B$40,"",0), "")</calculatedColumnFormula>
    </tableColumn>
    <tableColumn id="15" xr3:uid="{52D44EE0-A025-43D8-A297-BA7C144B2ACB}" name="Payload Unit" dataDxfId="76">
      <calculatedColumnFormula>IF(Table117[[#This Row],[Category]]="Transportation", "ton", "")</calculatedColumnFormula>
    </tableColumn>
    <tableColumn id="16" xr3:uid="{CB747337-E3C3-4D56-8943-159AE26F15F0}" name="Market Price" dataDxfId="75"/>
    <tableColumn id="17" xr3:uid="{8D19720F-A631-4824-B17C-A10DCE1860F4}" name="Market Price Unit" dataDxfId="74"/>
    <tableColumn id="12" xr3:uid="{2D875EB2-201F-4E15-8B95-B96937A3946F}" name="Incumbent Product" dataDxfId="73">
      <calculatedColumnFormula>IF(OR(Table117[[#This Row],[Type]]="Main Product", Table117[[#This Row],[Type]]="Co-Product"), Table117[[#This Row],[Resource]], "")</calculatedColumnFormula>
    </tableColumn>
    <tableColumn id="13" xr3:uid="{BA6DE49C-4295-40FF-A52A-C435257BC67E}" name="End Use of Incumbent Product" dataDxfId="72">
      <calculatedColumnFormula>IF(_xlfn.XLOOKUP($P6,'SI - End Use'!$B$2:$B$9,'SI - End Use'!$C$2:$C$9, "")="", "", _xlfn.XLOOKUP($C6,'SI - End Use'!$B$2:$B$9,'SI - End Use'!$C$2:$C$9, ""))</calculatedColumnFormula>
    </tableColumn>
    <tableColumn id="20" xr3:uid="{C7628057-34D9-4D77-8807-7C29CBB0E82A}" name="Surrogate For" dataDxfId="71"/>
    <tableColumn id="18" xr3:uid="{E7E15418-3937-49EF-B15A-9B7B9169C6E6}" name="Process" dataDxfId="70"/>
    <tableColumn id="11" xr3:uid="{B609C524-AFC5-45A2-8BAC-7737D42DFBED}"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90F2198-7A67-4A09-99E3-741C9F507766}" name="Table1818" displayName="Table1818" ref="A5:T100" totalsRowShown="0" headerRowDxfId="68" dataDxfId="67" tableBorderDxfId="66" dataCellStyle="Percent">
  <autoFilter ref="A5:T100" xr:uid="{1644AED8-49DE-4A1D-989C-1566C9A522B9}"/>
  <tableColumns count="20">
    <tableColumn id="1" xr3:uid="{42C50701-686B-4D39-BA72-68C0B4414087}" name="Type" dataDxfId="65"/>
    <tableColumn id="2" xr3:uid="{FACB429A-4190-4250-AAAF-EE791B5BC0A0}" name="Category" dataDxfId="64"/>
    <tableColumn id="3" xr3:uid="{490B419D-172F-4A18-A75C-E213FA1F86D3}" name="Resource" dataDxfId="63">
      <calculatedColumnFormula>_xlfn.XLOOKUP($B6,'SI - Resources'!$A$1:$J$1,'SI - Resources'!$A$2:$J$2, "")</calculatedColumnFormula>
    </tableColumn>
    <tableColumn id="4" xr3:uid="{B96A7D7F-0582-45BF-B669-E818867A1A24}" name="End Use" dataDxfId="62">
      <calculatedColumnFormula>IF(_xlfn.XLOOKUP($C6,'SI - End Use'!$B$2:$B$9,'SI - End Use'!$C$2:$C$9, "")="", "", _xlfn.XLOOKUP($C6,'SI - End Use'!$B$2:$B$9,'SI - End Use'!$C$2:$C$9, ""))</calculatedColumnFormula>
    </tableColumn>
    <tableColumn id="5" xr3:uid="{0D99749C-8F23-4D64-B1C3-E6E180033261}" name="Amount" dataDxfId="61" dataCellStyle="Comma"/>
    <tableColumn id="6" xr3:uid="{AFB156B4-757A-4A01-AA8F-283704AE0C29}" name="Unit" dataDxfId="60">
      <calculatedColumnFormula array="1">IF($B6="Transportation",  'SI - Units'!$B$10:$B$10, _xlfn.XLOOKUP(_xlfn.XLOOKUP($C6,'SI - Units'!$B$25:$B$113,'SI - Units'!$C$25:$C$113, ""),'SI - Units'!$A$2:$A$9,'SI - Units'!$B$2:$B$9, ""))</calculatedColumnFormula>
    </tableColumn>
    <tableColumn id="7" xr3:uid="{0314EF05-DE35-40CC-BEFF-9098FF919EC0}" name="Moisture" dataDxfId="59" dataCellStyle="Percent"/>
    <tableColumn id="8" xr3:uid="{202235D1-EEC6-482D-9830-4617A3DE7871}" name="Previous Stage" dataDxfId="58" dataCellStyle="Percent"/>
    <tableColumn id="9" xr3:uid="{D68B493E-AE7D-4FE5-9EA9-0D69A0EA267D}" name="Always Use Displacement Method for Co-Product?" dataDxfId="57" dataCellStyle="Percent">
      <calculatedColumnFormula>IF(Table1818[[#This Row],[Type]]="Co-product", "No", "")</calculatedColumnFormula>
    </tableColumn>
    <tableColumn id="19" xr3:uid="{F02337F0-BEF8-4B6F-A70C-38D276D32A5C}" name="Urban Share" dataDxfId="56" dataCellStyle="Percent"/>
    <tableColumn id="10" xr3:uid="{08EA2DB1-0816-47B4-9E88-9B0E1A7C5311}" name="Product Train" dataDxfId="55"/>
    <tableColumn id="14" xr3:uid="{91874D35-FDEE-447E-A9F1-A50332EDE6EC}" name="Payload" dataDxfId="54">
      <calculatedColumnFormula>IF(Table1818[[#This Row],[Category]]="Transportation", _xlfn.XLOOKUP(Table1818[[#This Row],[Resource]], 'SI - Payload'!$A$10:$A$40,'SI - Payload'!$B$10:$B$40,"",0), "")</calculatedColumnFormula>
    </tableColumn>
    <tableColumn id="15" xr3:uid="{3D104EDC-0CCA-4FFC-81F0-C64DF349005A}" name="Payload Unit" dataDxfId="53">
      <calculatedColumnFormula>IF(Table1818[[#This Row],[Category]]="Transportation", "ton", "")</calculatedColumnFormula>
    </tableColumn>
    <tableColumn id="16" xr3:uid="{99A49E56-8EFB-429C-AEF3-60DFF4D32FFD}" name="Market Price" dataDxfId="52"/>
    <tableColumn id="17" xr3:uid="{B10C8E77-22D6-4EB8-82DB-5E52E3840937}" name="Market Price Unit" dataDxfId="51"/>
    <tableColumn id="12" xr3:uid="{DEAA72B1-51BF-4A07-B490-7EC8362A01C8}" name="Incumbent Product" dataDxfId="50">
      <calculatedColumnFormula>IF(OR(Table1818[[#This Row],[Type]]="Main Product", Table1818[[#This Row],[Type]]="Co-Product"), Table1818[[#This Row],[Resource]], "")</calculatedColumnFormula>
    </tableColumn>
    <tableColumn id="13" xr3:uid="{9CCD8254-3257-443C-8C35-E3E2E647EB53}" name="End Use of Incumbent Product" dataDxfId="49">
      <calculatedColumnFormula>IF(_xlfn.XLOOKUP($P6,'SI - End Use'!$B$2:$B$9,'SI - End Use'!$C$2:$C$9, "")="", "", _xlfn.XLOOKUP($C6,'SI - End Use'!$B$2:$B$9,'SI - End Use'!$C$2:$C$9, ""))</calculatedColumnFormula>
    </tableColumn>
    <tableColumn id="20" xr3:uid="{DC27B139-4773-4054-A49B-DDA0DC6B91E4}" name="Surrogate For" dataDxfId="48"/>
    <tableColumn id="18" xr3:uid="{4EF456C6-74D7-4B14-A67A-92138AF79E7A}" name="Process" dataDxfId="47"/>
    <tableColumn id="11" xr3:uid="{8425C9D8-9A88-4E3F-B46E-A275AE827E5E}" name="Note"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A4E710-F9FB-4436-8E8B-01EEF83B669E}" name="Table11219" displayName="Table11219" ref="A5:T100" totalsRowShown="0" headerRowDxfId="45" dataDxfId="44" tableBorderDxfId="43" dataCellStyle="Percent">
  <autoFilter ref="A5:T100" xr:uid="{1644AED8-49DE-4A1D-989C-1566C9A522B9}"/>
  <tableColumns count="20">
    <tableColumn id="1" xr3:uid="{EA7BB92B-3969-4641-918E-9B7E83B44735}" name="Type" dataDxfId="42"/>
    <tableColumn id="2" xr3:uid="{4783367A-0F76-4174-8F9C-89AC9FA603D0}" name="Category" dataDxfId="41"/>
    <tableColumn id="3" xr3:uid="{C57867D1-D301-40E0-88DB-64B4A2A46E39}" name="Resource" dataDxfId="40">
      <calculatedColumnFormula>_xlfn.XLOOKUP($B6,'SI - Resources'!$A$1:$J$1,'SI - Resources'!$A$2:$J$2, "")</calculatedColumnFormula>
    </tableColumn>
    <tableColumn id="4" xr3:uid="{298EF10F-A22B-4112-AD76-6192D35D0D8C}" name="End Use" dataDxfId="39">
      <calculatedColumnFormula>IF(_xlfn.XLOOKUP($C6,'SI - End Use'!$B$2:$B$9,'SI - End Use'!$C$2:$C$9, "")="", "", _xlfn.XLOOKUP($C6,'SI - End Use'!$B$2:$B$9,'SI - End Use'!$C$2:$C$9, ""))</calculatedColumnFormula>
    </tableColumn>
    <tableColumn id="5" xr3:uid="{F820DA5B-BDF1-4AEF-B55F-94725EC02545}" name="Amount" dataDxfId="38" dataCellStyle="Comma"/>
    <tableColumn id="6" xr3:uid="{829174A1-F532-431D-B052-203D6D8F8418}" name="Unit" dataDxfId="37">
      <calculatedColumnFormula array="1">IF($B6="Transportation",  'SI - Units'!$B$10:$B$10, _xlfn.XLOOKUP(_xlfn.XLOOKUP($C6,'SI - Units'!$B$25:$B$113,'SI - Units'!$C$25:$C$113, ""),'SI - Units'!$A$2:$A$9,'SI - Units'!$B$2:$B$9, ""))</calculatedColumnFormula>
    </tableColumn>
    <tableColumn id="7" xr3:uid="{9B77EBC1-DA02-43E4-BE61-CB4E01EC3BF8}" name="Moisture" dataDxfId="36" dataCellStyle="Percent"/>
    <tableColumn id="8" xr3:uid="{C525DC53-B181-4554-8784-83EDA57E800B}" name="Previous Stage" dataDxfId="35" dataCellStyle="Percent"/>
    <tableColumn id="9" xr3:uid="{F2E04BDC-E6A2-46ED-B8F5-93206BAAD24C}" name="Always Use Displacement Method for Co-Product?" dataDxfId="34" dataCellStyle="Percent">
      <calculatedColumnFormula>IF(Table11219[[#This Row],[Type]]="Co-product", "No", "")</calculatedColumnFormula>
    </tableColumn>
    <tableColumn id="19" xr3:uid="{49CBBBE4-253B-461A-91E3-86D5445C0DCA}" name="Urban Share" dataDxfId="33" dataCellStyle="Percent"/>
    <tableColumn id="10" xr3:uid="{61C5E5AE-FB14-4043-A6E7-0DFAFEBD5A30}" name="Product Train" dataDxfId="32"/>
    <tableColumn id="14" xr3:uid="{51662FE9-E6C6-4606-8951-266D95737E09}" name="Payload" dataDxfId="31">
      <calculatedColumnFormula>IF(Table11219[[#This Row],[Category]]="Transportation", _xlfn.XLOOKUP(Table11219[[#This Row],[Resource]], 'SI - Payload'!$A$10:$A$40,'SI - Payload'!$B$10:$B$40,"",0), "")</calculatedColumnFormula>
    </tableColumn>
    <tableColumn id="15" xr3:uid="{EDEC7FCB-1DB8-441C-9484-D30237CD46CE}" name="Payload Unit" dataDxfId="30">
      <calculatedColumnFormula>IF(Table11219[[#This Row],[Category]]="Transportation", "ton", "")</calculatedColumnFormula>
    </tableColumn>
    <tableColumn id="16" xr3:uid="{622F426D-CD19-4EBE-9111-480C777CAE12}" name="Market Price" dataDxfId="29"/>
    <tableColumn id="17" xr3:uid="{FF887111-971E-42B8-BB75-1F23E257AE83}" name="Market Price Unit" dataDxfId="28"/>
    <tableColumn id="12" xr3:uid="{BF3EA6FB-1B07-4346-9F27-CA7E89D777FB}" name="Incumbent Product" dataDxfId="27">
      <calculatedColumnFormula>IF(OR(Table11219[[#This Row],[Type]]="Main Product", Table11219[[#This Row],[Type]]="Co-Product"), Table11219[[#This Row],[Resource]], "")</calculatedColumnFormula>
    </tableColumn>
    <tableColumn id="13" xr3:uid="{3431706D-9DDA-44C5-B553-13843570A947}" name="End Use of Incumbent Product" dataDxfId="26">
      <calculatedColumnFormula>IF(_xlfn.XLOOKUP($P6,'SI - End Use'!$B$2:$B$9,'SI - End Use'!$C$2:$C$9, "")="", "", _xlfn.XLOOKUP($C6,'SI - End Use'!$B$2:$B$9,'SI - End Use'!$C$2:$C$9, ""))</calculatedColumnFormula>
    </tableColumn>
    <tableColumn id="20" xr3:uid="{0AC30DD2-C725-496F-98A4-A708F53862A5}" name="Surrogate For" dataDxfId="25"/>
    <tableColumn id="18" xr3:uid="{721E5177-6C37-4677-89E8-20222CE0E9CE}" name="Process" dataDxfId="24"/>
    <tableColumn id="11" xr3:uid="{DF464A11-6FE6-415E-8A76-245038F0E259}" name="Note" dataDxfId="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F4775C-D1E8-4350-AB48-07F104E57C81}" name="Table11320" displayName="Table11320" ref="A5:T99" totalsRowShown="0" headerRowDxfId="22" dataDxfId="21" tableBorderDxfId="20" dataCellStyle="Percent">
  <autoFilter ref="A5:T99" xr:uid="{1644AED8-49DE-4A1D-989C-1566C9A522B9}"/>
  <tableColumns count="20">
    <tableColumn id="1" xr3:uid="{418D13C7-3A5B-4CFE-9983-F8081DE473E7}" name="Type" dataDxfId="19"/>
    <tableColumn id="2" xr3:uid="{21B18C84-7049-41DA-9B87-7EEF6856C726}" name="Category" dataDxfId="18"/>
    <tableColumn id="3" xr3:uid="{5A4A9FC1-E612-441E-9383-0305EE1B428A}" name="Resource" dataDxfId="17">
      <calculatedColumnFormula>_xlfn.XLOOKUP($B6,'SI - Resources'!$A$1:$J$1,'SI - Resources'!$A$2:$J$2, "")</calculatedColumnFormula>
    </tableColumn>
    <tableColumn id="4" xr3:uid="{74A49F13-C2A3-4957-BE37-9B10F7B149CF}" name="End Use" dataDxfId="16">
      <calculatedColumnFormula>IF(_xlfn.XLOOKUP($C6,'SI - End Use'!$B$2:$B$9,'SI - End Use'!$C$2:$C$9, "")="", "", _xlfn.XLOOKUP($C6,'SI - End Use'!$B$2:$B$9,'SI - End Use'!$C$2:$C$9, ""))</calculatedColumnFormula>
    </tableColumn>
    <tableColumn id="5" xr3:uid="{3E3B2111-D9C7-4922-AC48-381929253AF6}" name="Amount" dataDxfId="15" dataCellStyle="Comma"/>
    <tableColumn id="6" xr3:uid="{62D39AFD-4EA3-447F-99D8-FA790D5C3B0F}" name="Unit" dataDxfId="14">
      <calculatedColumnFormula array="1">IF($B6="Transportation",  'SI - Units'!$B$10:$B$10, _xlfn.XLOOKUP(_xlfn.XLOOKUP($C6,'SI - Units'!$B$25:$B$113,'SI - Units'!$C$25:$C$113, ""),'SI - Units'!$A$2:$A$9,'SI - Units'!$B$2:$B$9, ""))</calculatedColumnFormula>
    </tableColumn>
    <tableColumn id="7" xr3:uid="{6F52C3AF-5414-4251-9E26-DAA6807B12EB}" name="Moisture" dataDxfId="13" dataCellStyle="Percent"/>
    <tableColumn id="8" xr3:uid="{B85E9DAE-314B-4740-BC07-941C8B2A6D8C}" name="Previous Stage" dataDxfId="12" dataCellStyle="Percent"/>
    <tableColumn id="9" xr3:uid="{BC3CF890-7DFD-474C-9ABF-F3DF6E5D74E5}" name="Always Use Displacement Method for Co-Product?" dataDxfId="11" dataCellStyle="Percent">
      <calculatedColumnFormula>IF(Table11320[[#This Row],[Type]]="Co-product", "No", "")</calculatedColumnFormula>
    </tableColumn>
    <tableColumn id="19" xr3:uid="{81A98F78-8036-422C-ACE5-45D3E10D2236}" name="Urban Share" dataDxfId="10" dataCellStyle="Percent"/>
    <tableColumn id="10" xr3:uid="{79E4E1D6-92E3-4A0B-856D-4380794CD0F5}" name="Product Train" dataDxfId="9"/>
    <tableColumn id="14" xr3:uid="{AA11F470-D754-4B9B-BB05-3619FA95FEC3}" name="Payload" dataDxfId="8">
      <calculatedColumnFormula>IF(Table11320[[#This Row],[Category]]="Transportation", _xlfn.XLOOKUP(Table11320[[#This Row],[Resource]], 'SI - Payload'!$A$10:$A$40,'SI - Payload'!$B$10:$B$40,"",0), "")</calculatedColumnFormula>
    </tableColumn>
    <tableColumn id="15" xr3:uid="{69AA4EEE-CE4D-4E56-B77F-EC118DF34228}" name="Payload Unit" dataDxfId="7">
      <calculatedColumnFormula>IF(Table11320[[#This Row],[Category]]="Transportation", "ton", "")</calculatedColumnFormula>
    </tableColumn>
    <tableColumn id="16" xr3:uid="{2692AA5D-A34F-4787-91A1-86174CCDD92B}" name="Market Price" dataDxfId="6"/>
    <tableColumn id="17" xr3:uid="{8996E3F5-488A-4DE2-875D-D472DABD0AF1}" name="Market Price Unit" dataDxfId="5"/>
    <tableColumn id="12" xr3:uid="{F182DDE2-C74B-42E8-8EB4-CA7779D6D663}" name="Incumbent Product" dataDxfId="4">
      <calculatedColumnFormula>IF(OR(Table11320[[#This Row],[Type]]="Main Product", Table11320[[#This Row],[Type]]="Co-Product"), Table11320[[#This Row],[Resource]], "")</calculatedColumnFormula>
    </tableColumn>
    <tableColumn id="13" xr3:uid="{DA769CDE-30ED-4128-8385-42FAB6422F58}" name="End Use of Incumbent Product" dataDxfId="3">
      <calculatedColumnFormula>IF(_xlfn.XLOOKUP($P6,'SI - End Use'!$B$2:$B$9,'SI - End Use'!$C$2:$C$9, "")="", "", _xlfn.XLOOKUP($C6,'SI - End Use'!$B$2:$B$9,'SI - End Use'!$C$2:$C$9, ""))</calculatedColumnFormula>
    </tableColumn>
    <tableColumn id="20" xr3:uid="{9DF6F556-9822-4B10-A858-83AEC5FA15FD}" name="Surrogate For" dataDxfId="2"/>
    <tableColumn id="18" xr3:uid="{EB24991A-B154-4218-8D21-5FCB6D28C8CB}" name="Process" dataDxfId="1"/>
    <tableColumn id="11" xr3:uid="{D84F880D-A11E-4490-8981-BD4808E50AC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table" Target="../tables/table17.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B16" sqref="B16"/>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4" t="s">
        <v>261</v>
      </c>
      <c r="B2" s="64"/>
    </row>
    <row r="3" spans="1:3" ht="29.1" customHeight="1" x14ac:dyDescent="0.25">
      <c r="A3" s="66" t="s">
        <v>274</v>
      </c>
      <c r="B3" s="66"/>
    </row>
    <row r="4" spans="1:3" ht="27.95" customHeight="1" x14ac:dyDescent="0.25">
      <c r="A4" s="19"/>
      <c r="B4" s="19"/>
    </row>
    <row r="5" spans="1:3" ht="27.95" customHeight="1" x14ac:dyDescent="0.25">
      <c r="A5" s="65" t="s">
        <v>260</v>
      </c>
      <c r="B5" s="65"/>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Units'!$B$25:$B$113,'SI - Units'!$C$25:$C$113),'SI - Units'!$A$2:$A$9,'SI - Units'!$B$2:$R$9)</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Use'!$B$2:$B$9,'SI - End Use'!$C$2:$C$9, "")="", "", _xlfn.XLOOKUP($C6,'SI - End Use'!$B$2:$B$9,'SI - End Use'!$C$2:$C$9, ""))</f>
        <v/>
      </c>
      <c r="E6" s="12"/>
      <c r="F6" s="6" t="str" cm="1">
        <f t="array" ref="F6">IF($B6="Transportation",  'SI - Units'!$B$10:$B$10, _xlfn.XLOOKUP(_xlfn.XLOOKUP($C6,'SI - Units'!$B$25:$B$113,'SI - Units'!$C$25:$C$113, ""),'SI - Units'!$A$2:$A$9,'SI - Units'!$B$2:$B$9,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Use'!$B$2:$B$9,'SI - End Use'!$C$2:$C$9, "")="", "", _xlfn.XLOOKUP($C6,'SI - End Use'!$B$2:$B$9,'SI - End Use'!$C$2:$C$9, ""))</f>
        <v/>
      </c>
      <c r="R6" s="6"/>
      <c r="S6" s="6"/>
      <c r="T6" s="6"/>
    </row>
    <row r="7" spans="1:20" x14ac:dyDescent="0.25">
      <c r="A7" s="6"/>
      <c r="B7" s="6"/>
      <c r="C7" s="6" t="str">
        <f>_xlfn.XLOOKUP($B7,'SI - Resources'!$A$1:$J$1,'SI - Resources'!$A$2:$J$2, "")</f>
        <v/>
      </c>
      <c r="D7" s="6" t="str">
        <f>IF(_xlfn.XLOOKUP($C7,'SI - End Use'!$B$2:$B$9,'SI - End Use'!$C$2:$C$9, "")="", "", _xlfn.XLOOKUP($C7,'SI - End Use'!$B$2:$B$9,'SI - End Use'!$C$2:$C$9, ""))</f>
        <v/>
      </c>
      <c r="E7" s="12"/>
      <c r="F7" s="6" t="str" cm="1">
        <f t="array" ref="F7">IF($B7="Transportation",  'SI - Units'!$B$10:$B$10, _xlfn.XLOOKUP(_xlfn.XLOOKUP($C7,'SI - Units'!$B$25:$B$113,'SI - Units'!$C$25:$C$113, ""),'SI - Units'!$A$2:$A$9,'SI - Units'!$B$2:$B$9,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Use'!$B$2:$B$9,'SI - End Use'!$C$2:$C$9, "")="", "", _xlfn.XLOOKUP($C7,'SI - End Use'!$B$2:$B$9,'SI - End Use'!$C$2:$C$9, ""))</f>
        <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Use'!$B$2:$B$9,'SI - End Use'!$C$2:$C$9, "")="", "", _xlfn.XLOOKUP($C100,'SI - End Use'!$B$2:$B$9,'SI - End Use'!$C$2:$C$9,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Use'!$A$14:$A$23,'SI - End Use'!$B$14:$B$23,"other_end_use",0))</xm:f>
          </x14:formula1>
          <xm:sqref>D6:D100</xm:sqref>
        </x14:dataValidation>
        <x14:dataValidation type="list" allowBlank="1" showInputMessage="1" showErrorMessage="1" xr:uid="{DC2C16C8-CE07-4FE6-9DEE-2F41BAAE693C}">
          <x14:formula1>
            <xm:f>INDIRECT(_xlfn.XLOOKUP($P6,'SI - End Use'!$A$14:$A$23,'SI - End Use'!$B$14:$B$23,"other_end_use",0))</xm:f>
          </x14:formula1>
          <xm:sqref>Q6:R100</xm:sqref>
        </x14:dataValidation>
        <x14:dataValidation type="list" allowBlank="1" showInputMessage="1" showErrorMessage="1" xr:uid="{CE4F3BE5-4A30-4B88-911F-8304175FD33C}">
          <x14:formula1>
            <xm:f>IF($B6="Transportation",  transport_units, INDIRECT(_xlfn.XLOOKUP($C6, 'SI - Units'!$F$27:$F$41,'SI - Units'!$G$27:$G$41,"mass",0)))</xm:f>
          </x14:formula1>
          <xm:sqref>F6:F100</xm:sqref>
        </x14:dataValidation>
        <x14:dataValidation type="list" allowBlank="1" showInputMessage="1" showErrorMessage="1" xr:uid="{05496563-CC83-4996-B1CE-3FED2D55798A}">
          <x14:formula1>
            <xm:f>INDIRECT("p_"&amp;_xlfn.XLOOKUP($C6,'SI - Units'!$F$27:$F$41,'SI - Units'!$G$27:$G$41,"mass",0))</xm:f>
          </x14:formula1>
          <xm:sqref>O6:O100</xm:sqref>
        </x14:dataValidation>
        <x14:dataValidation type="list" allowBlank="1" showInputMessage="1" showErrorMessage="1" xr:uid="{14BD51AA-663B-4E5D-AB66-8F9036F958FC}">
          <x14:formula1>
            <xm:f>_xlfn.XLOOKUP(_xlfn.XLOOKUP(#REF!,'SI - Units'!$B$25:$B$113,'SI - Units'!$C$25:$C$113),'SI - Units'!$A$2:$A$9,'SI - Units'!$B$2:$R$9)</xm:f>
          </x14:formula1>
          <xm:sqref>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S1" workbookViewId="0">
      <selection activeCell="AU1" sqref="AU1"/>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344</v>
      </c>
      <c r="B13" s="50">
        <f>BQ4</f>
        <v>17.62</v>
      </c>
    </row>
    <row r="14" spans="1:78" x14ac:dyDescent="0.25">
      <c r="A14" t="s">
        <v>2</v>
      </c>
      <c r="B14" s="50">
        <f>D4</f>
        <v>25</v>
      </c>
    </row>
    <row r="15" spans="1:78" x14ac:dyDescent="0.25">
      <c r="A15" t="s">
        <v>22</v>
      </c>
      <c r="B15" s="51">
        <f>Q4</f>
        <v>0.4</v>
      </c>
    </row>
    <row r="16" spans="1:78" x14ac:dyDescent="0.25">
      <c r="A16" t="s">
        <v>71</v>
      </c>
      <c r="B16" s="50">
        <f>W4</f>
        <v>25</v>
      </c>
    </row>
    <row r="17" spans="1:2" x14ac:dyDescent="0.25">
      <c r="A17" t="s">
        <v>276</v>
      </c>
      <c r="B17" s="50">
        <f>W4</f>
        <v>25</v>
      </c>
    </row>
    <row r="18" spans="1:2" x14ac:dyDescent="0.25">
      <c r="A18" t="s">
        <v>277</v>
      </c>
      <c r="B18" s="50">
        <f>W4</f>
        <v>25</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72"/>
  <sheetViews>
    <sheetView workbookViewId="0">
      <selection activeCell="C6" sqref="C6:C7"/>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344</v>
      </c>
      <c r="C3" s="1" t="s">
        <v>24</v>
      </c>
      <c r="E3" s="1" t="s">
        <v>14</v>
      </c>
      <c r="G3" t="s">
        <v>284</v>
      </c>
      <c r="H3" t="s">
        <v>344</v>
      </c>
      <c r="I3" t="s">
        <v>183</v>
      </c>
      <c r="J3" t="s">
        <v>219</v>
      </c>
      <c r="R3" t="s">
        <v>244</v>
      </c>
      <c r="S3" t="s">
        <v>326</v>
      </c>
    </row>
    <row r="4" spans="1:19" x14ac:dyDescent="0.25">
      <c r="A4" t="s">
        <v>288</v>
      </c>
      <c r="C4" s="1" t="s">
        <v>22</v>
      </c>
      <c r="D4" s="1"/>
      <c r="E4" s="1" t="s">
        <v>51</v>
      </c>
      <c r="G4" t="s">
        <v>285</v>
      </c>
      <c r="H4" t="s">
        <v>239</v>
      </c>
      <c r="I4" t="s">
        <v>243</v>
      </c>
      <c r="J4" t="s">
        <v>220</v>
      </c>
      <c r="R4" t="s">
        <v>3</v>
      </c>
      <c r="S4" t="s">
        <v>323</v>
      </c>
    </row>
    <row r="5" spans="1:19" x14ac:dyDescent="0.25">
      <c r="A5" t="s">
        <v>168</v>
      </c>
      <c r="C5" s="1" t="s">
        <v>309</v>
      </c>
      <c r="D5" s="1"/>
      <c r="E5" s="1" t="s">
        <v>36</v>
      </c>
      <c r="G5" t="s">
        <v>286</v>
      </c>
      <c r="H5" t="s">
        <v>243</v>
      </c>
      <c r="J5" t="s">
        <v>221</v>
      </c>
      <c r="R5" t="s">
        <v>37</v>
      </c>
      <c r="S5" t="s">
        <v>327</v>
      </c>
    </row>
    <row r="6" spans="1:19" x14ac:dyDescent="0.25">
      <c r="C6" t="s">
        <v>371</v>
      </c>
      <c r="E6" s="1" t="s">
        <v>13</v>
      </c>
      <c r="H6" t="s">
        <v>288</v>
      </c>
      <c r="J6" t="s">
        <v>222</v>
      </c>
      <c r="R6" t="s">
        <v>29</v>
      </c>
      <c r="S6" t="s">
        <v>324</v>
      </c>
    </row>
    <row r="7" spans="1:19" x14ac:dyDescent="0.25">
      <c r="C7" t="s">
        <v>370</v>
      </c>
      <c r="E7" s="1" t="s">
        <v>235</v>
      </c>
      <c r="H7" t="s">
        <v>168</v>
      </c>
      <c r="J7" t="s">
        <v>223</v>
      </c>
      <c r="R7" t="s">
        <v>282</v>
      </c>
      <c r="S7" t="s">
        <v>328</v>
      </c>
    </row>
    <row r="8" spans="1:19" x14ac:dyDescent="0.25">
      <c r="C8" t="s">
        <v>71</v>
      </c>
      <c r="E8" s="1" t="s">
        <v>25</v>
      </c>
      <c r="J8" t="s">
        <v>224</v>
      </c>
      <c r="R8" t="s">
        <v>33</v>
      </c>
      <c r="S8" t="s">
        <v>333</v>
      </c>
    </row>
    <row r="9" spans="1:19" x14ac:dyDescent="0.25">
      <c r="C9" t="s">
        <v>276</v>
      </c>
      <c r="E9" s="1" t="s">
        <v>279</v>
      </c>
      <c r="J9" t="s">
        <v>225</v>
      </c>
      <c r="R9" t="s">
        <v>217</v>
      </c>
      <c r="S9" t="s">
        <v>325</v>
      </c>
    </row>
    <row r="10" spans="1:19" x14ac:dyDescent="0.25">
      <c r="C10" t="s">
        <v>277</v>
      </c>
      <c r="E10" s="1" t="s">
        <v>15</v>
      </c>
      <c r="J10" t="s">
        <v>226</v>
      </c>
      <c r="R10" t="s">
        <v>245</v>
      </c>
      <c r="S10" t="s">
        <v>329</v>
      </c>
    </row>
    <row r="11" spans="1:19" x14ac:dyDescent="0.25">
      <c r="C11" t="s">
        <v>312</v>
      </c>
      <c r="E11" s="1" t="s">
        <v>16</v>
      </c>
      <c r="J11" t="s">
        <v>227</v>
      </c>
    </row>
    <row r="12" spans="1:19" x14ac:dyDescent="0.25">
      <c r="C12" t="s">
        <v>313</v>
      </c>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360</v>
      </c>
    </row>
    <row r="24" spans="5:5" x14ac:dyDescent="0.25">
      <c r="E24" s="1" t="s">
        <v>21</v>
      </c>
    </row>
    <row r="25" spans="5:5" x14ac:dyDescent="0.25">
      <c r="E25" s="1" t="s">
        <v>106</v>
      </c>
    </row>
    <row r="26" spans="5:5" x14ac:dyDescent="0.25">
      <c r="E26" t="s">
        <v>287</v>
      </c>
    </row>
    <row r="27" spans="5:5" x14ac:dyDescent="0.25">
      <c r="E27" s="1" t="s">
        <v>289</v>
      </c>
    </row>
    <row r="28" spans="5:5" x14ac:dyDescent="0.25">
      <c r="E28" s="1" t="s">
        <v>87</v>
      </c>
    </row>
    <row r="29" spans="5:5" x14ac:dyDescent="0.25">
      <c r="E29" s="1" t="s">
        <v>15</v>
      </c>
    </row>
    <row r="30" spans="5:5" x14ac:dyDescent="0.25">
      <c r="E30" s="1" t="s">
        <v>290</v>
      </c>
    </row>
    <row r="31" spans="5:5" x14ac:dyDescent="0.25">
      <c r="E31" s="58" t="s">
        <v>291</v>
      </c>
    </row>
    <row r="32" spans="5:5" x14ac:dyDescent="0.25">
      <c r="E32" s="58" t="s">
        <v>292</v>
      </c>
    </row>
    <row r="33" spans="5:14" x14ac:dyDescent="0.25">
      <c r="E33" s="34" t="s">
        <v>350</v>
      </c>
    </row>
    <row r="34" spans="5:14" x14ac:dyDescent="0.25">
      <c r="E34" s="34" t="s">
        <v>351</v>
      </c>
      <c r="N34" s="34"/>
    </row>
    <row r="35" spans="5:14" x14ac:dyDescent="0.25">
      <c r="E35" s="34" t="s">
        <v>352</v>
      </c>
      <c r="N35" s="34"/>
    </row>
    <row r="36" spans="5:14" x14ac:dyDescent="0.25">
      <c r="E36" s="34" t="s">
        <v>353</v>
      </c>
      <c r="N36" s="34"/>
    </row>
    <row r="37" spans="5:14" x14ac:dyDescent="0.25">
      <c r="E37" s="34" t="s">
        <v>354</v>
      </c>
      <c r="N37" s="34"/>
    </row>
    <row r="38" spans="5:14" x14ac:dyDescent="0.25">
      <c r="E38" s="34" t="s">
        <v>355</v>
      </c>
      <c r="N38" s="34"/>
    </row>
    <row r="39" spans="5:14" x14ac:dyDescent="0.25">
      <c r="E39" s="34" t="s">
        <v>356</v>
      </c>
      <c r="N39" s="34"/>
    </row>
    <row r="40" spans="5:14" x14ac:dyDescent="0.25">
      <c r="E40" s="34" t="s">
        <v>357</v>
      </c>
      <c r="N40" s="34"/>
    </row>
    <row r="41" spans="5:14" x14ac:dyDescent="0.25">
      <c r="E41" s="34" t="s">
        <v>358</v>
      </c>
      <c r="N41" s="34"/>
    </row>
    <row r="42" spans="5:14" x14ac:dyDescent="0.25">
      <c r="E42" s="34" t="s">
        <v>359</v>
      </c>
      <c r="N42" s="34"/>
    </row>
    <row r="43" spans="5:14" x14ac:dyDescent="0.25">
      <c r="E43" s="34" t="s">
        <v>361</v>
      </c>
      <c r="N43" s="34"/>
    </row>
    <row r="44" spans="5:14" x14ac:dyDescent="0.25">
      <c r="E44" s="59" t="s">
        <v>293</v>
      </c>
    </row>
    <row r="45" spans="5:14" x14ac:dyDescent="0.25">
      <c r="E45" s="59" t="s">
        <v>294</v>
      </c>
    </row>
    <row r="46" spans="5:14" x14ac:dyDescent="0.25">
      <c r="E46" s="59" t="s">
        <v>295</v>
      </c>
    </row>
    <row r="47" spans="5:14" x14ac:dyDescent="0.25">
      <c r="E47" s="59" t="s">
        <v>296</v>
      </c>
    </row>
    <row r="48" spans="5:14" x14ac:dyDescent="0.25">
      <c r="E48" s="63" t="s">
        <v>362</v>
      </c>
    </row>
    <row r="49" spans="5:5" x14ac:dyDescent="0.25">
      <c r="E49" s="63" t="s">
        <v>363</v>
      </c>
    </row>
    <row r="50" spans="5:5" x14ac:dyDescent="0.25">
      <c r="E50" s="63" t="s">
        <v>364</v>
      </c>
    </row>
    <row r="51" spans="5:5" x14ac:dyDescent="0.25">
      <c r="E51" s="63" t="s">
        <v>365</v>
      </c>
    </row>
    <row r="52" spans="5:5" x14ac:dyDescent="0.25">
      <c r="E52" s="63" t="s">
        <v>366</v>
      </c>
    </row>
    <row r="53" spans="5:5" x14ac:dyDescent="0.25">
      <c r="E53" s="63" t="s">
        <v>367</v>
      </c>
    </row>
    <row r="54" spans="5:5" x14ac:dyDescent="0.25">
      <c r="E54" s="63" t="s">
        <v>368</v>
      </c>
    </row>
    <row r="55" spans="5:5" x14ac:dyDescent="0.25">
      <c r="E55" s="63" t="s">
        <v>369</v>
      </c>
    </row>
    <row r="56" spans="5:5" x14ac:dyDescent="0.25">
      <c r="E56" s="59" t="s">
        <v>297</v>
      </c>
    </row>
    <row r="57" spans="5:5" x14ac:dyDescent="0.25">
      <c r="E57" s="59" t="s">
        <v>298</v>
      </c>
    </row>
    <row r="58" spans="5:5" x14ac:dyDescent="0.25">
      <c r="E58" s="59" t="s">
        <v>299</v>
      </c>
    </row>
    <row r="59" spans="5:5" x14ac:dyDescent="0.25">
      <c r="E59" s="59" t="s">
        <v>300</v>
      </c>
    </row>
    <row r="60" spans="5:5" x14ac:dyDescent="0.25">
      <c r="E60" s="59" t="s">
        <v>301</v>
      </c>
    </row>
    <row r="61" spans="5:5" x14ac:dyDescent="0.25">
      <c r="E61" s="59" t="s">
        <v>302</v>
      </c>
    </row>
    <row r="62" spans="5:5" x14ac:dyDescent="0.25">
      <c r="E62" s="59" t="s">
        <v>303</v>
      </c>
    </row>
    <row r="63" spans="5:5" x14ac:dyDescent="0.25">
      <c r="E63" s="59" t="s">
        <v>304</v>
      </c>
    </row>
    <row r="64" spans="5:5" x14ac:dyDescent="0.25">
      <c r="E64" s="59" t="s">
        <v>305</v>
      </c>
    </row>
    <row r="65" spans="5:5" x14ac:dyDescent="0.25">
      <c r="E65" s="59" t="s">
        <v>306</v>
      </c>
    </row>
    <row r="66" spans="5:5" x14ac:dyDescent="0.25">
      <c r="E66" s="59" t="s">
        <v>307</v>
      </c>
    </row>
    <row r="67" spans="5:5" x14ac:dyDescent="0.25">
      <c r="E67" s="59" t="s">
        <v>308</v>
      </c>
    </row>
    <row r="68" spans="5:5" x14ac:dyDescent="0.25">
      <c r="E68" s="59" t="s">
        <v>310</v>
      </c>
    </row>
    <row r="69" spans="5:5" x14ac:dyDescent="0.25">
      <c r="E69" s="59" t="s">
        <v>311</v>
      </c>
    </row>
    <row r="70" spans="5:5" x14ac:dyDescent="0.25">
      <c r="E70" s="1" t="s">
        <v>315</v>
      </c>
    </row>
    <row r="71" spans="5:5" x14ac:dyDescent="0.25">
      <c r="E71" s="1" t="s">
        <v>316</v>
      </c>
    </row>
    <row r="72" spans="5:5" x14ac:dyDescent="0.25">
      <c r="E72"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23"/>
  <sheetViews>
    <sheetView topLeftCell="A2" workbookViewId="0">
      <selection activeCell="C8" sqref="C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B5" s="3" t="s">
        <v>371</v>
      </c>
      <c r="C5" t="s">
        <v>39</v>
      </c>
      <c r="E5" s="3"/>
      <c r="F5" s="5"/>
      <c r="G5" s="5"/>
      <c r="H5" s="5"/>
      <c r="I5" s="5"/>
      <c r="J5" s="5"/>
      <c r="K5" s="5"/>
      <c r="L5" s="3"/>
      <c r="M5" s="3"/>
      <c r="N5" s="3"/>
      <c r="O5" s="3"/>
    </row>
    <row r="6" spans="1:15" x14ac:dyDescent="0.25">
      <c r="B6" s="3" t="s">
        <v>370</v>
      </c>
      <c r="C6" t="s">
        <v>39</v>
      </c>
      <c r="E6" s="3"/>
      <c r="F6" s="5"/>
      <c r="G6" s="5"/>
      <c r="H6" s="5"/>
      <c r="I6" s="5"/>
      <c r="J6" s="5"/>
      <c r="K6" s="5"/>
      <c r="L6" s="3"/>
      <c r="M6" s="3"/>
      <c r="N6" s="3"/>
      <c r="O6" s="3"/>
    </row>
    <row r="7" spans="1:15" x14ac:dyDescent="0.25">
      <c r="A7" t="s">
        <v>3</v>
      </c>
      <c r="B7" s="3" t="s">
        <v>3</v>
      </c>
      <c r="C7" s="5" t="s">
        <v>10</v>
      </c>
      <c r="D7" s="5" t="s">
        <v>177</v>
      </c>
      <c r="E7" s="5" t="s">
        <v>72</v>
      </c>
      <c r="F7" s="5" t="s">
        <v>73</v>
      </c>
      <c r="G7" s="5" t="s">
        <v>74</v>
      </c>
      <c r="H7" s="5" t="s">
        <v>75</v>
      </c>
      <c r="I7" s="5" t="s">
        <v>76</v>
      </c>
      <c r="J7" s="5" t="s">
        <v>77</v>
      </c>
      <c r="K7" s="5" t="s">
        <v>78</v>
      </c>
      <c r="L7" s="5" t="s">
        <v>79</v>
      </c>
      <c r="M7" s="3" t="s">
        <v>80</v>
      </c>
      <c r="N7" s="3" t="s">
        <v>81</v>
      </c>
      <c r="O7" s="3" t="s">
        <v>82</v>
      </c>
    </row>
    <row r="8" spans="1:15" x14ac:dyDescent="0.25">
      <c r="A8" t="s">
        <v>217</v>
      </c>
      <c r="B8" s="3" t="s">
        <v>183</v>
      </c>
      <c r="C8" t="s">
        <v>372</v>
      </c>
      <c r="E8" s="3"/>
      <c r="F8" s="5"/>
      <c r="G8" s="5"/>
      <c r="H8" s="5"/>
      <c r="I8" s="5"/>
      <c r="J8" s="5"/>
      <c r="K8" s="5"/>
      <c r="L8" s="5"/>
      <c r="M8" s="3"/>
      <c r="N8" s="3"/>
      <c r="O8" s="3"/>
    </row>
    <row r="9" spans="1:15" x14ac:dyDescent="0.25">
      <c r="B9" s="3" t="s">
        <v>217</v>
      </c>
    </row>
    <row r="14" spans="1:15" x14ac:dyDescent="0.25">
      <c r="A14" s="3" t="s">
        <v>2</v>
      </c>
      <c r="B14" s="3" t="s">
        <v>317</v>
      </c>
    </row>
    <row r="15" spans="1:15" x14ac:dyDescent="0.25">
      <c r="A15" s="3" t="s">
        <v>24</v>
      </c>
      <c r="B15" s="3" t="s">
        <v>318</v>
      </c>
    </row>
    <row r="16" spans="1:15" x14ac:dyDescent="0.25">
      <c r="A16" s="3" t="s">
        <v>71</v>
      </c>
      <c r="B16" s="3" t="s">
        <v>319</v>
      </c>
    </row>
    <row r="17" spans="1:2" x14ac:dyDescent="0.25">
      <c r="A17" s="3" t="s">
        <v>277</v>
      </c>
      <c r="B17" s="3" t="s">
        <v>319</v>
      </c>
    </row>
    <row r="18" spans="1:2" x14ac:dyDescent="0.25">
      <c r="A18" s="3" t="s">
        <v>312</v>
      </c>
      <c r="B18" s="3" t="s">
        <v>319</v>
      </c>
    </row>
    <row r="19" spans="1:2" x14ac:dyDescent="0.25">
      <c r="A19" s="3" t="s">
        <v>313</v>
      </c>
      <c r="B19" s="3" t="s">
        <v>319</v>
      </c>
    </row>
    <row r="20" spans="1:2" x14ac:dyDescent="0.25">
      <c r="A20" s="3" t="s">
        <v>371</v>
      </c>
      <c r="B20" s="3" t="s">
        <v>375</v>
      </c>
    </row>
    <row r="21" spans="1:2" x14ac:dyDescent="0.25">
      <c r="A21" s="3" t="s">
        <v>370</v>
      </c>
      <c r="B21" s="3" t="s">
        <v>374</v>
      </c>
    </row>
    <row r="22" spans="1:2" x14ac:dyDescent="0.25">
      <c r="A22" s="3" t="s">
        <v>183</v>
      </c>
      <c r="B22" s="3" t="s">
        <v>373</v>
      </c>
    </row>
    <row r="23" spans="1:2" x14ac:dyDescent="0.25">
      <c r="A23" s="3" t="s">
        <v>3</v>
      </c>
      <c r="B23"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13"/>
  <sheetViews>
    <sheetView topLeftCell="A3" workbookViewId="0">
      <selection activeCell="G35" sqref="G35"/>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376</v>
      </c>
      <c r="B8" s="3" t="s">
        <v>69</v>
      </c>
      <c r="C8" s="3" t="s">
        <v>70</v>
      </c>
      <c r="D8" s="3" t="s">
        <v>64</v>
      </c>
      <c r="E8" s="3" t="s">
        <v>65</v>
      </c>
      <c r="F8" s="3" t="s">
        <v>66</v>
      </c>
      <c r="G8" s="3" t="s">
        <v>67</v>
      </c>
      <c r="H8" s="3"/>
      <c r="I8" s="3"/>
    </row>
    <row r="9" spans="1:19" x14ac:dyDescent="0.25">
      <c r="A9" t="s">
        <v>3</v>
      </c>
      <c r="B9" s="3" t="s">
        <v>68</v>
      </c>
      <c r="C9" s="3" t="s">
        <v>69</v>
      </c>
      <c r="D9" s="3" t="s">
        <v>70</v>
      </c>
      <c r="E9" s="3" t="s">
        <v>67</v>
      </c>
      <c r="F9" s="3" t="s">
        <v>64</v>
      </c>
      <c r="G9" s="3" t="s">
        <v>65</v>
      </c>
      <c r="H9" s="3" t="s">
        <v>66</v>
      </c>
      <c r="I9" s="3"/>
      <c r="J9" s="3"/>
      <c r="K9" s="3"/>
    </row>
    <row r="10" spans="1:19" x14ac:dyDescent="0.25">
      <c r="A10" t="s">
        <v>33</v>
      </c>
      <c r="B10" s="3" t="s">
        <v>34</v>
      </c>
      <c r="C10" s="3" t="s">
        <v>109</v>
      </c>
      <c r="D10" s="3" t="s">
        <v>108</v>
      </c>
      <c r="E10" s="3" t="s">
        <v>110</v>
      </c>
      <c r="F10" s="3"/>
      <c r="G10" s="3"/>
      <c r="H10" s="3"/>
      <c r="I10" s="3"/>
    </row>
    <row r="11" spans="1:19" x14ac:dyDescent="0.25">
      <c r="A11" t="s">
        <v>133</v>
      </c>
      <c r="B11" s="3" t="s">
        <v>11</v>
      </c>
      <c r="C11" s="3" t="s">
        <v>246</v>
      </c>
      <c r="D11" s="3" t="s">
        <v>59</v>
      </c>
      <c r="E11" s="3" t="s">
        <v>58</v>
      </c>
      <c r="F11" s="3" t="s">
        <v>27</v>
      </c>
      <c r="G11" s="3"/>
      <c r="H11" s="3"/>
      <c r="I11" s="3"/>
    </row>
    <row r="12" spans="1:19" x14ac:dyDescent="0.25">
      <c r="B12" s="3"/>
      <c r="C12" s="3"/>
      <c r="D12" s="3"/>
      <c r="E12" s="3"/>
      <c r="F12" s="3"/>
      <c r="G12" s="3"/>
      <c r="H12" s="3"/>
      <c r="I12" s="3"/>
    </row>
    <row r="13" spans="1:19" x14ac:dyDescent="0.25">
      <c r="A13" t="s">
        <v>88</v>
      </c>
      <c r="B13" s="3" t="s">
        <v>89</v>
      </c>
      <c r="C13" s="3" t="s">
        <v>90</v>
      </c>
      <c r="D13" s="3" t="s">
        <v>91</v>
      </c>
      <c r="E13" s="3" t="s">
        <v>92</v>
      </c>
      <c r="F13" s="3" t="s">
        <v>93</v>
      </c>
      <c r="G13" s="3" t="s">
        <v>94</v>
      </c>
      <c r="H13" s="3" t="s">
        <v>95</v>
      </c>
      <c r="I13" s="3" t="s">
        <v>96</v>
      </c>
      <c r="J13" s="3" t="s">
        <v>97</v>
      </c>
      <c r="K13" s="3" t="s">
        <v>98</v>
      </c>
      <c r="L13" s="3" t="s">
        <v>99</v>
      </c>
      <c r="M13" s="3" t="s">
        <v>100</v>
      </c>
      <c r="N13" s="3" t="s">
        <v>101</v>
      </c>
      <c r="O13" s="3" t="s">
        <v>102</v>
      </c>
      <c r="P13" s="3" t="s">
        <v>103</v>
      </c>
      <c r="Q13" s="3" t="s">
        <v>104</v>
      </c>
      <c r="R13" s="3" t="s">
        <v>105</v>
      </c>
    </row>
    <row r="14" spans="1:19" x14ac:dyDescent="0.25">
      <c r="A14" t="s">
        <v>52</v>
      </c>
      <c r="B14" s="3" t="str">
        <f t="shared" ref="B14:R14" si="0">IF(B2&lt;&gt;"","$/"&amp;B2, "")</f>
        <v>$/BTU</v>
      </c>
      <c r="C14" s="3" t="str">
        <f t="shared" si="0"/>
        <v>$/mmBTU</v>
      </c>
      <c r="D14" s="3" t="str">
        <f t="shared" si="0"/>
        <v>$/kWh</v>
      </c>
      <c r="E14" s="3" t="str">
        <f t="shared" si="0"/>
        <v>$/J</v>
      </c>
      <c r="F14" s="3" t="str">
        <f t="shared" si="0"/>
        <v>$/kJ</v>
      </c>
      <c r="G14" s="3" t="str">
        <f t="shared" si="0"/>
        <v>$/MJ</v>
      </c>
      <c r="H14" s="3" t="str">
        <f t="shared" si="0"/>
        <v>$/Wh</v>
      </c>
      <c r="I14" s="3" t="str">
        <f t="shared" si="0"/>
        <v>$/kg</v>
      </c>
      <c r="J14" s="3" t="str">
        <f t="shared" si="0"/>
        <v>$/lb</v>
      </c>
      <c r="K14" s="3" t="str">
        <f t="shared" si="0"/>
        <v>$/g</v>
      </c>
      <c r="L14" s="3" t="str">
        <f t="shared" si="0"/>
        <v>$/ton</v>
      </c>
      <c r="M14" s="3" t="str">
        <f t="shared" si="0"/>
        <v>$/metric ton</v>
      </c>
      <c r="N14" s="3" t="str">
        <f t="shared" si="0"/>
        <v>$/gal</v>
      </c>
      <c r="O14" s="3" t="str">
        <f t="shared" si="0"/>
        <v>$/ft3</v>
      </c>
      <c r="P14" s="3" t="str">
        <f t="shared" si="0"/>
        <v>$/L</v>
      </c>
      <c r="Q14" s="3" t="str">
        <f t="shared" si="0"/>
        <v>$/ml</v>
      </c>
      <c r="R14" s="3" t="str">
        <f t="shared" si="0"/>
        <v>$/m3</v>
      </c>
    </row>
    <row r="15" spans="1:19" x14ac:dyDescent="0.25">
      <c r="A15" t="s">
        <v>53</v>
      </c>
      <c r="B15" s="3" t="str">
        <f t="shared" ref="B15:R15" si="1">IF(B3&lt;&gt;"","$/"&amp;B3, "")</f>
        <v>$/kg</v>
      </c>
      <c r="C15" s="3" t="str">
        <f t="shared" si="1"/>
        <v>$/lb</v>
      </c>
      <c r="D15" s="3" t="str">
        <f t="shared" si="1"/>
        <v>$/g</v>
      </c>
      <c r="E15" s="3" t="str">
        <f t="shared" si="1"/>
        <v>$/ton</v>
      </c>
      <c r="F15" s="3" t="str">
        <f t="shared" si="1"/>
        <v>$/metric ton</v>
      </c>
      <c r="G15" s="3" t="str">
        <f t="shared" si="1"/>
        <v>$/gal</v>
      </c>
      <c r="H15" s="3" t="str">
        <f t="shared" si="1"/>
        <v>$/ft3</v>
      </c>
      <c r="I15" s="3" t="str">
        <f t="shared" si="1"/>
        <v>$/L</v>
      </c>
      <c r="J15" s="3" t="str">
        <f t="shared" si="1"/>
        <v>$/ml</v>
      </c>
      <c r="K15" s="3" t="str">
        <f t="shared" si="1"/>
        <v>$/m3</v>
      </c>
      <c r="L15" s="3" t="str">
        <f t="shared" si="1"/>
        <v/>
      </c>
      <c r="M15" s="3" t="str">
        <f t="shared" si="1"/>
        <v/>
      </c>
      <c r="N15" s="3" t="str">
        <f t="shared" si="1"/>
        <v/>
      </c>
      <c r="O15" s="3" t="str">
        <f t="shared" si="1"/>
        <v/>
      </c>
      <c r="P15" s="3" t="str">
        <f t="shared" si="1"/>
        <v/>
      </c>
      <c r="Q15" s="3" t="str">
        <f t="shared" si="1"/>
        <v/>
      </c>
      <c r="R15" s="3" t="str">
        <f t="shared" si="1"/>
        <v/>
      </c>
    </row>
    <row r="16" spans="1:19" x14ac:dyDescent="0.25">
      <c r="A16" t="s">
        <v>54</v>
      </c>
      <c r="B16" s="3" t="str">
        <f t="shared" ref="B16:R16" si="2">IF(B4&lt;&gt;"","$/"&amp;B4, "")</f>
        <v>$/BTU</v>
      </c>
      <c r="C16" s="3" t="str">
        <f t="shared" si="2"/>
        <v>$/mmBTU</v>
      </c>
      <c r="D16" s="3" t="str">
        <f t="shared" si="2"/>
        <v>$/kWh</v>
      </c>
      <c r="E16" s="3" t="str">
        <f t="shared" si="2"/>
        <v>$/J</v>
      </c>
      <c r="F16" s="3" t="str">
        <f t="shared" si="2"/>
        <v>$/kJ</v>
      </c>
      <c r="G16" s="3" t="str">
        <f t="shared" si="2"/>
        <v>$/MJ</v>
      </c>
      <c r="H16" s="3" t="str">
        <f t="shared" si="2"/>
        <v>$/Wh</v>
      </c>
      <c r="I16" s="3" t="str">
        <f t="shared" si="2"/>
        <v>$/kg</v>
      </c>
      <c r="J16" s="3" t="str">
        <f t="shared" si="2"/>
        <v>$/lb</v>
      </c>
      <c r="K16" s="3" t="str">
        <f t="shared" si="2"/>
        <v>$/g</v>
      </c>
      <c r="L16" s="3" t="str">
        <f t="shared" si="2"/>
        <v>$/ton</v>
      </c>
      <c r="M16" s="3" t="str">
        <f t="shared" si="2"/>
        <v>$/metric ton</v>
      </c>
      <c r="N16" s="3" t="str">
        <f t="shared" si="2"/>
        <v/>
      </c>
      <c r="O16" s="3" t="str">
        <f t="shared" si="2"/>
        <v/>
      </c>
      <c r="P16" s="3" t="str">
        <f t="shared" si="2"/>
        <v/>
      </c>
      <c r="Q16" s="3" t="str">
        <f t="shared" si="2"/>
        <v/>
      </c>
      <c r="R16" s="3" t="str">
        <f t="shared" si="2"/>
        <v/>
      </c>
    </row>
    <row r="17" spans="1:23" x14ac:dyDescent="0.25">
      <c r="A17" t="s">
        <v>55</v>
      </c>
      <c r="B17" s="3" t="str">
        <f t="shared" ref="B17:R17" si="3">IF(B5&lt;&gt;"","$/"&amp;B5, "")</f>
        <v>$/BTU</v>
      </c>
      <c r="C17" s="3" t="str">
        <f t="shared" si="3"/>
        <v>$/mmBTU</v>
      </c>
      <c r="D17" s="3" t="str">
        <f t="shared" si="3"/>
        <v>$/kWh</v>
      </c>
      <c r="E17" s="3" t="str">
        <f t="shared" si="3"/>
        <v>$/J</v>
      </c>
      <c r="F17" s="3" t="str">
        <f t="shared" si="3"/>
        <v>$/kJ</v>
      </c>
      <c r="G17" s="3" t="str">
        <f t="shared" si="3"/>
        <v>$/MJ</v>
      </c>
      <c r="H17" s="3" t="str">
        <f t="shared" si="3"/>
        <v>$/Wh</v>
      </c>
      <c r="I17" s="3" t="str">
        <f t="shared" si="3"/>
        <v>$/gal</v>
      </c>
      <c r="J17" s="3" t="str">
        <f t="shared" si="3"/>
        <v>$/ft3</v>
      </c>
      <c r="K17" s="3" t="str">
        <f t="shared" si="3"/>
        <v>$/L</v>
      </c>
      <c r="L17" s="3" t="str">
        <f t="shared" si="3"/>
        <v>$/ml</v>
      </c>
      <c r="M17" s="3" t="str">
        <f t="shared" si="3"/>
        <v>$/m3</v>
      </c>
      <c r="N17" s="3" t="str">
        <f t="shared" si="3"/>
        <v/>
      </c>
      <c r="O17" s="3" t="str">
        <f t="shared" si="3"/>
        <v/>
      </c>
      <c r="P17" s="3" t="str">
        <f t="shared" si="3"/>
        <v/>
      </c>
      <c r="Q17" s="3" t="str">
        <f t="shared" si="3"/>
        <v/>
      </c>
      <c r="R17" s="3" t="str">
        <f t="shared" si="3"/>
        <v/>
      </c>
    </row>
    <row r="18" spans="1:23" x14ac:dyDescent="0.25">
      <c r="A18" t="s">
        <v>56</v>
      </c>
      <c r="B18" s="3" t="str">
        <f t="shared" ref="B18:R18" si="4">IF(B6&lt;&gt;"","$/"&amp;B6, "")</f>
        <v>$/kg</v>
      </c>
      <c r="C18" s="3" t="str">
        <f t="shared" si="4"/>
        <v>$/lb</v>
      </c>
      <c r="D18" s="3" t="str">
        <f t="shared" si="4"/>
        <v>$/g</v>
      </c>
      <c r="E18" s="3" t="str">
        <f t="shared" si="4"/>
        <v>$/ton</v>
      </c>
      <c r="F18" s="3" t="str">
        <f t="shared" si="4"/>
        <v>$/metric ton</v>
      </c>
      <c r="G18" s="3" t="str">
        <f t="shared" si="4"/>
        <v/>
      </c>
      <c r="H18" s="3" t="str">
        <f t="shared" si="4"/>
        <v/>
      </c>
      <c r="I18" s="3" t="str">
        <f t="shared" si="4"/>
        <v/>
      </c>
      <c r="J18" s="3" t="str">
        <f t="shared" si="4"/>
        <v/>
      </c>
      <c r="K18" s="3" t="str">
        <f t="shared" si="4"/>
        <v/>
      </c>
      <c r="L18" s="3" t="str">
        <f t="shared" si="4"/>
        <v/>
      </c>
      <c r="M18" s="3" t="str">
        <f t="shared" si="4"/>
        <v/>
      </c>
      <c r="N18" s="3" t="str">
        <f t="shared" si="4"/>
        <v/>
      </c>
      <c r="O18" s="3" t="str">
        <f t="shared" si="4"/>
        <v/>
      </c>
      <c r="P18" s="3" t="str">
        <f t="shared" si="4"/>
        <v/>
      </c>
      <c r="Q18" s="3" t="str">
        <f t="shared" si="4"/>
        <v/>
      </c>
      <c r="R18" s="3" t="str">
        <f t="shared" si="4"/>
        <v/>
      </c>
    </row>
    <row r="19" spans="1:23" x14ac:dyDescent="0.25">
      <c r="A19" t="s">
        <v>57</v>
      </c>
      <c r="B19" s="3" t="str">
        <f t="shared" ref="B19:R19" si="5">IF(B7&lt;&gt;"","$/"&amp;B7, "")</f>
        <v>$/gal</v>
      </c>
      <c r="C19" s="3" t="str">
        <f t="shared" si="5"/>
        <v>$/ft3</v>
      </c>
      <c r="D19" s="3" t="str">
        <f t="shared" si="5"/>
        <v>$/L</v>
      </c>
      <c r="E19" s="3" t="str">
        <f t="shared" si="5"/>
        <v>$/ml</v>
      </c>
      <c r="F19" s="3" t="str">
        <f t="shared" si="5"/>
        <v>$/m3</v>
      </c>
      <c r="G19" s="3" t="str">
        <f t="shared" si="5"/>
        <v/>
      </c>
      <c r="H19" s="3" t="str">
        <f t="shared" si="5"/>
        <v/>
      </c>
      <c r="I19" s="3" t="str">
        <f t="shared" si="5"/>
        <v/>
      </c>
      <c r="J19" s="3" t="str">
        <f t="shared" si="5"/>
        <v/>
      </c>
      <c r="K19" s="3" t="str">
        <f t="shared" si="5"/>
        <v/>
      </c>
      <c r="L19" s="3" t="str">
        <f t="shared" si="5"/>
        <v/>
      </c>
      <c r="M19" s="3" t="str">
        <f t="shared" si="5"/>
        <v/>
      </c>
      <c r="N19" s="3" t="str">
        <f t="shared" si="5"/>
        <v/>
      </c>
      <c r="O19" s="3" t="str">
        <f t="shared" si="5"/>
        <v/>
      </c>
      <c r="P19" s="3" t="str">
        <f t="shared" si="5"/>
        <v/>
      </c>
      <c r="Q19" s="3" t="str">
        <f t="shared" si="5"/>
        <v/>
      </c>
      <c r="R19" s="3" t="str">
        <f t="shared" si="5"/>
        <v/>
      </c>
    </row>
    <row r="20" spans="1:23" x14ac:dyDescent="0.25">
      <c r="A20" t="s">
        <v>3</v>
      </c>
      <c r="B20" s="3" t="str">
        <f t="shared" ref="B20" si="6">IF(B9&lt;&gt;"","$/"&amp;B9, "")</f>
        <v>$/kWh</v>
      </c>
      <c r="C20" s="3" t="str">
        <f t="shared" ref="C20:R21" si="7">IF(C9&lt;&gt;"","$/"&amp;C9, "")</f>
        <v>$/BTU</v>
      </c>
      <c r="D20" s="3" t="str">
        <f t="shared" si="7"/>
        <v>$/mmBTU</v>
      </c>
      <c r="E20" s="3" t="str">
        <f t="shared" si="7"/>
        <v>$/Wh</v>
      </c>
      <c r="F20" s="3" t="str">
        <f t="shared" si="7"/>
        <v>$/J</v>
      </c>
      <c r="G20" s="3" t="str">
        <f t="shared" si="7"/>
        <v>$/kJ</v>
      </c>
      <c r="H20" s="3" t="str">
        <f t="shared" si="7"/>
        <v>$/MJ</v>
      </c>
      <c r="I20" s="3" t="str">
        <f t="shared" si="7"/>
        <v/>
      </c>
      <c r="J20" s="3" t="str">
        <f t="shared" si="7"/>
        <v/>
      </c>
      <c r="K20" s="3" t="str">
        <f t="shared" si="7"/>
        <v/>
      </c>
      <c r="L20" s="3" t="str">
        <f t="shared" si="7"/>
        <v/>
      </c>
      <c r="M20" s="3" t="str">
        <f t="shared" si="7"/>
        <v/>
      </c>
      <c r="N20" s="3" t="str">
        <f t="shared" si="7"/>
        <v/>
      </c>
      <c r="O20" s="3" t="str">
        <f t="shared" si="7"/>
        <v/>
      </c>
      <c r="P20" s="3" t="str">
        <f t="shared" si="7"/>
        <v/>
      </c>
      <c r="Q20" s="3" t="str">
        <f t="shared" si="7"/>
        <v/>
      </c>
      <c r="R20" s="3" t="str">
        <f t="shared" si="7"/>
        <v/>
      </c>
    </row>
    <row r="21" spans="1:23" x14ac:dyDescent="0.25">
      <c r="A21" t="s">
        <v>33</v>
      </c>
      <c r="B21" s="3"/>
      <c r="C21" s="3"/>
      <c r="D21" s="3"/>
      <c r="E21" s="3"/>
      <c r="F21" s="3" t="str">
        <f t="shared" si="7"/>
        <v/>
      </c>
      <c r="G21" s="3" t="str">
        <f t="shared" si="7"/>
        <v/>
      </c>
      <c r="H21" s="3" t="str">
        <f t="shared" si="7"/>
        <v/>
      </c>
      <c r="I21" s="3" t="str">
        <f t="shared" si="7"/>
        <v/>
      </c>
      <c r="J21" s="3" t="str">
        <f t="shared" si="7"/>
        <v/>
      </c>
      <c r="K21" s="3" t="str">
        <f t="shared" si="7"/>
        <v/>
      </c>
      <c r="L21" s="3" t="str">
        <f t="shared" si="7"/>
        <v/>
      </c>
      <c r="M21" s="3" t="str">
        <f t="shared" si="7"/>
        <v/>
      </c>
      <c r="N21" s="3" t="str">
        <f t="shared" si="7"/>
        <v/>
      </c>
      <c r="O21" s="3" t="str">
        <f t="shared" si="7"/>
        <v/>
      </c>
      <c r="P21" s="3" t="str">
        <f t="shared" si="7"/>
        <v/>
      </c>
      <c r="Q21" s="3" t="str">
        <f t="shared" si="7"/>
        <v/>
      </c>
      <c r="R21" s="3" t="str">
        <f t="shared" si="7"/>
        <v/>
      </c>
    </row>
    <row r="22" spans="1:23" x14ac:dyDescent="0.25">
      <c r="B22" s="3"/>
      <c r="C22" s="3"/>
      <c r="D22" s="3"/>
      <c r="E22" s="3"/>
      <c r="F22" s="3"/>
      <c r="G22" s="3"/>
      <c r="H22" s="3"/>
      <c r="I22" s="3"/>
    </row>
    <row r="23" spans="1:23" x14ac:dyDescent="0.25">
      <c r="A23" s="9" t="s">
        <v>88</v>
      </c>
      <c r="B23" s="9" t="s">
        <v>89</v>
      </c>
      <c r="C23" s="10" t="s">
        <v>90</v>
      </c>
    </row>
    <row r="24" spans="1:23" x14ac:dyDescent="0.25">
      <c r="B24" t="s">
        <v>88</v>
      </c>
      <c r="C24" s="3" t="s">
        <v>89</v>
      </c>
      <c r="G24" s="3"/>
      <c r="H24" s="3"/>
      <c r="I24" s="3"/>
      <c r="J24" s="3"/>
      <c r="K24" s="3"/>
      <c r="L24" s="3"/>
      <c r="M24" s="3"/>
      <c r="N24" s="3"/>
      <c r="O24" s="3"/>
      <c r="P24" s="3"/>
      <c r="Q24" s="3"/>
      <c r="R24" s="3"/>
      <c r="S24" s="3"/>
      <c r="T24" s="3"/>
      <c r="U24" s="3"/>
      <c r="V24" s="3"/>
      <c r="W24" s="3"/>
    </row>
    <row r="25" spans="1:23" x14ac:dyDescent="0.25">
      <c r="A25" s="2" t="s">
        <v>38</v>
      </c>
      <c r="B25" t="s">
        <v>32</v>
      </c>
      <c r="C25" s="3" t="s">
        <v>56</v>
      </c>
      <c r="G25" s="3"/>
      <c r="H25" s="3"/>
      <c r="I25" s="3"/>
      <c r="J25" s="3"/>
    </row>
    <row r="26" spans="1:23" x14ac:dyDescent="0.25">
      <c r="A26" s="2"/>
      <c r="B26" t="s">
        <v>288</v>
      </c>
      <c r="C26" s="3" t="s">
        <v>56</v>
      </c>
      <c r="G26" s="3"/>
      <c r="H26" s="3"/>
      <c r="I26" s="3"/>
      <c r="J26" s="3"/>
    </row>
    <row r="27" spans="1:23" x14ac:dyDescent="0.25">
      <c r="A27" s="2" t="s">
        <v>230</v>
      </c>
      <c r="B27" t="s">
        <v>231</v>
      </c>
      <c r="C27" s="3" t="s">
        <v>56</v>
      </c>
      <c r="F27" t="s">
        <v>2</v>
      </c>
      <c r="G27" s="3" t="s">
        <v>331</v>
      </c>
      <c r="H27" s="3"/>
      <c r="I27" s="3"/>
      <c r="J27" s="3"/>
    </row>
    <row r="28" spans="1:23" x14ac:dyDescent="0.25">
      <c r="A28" s="2" t="s">
        <v>244</v>
      </c>
      <c r="B28" t="s">
        <v>2</v>
      </c>
      <c r="C28" t="s">
        <v>52</v>
      </c>
      <c r="F28" s="1" t="s">
        <v>24</v>
      </c>
      <c r="G28" s="3" t="s">
        <v>331</v>
      </c>
    </row>
    <row r="29" spans="1:23" x14ac:dyDescent="0.25">
      <c r="A29" s="2"/>
      <c r="B29" t="s">
        <v>3</v>
      </c>
      <c r="C29" t="s">
        <v>3</v>
      </c>
      <c r="F29" s="1" t="s">
        <v>22</v>
      </c>
      <c r="G29" s="3" t="s">
        <v>331</v>
      </c>
    </row>
    <row r="30" spans="1:23" x14ac:dyDescent="0.25">
      <c r="A30" s="2"/>
      <c r="B30" s="1" t="s">
        <v>24</v>
      </c>
      <c r="C30" t="s">
        <v>52</v>
      </c>
      <c r="F30" s="1" t="s">
        <v>309</v>
      </c>
      <c r="G30" s="3" t="s">
        <v>331</v>
      </c>
      <c r="H30" s="3"/>
      <c r="I30" s="3"/>
      <c r="J30" s="3"/>
      <c r="K30" s="3"/>
      <c r="L30" s="3"/>
    </row>
    <row r="31" spans="1:23" x14ac:dyDescent="0.25">
      <c r="A31" s="2"/>
      <c r="B31" s="1" t="s">
        <v>371</v>
      </c>
      <c r="C31" t="s">
        <v>376</v>
      </c>
      <c r="F31" s="1" t="s">
        <v>3</v>
      </c>
      <c r="G31" s="3" t="s">
        <v>340</v>
      </c>
      <c r="H31" s="3"/>
      <c r="I31" s="3"/>
      <c r="J31" s="3"/>
      <c r="K31" s="3"/>
      <c r="L31" s="3"/>
    </row>
    <row r="32" spans="1:23" x14ac:dyDescent="0.25">
      <c r="A32" s="2"/>
      <c r="B32" s="1" t="s">
        <v>370</v>
      </c>
      <c r="C32" t="s">
        <v>376</v>
      </c>
      <c r="F32" s="1" t="s">
        <v>183</v>
      </c>
      <c r="G32" s="3" t="s">
        <v>377</v>
      </c>
      <c r="H32" s="3"/>
      <c r="I32" s="3"/>
      <c r="J32" s="3"/>
      <c r="K32" s="3"/>
      <c r="L32" s="3"/>
    </row>
    <row r="33" spans="1:12" x14ac:dyDescent="0.25">
      <c r="A33" s="2"/>
      <c r="B33" s="1" t="s">
        <v>22</v>
      </c>
      <c r="C33" t="s">
        <v>52</v>
      </c>
      <c r="F33" s="1" t="s">
        <v>371</v>
      </c>
      <c r="G33" s="3" t="s">
        <v>377</v>
      </c>
      <c r="H33" s="3"/>
      <c r="I33" s="3"/>
      <c r="J33" s="3"/>
      <c r="K33" s="3"/>
      <c r="L33" s="3"/>
    </row>
    <row r="34" spans="1:12" x14ac:dyDescent="0.25">
      <c r="A34" s="2"/>
      <c r="B34" s="1" t="s">
        <v>309</v>
      </c>
      <c r="C34" t="s">
        <v>52</v>
      </c>
      <c r="F34" s="1" t="s">
        <v>370</v>
      </c>
      <c r="G34" s="3" t="s">
        <v>377</v>
      </c>
    </row>
    <row r="35" spans="1:12" x14ac:dyDescent="0.25">
      <c r="A35" s="2"/>
      <c r="B35" s="1" t="s">
        <v>71</v>
      </c>
      <c r="C35" t="s">
        <v>52</v>
      </c>
      <c r="F35" s="1" t="s">
        <v>71</v>
      </c>
      <c r="G35" s="3" t="s">
        <v>331</v>
      </c>
    </row>
    <row r="36" spans="1:12" x14ac:dyDescent="0.25">
      <c r="A36" s="2"/>
      <c r="B36" s="1" t="s">
        <v>276</v>
      </c>
      <c r="C36" t="s">
        <v>52</v>
      </c>
      <c r="F36" s="1" t="s">
        <v>276</v>
      </c>
      <c r="G36" s="3" t="s">
        <v>331</v>
      </c>
    </row>
    <row r="37" spans="1:12" x14ac:dyDescent="0.25">
      <c r="A37" s="2"/>
      <c r="B37" s="1" t="s">
        <v>277</v>
      </c>
      <c r="C37" t="s">
        <v>52</v>
      </c>
      <c r="F37" s="1" t="s">
        <v>277</v>
      </c>
      <c r="G37" s="3" t="s">
        <v>331</v>
      </c>
    </row>
    <row r="38" spans="1:12" x14ac:dyDescent="0.25">
      <c r="A38" s="2"/>
      <c r="B38" t="s">
        <v>312</v>
      </c>
      <c r="C38" t="s">
        <v>52</v>
      </c>
      <c r="F38" t="s">
        <v>312</v>
      </c>
      <c r="G38" s="3" t="s">
        <v>331</v>
      </c>
    </row>
    <row r="39" spans="1:12" x14ac:dyDescent="0.25">
      <c r="A39" s="2" t="s">
        <v>37</v>
      </c>
      <c r="B39" t="s">
        <v>313</v>
      </c>
      <c r="C39" t="s">
        <v>52</v>
      </c>
      <c r="F39" t="s">
        <v>313</v>
      </c>
      <c r="G39" s="3" t="s">
        <v>331</v>
      </c>
    </row>
    <row r="40" spans="1:12" x14ac:dyDescent="0.25">
      <c r="A40" s="2"/>
      <c r="B40" s="1" t="s">
        <v>87</v>
      </c>
      <c r="C40" t="s">
        <v>52</v>
      </c>
      <c r="F40" s="1" t="s">
        <v>87</v>
      </c>
      <c r="G40" s="3" t="s">
        <v>331</v>
      </c>
    </row>
    <row r="41" spans="1:12" x14ac:dyDescent="0.25">
      <c r="A41" s="2"/>
      <c r="B41" t="s">
        <v>13</v>
      </c>
      <c r="C41" t="s">
        <v>56</v>
      </c>
      <c r="F41" t="s">
        <v>29</v>
      </c>
      <c r="G41" s="3" t="s">
        <v>332</v>
      </c>
    </row>
    <row r="42" spans="1:12" x14ac:dyDescent="0.25">
      <c r="A42" s="2"/>
      <c r="B42" s="1" t="s">
        <v>14</v>
      </c>
      <c r="C42" t="s">
        <v>56</v>
      </c>
      <c r="G42" s="3"/>
    </row>
    <row r="43" spans="1:12" x14ac:dyDescent="0.25">
      <c r="A43" s="2"/>
      <c r="B43" s="1" t="s">
        <v>15</v>
      </c>
      <c r="C43" t="s">
        <v>56</v>
      </c>
    </row>
    <row r="44" spans="1:12" x14ac:dyDescent="0.25">
      <c r="A44" s="2"/>
      <c r="B44" s="1" t="s">
        <v>16</v>
      </c>
      <c r="C44" t="s">
        <v>56</v>
      </c>
    </row>
    <row r="45" spans="1:12" x14ac:dyDescent="0.25">
      <c r="A45" s="2"/>
      <c r="B45" s="1" t="s">
        <v>17</v>
      </c>
      <c r="C45" t="s">
        <v>56</v>
      </c>
    </row>
    <row r="46" spans="1:12" x14ac:dyDescent="0.25">
      <c r="A46" s="2"/>
      <c r="B46" s="1" t="s">
        <v>18</v>
      </c>
      <c r="C46" t="s">
        <v>56</v>
      </c>
    </row>
    <row r="47" spans="1:12" x14ac:dyDescent="0.25">
      <c r="A47" s="2"/>
      <c r="B47" s="1" t="s">
        <v>19</v>
      </c>
      <c r="C47" t="s">
        <v>56</v>
      </c>
    </row>
    <row r="48" spans="1:12" x14ac:dyDescent="0.25">
      <c r="A48" s="2"/>
      <c r="B48" s="1" t="s">
        <v>20</v>
      </c>
      <c r="C48" t="s">
        <v>56</v>
      </c>
    </row>
    <row r="49" spans="1:3" x14ac:dyDescent="0.25">
      <c r="A49" s="2"/>
      <c r="B49" s="1" t="s">
        <v>21</v>
      </c>
      <c r="C49" t="s">
        <v>56</v>
      </c>
    </row>
    <row r="50" spans="1:3" x14ac:dyDescent="0.25">
      <c r="A50" s="2"/>
      <c r="B50" s="1" t="s">
        <v>106</v>
      </c>
      <c r="C50" t="s">
        <v>56</v>
      </c>
    </row>
    <row r="51" spans="1:3" x14ac:dyDescent="0.25">
      <c r="A51" s="2"/>
      <c r="B51" s="1" t="s">
        <v>36</v>
      </c>
      <c r="C51" t="s">
        <v>56</v>
      </c>
    </row>
    <row r="52" spans="1:3" x14ac:dyDescent="0.25">
      <c r="A52" s="2"/>
      <c r="B52" s="1" t="s">
        <v>23</v>
      </c>
      <c r="C52" t="s">
        <v>56</v>
      </c>
    </row>
    <row r="53" spans="1:3" x14ac:dyDescent="0.25">
      <c r="A53" s="2"/>
      <c r="B53" s="1" t="s">
        <v>25</v>
      </c>
      <c r="C53" t="s">
        <v>56</v>
      </c>
    </row>
    <row r="54" spans="1:3" x14ac:dyDescent="0.25">
      <c r="B54" t="s">
        <v>26</v>
      </c>
      <c r="C54" t="s">
        <v>56</v>
      </c>
    </row>
    <row r="55" spans="1:3" x14ac:dyDescent="0.25">
      <c r="B55" t="s">
        <v>30</v>
      </c>
      <c r="C55" t="s">
        <v>56</v>
      </c>
    </row>
    <row r="56" spans="1:3" x14ac:dyDescent="0.25">
      <c r="B56" t="s">
        <v>21</v>
      </c>
      <c r="C56" t="s">
        <v>56</v>
      </c>
    </row>
    <row r="57" spans="1:3" x14ac:dyDescent="0.25">
      <c r="B57" t="s">
        <v>20</v>
      </c>
      <c r="C57" t="s">
        <v>56</v>
      </c>
    </row>
    <row r="58" spans="1:3" x14ac:dyDescent="0.25">
      <c r="B58" t="s">
        <v>36</v>
      </c>
      <c r="C58" t="s">
        <v>56</v>
      </c>
    </row>
    <row r="59" spans="1:3" x14ac:dyDescent="0.25">
      <c r="B59" t="s">
        <v>25</v>
      </c>
      <c r="C59" t="s">
        <v>56</v>
      </c>
    </row>
    <row r="60" spans="1:3" x14ac:dyDescent="0.25">
      <c r="B60" t="s">
        <v>51</v>
      </c>
      <c r="C60" t="s">
        <v>56</v>
      </c>
    </row>
    <row r="61" spans="1:3" x14ac:dyDescent="0.25">
      <c r="B61" t="s">
        <v>233</v>
      </c>
      <c r="C61" t="s">
        <v>56</v>
      </c>
    </row>
    <row r="62" spans="1:3" x14ac:dyDescent="0.25">
      <c r="B62" t="s">
        <v>234</v>
      </c>
      <c r="C62" t="s">
        <v>56</v>
      </c>
    </row>
    <row r="63" spans="1:3" x14ac:dyDescent="0.25">
      <c r="B63" t="s">
        <v>50</v>
      </c>
      <c r="C63" t="s">
        <v>56</v>
      </c>
    </row>
    <row r="64" spans="1:3" x14ac:dyDescent="0.25">
      <c r="B64" t="s">
        <v>235</v>
      </c>
      <c r="C64" t="s">
        <v>56</v>
      </c>
    </row>
    <row r="65" spans="2:3" x14ac:dyDescent="0.25">
      <c r="B65" t="s">
        <v>236</v>
      </c>
      <c r="C65" t="s">
        <v>56</v>
      </c>
    </row>
    <row r="66" spans="2:3" x14ac:dyDescent="0.25">
      <c r="B66" t="s">
        <v>237</v>
      </c>
      <c r="C66" t="s">
        <v>56</v>
      </c>
    </row>
    <row r="67" spans="2:3" x14ac:dyDescent="0.25">
      <c r="B67" s="52" t="s">
        <v>287</v>
      </c>
      <c r="C67" s="52" t="s">
        <v>56</v>
      </c>
    </row>
    <row r="68" spans="2:3" x14ac:dyDescent="0.25">
      <c r="B68" s="54" t="s">
        <v>15</v>
      </c>
      <c r="C68" s="52" t="s">
        <v>56</v>
      </c>
    </row>
    <row r="69" spans="2:3" x14ac:dyDescent="0.25">
      <c r="B69" s="54" t="s">
        <v>290</v>
      </c>
      <c r="C69" s="52" t="s">
        <v>56</v>
      </c>
    </row>
    <row r="70" spans="2:3" x14ac:dyDescent="0.25">
      <c r="B70" s="55" t="s">
        <v>291</v>
      </c>
      <c r="C70" s="52" t="s">
        <v>56</v>
      </c>
    </row>
    <row r="71" spans="2:3" x14ac:dyDescent="0.25">
      <c r="B71" s="55" t="s">
        <v>292</v>
      </c>
      <c r="C71" s="52" t="s">
        <v>56</v>
      </c>
    </row>
    <row r="72" spans="2:3" x14ac:dyDescent="0.25">
      <c r="B72" s="56" t="s">
        <v>293</v>
      </c>
      <c r="C72" s="52" t="s">
        <v>56</v>
      </c>
    </row>
    <row r="73" spans="2:3" x14ac:dyDescent="0.25">
      <c r="B73" s="56" t="s">
        <v>294</v>
      </c>
      <c r="C73" s="52" t="s">
        <v>56</v>
      </c>
    </row>
    <row r="74" spans="2:3" x14ac:dyDescent="0.25">
      <c r="B74" s="56" t="s">
        <v>295</v>
      </c>
      <c r="C74" s="52" t="s">
        <v>56</v>
      </c>
    </row>
    <row r="75" spans="2:3" x14ac:dyDescent="0.25">
      <c r="B75" s="56" t="s">
        <v>296</v>
      </c>
      <c r="C75" s="52" t="s">
        <v>56</v>
      </c>
    </row>
    <row r="76" spans="2:3" x14ac:dyDescent="0.25">
      <c r="B76" s="56" t="s">
        <v>297</v>
      </c>
      <c r="C76" s="52" t="s">
        <v>56</v>
      </c>
    </row>
    <row r="77" spans="2:3" x14ac:dyDescent="0.25">
      <c r="B77" s="56" t="s">
        <v>298</v>
      </c>
      <c r="C77" s="52" t="s">
        <v>56</v>
      </c>
    </row>
    <row r="78" spans="2:3" x14ac:dyDescent="0.25">
      <c r="B78" s="56" t="s">
        <v>299</v>
      </c>
      <c r="C78" s="52" t="s">
        <v>56</v>
      </c>
    </row>
    <row r="79" spans="2:3" x14ac:dyDescent="0.25">
      <c r="B79" s="56" t="s">
        <v>300</v>
      </c>
      <c r="C79" s="52" t="s">
        <v>56</v>
      </c>
    </row>
    <row r="80" spans="2:3" x14ac:dyDescent="0.25">
      <c r="B80" s="56" t="s">
        <v>301</v>
      </c>
      <c r="C80" s="52" t="s">
        <v>56</v>
      </c>
    </row>
    <row r="81" spans="1:3" x14ac:dyDescent="0.25">
      <c r="B81" s="56" t="s">
        <v>302</v>
      </c>
      <c r="C81" s="52" t="s">
        <v>56</v>
      </c>
    </row>
    <row r="82" spans="1:3" x14ac:dyDescent="0.25">
      <c r="B82" s="56" t="s">
        <v>303</v>
      </c>
      <c r="C82" s="52" t="s">
        <v>56</v>
      </c>
    </row>
    <row r="83" spans="1:3" x14ac:dyDescent="0.25">
      <c r="B83" s="56" t="s">
        <v>304</v>
      </c>
      <c r="C83" s="52" t="s">
        <v>56</v>
      </c>
    </row>
    <row r="84" spans="1:3" x14ac:dyDescent="0.25">
      <c r="B84" s="56" t="s">
        <v>305</v>
      </c>
      <c r="C84" s="52" t="s">
        <v>56</v>
      </c>
    </row>
    <row r="85" spans="1:3" x14ac:dyDescent="0.25">
      <c r="B85" s="56" t="s">
        <v>306</v>
      </c>
      <c r="C85" s="52" t="s">
        <v>56</v>
      </c>
    </row>
    <row r="86" spans="1:3" x14ac:dyDescent="0.25">
      <c r="B86" s="56" t="s">
        <v>307</v>
      </c>
      <c r="C86" s="52" t="s">
        <v>56</v>
      </c>
    </row>
    <row r="87" spans="1:3" x14ac:dyDescent="0.25">
      <c r="B87" s="56" t="s">
        <v>308</v>
      </c>
      <c r="C87" s="52" t="s">
        <v>56</v>
      </c>
    </row>
    <row r="88" spans="1:3" x14ac:dyDescent="0.25">
      <c r="B88" s="52" t="s">
        <v>310</v>
      </c>
      <c r="C88" s="52" t="s">
        <v>56</v>
      </c>
    </row>
    <row r="89" spans="1:3" x14ac:dyDescent="0.25">
      <c r="B89" s="52" t="s">
        <v>311</v>
      </c>
      <c r="C89" s="52" t="s">
        <v>56</v>
      </c>
    </row>
    <row r="90" spans="1:3" x14ac:dyDescent="0.25">
      <c r="B90" s="52" t="s">
        <v>314</v>
      </c>
      <c r="C90" s="52" t="s">
        <v>56</v>
      </c>
    </row>
    <row r="91" spans="1:3" x14ac:dyDescent="0.25">
      <c r="B91" s="52" t="s">
        <v>315</v>
      </c>
      <c r="C91" s="52" t="s">
        <v>56</v>
      </c>
    </row>
    <row r="92" spans="1:3" x14ac:dyDescent="0.25">
      <c r="B92" s="52" t="s">
        <v>316</v>
      </c>
      <c r="C92" s="52" t="s">
        <v>56</v>
      </c>
    </row>
    <row r="93" spans="1:3" x14ac:dyDescent="0.25">
      <c r="B93" t="s">
        <v>238</v>
      </c>
      <c r="C93" t="s">
        <v>56</v>
      </c>
    </row>
    <row r="94" spans="1:3" x14ac:dyDescent="0.25">
      <c r="A94" s="53" t="s">
        <v>282</v>
      </c>
      <c r="B94" s="52" t="s">
        <v>283</v>
      </c>
      <c r="C94" s="52" t="s">
        <v>56</v>
      </c>
    </row>
    <row r="95" spans="1:3" x14ac:dyDescent="0.25">
      <c r="A95" s="52"/>
      <c r="B95" s="52" t="s">
        <v>284</v>
      </c>
      <c r="C95" s="52" t="s">
        <v>56</v>
      </c>
    </row>
    <row r="96" spans="1:3" x14ac:dyDescent="0.25">
      <c r="A96" s="52"/>
      <c r="B96" s="52" t="s">
        <v>285</v>
      </c>
      <c r="C96" s="52" t="s">
        <v>56</v>
      </c>
    </row>
    <row r="97" spans="1:3" x14ac:dyDescent="0.25">
      <c r="A97" s="52"/>
      <c r="B97" s="52" t="s">
        <v>286</v>
      </c>
      <c r="C97" s="52" t="s">
        <v>56</v>
      </c>
    </row>
    <row r="98" spans="1:3" x14ac:dyDescent="0.25">
      <c r="A98" s="2" t="s">
        <v>245</v>
      </c>
      <c r="B98" t="s">
        <v>218</v>
      </c>
      <c r="C98" t="s">
        <v>56</v>
      </c>
    </row>
    <row r="99" spans="1:3" x14ac:dyDescent="0.25">
      <c r="B99" t="s">
        <v>219</v>
      </c>
      <c r="C99" t="s">
        <v>56</v>
      </c>
    </row>
    <row r="100" spans="1:3" x14ac:dyDescent="0.25">
      <c r="B100" t="s">
        <v>220</v>
      </c>
      <c r="C100" t="s">
        <v>56</v>
      </c>
    </row>
    <row r="101" spans="1:3" x14ac:dyDescent="0.25">
      <c r="B101" t="s">
        <v>221</v>
      </c>
      <c r="C101" t="s">
        <v>56</v>
      </c>
    </row>
    <row r="102" spans="1:3" x14ac:dyDescent="0.25">
      <c r="B102" t="s">
        <v>222</v>
      </c>
      <c r="C102" t="s">
        <v>56</v>
      </c>
    </row>
    <row r="103" spans="1:3" x14ac:dyDescent="0.25">
      <c r="B103" t="s">
        <v>223</v>
      </c>
      <c r="C103" t="s">
        <v>56</v>
      </c>
    </row>
    <row r="104" spans="1:3" x14ac:dyDescent="0.25">
      <c r="B104" t="s">
        <v>224</v>
      </c>
      <c r="C104" t="s">
        <v>56</v>
      </c>
    </row>
    <row r="105" spans="1:3" x14ac:dyDescent="0.25">
      <c r="B105" t="s">
        <v>225</v>
      </c>
      <c r="C105" t="s">
        <v>56</v>
      </c>
    </row>
    <row r="106" spans="1:3" x14ac:dyDescent="0.25">
      <c r="B106" t="s">
        <v>226</v>
      </c>
      <c r="C106" t="s">
        <v>56</v>
      </c>
    </row>
    <row r="107" spans="1:3" x14ac:dyDescent="0.25">
      <c r="B107" t="s">
        <v>227</v>
      </c>
      <c r="C107" t="s">
        <v>56</v>
      </c>
    </row>
    <row r="108" spans="1:3" x14ac:dyDescent="0.25">
      <c r="B108" t="s">
        <v>228</v>
      </c>
      <c r="C108" t="s">
        <v>56</v>
      </c>
    </row>
    <row r="109" spans="1:3" x14ac:dyDescent="0.25">
      <c r="B109" t="s">
        <v>229</v>
      </c>
      <c r="C109" t="s">
        <v>56</v>
      </c>
    </row>
    <row r="110" spans="1:3" x14ac:dyDescent="0.25">
      <c r="A110" s="2" t="s">
        <v>217</v>
      </c>
      <c r="B110" t="s">
        <v>239</v>
      </c>
      <c r="C110" t="s">
        <v>56</v>
      </c>
    </row>
    <row r="111" spans="1:3" x14ac:dyDescent="0.25">
      <c r="A111" s="2"/>
      <c r="B111" t="s">
        <v>183</v>
      </c>
      <c r="C111" t="s">
        <v>376</v>
      </c>
    </row>
    <row r="112" spans="1:3" x14ac:dyDescent="0.25">
      <c r="A112" s="2"/>
      <c r="B112" t="s">
        <v>243</v>
      </c>
      <c r="C112" t="s">
        <v>56</v>
      </c>
    </row>
    <row r="113" spans="1:3" x14ac:dyDescent="0.25">
      <c r="A113" s="2" t="s">
        <v>29</v>
      </c>
      <c r="B113" t="s">
        <v>29</v>
      </c>
      <c r="C113"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2"/>
  <sheetViews>
    <sheetView tabSelected="1" workbookViewId="0">
      <pane ySplit="5" topLeftCell="A6" activePane="bottomLeft" state="frozen"/>
      <selection activeCell="C19" sqref="C19"/>
      <selection pane="bottomLeft" activeCell="P28" sqref="P28:Q2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57031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
        <v>337</v>
      </c>
      <c r="E6" s="12">
        <f>183718.3236/2</f>
        <v>91859.161800000002</v>
      </c>
      <c r="F6" s="6" t="s">
        <v>59</v>
      </c>
      <c r="G6" s="25"/>
      <c r="H6" s="25" t="s">
        <v>349</v>
      </c>
      <c r="I6" s="26" t="s">
        <v>337</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Use'!$B$2:$B$9,'SI - End Use'!$C$2:$C$9, "")="", "", _xlfn.XLOOKUP($C6,'SI - End Use'!$B$2:$B$9,'SI - End Use'!$C$2:$C$9, ""))</f>
        <v/>
      </c>
      <c r="R6" s="6"/>
      <c r="S6" s="6"/>
      <c r="T6" s="6"/>
    </row>
    <row r="7" spans="1:20" x14ac:dyDescent="0.25">
      <c r="A7" s="6" t="s">
        <v>257</v>
      </c>
      <c r="B7" s="6" t="s">
        <v>38</v>
      </c>
      <c r="C7" s="6" t="s">
        <v>168</v>
      </c>
      <c r="D7" s="6" t="str">
        <f>IF(_xlfn.XLOOKUP($C7,'SI - End Use'!$B$2:$B$9,'SI - End Use'!$C$2:$C$9, "")="", "", _xlfn.XLOOKUP($C7,'SI - End Use'!$B$2:$B$9,'SI - End Use'!$C$2:$C$9, ""))</f>
        <v/>
      </c>
      <c r="E7" s="12">
        <f>183718.3236/2</f>
        <v>91859.161800000002</v>
      </c>
      <c r="F7" s="6" t="s">
        <v>59</v>
      </c>
      <c r="G7" s="25"/>
      <c r="H7" s="25" t="s">
        <v>342</v>
      </c>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Use'!$B$2:$B$9,'SI - End Use'!$C$2:$C$9, "")="", "", _xlfn.XLOOKUP($C7,'SI - End Use'!$B$2:$B$9,'SI - End Use'!$C$2:$C$9, ""))</f>
        <v/>
      </c>
      <c r="R7" s="6"/>
      <c r="S7" s="6"/>
      <c r="T7" s="6"/>
    </row>
    <row r="8" spans="1:20" x14ac:dyDescent="0.25">
      <c r="A8" s="6" t="s">
        <v>0</v>
      </c>
      <c r="B8" s="6" t="s">
        <v>37</v>
      </c>
      <c r="C8" s="6" t="s">
        <v>362</v>
      </c>
      <c r="D8" s="6"/>
      <c r="E8" s="62">
        <v>126.34363400000001</v>
      </c>
      <c r="F8" s="6" t="s">
        <v>59</v>
      </c>
      <c r="G8" s="25"/>
      <c r="H8" s="25"/>
      <c r="I8" s="26" t="s">
        <v>337</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Use'!$B$2:$B$9,'SI - End Use'!$C$2:$C$9, "")="", "", _xlfn.XLOOKUP($C8,'SI - End Use'!$B$2:$B$9,'SI - End Use'!$C$2:$C$9, ""))</f>
        <v/>
      </c>
      <c r="R8" s="6"/>
      <c r="S8" s="6"/>
      <c r="T8" s="6"/>
    </row>
    <row r="9" spans="1:20" x14ac:dyDescent="0.25">
      <c r="A9" s="6" t="s">
        <v>0</v>
      </c>
      <c r="B9" s="6" t="s">
        <v>244</v>
      </c>
      <c r="C9" s="6" t="s">
        <v>24</v>
      </c>
      <c r="D9" s="6" t="s">
        <v>31</v>
      </c>
      <c r="E9" s="62">
        <v>3.6531944300000001</v>
      </c>
      <c r="F9" s="6" t="s">
        <v>70</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Use'!$B$2:$B$9,'SI - End Use'!$C$2:$C$9, "")="", "", _xlfn.XLOOKUP($C9,'SI - End Use'!$B$2:$B$9,'SI - End Use'!$C$2:$C$9, ""))</f>
        <v/>
      </c>
      <c r="R9" s="6"/>
      <c r="S9" s="6"/>
      <c r="T9" s="6"/>
    </row>
    <row r="10" spans="1:20" x14ac:dyDescent="0.25">
      <c r="A10" s="6" t="s">
        <v>0</v>
      </c>
      <c r="B10" s="6" t="s">
        <v>37</v>
      </c>
      <c r="C10" s="6" t="s">
        <v>369</v>
      </c>
      <c r="D10" s="6"/>
      <c r="E10" s="62">
        <v>228.61658022222218</v>
      </c>
      <c r="F10" s="6" t="s">
        <v>59</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
      </c>
      <c r="Q10" s="6" t="str">
        <f>IF(_xlfn.XLOOKUP($P10,'SI - End Use'!$B$2:$B$9,'SI - End Use'!$C$2:$C$9, "")="", "", _xlfn.XLOOKUP($C10,'SI - End Use'!$B$2:$B$9,'SI - End Use'!$C$2:$C$9, ""))</f>
        <v/>
      </c>
      <c r="R10" s="6"/>
      <c r="S10" s="6"/>
      <c r="T10" s="6"/>
    </row>
    <row r="11" spans="1:20" x14ac:dyDescent="0.25">
      <c r="A11" s="6" t="s">
        <v>0</v>
      </c>
      <c r="B11" s="6" t="s">
        <v>37</v>
      </c>
      <c r="C11" s="6" t="s">
        <v>363</v>
      </c>
      <c r="D11" s="6"/>
      <c r="E11" s="62">
        <v>0</v>
      </c>
      <c r="F11" s="6" t="s">
        <v>59</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Use'!$B$2:$B$9,'SI - End Use'!$C$2:$C$9, "")="", "", _xlfn.XLOOKUP($C11,'SI - End Use'!$B$2:$B$9,'SI - End Use'!$C$2:$C$9, ""))</f>
        <v/>
      </c>
      <c r="R11" s="6"/>
      <c r="S11" s="6"/>
      <c r="T11" s="6"/>
    </row>
    <row r="12" spans="1:20" x14ac:dyDescent="0.25">
      <c r="A12" s="6" t="s">
        <v>0</v>
      </c>
      <c r="B12" s="6" t="s">
        <v>37</v>
      </c>
      <c r="C12" s="6" t="s">
        <v>364</v>
      </c>
      <c r="D12" s="6"/>
      <c r="E12" s="62">
        <v>56.832686307711811</v>
      </c>
      <c r="F12" s="6" t="s">
        <v>59</v>
      </c>
      <c r="G12" s="25"/>
      <c r="H12" s="25"/>
      <c r="I12" s="26" t="s">
        <v>337</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Use'!$B$2:$B$9,'SI - End Use'!$C$2:$C$9, "")="", "", _xlfn.XLOOKUP($C12,'SI - End Use'!$B$2:$B$9,'SI - End Use'!$C$2:$C$9, ""))</f>
        <v/>
      </c>
      <c r="R12" s="6"/>
      <c r="S12" s="6"/>
      <c r="T12" s="6"/>
    </row>
    <row r="13" spans="1:20" x14ac:dyDescent="0.25">
      <c r="A13" s="6" t="s">
        <v>0</v>
      </c>
      <c r="B13" s="6" t="s">
        <v>37</v>
      </c>
      <c r="C13" s="6" t="s">
        <v>365</v>
      </c>
      <c r="D13" s="6"/>
      <c r="E13" s="62">
        <v>0</v>
      </c>
      <c r="F13" s="6" t="s">
        <v>59</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Use'!$B$2:$B$9,'SI - End Use'!$C$2:$C$9, "")="", "", _xlfn.XLOOKUP($C13,'SI - End Use'!$B$2:$B$9,'SI - End Use'!$C$2:$C$9, ""))</f>
        <v/>
      </c>
      <c r="R13" s="6"/>
      <c r="S13" s="6"/>
      <c r="T13" s="6"/>
    </row>
    <row r="14" spans="1:20" x14ac:dyDescent="0.25">
      <c r="A14" s="6" t="s">
        <v>0</v>
      </c>
      <c r="B14" s="6" t="s">
        <v>37</v>
      </c>
      <c r="C14" s="6" t="s">
        <v>356</v>
      </c>
      <c r="D14" s="6"/>
      <c r="E14" s="62">
        <v>4.7166866198680865E-2</v>
      </c>
      <c r="F14" s="6" t="s">
        <v>59</v>
      </c>
      <c r="G14" s="25"/>
      <c r="H14" s="25"/>
      <c r="I14" s="26" t="s">
        <v>337</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Use'!$B$2:$B$9,'SI - End Use'!$C$2:$C$9, "")="", "", _xlfn.XLOOKUP($C14,'SI - End Use'!$B$2:$B$9,'SI - End Use'!$C$2:$C$9, ""))</f>
        <v/>
      </c>
      <c r="R14" s="6"/>
      <c r="S14" s="6"/>
      <c r="T14" s="6"/>
    </row>
    <row r="15" spans="1:20" x14ac:dyDescent="0.25">
      <c r="A15" s="6" t="s">
        <v>0</v>
      </c>
      <c r="B15" s="6" t="s">
        <v>37</v>
      </c>
      <c r="C15" s="6" t="s">
        <v>368</v>
      </c>
      <c r="D15" s="6"/>
      <c r="E15" s="62">
        <v>2.0200095542110601E-2</v>
      </c>
      <c r="F15" s="6" t="s">
        <v>59</v>
      </c>
      <c r="G15" s="25"/>
      <c r="H15" s="25"/>
      <c r="I15" s="26" t="s">
        <v>337</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Use'!$B$2:$B$9,'SI - End Use'!$C$2:$C$9, "")="", "", _xlfn.XLOOKUP($C15,'SI - End Use'!$B$2:$B$9,'SI - End Use'!$C$2:$C$9, ""))</f>
        <v/>
      </c>
      <c r="R15" s="6"/>
      <c r="S15" s="6"/>
      <c r="T15" s="6"/>
    </row>
    <row r="16" spans="1:20" x14ac:dyDescent="0.25">
      <c r="A16" s="6" t="s">
        <v>0</v>
      </c>
      <c r="B16" s="6" t="s">
        <v>37</v>
      </c>
      <c r="C16" s="6" t="s">
        <v>366</v>
      </c>
      <c r="D16" s="6" t="str">
        <f>IF(_xlfn.XLOOKUP($C16,'SI - End Use'!$B$2:$B$9,'SI - End Use'!$C$2:$C$9, "")="", "", _xlfn.XLOOKUP($C16,'SI - End Use'!$B$2:$B$9,'SI - End Use'!$C$2:$C$9, ""))</f>
        <v/>
      </c>
      <c r="E16" s="62">
        <v>0.10421250703703701</v>
      </c>
      <c r="F16" s="6" t="s">
        <v>59</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Use'!$B$2:$B$9,'SI - End Use'!$C$2:$C$9, "")="", "", _xlfn.XLOOKUP($C16,'SI - End Use'!$B$2:$B$9,'SI - End Use'!$C$2:$C$9, ""))</f>
        <v/>
      </c>
      <c r="R16" s="6"/>
      <c r="S16" s="6"/>
      <c r="T16" s="6"/>
    </row>
    <row r="17" spans="1:20" x14ac:dyDescent="0.25">
      <c r="A17" s="6" t="s">
        <v>0</v>
      </c>
      <c r="B17" s="6" t="s">
        <v>37</v>
      </c>
      <c r="C17" s="6" t="s">
        <v>359</v>
      </c>
      <c r="D17" s="6" t="str">
        <f>IF(_xlfn.XLOOKUP($C17,'SI - End Use'!$B$2:$B$9,'SI - End Use'!$C$2:$C$9, "")="", "", _xlfn.XLOOKUP($C17,'SI - End Use'!$B$2:$B$9,'SI - End Use'!$C$2:$C$9, ""))</f>
        <v/>
      </c>
      <c r="E17" s="62">
        <v>0.14251417229462202</v>
      </c>
      <c r="F17" s="6" t="s">
        <v>59</v>
      </c>
      <c r="G17" s="25"/>
      <c r="H17" s="25"/>
      <c r="I17" s="26"/>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Use'!$B$2:$B$9,'SI - End Use'!$C$2:$C$9, "")="", "", _xlfn.XLOOKUP($C17,'SI - End Use'!$B$2:$B$9,'SI - End Use'!$C$2:$C$9, ""))</f>
        <v/>
      </c>
      <c r="R17" s="6"/>
      <c r="S17" s="6"/>
      <c r="T17" s="6"/>
    </row>
    <row r="18" spans="1:20" x14ac:dyDescent="0.25">
      <c r="A18" s="6" t="s">
        <v>0</v>
      </c>
      <c r="B18" s="6" t="s">
        <v>37</v>
      </c>
      <c r="C18" s="6" t="s">
        <v>367</v>
      </c>
      <c r="D18" s="6" t="str">
        <f>IF(_xlfn.XLOOKUP($C18,'SI - End Use'!$B$2:$B$9,'SI - End Use'!$C$2:$C$9, "")="", "", _xlfn.XLOOKUP($C18,'SI - End Use'!$B$2:$B$9,'SI - End Use'!$C$2:$C$9, ""))</f>
        <v/>
      </c>
      <c r="E18" s="62">
        <v>3.5689214738711308</v>
      </c>
      <c r="F18" s="6" t="s">
        <v>59</v>
      </c>
      <c r="G18" s="25"/>
      <c r="H18" s="25"/>
      <c r="I18" s="26"/>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Use'!$B$2:$B$9,'SI - End Use'!$C$2:$C$9, "")="", "", _xlfn.XLOOKUP($C18,'SI - End Use'!$B$2:$B$9,'SI - End Use'!$C$2:$C$9, ""))</f>
        <v/>
      </c>
      <c r="R18" s="6"/>
      <c r="S18" s="6"/>
      <c r="T18" s="6"/>
    </row>
    <row r="19" spans="1:20" x14ac:dyDescent="0.25">
      <c r="A19" s="6" t="s">
        <v>0</v>
      </c>
      <c r="B19" s="6" t="s">
        <v>37</v>
      </c>
      <c r="C19" s="6" t="s">
        <v>13</v>
      </c>
      <c r="D19" s="6"/>
      <c r="E19" s="62">
        <v>2975.2147920000002</v>
      </c>
      <c r="F19" s="6" t="s">
        <v>59</v>
      </c>
      <c r="G19" s="25">
        <v>0.5</v>
      </c>
      <c r="H19" s="25"/>
      <c r="I19" s="26" t="s">
        <v>337</v>
      </c>
      <c r="J19" s="25"/>
      <c r="K19" s="6"/>
      <c r="L19" s="6" t="str">
        <f>IF(Table111[[#This Row],[Category]]="Transportation", _xlfn.XLOOKUP(Table111[[#This Row],[Resource]], 'SI - Payload'!$A$10:$A$40,'SI - Payload'!$B$10:$B$40,"",0), "")</f>
        <v/>
      </c>
      <c r="M19" s="6" t="str">
        <f>IF(Table111[[#This Row],[Category]]="Transportation", "ton", "")</f>
        <v/>
      </c>
      <c r="N19" s="6"/>
      <c r="O19" s="6"/>
      <c r="P19" s="6"/>
      <c r="Q19" s="6"/>
      <c r="R19" s="6"/>
      <c r="S19" s="6"/>
      <c r="T19" s="6"/>
    </row>
    <row r="20" spans="1:20" x14ac:dyDescent="0.25">
      <c r="A20" s="6" t="s">
        <v>0</v>
      </c>
      <c r="B20" s="6" t="s">
        <v>29</v>
      </c>
      <c r="C20" s="6" t="s">
        <v>29</v>
      </c>
      <c r="D20" s="6"/>
      <c r="E20" s="62">
        <v>87724.288675372794</v>
      </c>
      <c r="F20" s="6" t="s">
        <v>59</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Use'!$B$2:$B$9,'SI - End Use'!$C$2:$C$9, "")="", "", _xlfn.XLOOKUP($C20,'SI - End Use'!$B$2:$B$9,'SI - End Use'!$C$2:$C$9, ""))</f>
        <v/>
      </c>
      <c r="R20" s="6"/>
      <c r="S20" s="6"/>
      <c r="T20" s="6"/>
    </row>
    <row r="21" spans="1:20" x14ac:dyDescent="0.25">
      <c r="A21" s="6" t="s">
        <v>0</v>
      </c>
      <c r="B21" s="6" t="s">
        <v>37</v>
      </c>
      <c r="C21" s="6" t="s">
        <v>36</v>
      </c>
      <c r="D21" s="6"/>
      <c r="E21" s="62">
        <v>2</v>
      </c>
      <c r="F21" s="6" t="s">
        <v>59</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Use'!$B$2:$B$9,'SI - End Use'!$C$2:$C$9, "")="", "", _xlfn.XLOOKUP($C21,'SI - End Use'!$B$2:$B$9,'SI - End Use'!$C$2:$C$9, ""))</f>
        <v/>
      </c>
      <c r="R21" s="6"/>
      <c r="S21" s="6"/>
      <c r="T21" s="6"/>
    </row>
    <row r="22" spans="1:20" x14ac:dyDescent="0.25">
      <c r="A22" s="6" t="s">
        <v>0</v>
      </c>
      <c r="B22" s="6" t="s">
        <v>37</v>
      </c>
      <c r="C22" s="6" t="s">
        <v>25</v>
      </c>
      <c r="D22" s="6"/>
      <c r="E22" s="62">
        <v>1</v>
      </c>
      <c r="F22" s="6" t="s">
        <v>59</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Use'!$B$2:$B$9,'SI - End Use'!$C$2:$C$9, "")="", "", _xlfn.XLOOKUP($C22,'SI - End Use'!$B$2:$B$9,'SI - End Use'!$C$2:$C$9, ""))</f>
        <v/>
      </c>
      <c r="R22" s="6"/>
      <c r="S22" s="6"/>
      <c r="T22" s="6"/>
    </row>
    <row r="23" spans="1:20" x14ac:dyDescent="0.25">
      <c r="A23" s="6" t="s">
        <v>0</v>
      </c>
      <c r="B23" s="6" t="s">
        <v>244</v>
      </c>
      <c r="C23" s="6" t="s">
        <v>2</v>
      </c>
      <c r="D23" s="6" t="s">
        <v>39</v>
      </c>
      <c r="E23" s="62">
        <v>70.89</v>
      </c>
      <c r="F23" s="6" t="s">
        <v>59</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Use'!$B$2:$B$9,'SI - End Use'!$C$2:$C$9, "")="", "", _xlfn.XLOOKUP($C23,'SI - End Use'!$B$2:$B$9,'SI - End Use'!$C$2:$C$9, ""))</f>
        <v/>
      </c>
      <c r="R23" s="6"/>
      <c r="S23" s="6"/>
      <c r="T23" s="6"/>
    </row>
    <row r="24" spans="1:20" x14ac:dyDescent="0.25">
      <c r="A24" s="6" t="s">
        <v>0</v>
      </c>
      <c r="B24" s="6" t="s">
        <v>244</v>
      </c>
      <c r="C24" s="6" t="s">
        <v>22</v>
      </c>
      <c r="D24" s="6"/>
      <c r="E24" s="62">
        <v>0</v>
      </c>
      <c r="F24" s="6" t="s">
        <v>70</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c r="Q24" s="6"/>
      <c r="R24" s="6"/>
      <c r="S24" s="6"/>
      <c r="T24" s="6"/>
    </row>
    <row r="25" spans="1:20" x14ac:dyDescent="0.25">
      <c r="A25" s="6" t="s">
        <v>240</v>
      </c>
      <c r="B25" s="6" t="s">
        <v>244</v>
      </c>
      <c r="C25" s="6" t="s">
        <v>371</v>
      </c>
      <c r="D25" s="6" t="s">
        <v>39</v>
      </c>
      <c r="E25" s="62">
        <f>402.95626*(1-99.5943333858208%)</f>
        <v>1.6346590165651376</v>
      </c>
      <c r="F25" s="6" t="s">
        <v>70</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c r="Q25" s="6"/>
      <c r="R25" s="6"/>
      <c r="S25" s="6"/>
      <c r="T25" s="6"/>
    </row>
    <row r="26" spans="1:20" x14ac:dyDescent="0.25">
      <c r="A26" s="6" t="s">
        <v>240</v>
      </c>
      <c r="B26" s="6" t="s">
        <v>244</v>
      </c>
      <c r="C26" s="6" t="s">
        <v>370</v>
      </c>
      <c r="D26" s="6" t="s">
        <v>39</v>
      </c>
      <c r="E26" s="62">
        <f>402.95626*99.5943333858208%</f>
        <v>401.32160098343485</v>
      </c>
      <c r="F26" s="6" t="s">
        <v>70</v>
      </c>
      <c r="G26" s="25"/>
      <c r="H26" s="25"/>
      <c r="I26" s="26"/>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Use'!$B$2:$B$9,'SI - End Use'!$C$2:$C$9, "")="", "", _xlfn.XLOOKUP($C26,'SI - End Use'!$B$2:$B$9,'SI - End Use'!$C$2:$C$9, ""))</f>
        <v/>
      </c>
      <c r="R26" s="6"/>
      <c r="S26" s="6"/>
      <c r="T26" s="6"/>
    </row>
    <row r="27" spans="1:20" x14ac:dyDescent="0.25">
      <c r="A27" s="6" t="s">
        <v>240</v>
      </c>
      <c r="B27" s="6" t="s">
        <v>217</v>
      </c>
      <c r="C27" s="6" t="s">
        <v>183</v>
      </c>
      <c r="D27" s="6" t="s">
        <v>372</v>
      </c>
      <c r="E27" s="12">
        <v>300.56602900000001</v>
      </c>
      <c r="F27" s="6" t="s">
        <v>70</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Use'!$B$2:$B$9,'SI - End Use'!$C$2:$C$9, "")="", "", _xlfn.XLOOKUP($C27,'SI - End Use'!$B$2:$B$9,'SI - End Use'!$C$2:$C$9, ""))</f>
        <v/>
      </c>
      <c r="R27" s="6"/>
      <c r="S27" s="6"/>
      <c r="T27" s="6"/>
    </row>
    <row r="28" spans="1:20" x14ac:dyDescent="0.25">
      <c r="A28" s="6" t="s">
        <v>113</v>
      </c>
      <c r="B28" s="6" t="s">
        <v>244</v>
      </c>
      <c r="C28" s="6" t="s">
        <v>71</v>
      </c>
      <c r="D28" s="6" t="s">
        <v>83</v>
      </c>
      <c r="E28" s="12">
        <v>480.24248699999998</v>
      </c>
      <c r="F28" s="6" t="s">
        <v>70</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c r="Q28" s="6"/>
      <c r="R28" s="6"/>
      <c r="S28" s="6"/>
      <c r="T28" s="6"/>
    </row>
    <row r="29" spans="1:20" x14ac:dyDescent="0.25">
      <c r="A29" s="6" t="s">
        <v>85</v>
      </c>
      <c r="B29" s="6" t="s">
        <v>3</v>
      </c>
      <c r="C29" s="6" t="s">
        <v>3</v>
      </c>
      <c r="D29" s="6" t="str">
        <f>IF(_xlfn.XLOOKUP($C29,'SI - End Use'!$B$2:$B$9,'SI - End Use'!$C$2:$C$9, "")="", "", _xlfn.XLOOKUP($C29,'SI - End Use'!$B$2:$B$9,'SI - End Use'!$C$2:$C$9, ""))</f>
        <v>U.S. Mix</v>
      </c>
      <c r="E29" s="12">
        <v>32993.483151970002</v>
      </c>
      <c r="F29" s="6" t="s">
        <v>68</v>
      </c>
      <c r="G29" s="25"/>
      <c r="H29" s="25"/>
      <c r="I29" s="26" t="s">
        <v>124</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Electricity</v>
      </c>
      <c r="Q29" s="6" t="str">
        <f>IF(_xlfn.XLOOKUP($P29,'SI - End Use'!$B$2:$B$9,'SI - End Use'!$C$2:$C$9, "")="", "", _xlfn.XLOOKUP($C29,'SI - End Use'!$B$2:$B$9,'SI - End Use'!$C$2:$C$9, ""))</f>
        <v>U.S. Mix</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Use'!$B$2:$B$9,'SI - End Use'!$C$2:$C$9, "")="", "", _xlfn.XLOOKUP($C100,'SI - End Use'!$B$2:$B$9,'SI - End Use'!$C$2:$C$9, ""))</f>
        <v/>
      </c>
      <c r="R100" s="6"/>
      <c r="S100" s="6"/>
      <c r="T100" s="6"/>
    </row>
    <row r="101" spans="1:20" x14ac:dyDescent="0.25">
      <c r="A101" s="6"/>
      <c r="B101" s="6"/>
      <c r="C101" s="6" t="str">
        <f>_xlfn.XLOOKUP($B101,'SI - Resources'!$A$1:$J$1,'SI - Resources'!$A$2:$J$2, "")</f>
        <v/>
      </c>
      <c r="D101" s="6" t="str">
        <f>IF(_xlfn.XLOOKUP($C101,'SI - End Use'!$B$2:$B$9,'SI - End Use'!$C$2:$C$9, "")="", "", _xlfn.XLOOKUP($C101,'SI - End Use'!$B$2:$B$9,'SI - End Use'!$C$2:$C$9, ""))</f>
        <v/>
      </c>
      <c r="E101" s="12"/>
      <c r="F101" s="6" t="str" cm="1">
        <f t="array" ref="F101">IF($B101="Transportation",  'SI - Units'!$B$10:$B$10, _xlfn.XLOOKUP(_xlfn.XLOOKUP($C101,'SI - Units'!$B$25:$B$113,'SI - Units'!$C$25:$C$113, ""),'SI - Units'!$A$2:$A$9,'SI - Units'!$B$2:$B$9, ""))</f>
        <v/>
      </c>
      <c r="G101" s="25"/>
      <c r="H101" s="25"/>
      <c r="I101" s="26" t="str">
        <f>IF(Table111[[#This Row],[Type]]="Co-product", "No", "")</f>
        <v/>
      </c>
      <c r="J101" s="25"/>
      <c r="K101" s="6"/>
      <c r="L101" s="6" t="str">
        <f>IF(Table111[[#This Row],[Category]]="Transportation", _xlfn.XLOOKUP(Table111[[#This Row],[Resource]], 'SI - Payload'!$A$10:$A$40,'SI - Payload'!$B$10:$B$40,"",0), "")</f>
        <v/>
      </c>
      <c r="M101" s="6" t="str">
        <f>IF(Table111[[#This Row],[Category]]="Transportation", "ton", "")</f>
        <v/>
      </c>
      <c r="N101" s="6"/>
      <c r="O101" s="6"/>
      <c r="P101" s="6" t="str">
        <f>IF(OR(Table111[[#This Row],[Type]]="Main Product", Table111[[#This Row],[Type]]="Co-Product"), Table111[[#This Row],[Resource]], "")</f>
        <v/>
      </c>
      <c r="Q101" s="6" t="str">
        <f>IF(_xlfn.XLOOKUP($P101,'SI - End Use'!$B$2:$B$9,'SI - End Use'!$C$2:$C$9, "")="", "", _xlfn.XLOOKUP($C101,'SI - End Use'!$B$2:$B$9,'SI - End Use'!$C$2:$C$9, ""))</f>
        <v/>
      </c>
      <c r="R101" s="6"/>
      <c r="S101" s="6"/>
      <c r="T101" s="6"/>
    </row>
    <row r="102" spans="1:20" x14ac:dyDescent="0.25">
      <c r="A102" s="6"/>
      <c r="B102" s="6"/>
      <c r="C102" s="6" t="str">
        <f>_xlfn.XLOOKUP($B102,'SI - Resources'!$A$1:$J$1,'SI - Resources'!$A$2:$J$2, "")</f>
        <v/>
      </c>
      <c r="D102" s="6" t="str">
        <f>IF(_xlfn.XLOOKUP($C102,'SI - End Use'!$B$2:$B$9,'SI - End Use'!$C$2:$C$9, "")="", "", _xlfn.XLOOKUP($C102,'SI - End Use'!$B$2:$B$9,'SI - End Use'!$C$2:$C$9, ""))</f>
        <v/>
      </c>
      <c r="E102" s="12"/>
      <c r="F102" s="6" t="str" cm="1">
        <f t="array" ref="F102">IF($B102="Transportation",  'SI - Units'!$B$10:$B$10, _xlfn.XLOOKUP(_xlfn.XLOOKUP($C102,'SI - Units'!$B$25:$B$113,'SI - Units'!$C$25:$C$113, ""),'SI - Units'!$A$2:$A$9,'SI - Units'!$B$2:$B$9, ""))</f>
        <v/>
      </c>
      <c r="G102" s="25"/>
      <c r="H102" s="25"/>
      <c r="I102" s="26" t="str">
        <f>IF(Table111[[#This Row],[Type]]="Co-product", "No", "")</f>
        <v/>
      </c>
      <c r="J102" s="25"/>
      <c r="K102" s="6"/>
      <c r="L102" s="6" t="str">
        <f>IF(Table111[[#This Row],[Category]]="Transportation", _xlfn.XLOOKUP(Table111[[#This Row],[Resource]], 'SI - Payload'!$A$10:$A$40,'SI - Payload'!$B$10:$B$40,"",0), "")</f>
        <v/>
      </c>
      <c r="M102" s="6" t="str">
        <f>IF(Table111[[#This Row],[Category]]="Transportation", "ton", "")</f>
        <v/>
      </c>
      <c r="N102" s="6"/>
      <c r="O102" s="6"/>
      <c r="P102" s="6" t="str">
        <f>IF(OR(Table111[[#This Row],[Type]]="Main Product", Table111[[#This Row],[Type]]="Co-Product"), Table111[[#This Row],[Resource]], "")</f>
        <v/>
      </c>
      <c r="Q102" s="6" t="str">
        <f>IF(_xlfn.XLOOKUP($P102,'SI - End Use'!$B$2:$B$9,'SI - End Use'!$C$2:$C$9, "")="", "", _xlfn.XLOOKUP($C102,'SI - End Use'!$B$2:$B$9,'SI - End Use'!$C$2:$C$9, ""))</f>
        <v/>
      </c>
      <c r="R102" s="6"/>
      <c r="S102" s="6"/>
      <c r="T102"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2" xr:uid="{7AC4A125-06FB-4EE4-A8ED-1DDCCB8983CC}">
      <formula1>0</formula1>
      <formula2>1</formula2>
    </dataValidation>
    <dataValidation type="list" allowBlank="1" showInputMessage="1" showErrorMessage="1" sqref="M6:M102" xr:uid="{B6D86606-454E-489B-9733-450BBF4EC7F8}">
      <formula1>payload_units</formula1>
    </dataValidation>
    <dataValidation type="decimal" operator="greaterThan" allowBlank="1" showInputMessage="1" showErrorMessage="1" error="Please type a positive number." sqref="L6:L102" xr:uid="{4F4AE5BD-162A-4FCB-8A5D-BD59B62EB608}">
      <formula1>0</formula1>
    </dataValidation>
    <dataValidation type="decimal" operator="greaterThan" allowBlank="1" showInputMessage="1" showErrorMessage="1" error="Please type a positive price." sqref="N6:N102" xr:uid="{2A1F0029-7E5C-4CA2-96BB-DE342D588BB6}">
      <formula1>0</formula1>
    </dataValidation>
    <dataValidation type="decimal" allowBlank="1" showInputMessage="1" showErrorMessage="1" error="Please type a number between 0 and 1." sqref="G6:G102" xr:uid="{50A699E5-F124-434F-AC28-73C6D7453FB4}">
      <formula1>0</formula1>
      <formula2>1</formula2>
    </dataValidation>
    <dataValidation type="custom" allowBlank="1" showInputMessage="1" showErrorMessage="1" sqref="E6:E102"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99E182B9-E293-44EE-9EC2-78CB70F2DF31}">
          <x14:formula1>
            <xm:f>INDIRECT(_xlfn.XLOOKUP($P6,'SI - End Use'!$A$14:$A$23,'SI - End Use'!$B$14:$B$23,"other_end_use",0))</xm:f>
          </x14:formula1>
          <xm:sqref>Q6:R102</xm:sqref>
        </x14:dataValidation>
        <x14:dataValidation type="list" allowBlank="1" showInputMessage="1" xr:uid="{7262E1AE-A4EE-404E-8237-729EF3FF4837}">
          <x14:formula1>
            <xm:f>INDIRECT(_xlfn.XLOOKUP($C6,'SI - End Use'!$A$14:$A$23,'SI - End Use'!$B$14:$B$23,"other_end_use",0))</xm:f>
          </x14:formula1>
          <xm:sqref>D6:D102</xm:sqref>
        </x14:dataValidation>
        <x14:dataValidation type="list" allowBlank="1" showInputMessage="1" showErrorMessage="1" xr:uid="{0CF0B2DB-15D6-4062-BD41-A339EB96F07F}">
          <x14:formula1>
            <xm:f>INDIRECT(_xlfn.XLOOKUP($B6, 'SI - Resources'!$R$1:$R$10,'SI - Resources'!$S$1:$S$10, "placeholder_resource", 0))</xm:f>
          </x14:formula1>
          <xm:sqref>C6:C102 P6:P102</xm:sqref>
        </x14:dataValidation>
        <x14:dataValidation type="list" allowBlank="1" showInputMessage="1" showErrorMessage="1" xr:uid="{861DF244-E6EE-421F-9E3B-A34C4424A86C}">
          <x14:formula1>
            <xm:f>'SI - Co-products'!$B$2:$B$6</xm:f>
          </x14:formula1>
          <xm:sqref>A6:A102</xm:sqref>
        </x14:dataValidation>
        <x14:dataValidation type="list" allowBlank="1" showInputMessage="1" showErrorMessage="1" xr:uid="{593470B6-805F-4780-B4A9-64C1F1569C15}">
          <x14:formula1>
            <xm:f>'SI - Resources'!$A$1:$J$1</xm:f>
          </x14:formula1>
          <xm:sqref>B6:B102</xm:sqref>
        </x14:dataValidation>
        <x14:dataValidation type="list" allowBlank="1" showInputMessage="1" showErrorMessage="1" xr:uid="{C7A6CA72-7C05-4AB2-9F76-FE153FF1F9F4}">
          <x14:formula1>
            <xm:f>'SI - Co-products'!$C$2:$C$4</xm:f>
          </x14:formula1>
          <xm:sqref>I6:I102</xm:sqref>
        </x14:dataValidation>
        <x14:dataValidation type="list" allowBlank="1" showInputMessage="1" showErrorMessage="1" xr:uid="{04C1A633-F6FD-4C48-86CB-D8A205568AA4}">
          <x14:formula1>
            <xm:f>'SI - Co-products'!$A$2:$A$5</xm:f>
          </x14:formula1>
          <xm:sqref>K6:K102</xm:sqref>
        </x14:dataValidation>
        <x14:dataValidation type="list" allowBlank="1" showInputMessage="1" showErrorMessage="1" xr:uid="{1396706C-4A17-4B38-90A3-3F1CA570A00D}">
          <x14:formula1>
            <xm:f>IF($B6="Transportation",  transport_units, INDIRECT(_xlfn.XLOOKUP($C6, 'SI - Units'!$F$27:$F$41,'SI - Units'!$G$27:$G$41,"mass",0)))</xm:f>
          </x14:formula1>
          <xm:sqref>F6:F102</xm:sqref>
        </x14:dataValidation>
        <x14:dataValidation type="list" allowBlank="1" showInputMessage="1" showErrorMessage="1" xr:uid="{6C547276-0E01-472D-9F22-EF808CB9A061}">
          <x14:formula1>
            <xm:f>INDIRECT("p_"&amp;_xlfn.XLOOKUP($C6,'SI - Units'!$F$27:$F$41,'SI - Units'!$G$27:$G$41,"mass",0))</xm:f>
          </x14:formula1>
          <xm:sqref>O6:O102</xm:sqref>
        </x14:dataValidation>
        <x14:dataValidation type="list" allowBlank="1" showInputMessage="1" showErrorMessage="1" xr:uid="{2C2514F0-96FC-4EA3-9729-014CB0B0BA74}">
          <x14:formula1>
            <xm:f>_xlfn.XLOOKUP(_xlfn.XLOOKUP(#REF!,'SI - Units'!$B$25:$B$113,'SI - Units'!$C$25:$C$113),'SI - Units'!$A$2:$A$9,'SI - Units'!$B$2:$R$9)</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workbookViewId="0">
      <pane ySplit="5" topLeftCell="A6" activePane="bottomLeft" state="frozen"/>
      <selection activeCell="I2" sqref="I2"/>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343</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Use'!$B$2:$B$9,'SI - End Use'!$C$2:$C$9, "")="", "", _xlfn.XLOOKUP($C6,'SI - End Use'!$B$2:$B$9,'SI - End Use'!$C$2:$C$9,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E13C2E-891C-4F6C-8395-91A116A220D2}">
          <x14:formula1>
            <xm:f>INDIRECT(_xlfn.XLOOKUP($P6,'SI - End Use'!$A$14:$A$23,'SI - End Use'!$B$14:$B$23,"other_end_use",0))</xm:f>
          </x14:formula1>
          <xm:sqref>Q6:R100</xm:sqref>
        </x14:dataValidation>
        <x14:dataValidation type="list" allowBlank="1" showInputMessage="1" xr:uid="{86946872-627C-4AAC-AD98-38F6348733F2}">
          <x14:formula1>
            <xm:f>INDIRECT(_xlfn.XLOOKUP($C6,'SI - End Use'!$A$14:$A$23,'SI - End Use'!$B$14:$B$23,"other_end_use",0))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 type="list" allowBlank="1" showInputMessage="1" showErrorMessage="1" xr:uid="{0D8BB9A1-E0C3-450C-9659-79FEDE7DFDC0}">
          <x14:formula1>
            <xm:f>IF($B6="Transportation",  transport_units, INDIRECT(_xlfn.XLOOKUP($C6, 'SI - Units'!$F$27:$F$41,'SI - Units'!$G$27:$G$41,"mass",0)))</xm:f>
          </x14:formula1>
          <xm:sqref>F6:F100</xm:sqref>
        </x14:dataValidation>
        <x14:dataValidation type="list" allowBlank="1" showInputMessage="1" showErrorMessage="1" xr:uid="{925281E5-A62A-4957-8AB9-812AFCD4B6E2}">
          <x14:formula1>
            <xm:f>INDIRECT("p_"&amp;_xlfn.XLOOKUP($C6,'SI - Units'!$F$27:$F$41,'SI - Units'!$G$27:$G$41,"mass",0))</xm:f>
          </x14:formula1>
          <xm:sqref>O6:O100</xm:sqref>
        </x14:dataValidation>
        <x14:dataValidation type="list" allowBlank="1" showInputMessage="1" showErrorMessage="1" xr:uid="{3494EEAC-915A-497B-967D-EC0B2999CD23}">
          <x14:formula1>
            <xm:f>_xlfn.XLOOKUP(_xlfn.XLOOKUP(#REF!,'SI - Units'!$B$25:$B$113,'SI - Units'!$C$25:$C$113),'SI - Units'!$A$2:$A$9,'SI - Units'!$B$2:$R$9)</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Use'!$B$2:$B$9,'SI - End Use'!$C$2:$C$9, "")="", "", _xlfn.XLOOKUP($C6,'SI - End Use'!$B$2:$B$9,'SI - End Use'!$C$2:$C$9, ""))</f>
        <v/>
      </c>
      <c r="E6" s="61">
        <v>1</v>
      </c>
      <c r="F6" s="6" t="s">
        <v>11</v>
      </c>
      <c r="G6" s="25"/>
      <c r="H6" s="25"/>
      <c r="I6" s="26" t="str">
        <f>IF(Table16[[#This Row],[Type]]="Co-product", "No", "")</f>
        <v/>
      </c>
      <c r="J6" s="25"/>
      <c r="K6" s="6"/>
      <c r="L6" s="6" t="str">
        <f>IF(Table16[[#This Row],[Category]]="Transportation", _xlfn.XLOOKUP(Table16[[#This Row],[Resource]], 'SI - Payload'!$A$10:$A$40,'SI - Payload'!$B$10:$B$40,"",0), "")</f>
        <v/>
      </c>
      <c r="M6" s="6" t="str">
        <f>IF(Table16[[#This Row],[Category]]="Transportation", "ton", "")</f>
        <v/>
      </c>
      <c r="N6" s="6"/>
      <c r="O6" s="6"/>
      <c r="P6" s="6" t="str">
        <f>IF(OR(Table16[[#This Row],[Type]]="Main Product", Table16[[#This Row],[Type]]="Co-Product"), Table16[[#This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Payload'!$A$10:$A$40,'SI - Payload'!$B$10:$B$40,"",0), "")</f>
        <v/>
      </c>
      <c r="M7" s="6" t="str">
        <f>IF(Table16[[#This Row],[Category]]="Transportation", "ton", "")</f>
        <v/>
      </c>
      <c r="N7" s="6"/>
      <c r="O7" s="6"/>
      <c r="P7" s="6" t="str">
        <f>IF(OR(Table16[[#This Row],[Type]]="Main Product", Table16[[#This Row],[Type]]="Co-Product"), Table16[[#This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0.95</v>
      </c>
      <c r="F8" s="6" t="s">
        <v>11</v>
      </c>
      <c r="G8" s="25"/>
      <c r="H8" s="25"/>
      <c r="I8" s="26" t="str">
        <f>IF(Table16[[#This Row],[Type]]="Co-product", "No", "")</f>
        <v/>
      </c>
      <c r="J8" s="25"/>
      <c r="K8" s="6"/>
      <c r="L8" s="6" t="str">
        <f>IF(Table16[[#This Row],[Category]]="Transportation", _xlfn.XLOOKUP(Table16[[#This Row],[Resource]], 'SI - Payload'!$A$10:$A$40,'SI - Payload'!$B$10:$B$40,"",0), "")</f>
        <v/>
      </c>
      <c r="M8" s="6" t="str">
        <f>IF(Table16[[#This Row],[Category]]="Transportation", "ton", "")</f>
        <v/>
      </c>
      <c r="N8" s="6"/>
      <c r="O8" s="6"/>
      <c r="P8" s="6" t="str">
        <f>IF(OR(Table16[[#This Row],[Type]]="Main Product", Table16[[#This Row],[Type]]="Co-Product"), Table16[[#This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IF(Table16[[#This Row],[Type]]="Co-product", "No", "")</f>
        <v/>
      </c>
      <c r="J9" s="25"/>
      <c r="K9" s="6"/>
      <c r="L9" s="6" t="str">
        <f>IF(Table16[[#This Row],[Category]]="Transportation", _xlfn.XLOOKUP(Table16[[#This Row],[Resource]], 'SI - Payload'!$A$10:$A$40,'SI - Payload'!$B$10:$B$40,"",0), "")</f>
        <v/>
      </c>
      <c r="M9" s="6" t="str">
        <f>IF(Table16[[#This Row],[Category]]="Transportation", "ton", "")</f>
        <v/>
      </c>
      <c r="N9" s="6"/>
      <c r="O9" s="6"/>
      <c r="P9" s="6" t="str">
        <f>IF(OR(Table16[[#This Row],[Type]]="Main Product", Table16[[#This Row],[Type]]="Co-Product"), Table16[[#This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Use'!$A$14:$A$23,'SI - End Use'!$B$14:$B$23,"other_end_use",0))</xm:f>
          </x14:formula1>
          <xm:sqref>Q6:R100</xm:sqref>
        </x14:dataValidation>
        <x14:dataValidation type="list" allowBlank="1" showInputMessage="1" xr:uid="{BBAB8581-BD5F-456E-B6EA-CD29B4BD2C92}">
          <x14:formula1>
            <xm:f>INDIRECT(_xlfn.XLOOKUP($C6,'SI - End Use'!$A$14:$A$23,'SI - End Use'!$B$14:$B$23,"other_end_use",0))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Units'!$F$27:$F$41,'SI - Units'!$G$27:$G$41,"mass",0)))</xm:f>
          </x14:formula1>
          <xm:sqref>F6:F100</xm:sqref>
        </x14:dataValidation>
        <x14:dataValidation type="list" allowBlank="1" showInputMessage="1" showErrorMessage="1" xr:uid="{E0CA3522-6DF2-47F9-9E40-9426BDB55081}">
          <x14:formula1>
            <xm:f>INDIRECT("p_"&amp;_xlfn.XLOOKUP($C6,'SI - Units'!$F$27:$F$41,'SI - Units'!$G$27:$G$41,"mass",0))</xm:f>
          </x14:formula1>
          <xm:sqref>O6:O100</xm:sqref>
        </x14:dataValidation>
        <x14:dataValidation type="list" allowBlank="1" showInputMessage="1" showErrorMessage="1" xr:uid="{6F8723D7-BEAD-4531-A04B-85888F250E3C}">
          <x14:formula1>
            <xm:f>_xlfn.XLOOKUP(_xlfn.XLOOKUP(#REF!,'SI - Units'!$B$25:$B$113,'SI - Units'!$C$25:$C$113),'SI - Units'!$A$2:$A$9,'SI - Units'!$B$2:$R$9)</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338</v>
      </c>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Use'!$B$2:$B$9,'SI - End Use'!$C$2:$C$9, "")="", "", _xlfn.XLOOKUP($C6,'SI - End Use'!$B$2:$B$9,'SI - End Use'!$C$2:$C$9, ""))</f>
        <v/>
      </c>
      <c r="R6" s="6"/>
      <c r="S6" s="6"/>
      <c r="T6" s="6"/>
    </row>
    <row r="7" spans="1:20" x14ac:dyDescent="0.25">
      <c r="A7" s="6" t="s">
        <v>0</v>
      </c>
      <c r="B7" s="6" t="s">
        <v>33</v>
      </c>
      <c r="C7" s="6" t="s">
        <v>168</v>
      </c>
      <c r="D7" s="6" t="str">
        <f>IF(_xlfn.XLOOKUP($C7,'SI - End Use'!$B$2:$B$9,'SI - End Use'!$C$2:$C$9, "")="", "", _xlfn.XLOOKUP($C7,'SI - End Use'!$B$2:$B$9,'SI - End Use'!$C$2:$C$9, ""))</f>
        <v/>
      </c>
      <c r="E7" s="12">
        <v>104</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12">
        <v>1</v>
      </c>
      <c r="F8" s="6" t="s">
        <v>11</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Use'!$A$14:$A$23,'SI - End Use'!$B$14:$B$23,"other_end_use",0))</xm:f>
          </x14:formula1>
          <xm:sqref>Q6:R100</xm:sqref>
        </x14:dataValidation>
        <x14:dataValidation type="list" allowBlank="1" showInputMessage="1" xr:uid="{2ED86F60-8F42-4640-B962-03F51378F2D1}">
          <x14:formula1>
            <xm:f>INDIRECT(_xlfn.XLOOKUP($C6,'SI - End Use'!$A$14:$A$23,'SI - End Use'!$B$14:$B$23,"other_end_use",0))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Units'!$F$27:$F$41,'SI - Units'!$G$27:$G$41,"mass",0)))</xm:f>
          </x14:formula1>
          <xm:sqref>F6:F100</xm:sqref>
        </x14:dataValidation>
        <x14:dataValidation type="list" allowBlank="1" showInputMessage="1" showErrorMessage="1" xr:uid="{4C407CAD-762D-409B-BB33-AD8B41800BB2}">
          <x14:formula1>
            <xm:f>INDIRECT("p_"&amp;_xlfn.XLOOKUP($C6,'SI - Units'!$F$27:$F$41,'SI - Units'!$G$27:$G$41,"mass",0))</xm:f>
          </x14:formula1>
          <xm:sqref>O6:O100</xm:sqref>
        </x14:dataValidation>
        <x14:dataValidation type="list" allowBlank="1" showInputMessage="1" showErrorMessage="1" xr:uid="{63CC6FC4-97E3-4843-ABAE-C129CD0FBC7F}">
          <x14:formula1>
            <xm:f>_xlfn.XLOOKUP(_xlfn.XLOOKUP(#REF!,'SI - Units'!$B$25:$B$113,'SI - Units'!$C$25:$C$113),'SI - Units'!$A$2:$A$9,'SI - Units'!$B$2:$R$9)</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339</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Payload'!$A$10:$A$40,'SI - Payload'!$B$10:$B$40,"",0), "")</f>
        <v/>
      </c>
      <c r="M7" s="6" t="str">
        <f>IF(Table112[[#This Row],[Category]]="Transportation", "ton", "")</f>
        <v/>
      </c>
      <c r="N7" s="6"/>
      <c r="O7" s="6"/>
      <c r="P7" s="6" t="str">
        <f>IF(OR(Table112[[#This Row],[Type]]="Main Product", Table112[[#This Row],[Type]]="Co-Product"), Table112[[#This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Use'!$A$14:$A$23,'SI - End Use'!$B$14:$B$23,"other_end_use",0))</xm:f>
          </x14:formula1>
          <xm:sqref>Q6:R100</xm:sqref>
        </x14:dataValidation>
        <x14:dataValidation type="list" allowBlank="1" showInputMessage="1" xr:uid="{AAC06673-E9CE-4AE8-8373-07F26DF22472}">
          <x14:formula1>
            <xm:f>INDIRECT(_xlfn.XLOOKUP($C6,'SI - End Use'!$A$14:$A$23,'SI - End Use'!$B$14:$B$23,"other_end_use",0))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Units'!$F$27:$F$41,'SI - Units'!$G$27:$G$41,"mass",0)))</xm:f>
          </x14:formula1>
          <xm:sqref>F6:F100</xm:sqref>
        </x14:dataValidation>
        <x14:dataValidation type="list" allowBlank="1" showInputMessage="1" showErrorMessage="1" xr:uid="{5AEBA37A-530C-4FBF-BF0D-E77ED4BB325B}">
          <x14:formula1>
            <xm:f>INDIRECT("p_"&amp;_xlfn.XLOOKUP($C6,'SI - Units'!$F$27:$F$41,'SI - Units'!$G$27:$G$41,"mass",0))</xm:f>
          </x14:formula1>
          <xm:sqref>O6:O100</xm:sqref>
        </x14:dataValidation>
        <x14:dataValidation type="list" allowBlank="1" showInputMessage="1" showErrorMessage="1" xr:uid="{0C6BE257-E280-4CBE-B40D-DC54DF14602D}">
          <x14:formula1>
            <xm:f>_xlfn.XLOOKUP(_xlfn.XLOOKUP(#REF!,'SI - Units'!$B$25:$B$113,'SI - Units'!$C$25:$C$113),'SI - Units'!$A$2:$A$9,'SI - Units'!$B$2:$R$9)</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99"/>
  <sheetViews>
    <sheetView workbookViewId="0">
      <pane ySplit="5" topLeftCell="A6" activePane="bottomLeft" state="frozen"/>
      <selection activeCell="C19" sqref="C19"/>
      <selection pane="bottomLeft" activeCell="F15" sqref="F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341</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160960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Use'!$B$2:$B$9,'SI - End Use'!$C$2:$C$9, "")="", "", _xlfn.XLOOKUP($C99,'SI - End Use'!$B$2:$B$9,'SI - End Use'!$C$2:$C$9, ""))</f>
        <v/>
      </c>
      <c r="R99" s="6"/>
      <c r="S99" s="6"/>
      <c r="T99" s="6"/>
    </row>
  </sheetData>
  <dataValidations count="7">
    <dataValidation type="list" allowBlank="1" showInputMessage="1" showErrorMessage="1" sqref="C2" xr:uid="{34C00648-7BFB-4D75-B4B4-84BB0FC1A5F8}">
      <formula1>"Yes, No"</formula1>
    </dataValidation>
    <dataValidation type="decimal" allowBlank="1" showInputMessage="1" showErrorMessage="1" sqref="J6:J99" xr:uid="{A75FC28F-82D4-425B-95F7-F2F103AC890F}">
      <formula1>0</formula1>
      <formula2>1</formula2>
    </dataValidation>
    <dataValidation type="list" allowBlank="1" showInputMessage="1" showErrorMessage="1" sqref="M6:M99" xr:uid="{48369B01-354E-4423-8BB2-6295C0155FBB}">
      <formula1>payload_units</formula1>
    </dataValidation>
    <dataValidation type="decimal" operator="greaterThan" allowBlank="1" showInputMessage="1" showErrorMessage="1" error="Please type a positive number." sqref="L6:L99" xr:uid="{91D0DAA2-D1EE-49E7-8BF5-95786338471C}">
      <formula1>0</formula1>
    </dataValidation>
    <dataValidation type="decimal" operator="greaterThan" allowBlank="1" showInputMessage="1" showErrorMessage="1" error="Please type a positive price." sqref="N6:N99" xr:uid="{584E2BD4-C904-47C7-B043-3B9D5DEC29D1}">
      <formula1>0</formula1>
    </dataValidation>
    <dataValidation type="decimal" allowBlank="1" showInputMessage="1" showErrorMessage="1" error="Please type a number between 0 and 1." sqref="G6:G99" xr:uid="{56170A89-391B-404B-A36D-6E1DB569C3E7}">
      <formula1>0</formula1>
      <formula2>1</formula2>
    </dataValidation>
    <dataValidation type="custom" allowBlank="1" showInputMessage="1" showErrorMessage="1" sqref="E6:E99" xr:uid="{12037675-4852-465F-82D6-185315F2AEC9}">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FBD33A-F8C5-4580-89D2-12D1FD7E4104}">
          <x14:formula1>
            <xm:f>'SI - Co-products'!$D$2:$D$8</xm:f>
          </x14:formula1>
          <xm:sqref>C1</xm:sqref>
        </x14:dataValidation>
        <x14:dataValidation type="list" allowBlank="1" showInputMessage="1" showErrorMessage="1" xr:uid="{56B25993-A448-4B13-9C14-FD5EB5CA266A}">
          <x14:formula1>
            <xm:f>INDIRECT(_xlfn.XLOOKUP($P6,'SI - End Use'!$A$14:$A$23,'SI - End Use'!$B$14:$B$23,"other_end_use",0))</xm:f>
          </x14:formula1>
          <xm:sqref>Q6:R99</xm:sqref>
        </x14:dataValidation>
        <x14:dataValidation type="list" allowBlank="1" showInputMessage="1" xr:uid="{7C8C363D-C276-4A96-8C38-D5F6FBE3FE5D}">
          <x14:formula1>
            <xm:f>INDIRECT(_xlfn.XLOOKUP($C6,'SI - End Use'!$A$14:$A$23,'SI - End Use'!$B$14:$B$23,"other_end_use",0))</xm:f>
          </x14:formula1>
          <xm:sqref>D6:D99</xm:sqref>
        </x14:dataValidation>
        <x14:dataValidation type="list" allowBlank="1" showInputMessage="1" showErrorMessage="1" xr:uid="{A9EDCAD3-5E0A-409A-8217-A05F8769E87C}">
          <x14:formula1>
            <xm:f>INDIRECT(_xlfn.XLOOKUP($B6, 'SI - Resources'!$R$1:$R$10,'SI - Resources'!$S$1:$S$10, "placeholder_resource", 0))</xm:f>
          </x14:formula1>
          <xm:sqref>C6:C99 P6:P99</xm:sqref>
        </x14:dataValidation>
        <x14:dataValidation type="list" allowBlank="1" showInputMessage="1" showErrorMessage="1" xr:uid="{381E563A-B0B0-4E6F-B80D-5DB2BE35C630}">
          <x14:formula1>
            <xm:f>'SI - Co-products'!$B$2:$B$6</xm:f>
          </x14:formula1>
          <xm:sqref>A6:A99</xm:sqref>
        </x14:dataValidation>
        <x14:dataValidation type="list" allowBlank="1" showInputMessage="1" showErrorMessage="1" xr:uid="{310862AE-882E-4043-B24E-FEE573AD0E86}">
          <x14:formula1>
            <xm:f>'SI - Resources'!$A$1:$J$1</xm:f>
          </x14:formula1>
          <xm:sqref>B6:B99</xm:sqref>
        </x14:dataValidation>
        <x14:dataValidation type="list" allowBlank="1" showInputMessage="1" showErrorMessage="1" xr:uid="{AE97A3C7-CA1D-47D1-900E-DF8097D2AD23}">
          <x14:formula1>
            <xm:f>'SI - Co-products'!$C$2:$C$4</xm:f>
          </x14:formula1>
          <xm:sqref>I6:I99</xm:sqref>
        </x14:dataValidation>
        <x14:dataValidation type="list" allowBlank="1" showInputMessage="1" showErrorMessage="1" xr:uid="{9DF4E270-AA57-4136-B231-AE087E9C2438}">
          <x14:formula1>
            <xm:f>'SI - Co-products'!$A$2:$A$5</xm:f>
          </x14:formula1>
          <xm:sqref>K6:K99</xm:sqref>
        </x14:dataValidation>
        <x14:dataValidation type="list" allowBlank="1" showInputMessage="1" showErrorMessage="1" xr:uid="{F8389FFC-07A7-4CF5-A65A-B6ACAB2B64B6}">
          <x14:formula1>
            <xm:f>IF($B6="Transportation",  transport_units, INDIRECT(_xlfn.XLOOKUP($C6, 'SI - Units'!$F$27:$F$41,'SI - Units'!$G$27:$G$41,"mass",0)))</xm:f>
          </x14:formula1>
          <xm:sqref>F6:F99</xm:sqref>
        </x14:dataValidation>
        <x14:dataValidation type="list" allowBlank="1" showInputMessage="1" showErrorMessage="1" xr:uid="{B880DA9F-C177-4056-BB0F-8E51DEF876A7}">
          <x14:formula1>
            <xm:f>INDIRECT("p_"&amp;_xlfn.XLOOKUP($C6,'SI - Units'!$F$27:$F$41,'SI - Units'!$G$27:$G$41,"mass",0))</xm:f>
          </x14:formula1>
          <xm:sqref>O6:O99</xm:sqref>
        </x14:dataValidation>
        <x14:dataValidation type="list" allowBlank="1" showInputMessage="1" showErrorMessage="1" xr:uid="{AAC04232-5183-4FD0-8D9F-757C131D559D}">
          <x14:formula1>
            <xm:f>_xlfn.XLOOKUP(_xlfn.XLOOKUP(#REF!,'SI - Units'!$B$25:$B$113,'SI - Units'!$C$25:$C$113),'SI - Units'!$A$2:$A$9,'SI - Units'!$B$2:$R$9)</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F7BA-4F6D-4DAE-A0AF-D9F88A923A9F}">
  <sheetPr codeName="Sheet18"/>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344</v>
      </c>
      <c r="D6" s="6" t="str">
        <f>IF(_xlfn.XLOOKUP($C6,'SI - End Use'!$B$2:$B$9,'SI - End Use'!$C$2:$C$9, "")="", "", _xlfn.XLOOKUP($C6,'SI - End Use'!$B$2:$B$9,'SI - End Use'!$C$2:$C$9, ""))</f>
        <v/>
      </c>
      <c r="E6" s="61">
        <v>1</v>
      </c>
      <c r="F6" s="6" t="s">
        <v>11</v>
      </c>
      <c r="G6" s="25"/>
      <c r="H6" s="25"/>
      <c r="I6" s="26" t="str">
        <f>IF(Table1616[[#This Row],[Type]]="Co-product", "No", "")</f>
        <v/>
      </c>
      <c r="J6" s="25"/>
      <c r="K6" s="6"/>
      <c r="L6" s="6" t="str">
        <f>IF(Table1616[[#This Row],[Category]]="Transportation", _xlfn.XLOOKUP(Table1616[[#This Row],[Resource]], 'SI - Payload'!$A$10:$A$40,'SI - Payload'!$B$10:$B$40,"",0), "")</f>
        <v/>
      </c>
      <c r="M6" s="6" t="str">
        <f>IF(Table1616[[#This Row],[Category]]="Transportation", "ton", "")</f>
        <v/>
      </c>
      <c r="N6" s="6"/>
      <c r="O6" s="6"/>
      <c r="P6" s="6" t="str">
        <f>IF(OR(Table1616[[#This Row],[Type]]="Main Product", Table1616[[#This Row],[Type]]="Co-Product"), Table1616[[#This Row],[Resource]], "")</f>
        <v/>
      </c>
      <c r="Q6" s="6" t="str">
        <f>IF(_xlfn.XLOOKUP($P6,'SI - End Use'!$B$2:$B$9,'SI - End Use'!$C$2:$C$9, "")="", "", _xlfn.XLOOKUP($C6,'SI - End Use'!$B$2:$B$9,'SI - End Use'!$C$2:$C$9, ""))</f>
        <v/>
      </c>
      <c r="R6" s="6"/>
      <c r="S6" s="6"/>
      <c r="T6" s="6"/>
    </row>
    <row r="7" spans="1:20" x14ac:dyDescent="0.25">
      <c r="A7" s="6" t="s">
        <v>0</v>
      </c>
      <c r="B7" s="6" t="s">
        <v>244</v>
      </c>
      <c r="C7" s="6" t="s">
        <v>2</v>
      </c>
      <c r="D7" s="6" t="s">
        <v>12</v>
      </c>
      <c r="E7" s="12">
        <v>139910</v>
      </c>
      <c r="F7" s="6" t="s">
        <v>69</v>
      </c>
      <c r="G7" s="25"/>
      <c r="H7" s="25"/>
      <c r="I7" s="26" t="str">
        <f>IF(Table1616[[#This Row],[Type]]="Co-product", "No", "")</f>
        <v/>
      </c>
      <c r="J7" s="25"/>
      <c r="K7" s="6"/>
      <c r="L7" s="6" t="str">
        <f>IF(Table1616[[#This Row],[Category]]="Transportation", _xlfn.XLOOKUP(Table1616[[#This Row],[Resource]], 'SI - Payload'!$A$10:$A$40,'SI - Payload'!$B$10:$B$40,"",0), "")</f>
        <v/>
      </c>
      <c r="M7" s="6" t="str">
        <f>IF(Table1616[[#This Row],[Category]]="Transportation", "ton", "")</f>
        <v/>
      </c>
      <c r="N7" s="6"/>
      <c r="O7" s="6"/>
      <c r="P7" s="6" t="str">
        <f>IF(OR(Table1616[[#This Row],[Type]]="Main Product", Table1616[[#This Row],[Type]]="Co-Product"), Table1616[[#This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IF(Table1616[[#This Row],[Type]]="Co-product", "No", "")</f>
        <v/>
      </c>
      <c r="J8" s="25"/>
      <c r="K8" s="6"/>
      <c r="L8" s="6" t="str">
        <f>IF(Table1616[[#This Row],[Category]]="Transportation", _xlfn.XLOOKUP(Table1616[[#This Row],[Resource]], 'SI - Payload'!$A$10:$A$40,'SI - Payload'!$B$10:$B$40,"",0), "")</f>
        <v/>
      </c>
      <c r="M8" s="6" t="str">
        <f>IF(Table1616[[#This Row],[Category]]="Transportation", "ton", "")</f>
        <v/>
      </c>
      <c r="N8" s="6"/>
      <c r="O8" s="6"/>
      <c r="P8" s="6" t="str">
        <f>IF(OR(Table1616[[#This Row],[Type]]="Main Product", Table1616[[#This Row],[Type]]="Co-Product"), Table1616[[#This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IF(Table1616[[#This Row],[Type]]="Co-product", "No", "")</f>
        <v/>
      </c>
      <c r="J9" s="25"/>
      <c r="K9" s="6"/>
      <c r="L9" s="6" t="str">
        <f>IF(Table1616[[#This Row],[Category]]="Transportation", _xlfn.XLOOKUP(Table1616[[#This Row],[Resource]], 'SI - Payload'!$A$10:$A$40,'SI - Payload'!$B$10:$B$40,"",0), "")</f>
        <v/>
      </c>
      <c r="M9" s="6" t="str">
        <f>IF(Table1616[[#This Row],[Category]]="Transportation", "ton", "")</f>
        <v/>
      </c>
      <c r="N9" s="6"/>
      <c r="O9" s="6"/>
      <c r="P9" s="6" t="str">
        <f>IF(OR(Table1616[[#This Row],[Type]]="Main Product", Table1616[[#This Row],[Type]]="Co-Product"), Table1616[[#This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IF(Table1616[[#This Row],[Type]]="Co-product", "No", "")</f>
        <v/>
      </c>
      <c r="J10" s="25"/>
      <c r="K10" s="6"/>
      <c r="L10" s="6" t="str">
        <f>IF(Table1616[[#This Row],[Category]]="Transportation", _xlfn.XLOOKUP(Table1616[[#This Row],[Resource]], 'SI - Payload'!$A$10:$A$40,'SI - Payload'!$B$10:$B$40,"",0), "")</f>
        <v/>
      </c>
      <c r="M10" s="6" t="str">
        <f>IF(Table1616[[#This Row],[Category]]="Transportation", "ton", "")</f>
        <v/>
      </c>
      <c r="N10" s="6"/>
      <c r="O10" s="6"/>
      <c r="P10" s="6" t="str">
        <f>IF(OR(Table1616[[#This Row],[Type]]="Main Product", Table1616[[#This Row],[Type]]="Co-Product"), Table1616[[#This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IF(Table1616[[#This Row],[Type]]="Co-product", "No", "")</f>
        <v/>
      </c>
      <c r="J11" s="25"/>
      <c r="K11" s="6"/>
      <c r="L11" s="6" t="str">
        <f>IF(Table1616[[#This Row],[Category]]="Transportation", _xlfn.XLOOKUP(Table1616[[#This Row],[Resource]], 'SI - Payload'!$A$10:$A$40,'SI - Payload'!$B$10:$B$40,"",0), "")</f>
        <v/>
      </c>
      <c r="M11" s="6" t="str">
        <f>IF(Table1616[[#This Row],[Category]]="Transportation", "ton", "")</f>
        <v/>
      </c>
      <c r="N11" s="6"/>
      <c r="O11" s="6"/>
      <c r="P11" s="6" t="str">
        <f>IF(OR(Table1616[[#This Row],[Type]]="Main Product", Table1616[[#This Row],[Type]]="Co-Product"), Table1616[[#This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IF(Table1616[[#This Row],[Type]]="Co-product", "No", "")</f>
        <v/>
      </c>
      <c r="J12" s="25"/>
      <c r="K12" s="6"/>
      <c r="L12" s="6" t="str">
        <f>IF(Table1616[[#This Row],[Category]]="Transportation", _xlfn.XLOOKUP(Table1616[[#This Row],[Resource]], 'SI - Payload'!$A$10:$A$40,'SI - Payload'!$B$10:$B$40,"",0), "")</f>
        <v/>
      </c>
      <c r="M12" s="6" t="str">
        <f>IF(Table1616[[#This Row],[Category]]="Transportation", "ton", "")</f>
        <v/>
      </c>
      <c r="N12" s="6"/>
      <c r="O12" s="6"/>
      <c r="P12" s="6" t="str">
        <f>IF(OR(Table1616[[#This Row],[Type]]="Main Product", Table1616[[#This Row],[Type]]="Co-Product"), Table1616[[#This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IF(Table1616[[#This Row],[Type]]="Co-product", "No", "")</f>
        <v/>
      </c>
      <c r="J13" s="25"/>
      <c r="K13" s="6"/>
      <c r="L13" s="6" t="str">
        <f>IF(Table1616[[#This Row],[Category]]="Transportation", _xlfn.XLOOKUP(Table1616[[#This Row],[Resource]], 'SI - Payload'!$A$10:$A$40,'SI - Payload'!$B$10:$B$40,"",0), "")</f>
        <v/>
      </c>
      <c r="M13" s="6" t="str">
        <f>IF(Table1616[[#This Row],[Category]]="Transportation", "ton", "")</f>
        <v/>
      </c>
      <c r="N13" s="6"/>
      <c r="O13" s="6"/>
      <c r="P13" s="6" t="str">
        <f>IF(OR(Table1616[[#This Row],[Type]]="Main Product", Table1616[[#This Row],[Type]]="Co-Product"), Table1616[[#This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IF(Table1616[[#This Row],[Type]]="Co-product", "No", "")</f>
        <v/>
      </c>
      <c r="J14" s="25"/>
      <c r="K14" s="6"/>
      <c r="L14" s="6" t="str">
        <f>IF(Table1616[[#This Row],[Category]]="Transportation", _xlfn.XLOOKUP(Table1616[[#This Row],[Resource]], 'SI - Payload'!$A$10:$A$40,'SI - Payload'!$B$10:$B$40,"",0), "")</f>
        <v/>
      </c>
      <c r="M14" s="6" t="str">
        <f>IF(Table1616[[#This Row],[Category]]="Transportation", "ton", "")</f>
        <v/>
      </c>
      <c r="N14" s="6"/>
      <c r="O14" s="6"/>
      <c r="P14" s="6" t="str">
        <f>IF(OR(Table1616[[#This Row],[Type]]="Main Product", Table1616[[#This Row],[Type]]="Co-Product"), Table1616[[#This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IF(Table1616[[#This Row],[Type]]="Co-product", "No", "")</f>
        <v/>
      </c>
      <c r="J15" s="25"/>
      <c r="K15" s="6"/>
      <c r="L15" s="6" t="str">
        <f>IF(Table1616[[#This Row],[Category]]="Transportation", _xlfn.XLOOKUP(Table1616[[#This Row],[Resource]], 'SI - Payload'!$A$10:$A$40,'SI - Payload'!$B$10:$B$40,"",0), "")</f>
        <v/>
      </c>
      <c r="M15" s="6" t="str">
        <f>IF(Table1616[[#This Row],[Category]]="Transportation", "ton", "")</f>
        <v/>
      </c>
      <c r="N15" s="6"/>
      <c r="O15" s="6"/>
      <c r="P15" s="6" t="str">
        <f>IF(OR(Table1616[[#This Row],[Type]]="Main Product", Table1616[[#This Row],[Type]]="Co-Product"), Table1616[[#This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IF(Table1616[[#This Row],[Type]]="Co-product", "No", "")</f>
        <v/>
      </c>
      <c r="J16" s="25"/>
      <c r="K16" s="6"/>
      <c r="L16" s="6" t="str">
        <f>IF(Table1616[[#This Row],[Category]]="Transportation", _xlfn.XLOOKUP(Table1616[[#This Row],[Resource]], 'SI - Payload'!$A$10:$A$40,'SI - Payload'!$B$10:$B$40,"",0), "")</f>
        <v/>
      </c>
      <c r="M16" s="6" t="str">
        <f>IF(Table1616[[#This Row],[Category]]="Transportation", "ton", "")</f>
        <v/>
      </c>
      <c r="N16" s="6"/>
      <c r="O16" s="6"/>
      <c r="P16" s="6" t="str">
        <f>IF(OR(Table1616[[#This Row],[Type]]="Main Product", Table1616[[#This Row],[Type]]="Co-Product"), Table1616[[#This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IF(Table1616[[#This Row],[Type]]="Co-product", "No", "")</f>
        <v/>
      </c>
      <c r="J17" s="25"/>
      <c r="K17" s="6"/>
      <c r="L17" s="6" t="str">
        <f>IF(Table1616[[#This Row],[Category]]="Transportation", _xlfn.XLOOKUP(Table1616[[#This Row],[Resource]], 'SI - Payload'!$A$10:$A$40,'SI - Payload'!$B$10:$B$40,"",0), "")</f>
        <v/>
      </c>
      <c r="M17" s="6" t="str">
        <f>IF(Table1616[[#This Row],[Category]]="Transportation", "ton", "")</f>
        <v/>
      </c>
      <c r="N17" s="6"/>
      <c r="O17" s="6"/>
      <c r="P17" s="6" t="str">
        <f>IF(OR(Table1616[[#This Row],[Type]]="Main Product", Table1616[[#This Row],[Type]]="Co-Product"), Table1616[[#This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IF(Table1616[[#This Row],[Type]]="Co-product", "No", "")</f>
        <v/>
      </c>
      <c r="J18" s="25"/>
      <c r="K18" s="6"/>
      <c r="L18" s="6" t="str">
        <f>IF(Table1616[[#This Row],[Category]]="Transportation", _xlfn.XLOOKUP(Table1616[[#This Row],[Resource]], 'SI - Payload'!$A$10:$A$40,'SI - Payload'!$B$10:$B$40,"",0), "")</f>
        <v/>
      </c>
      <c r="M18" s="6" t="str">
        <f>IF(Table1616[[#This Row],[Category]]="Transportation", "ton", "")</f>
        <v/>
      </c>
      <c r="N18" s="6"/>
      <c r="O18" s="6"/>
      <c r="P18" s="6" t="str">
        <f>IF(OR(Table1616[[#This Row],[Type]]="Main Product", Table1616[[#This Row],[Type]]="Co-Product"), Table1616[[#This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IF(Table1616[[#This Row],[Type]]="Co-product", "No", "")</f>
        <v/>
      </c>
      <c r="J19" s="25"/>
      <c r="K19" s="6"/>
      <c r="L19" s="6" t="str">
        <f>IF(Table1616[[#This Row],[Category]]="Transportation", _xlfn.XLOOKUP(Table1616[[#This Row],[Resource]], 'SI - Payload'!$A$10:$A$40,'SI - Payload'!$B$10:$B$40,"",0), "")</f>
        <v/>
      </c>
      <c r="M19" s="6" t="str">
        <f>IF(Table1616[[#This Row],[Category]]="Transportation", "ton", "")</f>
        <v/>
      </c>
      <c r="N19" s="6"/>
      <c r="O19" s="6"/>
      <c r="P19" s="6" t="str">
        <f>IF(OR(Table1616[[#This Row],[Type]]="Main Product", Table1616[[#This Row],[Type]]="Co-Product"), Table1616[[#This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IF(Table1616[[#This Row],[Type]]="Co-product", "No", "")</f>
        <v/>
      </c>
      <c r="J20" s="25"/>
      <c r="K20" s="6"/>
      <c r="L20" s="6" t="str">
        <f>IF(Table1616[[#This Row],[Category]]="Transportation", _xlfn.XLOOKUP(Table1616[[#This Row],[Resource]], 'SI - Payload'!$A$10:$A$40,'SI - Payload'!$B$10:$B$40,"",0), "")</f>
        <v/>
      </c>
      <c r="M20" s="6" t="str">
        <f>IF(Table1616[[#This Row],[Category]]="Transportation", "ton", "")</f>
        <v/>
      </c>
      <c r="N20" s="6"/>
      <c r="O20" s="6"/>
      <c r="P20" s="6" t="str">
        <f>IF(OR(Table1616[[#This Row],[Type]]="Main Product", Table1616[[#This Row],[Type]]="Co-Product"), Table1616[[#This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IF(Table1616[[#This Row],[Type]]="Co-product", "No", "")</f>
        <v/>
      </c>
      <c r="J21" s="25"/>
      <c r="K21" s="6"/>
      <c r="L21" s="6" t="str">
        <f>IF(Table1616[[#This Row],[Category]]="Transportation", _xlfn.XLOOKUP(Table1616[[#This Row],[Resource]], 'SI - Payload'!$A$10:$A$40,'SI - Payload'!$B$10:$B$40,"",0), "")</f>
        <v/>
      </c>
      <c r="M21" s="6" t="str">
        <f>IF(Table1616[[#This Row],[Category]]="Transportation", "ton", "")</f>
        <v/>
      </c>
      <c r="N21" s="6"/>
      <c r="O21" s="6"/>
      <c r="P21" s="6" t="str">
        <f>IF(OR(Table1616[[#This Row],[Type]]="Main Product", Table1616[[#This Row],[Type]]="Co-Product"), Table1616[[#This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IF(Table1616[[#This Row],[Type]]="Co-product", "No", "")</f>
        <v/>
      </c>
      <c r="J22" s="25"/>
      <c r="K22" s="6"/>
      <c r="L22" s="6" t="str">
        <f>IF(Table1616[[#This Row],[Category]]="Transportation", _xlfn.XLOOKUP(Table1616[[#This Row],[Resource]], 'SI - Payload'!$A$10:$A$40,'SI - Payload'!$B$10:$B$40,"",0), "")</f>
        <v/>
      </c>
      <c r="M22" s="6" t="str">
        <f>IF(Table1616[[#This Row],[Category]]="Transportation", "ton", "")</f>
        <v/>
      </c>
      <c r="N22" s="6"/>
      <c r="O22" s="6"/>
      <c r="P22" s="6" t="str">
        <f>IF(OR(Table1616[[#This Row],[Type]]="Main Product", Table1616[[#This Row],[Type]]="Co-Product"), Table1616[[#This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IF(Table1616[[#This Row],[Type]]="Co-product", "No", "")</f>
        <v/>
      </c>
      <c r="J23" s="25"/>
      <c r="K23" s="6"/>
      <c r="L23" s="6" t="str">
        <f>IF(Table1616[[#This Row],[Category]]="Transportation", _xlfn.XLOOKUP(Table1616[[#This Row],[Resource]], 'SI - Payload'!$A$10:$A$40,'SI - Payload'!$B$10:$B$40,"",0), "")</f>
        <v/>
      </c>
      <c r="M23" s="6" t="str">
        <f>IF(Table1616[[#This Row],[Category]]="Transportation", "ton", "")</f>
        <v/>
      </c>
      <c r="N23" s="6"/>
      <c r="O23" s="6"/>
      <c r="P23" s="6" t="str">
        <f>IF(OR(Table1616[[#This Row],[Type]]="Main Product", Table1616[[#This Row],[Type]]="Co-Product"), Table1616[[#This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IF(Table1616[[#This Row],[Type]]="Co-product", "No", "")</f>
        <v/>
      </c>
      <c r="J24" s="25"/>
      <c r="K24" s="6"/>
      <c r="L24" s="6" t="str">
        <f>IF(Table1616[[#This Row],[Category]]="Transportation", _xlfn.XLOOKUP(Table1616[[#This Row],[Resource]], 'SI - Payload'!$A$10:$A$40,'SI - Payload'!$B$10:$B$40,"",0), "")</f>
        <v/>
      </c>
      <c r="M24" s="6" t="str">
        <f>IF(Table1616[[#This Row],[Category]]="Transportation", "ton", "")</f>
        <v/>
      </c>
      <c r="N24" s="6"/>
      <c r="O24" s="6"/>
      <c r="P24" s="6" t="str">
        <f>IF(OR(Table1616[[#This Row],[Type]]="Main Product", Table1616[[#This Row],[Type]]="Co-Product"), Table1616[[#This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IF(Table1616[[#This Row],[Type]]="Co-product", "No", "")</f>
        <v/>
      </c>
      <c r="J25" s="25"/>
      <c r="K25" s="6"/>
      <c r="L25" s="6" t="str">
        <f>IF(Table1616[[#This Row],[Category]]="Transportation", _xlfn.XLOOKUP(Table1616[[#This Row],[Resource]], 'SI - Payload'!$A$10:$A$40,'SI - Payload'!$B$10:$B$40,"",0), "")</f>
        <v/>
      </c>
      <c r="M25" s="6" t="str">
        <f>IF(Table1616[[#This Row],[Category]]="Transportation", "ton", "")</f>
        <v/>
      </c>
      <c r="N25" s="6"/>
      <c r="O25" s="6"/>
      <c r="P25" s="6" t="str">
        <f>IF(OR(Table1616[[#This Row],[Type]]="Main Product", Table1616[[#This Row],[Type]]="Co-Product"), Table1616[[#This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IF(Table1616[[#This Row],[Type]]="Co-product", "No", "")</f>
        <v/>
      </c>
      <c r="J26" s="25"/>
      <c r="K26" s="6"/>
      <c r="L26" s="6" t="str">
        <f>IF(Table1616[[#This Row],[Category]]="Transportation", _xlfn.XLOOKUP(Table1616[[#This Row],[Resource]], 'SI - Payload'!$A$10:$A$40,'SI - Payload'!$B$10:$B$40,"",0), "")</f>
        <v/>
      </c>
      <c r="M26" s="6" t="str">
        <f>IF(Table1616[[#This Row],[Category]]="Transportation", "ton", "")</f>
        <v/>
      </c>
      <c r="N26" s="6"/>
      <c r="O26" s="6"/>
      <c r="P26" s="6" t="str">
        <f>IF(OR(Table1616[[#This Row],[Type]]="Main Product", Table1616[[#This Row],[Type]]="Co-Product"), Table1616[[#This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IF(Table1616[[#This Row],[Type]]="Co-product", "No", "")</f>
        <v/>
      </c>
      <c r="J27" s="25"/>
      <c r="K27" s="6"/>
      <c r="L27" s="6" t="str">
        <f>IF(Table1616[[#This Row],[Category]]="Transportation", _xlfn.XLOOKUP(Table1616[[#This Row],[Resource]], 'SI - Payload'!$A$10:$A$40,'SI - Payload'!$B$10:$B$40,"",0), "")</f>
        <v/>
      </c>
      <c r="M27" s="6" t="str">
        <f>IF(Table1616[[#This Row],[Category]]="Transportation", "ton", "")</f>
        <v/>
      </c>
      <c r="N27" s="6"/>
      <c r="O27" s="6"/>
      <c r="P27" s="6" t="str">
        <f>IF(OR(Table1616[[#This Row],[Type]]="Main Product", Table1616[[#This Row],[Type]]="Co-Product"), Table1616[[#This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IF(Table1616[[#This Row],[Type]]="Co-product", "No", "")</f>
        <v/>
      </c>
      <c r="J28" s="25"/>
      <c r="K28" s="6"/>
      <c r="L28" s="6" t="str">
        <f>IF(Table1616[[#This Row],[Category]]="Transportation", _xlfn.XLOOKUP(Table1616[[#This Row],[Resource]], 'SI - Payload'!$A$10:$A$40,'SI - Payload'!$B$10:$B$40,"",0), "")</f>
        <v/>
      </c>
      <c r="M28" s="6" t="str">
        <f>IF(Table1616[[#This Row],[Category]]="Transportation", "ton", "")</f>
        <v/>
      </c>
      <c r="N28" s="6"/>
      <c r="O28" s="6"/>
      <c r="P28" s="6" t="str">
        <f>IF(OR(Table1616[[#This Row],[Type]]="Main Product", Table1616[[#This Row],[Type]]="Co-Product"), Table1616[[#This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IF(Table1616[[#This Row],[Type]]="Co-product", "No", "")</f>
        <v/>
      </c>
      <c r="J29" s="25"/>
      <c r="K29" s="6"/>
      <c r="L29" s="6" t="str">
        <f>IF(Table1616[[#This Row],[Category]]="Transportation", _xlfn.XLOOKUP(Table1616[[#This Row],[Resource]], 'SI - Payload'!$A$10:$A$40,'SI - Payload'!$B$10:$B$40,"",0), "")</f>
        <v/>
      </c>
      <c r="M29" s="6" t="str">
        <f>IF(Table1616[[#This Row],[Category]]="Transportation", "ton", "")</f>
        <v/>
      </c>
      <c r="N29" s="6"/>
      <c r="O29" s="6"/>
      <c r="P29" s="6" t="str">
        <f>IF(OR(Table1616[[#This Row],[Type]]="Main Product", Table1616[[#This Row],[Type]]="Co-Product"), Table1616[[#This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IF(Table1616[[#This Row],[Type]]="Co-product", "No", "")</f>
        <v/>
      </c>
      <c r="J30" s="25"/>
      <c r="K30" s="6"/>
      <c r="L30" s="6" t="str">
        <f>IF(Table1616[[#This Row],[Category]]="Transportation", _xlfn.XLOOKUP(Table1616[[#This Row],[Resource]], 'SI - Payload'!$A$10:$A$40,'SI - Payload'!$B$10:$B$40,"",0), "")</f>
        <v/>
      </c>
      <c r="M30" s="6" t="str">
        <f>IF(Table1616[[#This Row],[Category]]="Transportation", "ton", "")</f>
        <v/>
      </c>
      <c r="N30" s="6"/>
      <c r="O30" s="6"/>
      <c r="P30" s="6" t="str">
        <f>IF(OR(Table1616[[#This Row],[Type]]="Main Product", Table1616[[#This Row],[Type]]="Co-Product"), Table1616[[#This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IF(Table1616[[#This Row],[Type]]="Co-product", "No", "")</f>
        <v/>
      </c>
      <c r="J31" s="25"/>
      <c r="K31" s="6"/>
      <c r="L31" s="6" t="str">
        <f>IF(Table1616[[#This Row],[Category]]="Transportation", _xlfn.XLOOKUP(Table1616[[#This Row],[Resource]], 'SI - Payload'!$A$10:$A$40,'SI - Payload'!$B$10:$B$40,"",0), "")</f>
        <v/>
      </c>
      <c r="M31" s="6" t="str">
        <f>IF(Table1616[[#This Row],[Category]]="Transportation", "ton", "")</f>
        <v/>
      </c>
      <c r="N31" s="6"/>
      <c r="O31" s="6"/>
      <c r="P31" s="6" t="str">
        <f>IF(OR(Table1616[[#This Row],[Type]]="Main Product", Table1616[[#This Row],[Type]]="Co-Product"), Table1616[[#This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IF(Table1616[[#This Row],[Type]]="Co-product", "No", "")</f>
        <v/>
      </c>
      <c r="J32" s="25"/>
      <c r="K32" s="6"/>
      <c r="L32" s="6" t="str">
        <f>IF(Table1616[[#This Row],[Category]]="Transportation", _xlfn.XLOOKUP(Table1616[[#This Row],[Resource]], 'SI - Payload'!$A$10:$A$40,'SI - Payload'!$B$10:$B$40,"",0), "")</f>
        <v/>
      </c>
      <c r="M32" s="6" t="str">
        <f>IF(Table1616[[#This Row],[Category]]="Transportation", "ton", "")</f>
        <v/>
      </c>
      <c r="N32" s="6"/>
      <c r="O32" s="6"/>
      <c r="P32" s="6" t="str">
        <f>IF(OR(Table1616[[#This Row],[Type]]="Main Product", Table1616[[#This Row],[Type]]="Co-Product"), Table1616[[#This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IF(Table1616[[#This Row],[Type]]="Co-product", "No", "")</f>
        <v/>
      </c>
      <c r="J33" s="25"/>
      <c r="K33" s="6"/>
      <c r="L33" s="6" t="str">
        <f>IF(Table1616[[#This Row],[Category]]="Transportation", _xlfn.XLOOKUP(Table1616[[#This Row],[Resource]], 'SI - Payload'!$A$10:$A$40,'SI - Payload'!$B$10:$B$40,"",0), "")</f>
        <v/>
      </c>
      <c r="M33" s="6" t="str">
        <f>IF(Table1616[[#This Row],[Category]]="Transportation", "ton", "")</f>
        <v/>
      </c>
      <c r="N33" s="6"/>
      <c r="O33" s="6"/>
      <c r="P33" s="6" t="str">
        <f>IF(OR(Table1616[[#This Row],[Type]]="Main Product", Table1616[[#This Row],[Type]]="Co-Product"), Table1616[[#This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IF(Table1616[[#This Row],[Type]]="Co-product", "No", "")</f>
        <v/>
      </c>
      <c r="J34" s="25"/>
      <c r="K34" s="6"/>
      <c r="L34" s="6" t="str">
        <f>IF(Table1616[[#This Row],[Category]]="Transportation", _xlfn.XLOOKUP(Table1616[[#This Row],[Resource]], 'SI - Payload'!$A$10:$A$40,'SI - Payload'!$B$10:$B$40,"",0), "")</f>
        <v/>
      </c>
      <c r="M34" s="6" t="str">
        <f>IF(Table1616[[#This Row],[Category]]="Transportation", "ton", "")</f>
        <v/>
      </c>
      <c r="N34" s="6"/>
      <c r="O34" s="6"/>
      <c r="P34" s="6" t="str">
        <f>IF(OR(Table1616[[#This Row],[Type]]="Main Product", Table1616[[#This Row],[Type]]="Co-Product"), Table1616[[#This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IF(Table1616[[#This Row],[Type]]="Co-product", "No", "")</f>
        <v/>
      </c>
      <c r="J35" s="25"/>
      <c r="K35" s="6"/>
      <c r="L35" s="6" t="str">
        <f>IF(Table1616[[#This Row],[Category]]="Transportation", _xlfn.XLOOKUP(Table1616[[#This Row],[Resource]], 'SI - Payload'!$A$10:$A$40,'SI - Payload'!$B$10:$B$40,"",0), "")</f>
        <v/>
      </c>
      <c r="M35" s="6" t="str">
        <f>IF(Table1616[[#This Row],[Category]]="Transportation", "ton", "")</f>
        <v/>
      </c>
      <c r="N35" s="6"/>
      <c r="O35" s="6"/>
      <c r="P35" s="6" t="str">
        <f>IF(OR(Table1616[[#This Row],[Type]]="Main Product", Table1616[[#This Row],[Type]]="Co-Product"), Table1616[[#This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IF(Table1616[[#This Row],[Type]]="Co-product", "No", "")</f>
        <v/>
      </c>
      <c r="J36" s="25"/>
      <c r="K36" s="6"/>
      <c r="L36" s="6" t="str">
        <f>IF(Table1616[[#This Row],[Category]]="Transportation", _xlfn.XLOOKUP(Table1616[[#This Row],[Resource]], 'SI - Payload'!$A$10:$A$40,'SI - Payload'!$B$10:$B$40,"",0), "")</f>
        <v/>
      </c>
      <c r="M36" s="6" t="str">
        <f>IF(Table1616[[#This Row],[Category]]="Transportation", "ton", "")</f>
        <v/>
      </c>
      <c r="N36" s="6"/>
      <c r="O36" s="6"/>
      <c r="P36" s="6" t="str">
        <f>IF(OR(Table1616[[#This Row],[Type]]="Main Product", Table1616[[#This Row],[Type]]="Co-Product"), Table1616[[#This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IF(Table1616[[#This Row],[Type]]="Co-product", "No", "")</f>
        <v/>
      </c>
      <c r="J37" s="25"/>
      <c r="K37" s="6"/>
      <c r="L37" s="6" t="str">
        <f>IF(Table1616[[#This Row],[Category]]="Transportation", _xlfn.XLOOKUP(Table1616[[#This Row],[Resource]], 'SI - Payload'!$A$10:$A$40,'SI - Payload'!$B$10:$B$40,"",0), "")</f>
        <v/>
      </c>
      <c r="M37" s="6" t="str">
        <f>IF(Table1616[[#This Row],[Category]]="Transportation", "ton", "")</f>
        <v/>
      </c>
      <c r="N37" s="6"/>
      <c r="O37" s="6"/>
      <c r="P37" s="6" t="str">
        <f>IF(OR(Table1616[[#This Row],[Type]]="Main Product", Table1616[[#This Row],[Type]]="Co-Product"), Table1616[[#This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IF(Table1616[[#This Row],[Type]]="Co-product", "No", "")</f>
        <v/>
      </c>
      <c r="J38" s="25"/>
      <c r="K38" s="6"/>
      <c r="L38" s="6" t="str">
        <f>IF(Table1616[[#This Row],[Category]]="Transportation", _xlfn.XLOOKUP(Table1616[[#This Row],[Resource]], 'SI - Payload'!$A$10:$A$40,'SI - Payload'!$B$10:$B$40,"",0), "")</f>
        <v/>
      </c>
      <c r="M38" s="6" t="str">
        <f>IF(Table1616[[#This Row],[Category]]="Transportation", "ton", "")</f>
        <v/>
      </c>
      <c r="N38" s="6"/>
      <c r="O38" s="6"/>
      <c r="P38" s="6" t="str">
        <f>IF(OR(Table1616[[#This Row],[Type]]="Main Product", Table1616[[#This Row],[Type]]="Co-Product"), Table1616[[#This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IF(Table1616[[#This Row],[Type]]="Co-product", "No", "")</f>
        <v/>
      </c>
      <c r="J39" s="25"/>
      <c r="K39" s="6"/>
      <c r="L39" s="6" t="str">
        <f>IF(Table1616[[#This Row],[Category]]="Transportation", _xlfn.XLOOKUP(Table1616[[#This Row],[Resource]], 'SI - Payload'!$A$10:$A$40,'SI - Payload'!$B$10:$B$40,"",0), "")</f>
        <v/>
      </c>
      <c r="M39" s="6" t="str">
        <f>IF(Table1616[[#This Row],[Category]]="Transportation", "ton", "")</f>
        <v/>
      </c>
      <c r="N39" s="6"/>
      <c r="O39" s="6"/>
      <c r="P39" s="6" t="str">
        <f>IF(OR(Table1616[[#This Row],[Type]]="Main Product", Table1616[[#This Row],[Type]]="Co-Product"), Table1616[[#This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IF(Table1616[[#This Row],[Type]]="Co-product", "No", "")</f>
        <v/>
      </c>
      <c r="J40" s="25"/>
      <c r="K40" s="6"/>
      <c r="L40" s="6" t="str">
        <f>IF(Table1616[[#This Row],[Category]]="Transportation", _xlfn.XLOOKUP(Table1616[[#This Row],[Resource]], 'SI - Payload'!$A$10:$A$40,'SI - Payload'!$B$10:$B$40,"",0), "")</f>
        <v/>
      </c>
      <c r="M40" s="6" t="str">
        <f>IF(Table1616[[#This Row],[Category]]="Transportation", "ton", "")</f>
        <v/>
      </c>
      <c r="N40" s="6"/>
      <c r="O40" s="6"/>
      <c r="P40" s="6" t="str">
        <f>IF(OR(Table1616[[#This Row],[Type]]="Main Product", Table1616[[#This Row],[Type]]="Co-Product"), Table1616[[#This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IF(Table1616[[#This Row],[Type]]="Co-product", "No", "")</f>
        <v/>
      </c>
      <c r="J41" s="25"/>
      <c r="K41" s="6"/>
      <c r="L41" s="6" t="str">
        <f>IF(Table1616[[#This Row],[Category]]="Transportation", _xlfn.XLOOKUP(Table1616[[#This Row],[Resource]], 'SI - Payload'!$A$10:$A$40,'SI - Payload'!$B$10:$B$40,"",0), "")</f>
        <v/>
      </c>
      <c r="M41" s="6" t="str">
        <f>IF(Table1616[[#This Row],[Category]]="Transportation", "ton", "")</f>
        <v/>
      </c>
      <c r="N41" s="6"/>
      <c r="O41" s="6"/>
      <c r="P41" s="6" t="str">
        <f>IF(OR(Table1616[[#This Row],[Type]]="Main Product", Table1616[[#This Row],[Type]]="Co-Product"), Table1616[[#This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IF(Table1616[[#This Row],[Type]]="Co-product", "No", "")</f>
        <v/>
      </c>
      <c r="J42" s="25"/>
      <c r="K42" s="6"/>
      <c r="L42" s="6" t="str">
        <f>IF(Table1616[[#This Row],[Category]]="Transportation", _xlfn.XLOOKUP(Table1616[[#This Row],[Resource]], 'SI - Payload'!$A$10:$A$40,'SI - Payload'!$B$10:$B$40,"",0), "")</f>
        <v/>
      </c>
      <c r="M42" s="6" t="str">
        <f>IF(Table1616[[#This Row],[Category]]="Transportation", "ton", "")</f>
        <v/>
      </c>
      <c r="N42" s="6"/>
      <c r="O42" s="6"/>
      <c r="P42" s="6" t="str">
        <f>IF(OR(Table1616[[#This Row],[Type]]="Main Product", Table1616[[#This Row],[Type]]="Co-Product"), Table1616[[#This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IF(Table1616[[#This Row],[Type]]="Co-product", "No", "")</f>
        <v/>
      </c>
      <c r="J43" s="25"/>
      <c r="K43" s="6"/>
      <c r="L43" s="6" t="str">
        <f>IF(Table1616[[#This Row],[Category]]="Transportation", _xlfn.XLOOKUP(Table1616[[#This Row],[Resource]], 'SI - Payload'!$A$10:$A$40,'SI - Payload'!$B$10:$B$40,"",0), "")</f>
        <v/>
      </c>
      <c r="M43" s="6" t="str">
        <f>IF(Table1616[[#This Row],[Category]]="Transportation", "ton", "")</f>
        <v/>
      </c>
      <c r="N43" s="6"/>
      <c r="O43" s="6"/>
      <c r="P43" s="6" t="str">
        <f>IF(OR(Table1616[[#This Row],[Type]]="Main Product", Table1616[[#This Row],[Type]]="Co-Product"), Table1616[[#This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IF(Table1616[[#This Row],[Type]]="Co-product", "No", "")</f>
        <v/>
      </c>
      <c r="J44" s="25"/>
      <c r="K44" s="6"/>
      <c r="L44" s="6" t="str">
        <f>IF(Table1616[[#This Row],[Category]]="Transportation", _xlfn.XLOOKUP(Table1616[[#This Row],[Resource]], 'SI - Payload'!$A$10:$A$40,'SI - Payload'!$B$10:$B$40,"",0), "")</f>
        <v/>
      </c>
      <c r="M44" s="6" t="str">
        <f>IF(Table1616[[#This Row],[Category]]="Transportation", "ton", "")</f>
        <v/>
      </c>
      <c r="N44" s="6"/>
      <c r="O44" s="6"/>
      <c r="P44" s="6" t="str">
        <f>IF(OR(Table1616[[#This Row],[Type]]="Main Product", Table1616[[#This Row],[Type]]="Co-Product"), Table1616[[#This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IF(Table1616[[#This Row],[Type]]="Co-product", "No", "")</f>
        <v/>
      </c>
      <c r="J45" s="25"/>
      <c r="K45" s="6"/>
      <c r="L45" s="6" t="str">
        <f>IF(Table1616[[#This Row],[Category]]="Transportation", _xlfn.XLOOKUP(Table1616[[#This Row],[Resource]], 'SI - Payload'!$A$10:$A$40,'SI - Payload'!$B$10:$B$40,"",0), "")</f>
        <v/>
      </c>
      <c r="M45" s="6" t="str">
        <f>IF(Table1616[[#This Row],[Category]]="Transportation", "ton", "")</f>
        <v/>
      </c>
      <c r="N45" s="6"/>
      <c r="O45" s="6"/>
      <c r="P45" s="6" t="str">
        <f>IF(OR(Table1616[[#This Row],[Type]]="Main Product", Table1616[[#This Row],[Type]]="Co-Product"), Table1616[[#This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IF(Table1616[[#This Row],[Type]]="Co-product", "No", "")</f>
        <v/>
      </c>
      <c r="J46" s="25"/>
      <c r="K46" s="6"/>
      <c r="L46" s="6" t="str">
        <f>IF(Table1616[[#This Row],[Category]]="Transportation", _xlfn.XLOOKUP(Table1616[[#This Row],[Resource]], 'SI - Payload'!$A$10:$A$40,'SI - Payload'!$B$10:$B$40,"",0), "")</f>
        <v/>
      </c>
      <c r="M46" s="6" t="str">
        <f>IF(Table1616[[#This Row],[Category]]="Transportation", "ton", "")</f>
        <v/>
      </c>
      <c r="N46" s="6"/>
      <c r="O46" s="6"/>
      <c r="P46" s="6" t="str">
        <f>IF(OR(Table1616[[#This Row],[Type]]="Main Product", Table1616[[#This Row],[Type]]="Co-Product"), Table1616[[#This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IF(Table1616[[#This Row],[Type]]="Co-product", "No", "")</f>
        <v/>
      </c>
      <c r="J47" s="25"/>
      <c r="K47" s="6"/>
      <c r="L47" s="6" t="str">
        <f>IF(Table1616[[#This Row],[Category]]="Transportation", _xlfn.XLOOKUP(Table1616[[#This Row],[Resource]], 'SI - Payload'!$A$10:$A$40,'SI - Payload'!$B$10:$B$40,"",0), "")</f>
        <v/>
      </c>
      <c r="M47" s="6" t="str">
        <f>IF(Table1616[[#This Row],[Category]]="Transportation", "ton", "")</f>
        <v/>
      </c>
      <c r="N47" s="6"/>
      <c r="O47" s="6"/>
      <c r="P47" s="6" t="str">
        <f>IF(OR(Table1616[[#This Row],[Type]]="Main Product", Table1616[[#This Row],[Type]]="Co-Product"), Table1616[[#This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IF(Table1616[[#This Row],[Type]]="Co-product", "No", "")</f>
        <v/>
      </c>
      <c r="J48" s="25"/>
      <c r="K48" s="6"/>
      <c r="L48" s="6" t="str">
        <f>IF(Table1616[[#This Row],[Category]]="Transportation", _xlfn.XLOOKUP(Table1616[[#This Row],[Resource]], 'SI - Payload'!$A$10:$A$40,'SI - Payload'!$B$10:$B$40,"",0), "")</f>
        <v/>
      </c>
      <c r="M48" s="6" t="str">
        <f>IF(Table1616[[#This Row],[Category]]="Transportation", "ton", "")</f>
        <v/>
      </c>
      <c r="N48" s="6"/>
      <c r="O48" s="6"/>
      <c r="P48" s="6" t="str">
        <f>IF(OR(Table1616[[#This Row],[Type]]="Main Product", Table1616[[#This Row],[Type]]="Co-Product"), Table1616[[#This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IF(Table1616[[#This Row],[Type]]="Co-product", "No", "")</f>
        <v/>
      </c>
      <c r="J49" s="25"/>
      <c r="K49" s="6"/>
      <c r="L49" s="6" t="str">
        <f>IF(Table1616[[#This Row],[Category]]="Transportation", _xlfn.XLOOKUP(Table1616[[#This Row],[Resource]], 'SI - Payload'!$A$10:$A$40,'SI - Payload'!$B$10:$B$40,"",0), "")</f>
        <v/>
      </c>
      <c r="M49" s="6" t="str">
        <f>IF(Table1616[[#This Row],[Category]]="Transportation", "ton", "")</f>
        <v/>
      </c>
      <c r="N49" s="6"/>
      <c r="O49" s="6"/>
      <c r="P49" s="6" t="str">
        <f>IF(OR(Table1616[[#This Row],[Type]]="Main Product", Table1616[[#This Row],[Type]]="Co-Product"), Table1616[[#This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IF(Table1616[[#This Row],[Type]]="Co-product", "No", "")</f>
        <v/>
      </c>
      <c r="J50" s="25"/>
      <c r="K50" s="6"/>
      <c r="L50" s="6" t="str">
        <f>IF(Table1616[[#This Row],[Category]]="Transportation", _xlfn.XLOOKUP(Table1616[[#This Row],[Resource]], 'SI - Payload'!$A$10:$A$40,'SI - Payload'!$B$10:$B$40,"",0), "")</f>
        <v/>
      </c>
      <c r="M50" s="6" t="str">
        <f>IF(Table1616[[#This Row],[Category]]="Transportation", "ton", "")</f>
        <v/>
      </c>
      <c r="N50" s="6"/>
      <c r="O50" s="6"/>
      <c r="P50" s="6" t="str">
        <f>IF(OR(Table1616[[#This Row],[Type]]="Main Product", Table1616[[#This Row],[Type]]="Co-Product"), Table1616[[#This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IF(Table1616[[#This Row],[Type]]="Co-product", "No", "")</f>
        <v/>
      </c>
      <c r="J51" s="25"/>
      <c r="K51" s="6"/>
      <c r="L51" s="6" t="str">
        <f>IF(Table1616[[#This Row],[Category]]="Transportation", _xlfn.XLOOKUP(Table1616[[#This Row],[Resource]], 'SI - Payload'!$A$10:$A$40,'SI - Payload'!$B$10:$B$40,"",0), "")</f>
        <v/>
      </c>
      <c r="M51" s="6" t="str">
        <f>IF(Table1616[[#This Row],[Category]]="Transportation", "ton", "")</f>
        <v/>
      </c>
      <c r="N51" s="6"/>
      <c r="O51" s="6"/>
      <c r="P51" s="6" t="str">
        <f>IF(OR(Table1616[[#This Row],[Type]]="Main Product", Table1616[[#This Row],[Type]]="Co-Product"), Table1616[[#This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IF(Table1616[[#This Row],[Type]]="Co-product", "No", "")</f>
        <v/>
      </c>
      <c r="J52" s="25"/>
      <c r="K52" s="6"/>
      <c r="L52" s="6" t="str">
        <f>IF(Table1616[[#This Row],[Category]]="Transportation", _xlfn.XLOOKUP(Table1616[[#This Row],[Resource]], 'SI - Payload'!$A$10:$A$40,'SI - Payload'!$B$10:$B$40,"",0), "")</f>
        <v/>
      </c>
      <c r="M52" s="6" t="str">
        <f>IF(Table1616[[#This Row],[Category]]="Transportation", "ton", "")</f>
        <v/>
      </c>
      <c r="N52" s="6"/>
      <c r="O52" s="6"/>
      <c r="P52" s="6" t="str">
        <f>IF(OR(Table1616[[#This Row],[Type]]="Main Product", Table1616[[#This Row],[Type]]="Co-Product"), Table1616[[#This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IF(Table1616[[#This Row],[Type]]="Co-product", "No", "")</f>
        <v/>
      </c>
      <c r="J53" s="25"/>
      <c r="K53" s="6"/>
      <c r="L53" s="6" t="str">
        <f>IF(Table1616[[#This Row],[Category]]="Transportation", _xlfn.XLOOKUP(Table1616[[#This Row],[Resource]], 'SI - Payload'!$A$10:$A$40,'SI - Payload'!$B$10:$B$40,"",0), "")</f>
        <v/>
      </c>
      <c r="M53" s="6" t="str">
        <f>IF(Table1616[[#This Row],[Category]]="Transportation", "ton", "")</f>
        <v/>
      </c>
      <c r="N53" s="6"/>
      <c r="O53" s="6"/>
      <c r="P53" s="6" t="str">
        <f>IF(OR(Table1616[[#This Row],[Type]]="Main Product", Table1616[[#This Row],[Type]]="Co-Product"), Table1616[[#This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IF(Table1616[[#This Row],[Type]]="Co-product", "No", "")</f>
        <v/>
      </c>
      <c r="J54" s="25"/>
      <c r="K54" s="6"/>
      <c r="L54" s="6" t="str">
        <f>IF(Table1616[[#This Row],[Category]]="Transportation", _xlfn.XLOOKUP(Table1616[[#This Row],[Resource]], 'SI - Payload'!$A$10:$A$40,'SI - Payload'!$B$10:$B$40,"",0), "")</f>
        <v/>
      </c>
      <c r="M54" s="6" t="str">
        <f>IF(Table1616[[#This Row],[Category]]="Transportation", "ton", "")</f>
        <v/>
      </c>
      <c r="N54" s="6"/>
      <c r="O54" s="6"/>
      <c r="P54" s="6" t="str">
        <f>IF(OR(Table1616[[#This Row],[Type]]="Main Product", Table1616[[#This Row],[Type]]="Co-Product"), Table1616[[#This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IF(Table1616[[#This Row],[Type]]="Co-product", "No", "")</f>
        <v/>
      </c>
      <c r="J55" s="25"/>
      <c r="K55" s="6"/>
      <c r="L55" s="6" t="str">
        <f>IF(Table1616[[#This Row],[Category]]="Transportation", _xlfn.XLOOKUP(Table1616[[#This Row],[Resource]], 'SI - Payload'!$A$10:$A$40,'SI - Payload'!$B$10:$B$40,"",0), "")</f>
        <v/>
      </c>
      <c r="M55" s="6" t="str">
        <f>IF(Table1616[[#This Row],[Category]]="Transportation", "ton", "")</f>
        <v/>
      </c>
      <c r="N55" s="6"/>
      <c r="O55" s="6"/>
      <c r="P55" s="6" t="str">
        <f>IF(OR(Table1616[[#This Row],[Type]]="Main Product", Table1616[[#This Row],[Type]]="Co-Product"), Table1616[[#This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IF(Table1616[[#This Row],[Type]]="Co-product", "No", "")</f>
        <v/>
      </c>
      <c r="J56" s="25"/>
      <c r="K56" s="6"/>
      <c r="L56" s="6" t="str">
        <f>IF(Table1616[[#This Row],[Category]]="Transportation", _xlfn.XLOOKUP(Table1616[[#This Row],[Resource]], 'SI - Payload'!$A$10:$A$40,'SI - Payload'!$B$10:$B$40,"",0), "")</f>
        <v/>
      </c>
      <c r="M56" s="6" t="str">
        <f>IF(Table1616[[#This Row],[Category]]="Transportation", "ton", "")</f>
        <v/>
      </c>
      <c r="N56" s="6"/>
      <c r="O56" s="6"/>
      <c r="P56" s="6" t="str">
        <f>IF(OR(Table1616[[#This Row],[Type]]="Main Product", Table1616[[#This Row],[Type]]="Co-Product"), Table1616[[#This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IF(Table1616[[#This Row],[Type]]="Co-product", "No", "")</f>
        <v/>
      </c>
      <c r="J57" s="25"/>
      <c r="K57" s="6"/>
      <c r="L57" s="6" t="str">
        <f>IF(Table1616[[#This Row],[Category]]="Transportation", _xlfn.XLOOKUP(Table1616[[#This Row],[Resource]], 'SI - Payload'!$A$10:$A$40,'SI - Payload'!$B$10:$B$40,"",0), "")</f>
        <v/>
      </c>
      <c r="M57" s="6" t="str">
        <f>IF(Table1616[[#This Row],[Category]]="Transportation", "ton", "")</f>
        <v/>
      </c>
      <c r="N57" s="6"/>
      <c r="O57" s="6"/>
      <c r="P57" s="6" t="str">
        <f>IF(OR(Table1616[[#This Row],[Type]]="Main Product", Table1616[[#This Row],[Type]]="Co-Product"), Table1616[[#This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IF(Table1616[[#This Row],[Type]]="Co-product", "No", "")</f>
        <v/>
      </c>
      <c r="J58" s="25"/>
      <c r="K58" s="6"/>
      <c r="L58" s="6" t="str">
        <f>IF(Table1616[[#This Row],[Category]]="Transportation", _xlfn.XLOOKUP(Table1616[[#This Row],[Resource]], 'SI - Payload'!$A$10:$A$40,'SI - Payload'!$B$10:$B$40,"",0), "")</f>
        <v/>
      </c>
      <c r="M58" s="6" t="str">
        <f>IF(Table1616[[#This Row],[Category]]="Transportation", "ton", "")</f>
        <v/>
      </c>
      <c r="N58" s="6"/>
      <c r="O58" s="6"/>
      <c r="P58" s="6" t="str">
        <f>IF(OR(Table1616[[#This Row],[Type]]="Main Product", Table1616[[#This Row],[Type]]="Co-Product"), Table1616[[#This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IF(Table1616[[#This Row],[Type]]="Co-product", "No", "")</f>
        <v/>
      </c>
      <c r="J59" s="25"/>
      <c r="K59" s="6"/>
      <c r="L59" s="6" t="str">
        <f>IF(Table1616[[#This Row],[Category]]="Transportation", _xlfn.XLOOKUP(Table1616[[#This Row],[Resource]], 'SI - Payload'!$A$10:$A$40,'SI - Payload'!$B$10:$B$40,"",0), "")</f>
        <v/>
      </c>
      <c r="M59" s="6" t="str">
        <f>IF(Table1616[[#This Row],[Category]]="Transportation", "ton", "")</f>
        <v/>
      </c>
      <c r="N59" s="6"/>
      <c r="O59" s="6"/>
      <c r="P59" s="6" t="str">
        <f>IF(OR(Table1616[[#This Row],[Type]]="Main Product", Table1616[[#This Row],[Type]]="Co-Product"), Table1616[[#This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IF(Table1616[[#This Row],[Type]]="Co-product", "No", "")</f>
        <v/>
      </c>
      <c r="J60" s="25"/>
      <c r="K60" s="6"/>
      <c r="L60" s="6" t="str">
        <f>IF(Table1616[[#This Row],[Category]]="Transportation", _xlfn.XLOOKUP(Table1616[[#This Row],[Resource]], 'SI - Payload'!$A$10:$A$40,'SI - Payload'!$B$10:$B$40,"",0), "")</f>
        <v/>
      </c>
      <c r="M60" s="6" t="str">
        <f>IF(Table1616[[#This Row],[Category]]="Transportation", "ton", "")</f>
        <v/>
      </c>
      <c r="N60" s="6"/>
      <c r="O60" s="6"/>
      <c r="P60" s="6" t="str">
        <f>IF(OR(Table1616[[#This Row],[Type]]="Main Product", Table1616[[#This Row],[Type]]="Co-Product"), Table1616[[#This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IF(Table1616[[#This Row],[Type]]="Co-product", "No", "")</f>
        <v/>
      </c>
      <c r="J61" s="25"/>
      <c r="K61" s="6"/>
      <c r="L61" s="6" t="str">
        <f>IF(Table1616[[#This Row],[Category]]="Transportation", _xlfn.XLOOKUP(Table1616[[#This Row],[Resource]], 'SI - Payload'!$A$10:$A$40,'SI - Payload'!$B$10:$B$40,"",0), "")</f>
        <v/>
      </c>
      <c r="M61" s="6" t="str">
        <f>IF(Table1616[[#This Row],[Category]]="Transportation", "ton", "")</f>
        <v/>
      </c>
      <c r="N61" s="6"/>
      <c r="O61" s="6"/>
      <c r="P61" s="6" t="str">
        <f>IF(OR(Table1616[[#This Row],[Type]]="Main Product", Table1616[[#This Row],[Type]]="Co-Product"), Table1616[[#This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IF(Table1616[[#This Row],[Type]]="Co-product", "No", "")</f>
        <v/>
      </c>
      <c r="J62" s="25"/>
      <c r="K62" s="6"/>
      <c r="L62" s="6" t="str">
        <f>IF(Table1616[[#This Row],[Category]]="Transportation", _xlfn.XLOOKUP(Table1616[[#This Row],[Resource]], 'SI - Payload'!$A$10:$A$40,'SI - Payload'!$B$10:$B$40,"",0), "")</f>
        <v/>
      </c>
      <c r="M62" s="6" t="str">
        <f>IF(Table1616[[#This Row],[Category]]="Transportation", "ton", "")</f>
        <v/>
      </c>
      <c r="N62" s="6"/>
      <c r="O62" s="6"/>
      <c r="P62" s="6" t="str">
        <f>IF(OR(Table1616[[#This Row],[Type]]="Main Product", Table1616[[#This Row],[Type]]="Co-Product"), Table1616[[#This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IF(Table1616[[#This Row],[Type]]="Co-product", "No", "")</f>
        <v/>
      </c>
      <c r="J63" s="25"/>
      <c r="K63" s="6"/>
      <c r="L63" s="6" t="str">
        <f>IF(Table1616[[#This Row],[Category]]="Transportation", _xlfn.XLOOKUP(Table1616[[#This Row],[Resource]], 'SI - Payload'!$A$10:$A$40,'SI - Payload'!$B$10:$B$40,"",0), "")</f>
        <v/>
      </c>
      <c r="M63" s="6" t="str">
        <f>IF(Table1616[[#This Row],[Category]]="Transportation", "ton", "")</f>
        <v/>
      </c>
      <c r="N63" s="6"/>
      <c r="O63" s="6"/>
      <c r="P63" s="6" t="str">
        <f>IF(OR(Table1616[[#This Row],[Type]]="Main Product", Table1616[[#This Row],[Type]]="Co-Product"), Table1616[[#This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IF(Table1616[[#This Row],[Type]]="Co-product", "No", "")</f>
        <v/>
      </c>
      <c r="J64" s="25"/>
      <c r="K64" s="6"/>
      <c r="L64" s="6" t="str">
        <f>IF(Table1616[[#This Row],[Category]]="Transportation", _xlfn.XLOOKUP(Table1616[[#This Row],[Resource]], 'SI - Payload'!$A$10:$A$40,'SI - Payload'!$B$10:$B$40,"",0), "")</f>
        <v/>
      </c>
      <c r="M64" s="6" t="str">
        <f>IF(Table1616[[#This Row],[Category]]="Transportation", "ton", "")</f>
        <v/>
      </c>
      <c r="N64" s="6"/>
      <c r="O64" s="6"/>
      <c r="P64" s="6" t="str">
        <f>IF(OR(Table1616[[#This Row],[Type]]="Main Product", Table1616[[#This Row],[Type]]="Co-Product"), Table1616[[#This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IF(Table1616[[#This Row],[Type]]="Co-product", "No", "")</f>
        <v/>
      </c>
      <c r="J65" s="25"/>
      <c r="K65" s="6"/>
      <c r="L65" s="6" t="str">
        <f>IF(Table1616[[#This Row],[Category]]="Transportation", _xlfn.XLOOKUP(Table1616[[#This Row],[Resource]], 'SI - Payload'!$A$10:$A$40,'SI - Payload'!$B$10:$B$40,"",0), "")</f>
        <v/>
      </c>
      <c r="M65" s="6" t="str">
        <f>IF(Table1616[[#This Row],[Category]]="Transportation", "ton", "")</f>
        <v/>
      </c>
      <c r="N65" s="6"/>
      <c r="O65" s="6"/>
      <c r="P65" s="6" t="str">
        <f>IF(OR(Table1616[[#This Row],[Type]]="Main Product", Table1616[[#This Row],[Type]]="Co-Product"), Table1616[[#This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IF(Table1616[[#This Row],[Type]]="Co-product", "No", "")</f>
        <v/>
      </c>
      <c r="J66" s="25"/>
      <c r="K66" s="6"/>
      <c r="L66" s="6" t="str">
        <f>IF(Table1616[[#This Row],[Category]]="Transportation", _xlfn.XLOOKUP(Table1616[[#This Row],[Resource]], 'SI - Payload'!$A$10:$A$40,'SI - Payload'!$B$10:$B$40,"",0), "")</f>
        <v/>
      </c>
      <c r="M66" s="6" t="str">
        <f>IF(Table1616[[#This Row],[Category]]="Transportation", "ton", "")</f>
        <v/>
      </c>
      <c r="N66" s="6"/>
      <c r="O66" s="6"/>
      <c r="P66" s="6" t="str">
        <f>IF(OR(Table1616[[#This Row],[Type]]="Main Product", Table1616[[#This Row],[Type]]="Co-Product"), Table1616[[#This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IF(Table1616[[#This Row],[Type]]="Co-product", "No", "")</f>
        <v/>
      </c>
      <c r="J67" s="25"/>
      <c r="K67" s="6"/>
      <c r="L67" s="6" t="str">
        <f>IF(Table1616[[#This Row],[Category]]="Transportation", _xlfn.XLOOKUP(Table1616[[#This Row],[Resource]], 'SI - Payload'!$A$10:$A$40,'SI - Payload'!$B$10:$B$40,"",0), "")</f>
        <v/>
      </c>
      <c r="M67" s="6" t="str">
        <f>IF(Table1616[[#This Row],[Category]]="Transportation", "ton", "")</f>
        <v/>
      </c>
      <c r="N67" s="6"/>
      <c r="O67" s="6"/>
      <c r="P67" s="6" t="str">
        <f>IF(OR(Table1616[[#This Row],[Type]]="Main Product", Table1616[[#This Row],[Type]]="Co-Product"), Table1616[[#This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IF(Table1616[[#This Row],[Type]]="Co-product", "No", "")</f>
        <v/>
      </c>
      <c r="J68" s="25"/>
      <c r="K68" s="6"/>
      <c r="L68" s="6" t="str">
        <f>IF(Table1616[[#This Row],[Category]]="Transportation", _xlfn.XLOOKUP(Table1616[[#This Row],[Resource]], 'SI - Payload'!$A$10:$A$40,'SI - Payload'!$B$10:$B$40,"",0), "")</f>
        <v/>
      </c>
      <c r="M68" s="6" t="str">
        <f>IF(Table1616[[#This Row],[Category]]="Transportation", "ton", "")</f>
        <v/>
      </c>
      <c r="N68" s="6"/>
      <c r="O68" s="6"/>
      <c r="P68" s="6" t="str">
        <f>IF(OR(Table1616[[#This Row],[Type]]="Main Product", Table1616[[#This Row],[Type]]="Co-Product"), Table1616[[#This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IF(Table1616[[#This Row],[Type]]="Co-product", "No", "")</f>
        <v/>
      </c>
      <c r="J69" s="25"/>
      <c r="K69" s="6"/>
      <c r="L69" s="6" t="str">
        <f>IF(Table1616[[#This Row],[Category]]="Transportation", _xlfn.XLOOKUP(Table1616[[#This Row],[Resource]], 'SI - Payload'!$A$10:$A$40,'SI - Payload'!$B$10:$B$40,"",0), "")</f>
        <v/>
      </c>
      <c r="M69" s="6" t="str">
        <f>IF(Table1616[[#This Row],[Category]]="Transportation", "ton", "")</f>
        <v/>
      </c>
      <c r="N69" s="6"/>
      <c r="O69" s="6"/>
      <c r="P69" s="6" t="str">
        <f>IF(OR(Table1616[[#This Row],[Type]]="Main Product", Table1616[[#This Row],[Type]]="Co-Product"), Table1616[[#This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IF(Table1616[[#This Row],[Type]]="Co-product", "No", "")</f>
        <v/>
      </c>
      <c r="J70" s="25"/>
      <c r="K70" s="6"/>
      <c r="L70" s="6" t="str">
        <f>IF(Table1616[[#This Row],[Category]]="Transportation", _xlfn.XLOOKUP(Table1616[[#This Row],[Resource]], 'SI - Payload'!$A$10:$A$40,'SI - Payload'!$B$10:$B$40,"",0), "")</f>
        <v/>
      </c>
      <c r="M70" s="6" t="str">
        <f>IF(Table1616[[#This Row],[Category]]="Transportation", "ton", "")</f>
        <v/>
      </c>
      <c r="N70" s="6"/>
      <c r="O70" s="6"/>
      <c r="P70" s="6" t="str">
        <f>IF(OR(Table1616[[#This Row],[Type]]="Main Product", Table1616[[#This Row],[Type]]="Co-Product"), Table1616[[#This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IF(Table1616[[#This Row],[Type]]="Co-product", "No", "")</f>
        <v/>
      </c>
      <c r="J71" s="25"/>
      <c r="K71" s="6"/>
      <c r="L71" s="6" t="str">
        <f>IF(Table1616[[#This Row],[Category]]="Transportation", _xlfn.XLOOKUP(Table1616[[#This Row],[Resource]], 'SI - Payload'!$A$10:$A$40,'SI - Payload'!$B$10:$B$40,"",0), "")</f>
        <v/>
      </c>
      <c r="M71" s="6" t="str">
        <f>IF(Table1616[[#This Row],[Category]]="Transportation", "ton", "")</f>
        <v/>
      </c>
      <c r="N71" s="6"/>
      <c r="O71" s="6"/>
      <c r="P71" s="6" t="str">
        <f>IF(OR(Table1616[[#This Row],[Type]]="Main Product", Table1616[[#This Row],[Type]]="Co-Product"), Table1616[[#This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IF(Table1616[[#This Row],[Type]]="Co-product", "No", "")</f>
        <v/>
      </c>
      <c r="J72" s="25"/>
      <c r="K72" s="6"/>
      <c r="L72" s="6" t="str">
        <f>IF(Table1616[[#This Row],[Category]]="Transportation", _xlfn.XLOOKUP(Table1616[[#This Row],[Resource]], 'SI - Payload'!$A$10:$A$40,'SI - Payload'!$B$10:$B$40,"",0), "")</f>
        <v/>
      </c>
      <c r="M72" s="6" t="str">
        <f>IF(Table1616[[#This Row],[Category]]="Transportation", "ton", "")</f>
        <v/>
      </c>
      <c r="N72" s="6"/>
      <c r="O72" s="6"/>
      <c r="P72" s="6" t="str">
        <f>IF(OR(Table1616[[#This Row],[Type]]="Main Product", Table1616[[#This Row],[Type]]="Co-Product"), Table1616[[#This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IF(Table1616[[#This Row],[Type]]="Co-product", "No", "")</f>
        <v/>
      </c>
      <c r="J73" s="25"/>
      <c r="K73" s="6"/>
      <c r="L73" s="6" t="str">
        <f>IF(Table1616[[#This Row],[Category]]="Transportation", _xlfn.XLOOKUP(Table1616[[#This Row],[Resource]], 'SI - Payload'!$A$10:$A$40,'SI - Payload'!$B$10:$B$40,"",0), "")</f>
        <v/>
      </c>
      <c r="M73" s="6" t="str">
        <f>IF(Table1616[[#This Row],[Category]]="Transportation", "ton", "")</f>
        <v/>
      </c>
      <c r="N73" s="6"/>
      <c r="O73" s="6"/>
      <c r="P73" s="6" t="str">
        <f>IF(OR(Table1616[[#This Row],[Type]]="Main Product", Table1616[[#This Row],[Type]]="Co-Product"), Table1616[[#This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IF(Table1616[[#This Row],[Type]]="Co-product", "No", "")</f>
        <v/>
      </c>
      <c r="J74" s="25"/>
      <c r="K74" s="6"/>
      <c r="L74" s="6" t="str">
        <f>IF(Table1616[[#This Row],[Category]]="Transportation", _xlfn.XLOOKUP(Table1616[[#This Row],[Resource]], 'SI - Payload'!$A$10:$A$40,'SI - Payload'!$B$10:$B$40,"",0), "")</f>
        <v/>
      </c>
      <c r="M74" s="6" t="str">
        <f>IF(Table1616[[#This Row],[Category]]="Transportation", "ton", "")</f>
        <v/>
      </c>
      <c r="N74" s="6"/>
      <c r="O74" s="6"/>
      <c r="P74" s="6" t="str">
        <f>IF(OR(Table1616[[#This Row],[Type]]="Main Product", Table1616[[#This Row],[Type]]="Co-Product"), Table1616[[#This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IF(Table1616[[#This Row],[Type]]="Co-product", "No", "")</f>
        <v/>
      </c>
      <c r="J75" s="25"/>
      <c r="K75" s="6"/>
      <c r="L75" s="6" t="str">
        <f>IF(Table1616[[#This Row],[Category]]="Transportation", _xlfn.XLOOKUP(Table1616[[#This Row],[Resource]], 'SI - Payload'!$A$10:$A$40,'SI - Payload'!$B$10:$B$40,"",0), "")</f>
        <v/>
      </c>
      <c r="M75" s="6" t="str">
        <f>IF(Table1616[[#This Row],[Category]]="Transportation", "ton", "")</f>
        <v/>
      </c>
      <c r="N75" s="6"/>
      <c r="O75" s="6"/>
      <c r="P75" s="6" t="str">
        <f>IF(OR(Table1616[[#This Row],[Type]]="Main Product", Table1616[[#This Row],[Type]]="Co-Product"), Table1616[[#This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IF(Table1616[[#This Row],[Type]]="Co-product", "No", "")</f>
        <v/>
      </c>
      <c r="J76" s="25"/>
      <c r="K76" s="6"/>
      <c r="L76" s="6" t="str">
        <f>IF(Table1616[[#This Row],[Category]]="Transportation", _xlfn.XLOOKUP(Table1616[[#This Row],[Resource]], 'SI - Payload'!$A$10:$A$40,'SI - Payload'!$B$10:$B$40,"",0), "")</f>
        <v/>
      </c>
      <c r="M76" s="6" t="str">
        <f>IF(Table1616[[#This Row],[Category]]="Transportation", "ton", "")</f>
        <v/>
      </c>
      <c r="N76" s="6"/>
      <c r="O76" s="6"/>
      <c r="P76" s="6" t="str">
        <f>IF(OR(Table1616[[#This Row],[Type]]="Main Product", Table1616[[#This Row],[Type]]="Co-Product"), Table1616[[#This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IF(Table1616[[#This Row],[Type]]="Co-product", "No", "")</f>
        <v/>
      </c>
      <c r="J77" s="25"/>
      <c r="K77" s="6"/>
      <c r="L77" s="6" t="str">
        <f>IF(Table1616[[#This Row],[Category]]="Transportation", _xlfn.XLOOKUP(Table1616[[#This Row],[Resource]], 'SI - Payload'!$A$10:$A$40,'SI - Payload'!$B$10:$B$40,"",0), "")</f>
        <v/>
      </c>
      <c r="M77" s="6" t="str">
        <f>IF(Table1616[[#This Row],[Category]]="Transportation", "ton", "")</f>
        <v/>
      </c>
      <c r="N77" s="6"/>
      <c r="O77" s="6"/>
      <c r="P77" s="6" t="str">
        <f>IF(OR(Table1616[[#This Row],[Type]]="Main Product", Table1616[[#This Row],[Type]]="Co-Product"), Table1616[[#This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IF(Table1616[[#This Row],[Type]]="Co-product", "No", "")</f>
        <v/>
      </c>
      <c r="J78" s="25"/>
      <c r="K78" s="6"/>
      <c r="L78" s="6" t="str">
        <f>IF(Table1616[[#This Row],[Category]]="Transportation", _xlfn.XLOOKUP(Table1616[[#This Row],[Resource]], 'SI - Payload'!$A$10:$A$40,'SI - Payload'!$B$10:$B$40,"",0), "")</f>
        <v/>
      </c>
      <c r="M78" s="6" t="str">
        <f>IF(Table1616[[#This Row],[Category]]="Transportation", "ton", "")</f>
        <v/>
      </c>
      <c r="N78" s="6"/>
      <c r="O78" s="6"/>
      <c r="P78" s="6" t="str">
        <f>IF(OR(Table1616[[#This Row],[Type]]="Main Product", Table1616[[#This Row],[Type]]="Co-Product"), Table1616[[#This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IF(Table1616[[#This Row],[Type]]="Co-product", "No", "")</f>
        <v/>
      </c>
      <c r="J79" s="25"/>
      <c r="K79" s="6"/>
      <c r="L79" s="6" t="str">
        <f>IF(Table1616[[#This Row],[Category]]="Transportation", _xlfn.XLOOKUP(Table1616[[#This Row],[Resource]], 'SI - Payload'!$A$10:$A$40,'SI - Payload'!$B$10:$B$40,"",0), "")</f>
        <v/>
      </c>
      <c r="M79" s="6" t="str">
        <f>IF(Table1616[[#This Row],[Category]]="Transportation", "ton", "")</f>
        <v/>
      </c>
      <c r="N79" s="6"/>
      <c r="O79" s="6"/>
      <c r="P79" s="6" t="str">
        <f>IF(OR(Table1616[[#This Row],[Type]]="Main Product", Table1616[[#This Row],[Type]]="Co-Product"), Table1616[[#This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IF(Table1616[[#This Row],[Type]]="Co-product", "No", "")</f>
        <v/>
      </c>
      <c r="J80" s="25"/>
      <c r="K80" s="6"/>
      <c r="L80" s="6" t="str">
        <f>IF(Table1616[[#This Row],[Category]]="Transportation", _xlfn.XLOOKUP(Table1616[[#This Row],[Resource]], 'SI - Payload'!$A$10:$A$40,'SI - Payload'!$B$10:$B$40,"",0), "")</f>
        <v/>
      </c>
      <c r="M80" s="6" t="str">
        <f>IF(Table1616[[#This Row],[Category]]="Transportation", "ton", "")</f>
        <v/>
      </c>
      <c r="N80" s="6"/>
      <c r="O80" s="6"/>
      <c r="P80" s="6" t="str">
        <f>IF(OR(Table1616[[#This Row],[Type]]="Main Product", Table1616[[#This Row],[Type]]="Co-Product"), Table1616[[#This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IF(Table1616[[#This Row],[Type]]="Co-product", "No", "")</f>
        <v/>
      </c>
      <c r="J81" s="25"/>
      <c r="K81" s="6"/>
      <c r="L81" s="6" t="str">
        <f>IF(Table1616[[#This Row],[Category]]="Transportation", _xlfn.XLOOKUP(Table1616[[#This Row],[Resource]], 'SI - Payload'!$A$10:$A$40,'SI - Payload'!$B$10:$B$40,"",0), "")</f>
        <v/>
      </c>
      <c r="M81" s="6" t="str">
        <f>IF(Table1616[[#This Row],[Category]]="Transportation", "ton", "")</f>
        <v/>
      </c>
      <c r="N81" s="6"/>
      <c r="O81" s="6"/>
      <c r="P81" s="6" t="str">
        <f>IF(OR(Table1616[[#This Row],[Type]]="Main Product", Table1616[[#This Row],[Type]]="Co-Product"), Table1616[[#This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IF(Table1616[[#This Row],[Type]]="Co-product", "No", "")</f>
        <v/>
      </c>
      <c r="J82" s="25"/>
      <c r="K82" s="6"/>
      <c r="L82" s="6" t="str">
        <f>IF(Table1616[[#This Row],[Category]]="Transportation", _xlfn.XLOOKUP(Table1616[[#This Row],[Resource]], 'SI - Payload'!$A$10:$A$40,'SI - Payload'!$B$10:$B$40,"",0), "")</f>
        <v/>
      </c>
      <c r="M82" s="6" t="str">
        <f>IF(Table1616[[#This Row],[Category]]="Transportation", "ton", "")</f>
        <v/>
      </c>
      <c r="N82" s="6"/>
      <c r="O82" s="6"/>
      <c r="P82" s="6" t="str">
        <f>IF(OR(Table1616[[#This Row],[Type]]="Main Product", Table1616[[#This Row],[Type]]="Co-Product"), Table1616[[#This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IF(Table1616[[#This Row],[Type]]="Co-product", "No", "")</f>
        <v/>
      </c>
      <c r="J83" s="25"/>
      <c r="K83" s="6"/>
      <c r="L83" s="6" t="str">
        <f>IF(Table1616[[#This Row],[Category]]="Transportation", _xlfn.XLOOKUP(Table1616[[#This Row],[Resource]], 'SI - Payload'!$A$10:$A$40,'SI - Payload'!$B$10:$B$40,"",0), "")</f>
        <v/>
      </c>
      <c r="M83" s="6" t="str">
        <f>IF(Table1616[[#This Row],[Category]]="Transportation", "ton", "")</f>
        <v/>
      </c>
      <c r="N83" s="6"/>
      <c r="O83" s="6"/>
      <c r="P83" s="6" t="str">
        <f>IF(OR(Table1616[[#This Row],[Type]]="Main Product", Table1616[[#This Row],[Type]]="Co-Product"), Table1616[[#This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IF(Table1616[[#This Row],[Type]]="Co-product", "No", "")</f>
        <v/>
      </c>
      <c r="J84" s="25"/>
      <c r="K84" s="6"/>
      <c r="L84" s="6" t="str">
        <f>IF(Table1616[[#This Row],[Category]]="Transportation", _xlfn.XLOOKUP(Table1616[[#This Row],[Resource]], 'SI - Payload'!$A$10:$A$40,'SI - Payload'!$B$10:$B$40,"",0), "")</f>
        <v/>
      </c>
      <c r="M84" s="6" t="str">
        <f>IF(Table1616[[#This Row],[Category]]="Transportation", "ton", "")</f>
        <v/>
      </c>
      <c r="N84" s="6"/>
      <c r="O84" s="6"/>
      <c r="P84" s="6" t="str">
        <f>IF(OR(Table1616[[#This Row],[Type]]="Main Product", Table1616[[#This Row],[Type]]="Co-Product"), Table1616[[#This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IF(Table1616[[#This Row],[Type]]="Co-product", "No", "")</f>
        <v/>
      </c>
      <c r="J85" s="25"/>
      <c r="K85" s="6"/>
      <c r="L85" s="6" t="str">
        <f>IF(Table1616[[#This Row],[Category]]="Transportation", _xlfn.XLOOKUP(Table1616[[#This Row],[Resource]], 'SI - Payload'!$A$10:$A$40,'SI - Payload'!$B$10:$B$40,"",0), "")</f>
        <v/>
      </c>
      <c r="M85" s="6" t="str">
        <f>IF(Table1616[[#This Row],[Category]]="Transportation", "ton", "")</f>
        <v/>
      </c>
      <c r="N85" s="6"/>
      <c r="O85" s="6"/>
      <c r="P85" s="6" t="str">
        <f>IF(OR(Table1616[[#This Row],[Type]]="Main Product", Table1616[[#This Row],[Type]]="Co-Product"), Table1616[[#This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IF(Table1616[[#This Row],[Type]]="Co-product", "No", "")</f>
        <v/>
      </c>
      <c r="J86" s="25"/>
      <c r="K86" s="6"/>
      <c r="L86" s="6" t="str">
        <f>IF(Table1616[[#This Row],[Category]]="Transportation", _xlfn.XLOOKUP(Table1616[[#This Row],[Resource]], 'SI - Payload'!$A$10:$A$40,'SI - Payload'!$B$10:$B$40,"",0), "")</f>
        <v/>
      </c>
      <c r="M86" s="6" t="str">
        <f>IF(Table1616[[#This Row],[Category]]="Transportation", "ton", "")</f>
        <v/>
      </c>
      <c r="N86" s="6"/>
      <c r="O86" s="6"/>
      <c r="P86" s="6" t="str">
        <f>IF(OR(Table1616[[#This Row],[Type]]="Main Product", Table1616[[#This Row],[Type]]="Co-Product"), Table1616[[#This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IF(Table1616[[#This Row],[Type]]="Co-product", "No", "")</f>
        <v/>
      </c>
      <c r="J87" s="25"/>
      <c r="K87" s="6"/>
      <c r="L87" s="6" t="str">
        <f>IF(Table1616[[#This Row],[Category]]="Transportation", _xlfn.XLOOKUP(Table1616[[#This Row],[Resource]], 'SI - Payload'!$A$10:$A$40,'SI - Payload'!$B$10:$B$40,"",0), "")</f>
        <v/>
      </c>
      <c r="M87" s="6" t="str">
        <f>IF(Table1616[[#This Row],[Category]]="Transportation", "ton", "")</f>
        <v/>
      </c>
      <c r="N87" s="6"/>
      <c r="O87" s="6"/>
      <c r="P87" s="6" t="str">
        <f>IF(OR(Table1616[[#This Row],[Type]]="Main Product", Table1616[[#This Row],[Type]]="Co-Product"), Table1616[[#This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IF(Table1616[[#This Row],[Type]]="Co-product", "No", "")</f>
        <v/>
      </c>
      <c r="J88" s="25"/>
      <c r="K88" s="6"/>
      <c r="L88" s="6" t="str">
        <f>IF(Table1616[[#This Row],[Category]]="Transportation", _xlfn.XLOOKUP(Table1616[[#This Row],[Resource]], 'SI - Payload'!$A$10:$A$40,'SI - Payload'!$B$10:$B$40,"",0), "")</f>
        <v/>
      </c>
      <c r="M88" s="6" t="str">
        <f>IF(Table1616[[#This Row],[Category]]="Transportation", "ton", "")</f>
        <v/>
      </c>
      <c r="N88" s="6"/>
      <c r="O88" s="6"/>
      <c r="P88" s="6" t="str">
        <f>IF(OR(Table1616[[#This Row],[Type]]="Main Product", Table1616[[#This Row],[Type]]="Co-Product"), Table1616[[#This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IF(Table1616[[#This Row],[Type]]="Co-product", "No", "")</f>
        <v/>
      </c>
      <c r="J89" s="25"/>
      <c r="K89" s="6"/>
      <c r="L89" s="6" t="str">
        <f>IF(Table1616[[#This Row],[Category]]="Transportation", _xlfn.XLOOKUP(Table1616[[#This Row],[Resource]], 'SI - Payload'!$A$10:$A$40,'SI - Payload'!$B$10:$B$40,"",0), "")</f>
        <v/>
      </c>
      <c r="M89" s="6" t="str">
        <f>IF(Table1616[[#This Row],[Category]]="Transportation", "ton", "")</f>
        <v/>
      </c>
      <c r="N89" s="6"/>
      <c r="O89" s="6"/>
      <c r="P89" s="6" t="str">
        <f>IF(OR(Table1616[[#This Row],[Type]]="Main Product", Table1616[[#This Row],[Type]]="Co-Product"), Table1616[[#This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IF(Table1616[[#This Row],[Type]]="Co-product", "No", "")</f>
        <v/>
      </c>
      <c r="J90" s="25"/>
      <c r="K90" s="6"/>
      <c r="L90" s="6" t="str">
        <f>IF(Table1616[[#This Row],[Category]]="Transportation", _xlfn.XLOOKUP(Table1616[[#This Row],[Resource]], 'SI - Payload'!$A$10:$A$40,'SI - Payload'!$B$10:$B$40,"",0), "")</f>
        <v/>
      </c>
      <c r="M90" s="6" t="str">
        <f>IF(Table1616[[#This Row],[Category]]="Transportation", "ton", "")</f>
        <v/>
      </c>
      <c r="N90" s="6"/>
      <c r="O90" s="6"/>
      <c r="P90" s="6" t="str">
        <f>IF(OR(Table1616[[#This Row],[Type]]="Main Product", Table1616[[#This Row],[Type]]="Co-Product"), Table1616[[#This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IF(Table1616[[#This Row],[Type]]="Co-product", "No", "")</f>
        <v/>
      </c>
      <c r="J91" s="25"/>
      <c r="K91" s="6"/>
      <c r="L91" s="6" t="str">
        <f>IF(Table1616[[#This Row],[Category]]="Transportation", _xlfn.XLOOKUP(Table1616[[#This Row],[Resource]], 'SI - Payload'!$A$10:$A$40,'SI - Payload'!$B$10:$B$40,"",0), "")</f>
        <v/>
      </c>
      <c r="M91" s="6" t="str">
        <f>IF(Table1616[[#This Row],[Category]]="Transportation", "ton", "")</f>
        <v/>
      </c>
      <c r="N91" s="6"/>
      <c r="O91" s="6"/>
      <c r="P91" s="6" t="str">
        <f>IF(OR(Table1616[[#This Row],[Type]]="Main Product", Table1616[[#This Row],[Type]]="Co-Product"), Table1616[[#This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IF(Table1616[[#This Row],[Type]]="Co-product", "No", "")</f>
        <v/>
      </c>
      <c r="J92" s="25"/>
      <c r="K92" s="6"/>
      <c r="L92" s="6" t="str">
        <f>IF(Table1616[[#This Row],[Category]]="Transportation", _xlfn.XLOOKUP(Table1616[[#This Row],[Resource]], 'SI - Payload'!$A$10:$A$40,'SI - Payload'!$B$10:$B$40,"",0), "")</f>
        <v/>
      </c>
      <c r="M92" s="6" t="str">
        <f>IF(Table1616[[#This Row],[Category]]="Transportation", "ton", "")</f>
        <v/>
      </c>
      <c r="N92" s="6"/>
      <c r="O92" s="6"/>
      <c r="P92" s="6" t="str">
        <f>IF(OR(Table1616[[#This Row],[Type]]="Main Product", Table1616[[#This Row],[Type]]="Co-Product"), Table1616[[#This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IF(Table1616[[#This Row],[Type]]="Co-product", "No", "")</f>
        <v/>
      </c>
      <c r="J93" s="25"/>
      <c r="K93" s="6"/>
      <c r="L93" s="6" t="str">
        <f>IF(Table1616[[#This Row],[Category]]="Transportation", _xlfn.XLOOKUP(Table1616[[#This Row],[Resource]], 'SI - Payload'!$A$10:$A$40,'SI - Payload'!$B$10:$B$40,"",0), "")</f>
        <v/>
      </c>
      <c r="M93" s="6" t="str">
        <f>IF(Table1616[[#This Row],[Category]]="Transportation", "ton", "")</f>
        <v/>
      </c>
      <c r="N93" s="6"/>
      <c r="O93" s="6"/>
      <c r="P93" s="6" t="str">
        <f>IF(OR(Table1616[[#This Row],[Type]]="Main Product", Table1616[[#This Row],[Type]]="Co-Product"), Table1616[[#This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IF(Table1616[[#This Row],[Type]]="Co-product", "No", "")</f>
        <v/>
      </c>
      <c r="J94" s="25"/>
      <c r="K94" s="6"/>
      <c r="L94" s="6" t="str">
        <f>IF(Table1616[[#This Row],[Category]]="Transportation", _xlfn.XLOOKUP(Table1616[[#This Row],[Resource]], 'SI - Payload'!$A$10:$A$40,'SI - Payload'!$B$10:$B$40,"",0), "")</f>
        <v/>
      </c>
      <c r="M94" s="6" t="str">
        <f>IF(Table1616[[#This Row],[Category]]="Transportation", "ton", "")</f>
        <v/>
      </c>
      <c r="N94" s="6"/>
      <c r="O94" s="6"/>
      <c r="P94" s="6" t="str">
        <f>IF(OR(Table1616[[#This Row],[Type]]="Main Product", Table1616[[#This Row],[Type]]="Co-Product"), Table1616[[#This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IF(Table1616[[#This Row],[Type]]="Co-product", "No", "")</f>
        <v/>
      </c>
      <c r="J95" s="25"/>
      <c r="K95" s="6"/>
      <c r="L95" s="6" t="str">
        <f>IF(Table1616[[#This Row],[Category]]="Transportation", _xlfn.XLOOKUP(Table1616[[#This Row],[Resource]], 'SI - Payload'!$A$10:$A$40,'SI - Payload'!$B$10:$B$40,"",0), "")</f>
        <v/>
      </c>
      <c r="M95" s="6" t="str">
        <f>IF(Table1616[[#This Row],[Category]]="Transportation", "ton", "")</f>
        <v/>
      </c>
      <c r="N95" s="6"/>
      <c r="O95" s="6"/>
      <c r="P95" s="6" t="str">
        <f>IF(OR(Table1616[[#This Row],[Type]]="Main Product", Table1616[[#This Row],[Type]]="Co-Product"), Table1616[[#This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IF(Table1616[[#This Row],[Type]]="Co-product", "No", "")</f>
        <v/>
      </c>
      <c r="J96" s="25"/>
      <c r="K96" s="6"/>
      <c r="L96" s="6" t="str">
        <f>IF(Table1616[[#This Row],[Category]]="Transportation", _xlfn.XLOOKUP(Table1616[[#This Row],[Resource]], 'SI - Payload'!$A$10:$A$40,'SI - Payload'!$B$10:$B$40,"",0), "")</f>
        <v/>
      </c>
      <c r="M96" s="6" t="str">
        <f>IF(Table1616[[#This Row],[Category]]="Transportation", "ton", "")</f>
        <v/>
      </c>
      <c r="N96" s="6"/>
      <c r="O96" s="6"/>
      <c r="P96" s="6" t="str">
        <f>IF(OR(Table1616[[#This Row],[Type]]="Main Product", Table1616[[#This Row],[Type]]="Co-Product"), Table1616[[#This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IF(Table1616[[#This Row],[Type]]="Co-product", "No", "")</f>
        <v/>
      </c>
      <c r="J97" s="25"/>
      <c r="K97" s="6"/>
      <c r="L97" s="6" t="str">
        <f>IF(Table1616[[#This Row],[Category]]="Transportation", _xlfn.XLOOKUP(Table1616[[#This Row],[Resource]], 'SI - Payload'!$A$10:$A$40,'SI - Payload'!$B$10:$B$40,"",0), "")</f>
        <v/>
      </c>
      <c r="M97" s="6" t="str">
        <f>IF(Table1616[[#This Row],[Category]]="Transportation", "ton", "")</f>
        <v/>
      </c>
      <c r="N97" s="6"/>
      <c r="O97" s="6"/>
      <c r="P97" s="6" t="str">
        <f>IF(OR(Table1616[[#This Row],[Type]]="Main Product", Table1616[[#This Row],[Type]]="Co-Product"), Table1616[[#This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IF(Table1616[[#This Row],[Type]]="Co-product", "No", "")</f>
        <v/>
      </c>
      <c r="J98" s="25"/>
      <c r="K98" s="6"/>
      <c r="L98" s="6" t="str">
        <f>IF(Table1616[[#This Row],[Category]]="Transportation", _xlfn.XLOOKUP(Table1616[[#This Row],[Resource]], 'SI - Payload'!$A$10:$A$40,'SI - Payload'!$B$10:$B$40,"",0), "")</f>
        <v/>
      </c>
      <c r="M98" s="6" t="str">
        <f>IF(Table1616[[#This Row],[Category]]="Transportation", "ton", "")</f>
        <v/>
      </c>
      <c r="N98" s="6"/>
      <c r="O98" s="6"/>
      <c r="P98" s="6" t="str">
        <f>IF(OR(Table1616[[#This Row],[Type]]="Main Product", Table1616[[#This Row],[Type]]="Co-Product"), Table1616[[#This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IF(Table1616[[#This Row],[Type]]="Co-product", "No", "")</f>
        <v/>
      </c>
      <c r="J99" s="25"/>
      <c r="K99" s="6"/>
      <c r="L99" s="6" t="str">
        <f>IF(Table1616[[#This Row],[Category]]="Transportation", _xlfn.XLOOKUP(Table1616[[#This Row],[Resource]], 'SI - Payload'!$A$10:$A$40,'SI - Payload'!$B$10:$B$40,"",0), "")</f>
        <v/>
      </c>
      <c r="M99" s="6" t="str">
        <f>IF(Table1616[[#This Row],[Category]]="Transportation", "ton", "")</f>
        <v/>
      </c>
      <c r="N99" s="6"/>
      <c r="O99" s="6"/>
      <c r="P99" s="6" t="str">
        <f>IF(OR(Table1616[[#This Row],[Type]]="Main Product", Table1616[[#This Row],[Type]]="Co-Product"), Table1616[[#This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IF(Table1616[[#This Row],[Type]]="Co-product", "No", "")</f>
        <v/>
      </c>
      <c r="J100" s="25"/>
      <c r="K100" s="6"/>
      <c r="L100" s="6" t="str">
        <f>IF(Table1616[[#This Row],[Category]]="Transportation", _xlfn.XLOOKUP(Table1616[[#This Row],[Resource]], 'SI - Payload'!$A$10:$A$40,'SI - Payload'!$B$10:$B$40,"",0), "")</f>
        <v/>
      </c>
      <c r="M100" s="6" t="str">
        <f>IF(Table1616[[#This Row],[Category]]="Transportation", "ton", "")</f>
        <v/>
      </c>
      <c r="N100" s="6"/>
      <c r="O100" s="6"/>
      <c r="P100" s="6" t="str">
        <f>IF(OR(Table1616[[#This Row],[Type]]="Main Product", Table1616[[#This Row],[Type]]="Co-Product"), Table1616[[#This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F1536FCC-1A00-4BAA-A2C9-CB4E48C8D968}">
      <formula1>"Yes, No"</formula1>
    </dataValidation>
    <dataValidation type="custom" allowBlank="1" showInputMessage="1" showErrorMessage="1" sqref="E6:E100" xr:uid="{E0AFF782-36FB-4CE6-8DBF-559C5188CEFA}">
      <formula1>ISNUMBER(E6)</formula1>
    </dataValidation>
    <dataValidation type="decimal" allowBlank="1" showInputMessage="1" showErrorMessage="1" error="Please type a number between 0 and 1." sqref="G6:G100" xr:uid="{007A6EDD-634F-4369-A750-0A88D66375EF}">
      <formula1>0</formula1>
      <formula2>1</formula2>
    </dataValidation>
    <dataValidation type="decimal" operator="greaterThan" allowBlank="1" showInputMessage="1" showErrorMessage="1" error="Please type a positive price." sqref="N6:N100" xr:uid="{FC04BFF7-3B62-4A75-9D13-06CF6D82549E}">
      <formula1>0</formula1>
    </dataValidation>
    <dataValidation type="decimal" operator="greaterThan" allowBlank="1" showInputMessage="1" showErrorMessage="1" error="Please type a positive number." sqref="L6:L100" xr:uid="{B976E79A-0BDF-4AC7-9E30-32911795481C}">
      <formula1>0</formula1>
    </dataValidation>
    <dataValidation type="list" allowBlank="1" showInputMessage="1" showErrorMessage="1" sqref="M6:M100" xr:uid="{5C6D09D6-72A7-4728-861E-22A4C8101845}">
      <formula1>payload_units</formula1>
    </dataValidation>
    <dataValidation type="decimal" allowBlank="1" showInputMessage="1" showErrorMessage="1" sqref="J6:J100" xr:uid="{01E4C4AB-A06E-4079-8BDE-A85D03D6979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400710A-C316-4292-8E80-9D195EEB4D00}">
          <x14:formula1>
            <xm:f>'SI - Co-products'!$D$2:$D$8</xm:f>
          </x14:formula1>
          <xm:sqref>C1</xm:sqref>
        </x14:dataValidation>
        <x14:dataValidation type="list" allowBlank="1" showInputMessage="1" showErrorMessage="1" xr:uid="{47387574-2A4A-4B60-93CB-8627E9DB27F0}">
          <x14:formula1>
            <xm:f>'SI - Co-products'!$A$2:$A$5</xm:f>
          </x14:formula1>
          <xm:sqref>K6:K100</xm:sqref>
        </x14:dataValidation>
        <x14:dataValidation type="list" allowBlank="1" showInputMessage="1" showErrorMessage="1" xr:uid="{0C28EDEC-9433-43DF-A4C2-AA1DBE33989C}">
          <x14:formula1>
            <xm:f>'SI - Co-products'!$C$2:$C$4</xm:f>
          </x14:formula1>
          <xm:sqref>I6:I100</xm:sqref>
        </x14:dataValidation>
        <x14:dataValidation type="list" allowBlank="1" showInputMessage="1" showErrorMessage="1" xr:uid="{52C6C4CC-657B-4F6B-8955-22324C064CCE}">
          <x14:formula1>
            <xm:f>'SI - Resources'!$A$1:$J$1</xm:f>
          </x14:formula1>
          <xm:sqref>B6:B100</xm:sqref>
        </x14:dataValidation>
        <x14:dataValidation type="list" allowBlank="1" showInputMessage="1" showErrorMessage="1" xr:uid="{10BFE94C-864B-4CC1-AE07-C3F136AAE337}">
          <x14:formula1>
            <xm:f>'SI - Co-products'!$B$2:$B$6</xm:f>
          </x14:formula1>
          <xm:sqref>A6:A100</xm:sqref>
        </x14:dataValidation>
        <x14:dataValidation type="list" allowBlank="1" showInputMessage="1" showErrorMessage="1" xr:uid="{9F1D178F-5532-47D5-90FB-AC291B7B6448}">
          <x14:formula1>
            <xm:f>INDIRECT(_xlfn.XLOOKUP($B6, 'SI - Resources'!$R$1:$R$10,'SI - Resources'!$S$1:$S$10, "placeholder_resource", 0))</xm:f>
          </x14:formula1>
          <xm:sqref>P6:P100 C6:C100</xm:sqref>
        </x14:dataValidation>
        <x14:dataValidation type="list" allowBlank="1" showInputMessage="1" xr:uid="{B7D69FC8-204B-40E6-AB7A-83602426EABC}">
          <x14:formula1>
            <xm:f>INDIRECT(_xlfn.XLOOKUP($C6,'SI - End Use'!$A$14:$A$23,'SI - End Use'!$B$14:$B$23,"other_end_use",0))</xm:f>
          </x14:formula1>
          <xm:sqref>D6:D100</xm:sqref>
        </x14:dataValidation>
        <x14:dataValidation type="list" allowBlank="1" showInputMessage="1" showErrorMessage="1" xr:uid="{3A539890-56D8-4760-BD74-35DE3C15009B}">
          <x14:formula1>
            <xm:f>INDIRECT(_xlfn.XLOOKUP($P6,'SI - End Use'!$A$14:$A$23,'SI - End Use'!$B$14:$B$23,"other_end_use",0))</xm:f>
          </x14:formula1>
          <xm:sqref>Q6:R100</xm:sqref>
        </x14:dataValidation>
        <x14:dataValidation type="list" allowBlank="1" showInputMessage="1" showErrorMessage="1" xr:uid="{A2411297-849D-4182-B7FE-EA7E676DC346}">
          <x14:formula1>
            <xm:f>IF($B6="Transportation",  transport_units, INDIRECT(_xlfn.XLOOKUP($C6, 'SI - Units'!$F$27:$F$41,'SI - Units'!$G$27:$G$41,"mass",0)))</xm:f>
          </x14:formula1>
          <xm:sqref>F6:F100</xm:sqref>
        </x14:dataValidation>
        <x14:dataValidation type="list" allowBlank="1" showInputMessage="1" showErrorMessage="1" xr:uid="{0B29240D-6B4F-447C-BC97-F228EE5A956D}">
          <x14:formula1>
            <xm:f>INDIRECT("p_"&amp;_xlfn.XLOOKUP($C6,'SI - Units'!$F$27:$F$41,'SI - Units'!$G$27:$G$41,"mass",0))</xm:f>
          </x14:formula1>
          <xm:sqref>O6:O100</xm:sqref>
        </x14:dataValidation>
        <x14:dataValidation type="list" allowBlank="1" showInputMessage="1" showErrorMessage="1" xr:uid="{0175890D-E71C-40B2-85BE-1CF8DFDAF46E}">
          <x14:formula1>
            <xm:f>_xlfn.XLOOKUP(_xlfn.XLOOKUP(#REF!,'SI - Units'!$B$25:$B$113,'SI - Units'!$C$25:$C$113),'SI - Units'!$A$2:$A$9,'SI - Units'!$B$2:$R$9)</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693E-5372-435D-BA96-A311E29C12FE}">
  <sheetPr codeName="Sheet19"/>
  <dimension ref="A1:T100"/>
  <sheetViews>
    <sheetView workbookViewId="0">
      <pane ySplit="5" topLeftCell="A6" activePane="bottomLeft" state="frozen"/>
      <selection activeCell="I2" sqref="I2"/>
      <selection pane="bottomLeft" activeCell="I33" sqref="I3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345</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23840</v>
      </c>
      <c r="F7" s="6" t="s">
        <v>69</v>
      </c>
      <c r="G7" s="25"/>
      <c r="H7" s="25"/>
      <c r="I7" s="26" t="str">
        <f>IF(Table117[[#This Row],[Type]]="Co-product", "No", "")</f>
        <v/>
      </c>
      <c r="J7" s="25"/>
      <c r="K7" s="6"/>
      <c r="L7" s="6" t="str">
        <f>IF(Table117[[#This Row],[Category]]="Transportation", _xlfn.XLOOKUP(Table117[[#This Row],[Resource]], 'SI - Payload'!$A$10:$A$40,'SI - Payload'!$B$10:$B$40,"",0), "")</f>
        <v/>
      </c>
      <c r="M7" s="6" t="str">
        <f>IF(Table117[[#This Row],[Category]]="Transportation", "ton", "")</f>
        <v/>
      </c>
      <c r="N7" s="6"/>
      <c r="O7" s="6"/>
      <c r="P7" s="6" t="str">
        <f>IF(OR(Table117[[#This Row],[Type]]="Main Product", Table117[[#This Row],[Type]]="Co-Product"), Table117[[#This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62">
        <v>0.95</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88019186-FB8B-4558-9195-A457CF07607D}">
      <formula1>0</formula1>
      <formula2>1</formula2>
    </dataValidation>
    <dataValidation type="list" allowBlank="1" showInputMessage="1" showErrorMessage="1" sqref="M6:M100" xr:uid="{B73C00F9-B60E-4141-A1C5-668F7C71ED36}">
      <formula1>payload_units</formula1>
    </dataValidation>
    <dataValidation type="decimal" operator="greaterThan" allowBlank="1" showInputMessage="1" showErrorMessage="1" error="Please type a positive number." sqref="L6:L100" xr:uid="{80493EAB-6FC8-44EB-8D78-5F3207B553C7}">
      <formula1>0</formula1>
    </dataValidation>
    <dataValidation type="decimal" operator="greaterThan" allowBlank="1" showInputMessage="1" showErrorMessage="1" error="Please type a positive price." sqref="N6:N100" xr:uid="{64497D79-D15E-43C4-BA2F-FFB0EB595E99}">
      <formula1>0</formula1>
    </dataValidation>
    <dataValidation type="decimal" allowBlank="1" showInputMessage="1" showErrorMessage="1" error="Please type a number between 0 and 1." sqref="G6:G100" xr:uid="{04D3D535-5C00-4ACA-A48C-C8C88560762C}">
      <formula1>0</formula1>
      <formula2>1</formula2>
    </dataValidation>
    <dataValidation type="custom" allowBlank="1" showInputMessage="1" showErrorMessage="1" sqref="E6:E100" xr:uid="{4CCEA9CB-32C5-46B4-A0E3-58B982B3BAE1}">
      <formula1>ISNUMBER(E6)</formula1>
    </dataValidation>
    <dataValidation type="list" allowBlank="1" showInputMessage="1" showErrorMessage="1" sqref="C2" xr:uid="{1DE2F166-6EB2-460B-92FA-46198AC64C9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95604E7-8B76-451C-86E3-3AC62BFF5AC8}">
          <x14:formula1>
            <xm:f>INDIRECT(_xlfn.XLOOKUP($P6,'SI - End Use'!$A$14:$A$23,'SI - End Use'!$B$14:$B$23,"other_end_use",0))</xm:f>
          </x14:formula1>
          <xm:sqref>Q6:R100</xm:sqref>
        </x14:dataValidation>
        <x14:dataValidation type="list" allowBlank="1" showInputMessage="1" xr:uid="{891D2D9F-C2D1-4214-A641-33ACCE956599}">
          <x14:formula1>
            <xm:f>INDIRECT(_xlfn.XLOOKUP($C6,'SI - End Use'!$A$14:$A$23,'SI - End Use'!$B$14:$B$23,"other_end_use",0))</xm:f>
          </x14:formula1>
          <xm:sqref>D6:D100</xm:sqref>
        </x14:dataValidation>
        <x14:dataValidation type="list" allowBlank="1" showInputMessage="1" showErrorMessage="1" xr:uid="{D9DF84F7-2A58-4105-B794-0D54AFD207F3}">
          <x14:formula1>
            <xm:f>INDIRECT(_xlfn.XLOOKUP($B6, 'SI - Resources'!$R$1:$R$10,'SI - Resources'!$S$1:$S$10, "placeholder_resource", 0))</xm:f>
          </x14:formula1>
          <xm:sqref>P6:P100 C6:C100</xm:sqref>
        </x14:dataValidation>
        <x14:dataValidation type="list" allowBlank="1" showInputMessage="1" showErrorMessage="1" xr:uid="{3B825612-8A63-4056-B89B-E10978F9473E}">
          <x14:formula1>
            <xm:f>'SI - Co-products'!$B$2:$B$6</xm:f>
          </x14:formula1>
          <xm:sqref>A6:A100</xm:sqref>
        </x14:dataValidation>
        <x14:dataValidation type="list" allowBlank="1" showInputMessage="1" showErrorMessage="1" xr:uid="{E6C9301D-9449-4284-820E-CD5984AF25D1}">
          <x14:formula1>
            <xm:f>'SI - Resources'!$A$1:$J$1</xm:f>
          </x14:formula1>
          <xm:sqref>B6:B100</xm:sqref>
        </x14:dataValidation>
        <x14:dataValidation type="list" allowBlank="1" showInputMessage="1" showErrorMessage="1" xr:uid="{70D0875C-9661-4A83-BE7A-E05F3EAD6515}">
          <x14:formula1>
            <xm:f>'SI - Co-products'!$C$2:$C$4</xm:f>
          </x14:formula1>
          <xm:sqref>I6:I100</xm:sqref>
        </x14:dataValidation>
        <x14:dataValidation type="list" allowBlank="1" showInputMessage="1" showErrorMessage="1" xr:uid="{5FDEBC08-AB75-437C-8C71-2375047FFFAF}">
          <x14:formula1>
            <xm:f>'SI - Co-products'!$A$2:$A$5</xm:f>
          </x14:formula1>
          <xm:sqref>K6:K100</xm:sqref>
        </x14:dataValidation>
        <x14:dataValidation type="list" allowBlank="1" showInputMessage="1" showErrorMessage="1" xr:uid="{2360BF51-3BE6-45B6-AD83-7A0F1E03EBB5}">
          <x14:formula1>
            <xm:f>'SI - Co-products'!$D$2:$D$8</xm:f>
          </x14:formula1>
          <xm:sqref>C1</xm:sqref>
        </x14:dataValidation>
        <x14:dataValidation type="list" allowBlank="1" showInputMessage="1" showErrorMessage="1" xr:uid="{7EFA0196-20E0-4611-8C35-477DFC24BD51}">
          <x14:formula1>
            <xm:f>IF($B6="Transportation",  transport_units, INDIRECT(_xlfn.XLOOKUP($C6, 'SI - Units'!$F$27:$F$41,'SI - Units'!$G$27:$G$41,"mass",0)))</xm:f>
          </x14:formula1>
          <xm:sqref>F6:F100</xm:sqref>
        </x14:dataValidation>
        <x14:dataValidation type="list" allowBlank="1" showInputMessage="1" showErrorMessage="1" xr:uid="{5FB045FD-82F0-4060-A6F8-E47D602A538D}">
          <x14:formula1>
            <xm:f>INDIRECT("p_"&amp;_xlfn.XLOOKUP($C6,'SI - Units'!$F$27:$F$41,'SI - Units'!$G$27:$G$41,"mass",0))</xm:f>
          </x14:formula1>
          <xm:sqref>O6:O100</xm:sqref>
        </x14:dataValidation>
        <x14:dataValidation type="list" allowBlank="1" showInputMessage="1" showErrorMessage="1" xr:uid="{1BF93C9D-A1D9-4A84-BEE6-56A1D673AEE3}">
          <x14:formula1>
            <xm:f>_xlfn.XLOOKUP(_xlfn.XLOOKUP(#REF!,'SI - Units'!$B$25:$B$113,'SI - Units'!$C$25:$C$113),'SI - Units'!$A$2:$A$9,'SI - Units'!$B$2:$R$9)</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CA0B-B96F-4B79-B0F0-527977786D84}">
  <sheetPr codeName="Sheet20"/>
  <dimension ref="A1:T100"/>
  <sheetViews>
    <sheetView workbookViewId="0">
      <pane ySplit="5" topLeftCell="A6" activePane="bottomLeft" state="frozen"/>
      <selection activeCell="C19" sqref="C19"/>
      <selection pane="bottomLeft" activeCell="E14" sqref="E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346</v>
      </c>
      <c r="I6" s="26" t="str">
        <f>IF(Table1818[[#This Row],[Type]]="Co-product", "No", "")</f>
        <v/>
      </c>
      <c r="J6" s="25"/>
      <c r="K6" s="6"/>
      <c r="L6" s="6" t="str">
        <f>IF(Table1818[[#This Row],[Category]]="Transportation", _xlfn.XLOOKUP(Table1818[[#This Row],[Resource]], 'SI - Payload'!$A$10:$A$40,'SI - Payload'!$B$10:$B$40,"",0), "")</f>
        <v/>
      </c>
      <c r="M6" s="6" t="str">
        <f>IF(Table1818[[#This Row],[Category]]="Transportation", "ton", "")</f>
        <v/>
      </c>
      <c r="N6" s="6"/>
      <c r="O6" s="6"/>
      <c r="P6" s="6" t="str">
        <f>IF(OR(Table1818[[#This Row],[Type]]="Main Product", Table1818[[#This Row],[Type]]="Co-Product"), Table1818[[#This Row],[Resource]], "")</f>
        <v/>
      </c>
      <c r="Q6" s="6" t="str">
        <f>IF(_xlfn.XLOOKUP($P6,'SI - End Use'!$B$2:$B$9,'SI - End Use'!$C$2:$C$9, "")="", "", _xlfn.XLOOKUP($C6,'SI - End Use'!$B$2:$B$9,'SI - End Use'!$C$2:$C$9, ""))</f>
        <v/>
      </c>
      <c r="R6" s="6"/>
      <c r="S6" s="6"/>
      <c r="T6" s="6"/>
    </row>
    <row r="7" spans="1:20" x14ac:dyDescent="0.25">
      <c r="A7" s="6" t="s">
        <v>0</v>
      </c>
      <c r="B7" s="6" t="s">
        <v>33</v>
      </c>
      <c r="C7" s="6" t="s">
        <v>344</v>
      </c>
      <c r="D7" s="6" t="str">
        <f>IF(_xlfn.XLOOKUP($C7,'SI - End Use'!$B$2:$B$9,'SI - End Use'!$C$2:$C$9, "")="", "", _xlfn.XLOOKUP($C7,'SI - End Use'!$B$2:$B$9,'SI - End Use'!$C$2:$C$9, ""))</f>
        <v/>
      </c>
      <c r="E7" s="12">
        <v>51</v>
      </c>
      <c r="F7" s="6" t="s">
        <v>34</v>
      </c>
      <c r="G7" s="25">
        <v>0.3</v>
      </c>
      <c r="H7" s="25"/>
      <c r="I7" s="26" t="str">
        <f>IF(Table1818[[#This Row],[Type]]="Co-product", "No", "")</f>
        <v/>
      </c>
      <c r="J7" s="25"/>
      <c r="K7" s="6"/>
      <c r="L7" s="6">
        <v>17.62</v>
      </c>
      <c r="M7" s="6" t="str">
        <f>IF(Table1818[[#This Row],[Category]]="Transportation", "ton", "")</f>
        <v>ton</v>
      </c>
      <c r="N7" s="6"/>
      <c r="O7" s="6"/>
      <c r="P7" s="6" t="str">
        <f>IF(OR(Table1818[[#This Row],[Type]]="Main Product", Table1818[[#This Row],[Type]]="Co-Product"), Table1818[[#This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12">
        <v>1</v>
      </c>
      <c r="F8" s="6" t="s">
        <v>11</v>
      </c>
      <c r="G8" s="25"/>
      <c r="H8" s="25"/>
      <c r="I8" s="26" t="str">
        <f>IF(Table1818[[#This Row],[Type]]="Co-product", "No", "")</f>
        <v/>
      </c>
      <c r="J8" s="25"/>
      <c r="K8" s="6"/>
      <c r="L8" s="6" t="str">
        <f>IF(Table1818[[#This Row],[Category]]="Transportation", _xlfn.XLOOKUP(Table1818[[#This Row],[Resource]], 'SI - Payload'!$A$10:$A$40,'SI - Payload'!$B$10:$B$40,"",0), "")</f>
        <v/>
      </c>
      <c r="M8" s="6" t="str">
        <f>IF(Table1818[[#This Row],[Category]]="Transportation", "ton", "")</f>
        <v/>
      </c>
      <c r="N8" s="6"/>
      <c r="O8" s="6"/>
      <c r="P8" s="6" t="str">
        <f>IF(OR(Table1818[[#This Row],[Type]]="Main Product", Table1818[[#This Row],[Type]]="Co-Product"), Table1818[[#This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IF(Table1818[[#This Row],[Type]]="Co-product", "No", "")</f>
        <v/>
      </c>
      <c r="J9" s="25"/>
      <c r="K9" s="6"/>
      <c r="L9" s="6" t="str">
        <f>IF(Table1818[[#This Row],[Category]]="Transportation", _xlfn.XLOOKUP(Table1818[[#This Row],[Resource]], 'SI - Payload'!$A$10:$A$40,'SI - Payload'!$B$10:$B$40,"",0), "")</f>
        <v/>
      </c>
      <c r="M9" s="6" t="str">
        <f>IF(Table1818[[#This Row],[Category]]="Transportation", "ton", "")</f>
        <v/>
      </c>
      <c r="N9" s="6"/>
      <c r="O9" s="6"/>
      <c r="P9" s="6" t="str">
        <f>IF(OR(Table1818[[#This Row],[Type]]="Main Product", Table1818[[#This Row],[Type]]="Co-Product"), Table1818[[#This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IF(Table1818[[#This Row],[Type]]="Co-product", "No", "")</f>
        <v/>
      </c>
      <c r="J10" s="25"/>
      <c r="K10" s="6"/>
      <c r="L10" s="6" t="str">
        <f>IF(Table1818[[#This Row],[Category]]="Transportation", _xlfn.XLOOKUP(Table1818[[#This Row],[Resource]], 'SI - Payload'!$A$10:$A$40,'SI - Payload'!$B$10:$B$40,"",0), "")</f>
        <v/>
      </c>
      <c r="M10" s="6" t="str">
        <f>IF(Table1818[[#This Row],[Category]]="Transportation", "ton", "")</f>
        <v/>
      </c>
      <c r="N10" s="6"/>
      <c r="O10" s="6"/>
      <c r="P10" s="6" t="str">
        <f>IF(OR(Table1818[[#This Row],[Type]]="Main Product", Table1818[[#This Row],[Type]]="Co-Product"), Table1818[[#This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IF(Table1818[[#This Row],[Type]]="Co-product", "No", "")</f>
        <v/>
      </c>
      <c r="J11" s="25"/>
      <c r="K11" s="6"/>
      <c r="L11" s="6" t="str">
        <f>IF(Table1818[[#This Row],[Category]]="Transportation", _xlfn.XLOOKUP(Table1818[[#This Row],[Resource]], 'SI - Payload'!$A$10:$A$40,'SI - Payload'!$B$10:$B$40,"",0), "")</f>
        <v/>
      </c>
      <c r="M11" s="6" t="str">
        <f>IF(Table1818[[#This Row],[Category]]="Transportation", "ton", "")</f>
        <v/>
      </c>
      <c r="N11" s="6"/>
      <c r="O11" s="6"/>
      <c r="P11" s="6" t="str">
        <f>IF(OR(Table1818[[#This Row],[Type]]="Main Product", Table1818[[#This Row],[Type]]="Co-Product"), Table1818[[#This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IF(Table1818[[#This Row],[Type]]="Co-product", "No", "")</f>
        <v/>
      </c>
      <c r="J12" s="25"/>
      <c r="K12" s="6"/>
      <c r="L12" s="6" t="str">
        <f>IF(Table1818[[#This Row],[Category]]="Transportation", _xlfn.XLOOKUP(Table1818[[#This Row],[Resource]], 'SI - Payload'!$A$10:$A$40,'SI - Payload'!$B$10:$B$40,"",0), "")</f>
        <v/>
      </c>
      <c r="M12" s="6" t="str">
        <f>IF(Table1818[[#This Row],[Category]]="Transportation", "ton", "")</f>
        <v/>
      </c>
      <c r="N12" s="6"/>
      <c r="O12" s="6"/>
      <c r="P12" s="6" t="str">
        <f>IF(OR(Table1818[[#This Row],[Type]]="Main Product", Table1818[[#This Row],[Type]]="Co-Product"), Table1818[[#This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IF(Table1818[[#This Row],[Type]]="Co-product", "No", "")</f>
        <v/>
      </c>
      <c r="J13" s="25"/>
      <c r="K13" s="6"/>
      <c r="L13" s="6" t="str">
        <f>IF(Table1818[[#This Row],[Category]]="Transportation", _xlfn.XLOOKUP(Table1818[[#This Row],[Resource]], 'SI - Payload'!$A$10:$A$40,'SI - Payload'!$B$10:$B$40,"",0), "")</f>
        <v/>
      </c>
      <c r="M13" s="6" t="str">
        <f>IF(Table1818[[#This Row],[Category]]="Transportation", "ton", "")</f>
        <v/>
      </c>
      <c r="N13" s="6"/>
      <c r="O13" s="6"/>
      <c r="P13" s="6" t="str">
        <f>IF(OR(Table1818[[#This Row],[Type]]="Main Product", Table1818[[#This Row],[Type]]="Co-Product"), Table1818[[#This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IF(Table1818[[#This Row],[Type]]="Co-product", "No", "")</f>
        <v/>
      </c>
      <c r="J14" s="25"/>
      <c r="K14" s="6"/>
      <c r="L14" s="6" t="str">
        <f>IF(Table1818[[#This Row],[Category]]="Transportation", _xlfn.XLOOKUP(Table1818[[#This Row],[Resource]], 'SI - Payload'!$A$10:$A$40,'SI - Payload'!$B$10:$B$40,"",0), "")</f>
        <v/>
      </c>
      <c r="M14" s="6" t="str">
        <f>IF(Table1818[[#This Row],[Category]]="Transportation", "ton", "")</f>
        <v/>
      </c>
      <c r="N14" s="6"/>
      <c r="O14" s="6"/>
      <c r="P14" s="6" t="str">
        <f>IF(OR(Table1818[[#This Row],[Type]]="Main Product", Table1818[[#This Row],[Type]]="Co-Product"), Table1818[[#This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IF(Table1818[[#This Row],[Type]]="Co-product", "No", "")</f>
        <v/>
      </c>
      <c r="J15" s="25"/>
      <c r="K15" s="6"/>
      <c r="L15" s="6" t="str">
        <f>IF(Table1818[[#This Row],[Category]]="Transportation", _xlfn.XLOOKUP(Table1818[[#This Row],[Resource]], 'SI - Payload'!$A$10:$A$40,'SI - Payload'!$B$10:$B$40,"",0), "")</f>
        <v/>
      </c>
      <c r="M15" s="6" t="str">
        <f>IF(Table1818[[#This Row],[Category]]="Transportation", "ton", "")</f>
        <v/>
      </c>
      <c r="N15" s="6"/>
      <c r="O15" s="6"/>
      <c r="P15" s="6" t="str">
        <f>IF(OR(Table1818[[#This Row],[Type]]="Main Product", Table1818[[#This Row],[Type]]="Co-Product"), Table1818[[#This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IF(Table1818[[#This Row],[Type]]="Co-product", "No", "")</f>
        <v/>
      </c>
      <c r="J16" s="25"/>
      <c r="K16" s="6"/>
      <c r="L16" s="6" t="str">
        <f>IF(Table1818[[#This Row],[Category]]="Transportation", _xlfn.XLOOKUP(Table1818[[#This Row],[Resource]], 'SI - Payload'!$A$10:$A$40,'SI - Payload'!$B$10:$B$40,"",0), "")</f>
        <v/>
      </c>
      <c r="M16" s="6" t="str">
        <f>IF(Table1818[[#This Row],[Category]]="Transportation", "ton", "")</f>
        <v/>
      </c>
      <c r="N16" s="6"/>
      <c r="O16" s="6"/>
      <c r="P16" s="6" t="str">
        <f>IF(OR(Table1818[[#This Row],[Type]]="Main Product", Table1818[[#This Row],[Type]]="Co-Product"), Table1818[[#This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IF(Table1818[[#This Row],[Type]]="Co-product", "No", "")</f>
        <v/>
      </c>
      <c r="J17" s="25"/>
      <c r="K17" s="6"/>
      <c r="L17" s="6" t="str">
        <f>IF(Table1818[[#This Row],[Category]]="Transportation", _xlfn.XLOOKUP(Table1818[[#This Row],[Resource]], 'SI - Payload'!$A$10:$A$40,'SI - Payload'!$B$10:$B$40,"",0), "")</f>
        <v/>
      </c>
      <c r="M17" s="6" t="str">
        <f>IF(Table1818[[#This Row],[Category]]="Transportation", "ton", "")</f>
        <v/>
      </c>
      <c r="N17" s="6"/>
      <c r="O17" s="6"/>
      <c r="P17" s="6" t="str">
        <f>IF(OR(Table1818[[#This Row],[Type]]="Main Product", Table1818[[#This Row],[Type]]="Co-Product"), Table1818[[#This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IF(Table1818[[#This Row],[Type]]="Co-product", "No", "")</f>
        <v/>
      </c>
      <c r="J18" s="25"/>
      <c r="K18" s="6"/>
      <c r="L18" s="6" t="str">
        <f>IF(Table1818[[#This Row],[Category]]="Transportation", _xlfn.XLOOKUP(Table1818[[#This Row],[Resource]], 'SI - Payload'!$A$10:$A$40,'SI - Payload'!$B$10:$B$40,"",0), "")</f>
        <v/>
      </c>
      <c r="M18" s="6" t="str">
        <f>IF(Table1818[[#This Row],[Category]]="Transportation", "ton", "")</f>
        <v/>
      </c>
      <c r="N18" s="6"/>
      <c r="O18" s="6"/>
      <c r="P18" s="6" t="str">
        <f>IF(OR(Table1818[[#This Row],[Type]]="Main Product", Table1818[[#This Row],[Type]]="Co-Product"), Table1818[[#This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IF(Table1818[[#This Row],[Type]]="Co-product", "No", "")</f>
        <v/>
      </c>
      <c r="J19" s="25"/>
      <c r="K19" s="6"/>
      <c r="L19" s="6" t="str">
        <f>IF(Table1818[[#This Row],[Category]]="Transportation", _xlfn.XLOOKUP(Table1818[[#This Row],[Resource]], 'SI - Payload'!$A$10:$A$40,'SI - Payload'!$B$10:$B$40,"",0), "")</f>
        <v/>
      </c>
      <c r="M19" s="6" t="str">
        <f>IF(Table1818[[#This Row],[Category]]="Transportation", "ton", "")</f>
        <v/>
      </c>
      <c r="N19" s="6"/>
      <c r="O19" s="6"/>
      <c r="P19" s="6" t="str">
        <f>IF(OR(Table1818[[#This Row],[Type]]="Main Product", Table1818[[#This Row],[Type]]="Co-Product"), Table1818[[#This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IF(Table1818[[#This Row],[Type]]="Co-product", "No", "")</f>
        <v/>
      </c>
      <c r="J20" s="25"/>
      <c r="K20" s="6"/>
      <c r="L20" s="6" t="str">
        <f>IF(Table1818[[#This Row],[Category]]="Transportation", _xlfn.XLOOKUP(Table1818[[#This Row],[Resource]], 'SI - Payload'!$A$10:$A$40,'SI - Payload'!$B$10:$B$40,"",0), "")</f>
        <v/>
      </c>
      <c r="M20" s="6" t="str">
        <f>IF(Table1818[[#This Row],[Category]]="Transportation", "ton", "")</f>
        <v/>
      </c>
      <c r="N20" s="6"/>
      <c r="O20" s="6"/>
      <c r="P20" s="6" t="str">
        <f>IF(OR(Table1818[[#This Row],[Type]]="Main Product", Table1818[[#This Row],[Type]]="Co-Product"), Table1818[[#This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IF(Table1818[[#This Row],[Type]]="Co-product", "No", "")</f>
        <v/>
      </c>
      <c r="J21" s="25"/>
      <c r="K21" s="6"/>
      <c r="L21" s="6" t="str">
        <f>IF(Table1818[[#This Row],[Category]]="Transportation", _xlfn.XLOOKUP(Table1818[[#This Row],[Resource]], 'SI - Payload'!$A$10:$A$40,'SI - Payload'!$B$10:$B$40,"",0), "")</f>
        <v/>
      </c>
      <c r="M21" s="6" t="str">
        <f>IF(Table1818[[#This Row],[Category]]="Transportation", "ton", "")</f>
        <v/>
      </c>
      <c r="N21" s="6"/>
      <c r="O21" s="6"/>
      <c r="P21" s="6" t="str">
        <f>IF(OR(Table1818[[#This Row],[Type]]="Main Product", Table1818[[#This Row],[Type]]="Co-Product"), Table1818[[#This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IF(Table1818[[#This Row],[Type]]="Co-product", "No", "")</f>
        <v/>
      </c>
      <c r="J22" s="25"/>
      <c r="K22" s="6"/>
      <c r="L22" s="6" t="str">
        <f>IF(Table1818[[#This Row],[Category]]="Transportation", _xlfn.XLOOKUP(Table1818[[#This Row],[Resource]], 'SI - Payload'!$A$10:$A$40,'SI - Payload'!$B$10:$B$40,"",0), "")</f>
        <v/>
      </c>
      <c r="M22" s="6" t="str">
        <f>IF(Table1818[[#This Row],[Category]]="Transportation", "ton", "")</f>
        <v/>
      </c>
      <c r="N22" s="6"/>
      <c r="O22" s="6"/>
      <c r="P22" s="6" t="str">
        <f>IF(OR(Table1818[[#This Row],[Type]]="Main Product", Table1818[[#This Row],[Type]]="Co-Product"), Table1818[[#This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IF(Table1818[[#This Row],[Type]]="Co-product", "No", "")</f>
        <v/>
      </c>
      <c r="J23" s="25"/>
      <c r="K23" s="6"/>
      <c r="L23" s="6" t="str">
        <f>IF(Table1818[[#This Row],[Category]]="Transportation", _xlfn.XLOOKUP(Table1818[[#This Row],[Resource]], 'SI - Payload'!$A$10:$A$40,'SI - Payload'!$B$10:$B$40,"",0), "")</f>
        <v/>
      </c>
      <c r="M23" s="6" t="str">
        <f>IF(Table1818[[#This Row],[Category]]="Transportation", "ton", "")</f>
        <v/>
      </c>
      <c r="N23" s="6"/>
      <c r="O23" s="6"/>
      <c r="P23" s="6" t="str">
        <f>IF(OR(Table1818[[#This Row],[Type]]="Main Product", Table1818[[#This Row],[Type]]="Co-Product"), Table1818[[#This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IF(Table1818[[#This Row],[Type]]="Co-product", "No", "")</f>
        <v/>
      </c>
      <c r="J24" s="25"/>
      <c r="K24" s="6"/>
      <c r="L24" s="6" t="str">
        <f>IF(Table1818[[#This Row],[Category]]="Transportation", _xlfn.XLOOKUP(Table1818[[#This Row],[Resource]], 'SI - Payload'!$A$10:$A$40,'SI - Payload'!$B$10:$B$40,"",0), "")</f>
        <v/>
      </c>
      <c r="M24" s="6" t="str">
        <f>IF(Table1818[[#This Row],[Category]]="Transportation", "ton", "")</f>
        <v/>
      </c>
      <c r="N24" s="6"/>
      <c r="O24" s="6"/>
      <c r="P24" s="6" t="str">
        <f>IF(OR(Table1818[[#This Row],[Type]]="Main Product", Table1818[[#This Row],[Type]]="Co-Product"), Table1818[[#This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IF(Table1818[[#This Row],[Type]]="Co-product", "No", "")</f>
        <v/>
      </c>
      <c r="J25" s="25"/>
      <c r="K25" s="6"/>
      <c r="L25" s="6" t="str">
        <f>IF(Table1818[[#This Row],[Category]]="Transportation", _xlfn.XLOOKUP(Table1818[[#This Row],[Resource]], 'SI - Payload'!$A$10:$A$40,'SI - Payload'!$B$10:$B$40,"",0), "")</f>
        <v/>
      </c>
      <c r="M25" s="6" t="str">
        <f>IF(Table1818[[#This Row],[Category]]="Transportation", "ton", "")</f>
        <v/>
      </c>
      <c r="N25" s="6"/>
      <c r="O25" s="6"/>
      <c r="P25" s="6" t="str">
        <f>IF(OR(Table1818[[#This Row],[Type]]="Main Product", Table1818[[#This Row],[Type]]="Co-Product"), Table1818[[#This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IF(Table1818[[#This Row],[Type]]="Co-product", "No", "")</f>
        <v/>
      </c>
      <c r="J26" s="25"/>
      <c r="K26" s="6"/>
      <c r="L26" s="6" t="str">
        <f>IF(Table1818[[#This Row],[Category]]="Transportation", _xlfn.XLOOKUP(Table1818[[#This Row],[Resource]], 'SI - Payload'!$A$10:$A$40,'SI - Payload'!$B$10:$B$40,"",0), "")</f>
        <v/>
      </c>
      <c r="M26" s="6" t="str">
        <f>IF(Table1818[[#This Row],[Category]]="Transportation", "ton", "")</f>
        <v/>
      </c>
      <c r="N26" s="6"/>
      <c r="O26" s="6"/>
      <c r="P26" s="6" t="str">
        <f>IF(OR(Table1818[[#This Row],[Type]]="Main Product", Table1818[[#This Row],[Type]]="Co-Product"), Table1818[[#This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IF(Table1818[[#This Row],[Type]]="Co-product", "No", "")</f>
        <v/>
      </c>
      <c r="J27" s="25"/>
      <c r="K27" s="6"/>
      <c r="L27" s="6" t="str">
        <f>IF(Table1818[[#This Row],[Category]]="Transportation", _xlfn.XLOOKUP(Table1818[[#This Row],[Resource]], 'SI - Payload'!$A$10:$A$40,'SI - Payload'!$B$10:$B$40,"",0), "")</f>
        <v/>
      </c>
      <c r="M27" s="6" t="str">
        <f>IF(Table1818[[#This Row],[Category]]="Transportation", "ton", "")</f>
        <v/>
      </c>
      <c r="N27" s="6"/>
      <c r="O27" s="6"/>
      <c r="P27" s="6" t="str">
        <f>IF(OR(Table1818[[#This Row],[Type]]="Main Product", Table1818[[#This Row],[Type]]="Co-Product"), Table1818[[#This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IF(Table1818[[#This Row],[Type]]="Co-product", "No", "")</f>
        <v/>
      </c>
      <c r="J28" s="25"/>
      <c r="K28" s="6"/>
      <c r="L28" s="6" t="str">
        <f>IF(Table1818[[#This Row],[Category]]="Transportation", _xlfn.XLOOKUP(Table1818[[#This Row],[Resource]], 'SI - Payload'!$A$10:$A$40,'SI - Payload'!$B$10:$B$40,"",0), "")</f>
        <v/>
      </c>
      <c r="M28" s="6" t="str">
        <f>IF(Table1818[[#This Row],[Category]]="Transportation", "ton", "")</f>
        <v/>
      </c>
      <c r="N28" s="6"/>
      <c r="O28" s="6"/>
      <c r="P28" s="6" t="str">
        <f>IF(OR(Table1818[[#This Row],[Type]]="Main Product", Table1818[[#This Row],[Type]]="Co-Product"), Table1818[[#This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IF(Table1818[[#This Row],[Type]]="Co-product", "No", "")</f>
        <v/>
      </c>
      <c r="J29" s="25"/>
      <c r="K29" s="6"/>
      <c r="L29" s="6" t="str">
        <f>IF(Table1818[[#This Row],[Category]]="Transportation", _xlfn.XLOOKUP(Table1818[[#This Row],[Resource]], 'SI - Payload'!$A$10:$A$40,'SI - Payload'!$B$10:$B$40,"",0), "")</f>
        <v/>
      </c>
      <c r="M29" s="6" t="str">
        <f>IF(Table1818[[#This Row],[Category]]="Transportation", "ton", "")</f>
        <v/>
      </c>
      <c r="N29" s="6"/>
      <c r="O29" s="6"/>
      <c r="P29" s="6" t="str">
        <f>IF(OR(Table1818[[#This Row],[Type]]="Main Product", Table1818[[#This Row],[Type]]="Co-Product"), Table1818[[#This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IF(Table1818[[#This Row],[Type]]="Co-product", "No", "")</f>
        <v/>
      </c>
      <c r="J30" s="25"/>
      <c r="K30" s="6"/>
      <c r="L30" s="6" t="str">
        <f>IF(Table1818[[#This Row],[Category]]="Transportation", _xlfn.XLOOKUP(Table1818[[#This Row],[Resource]], 'SI - Payload'!$A$10:$A$40,'SI - Payload'!$B$10:$B$40,"",0), "")</f>
        <v/>
      </c>
      <c r="M30" s="6" t="str">
        <f>IF(Table1818[[#This Row],[Category]]="Transportation", "ton", "")</f>
        <v/>
      </c>
      <c r="N30" s="6"/>
      <c r="O30" s="6"/>
      <c r="P30" s="6" t="str">
        <f>IF(OR(Table1818[[#This Row],[Type]]="Main Product", Table1818[[#This Row],[Type]]="Co-Product"), Table1818[[#This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IF(Table1818[[#This Row],[Type]]="Co-product", "No", "")</f>
        <v/>
      </c>
      <c r="J31" s="25"/>
      <c r="K31" s="6"/>
      <c r="L31" s="6" t="str">
        <f>IF(Table1818[[#This Row],[Category]]="Transportation", _xlfn.XLOOKUP(Table1818[[#This Row],[Resource]], 'SI - Payload'!$A$10:$A$40,'SI - Payload'!$B$10:$B$40,"",0), "")</f>
        <v/>
      </c>
      <c r="M31" s="6" t="str">
        <f>IF(Table1818[[#This Row],[Category]]="Transportation", "ton", "")</f>
        <v/>
      </c>
      <c r="N31" s="6"/>
      <c r="O31" s="6"/>
      <c r="P31" s="6" t="str">
        <f>IF(OR(Table1818[[#This Row],[Type]]="Main Product", Table1818[[#This Row],[Type]]="Co-Product"), Table1818[[#This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IF(Table1818[[#This Row],[Type]]="Co-product", "No", "")</f>
        <v/>
      </c>
      <c r="J32" s="25"/>
      <c r="K32" s="6"/>
      <c r="L32" s="6" t="str">
        <f>IF(Table1818[[#This Row],[Category]]="Transportation", _xlfn.XLOOKUP(Table1818[[#This Row],[Resource]], 'SI - Payload'!$A$10:$A$40,'SI - Payload'!$B$10:$B$40,"",0), "")</f>
        <v/>
      </c>
      <c r="M32" s="6" t="str">
        <f>IF(Table1818[[#This Row],[Category]]="Transportation", "ton", "")</f>
        <v/>
      </c>
      <c r="N32" s="6"/>
      <c r="O32" s="6"/>
      <c r="P32" s="6" t="str">
        <f>IF(OR(Table1818[[#This Row],[Type]]="Main Product", Table1818[[#This Row],[Type]]="Co-Product"), Table1818[[#This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IF(Table1818[[#This Row],[Type]]="Co-product", "No", "")</f>
        <v/>
      </c>
      <c r="J33" s="25"/>
      <c r="K33" s="6"/>
      <c r="L33" s="6" t="str">
        <f>IF(Table1818[[#This Row],[Category]]="Transportation", _xlfn.XLOOKUP(Table1818[[#This Row],[Resource]], 'SI - Payload'!$A$10:$A$40,'SI - Payload'!$B$10:$B$40,"",0), "")</f>
        <v/>
      </c>
      <c r="M33" s="6" t="str">
        <f>IF(Table1818[[#This Row],[Category]]="Transportation", "ton", "")</f>
        <v/>
      </c>
      <c r="N33" s="6"/>
      <c r="O33" s="6"/>
      <c r="P33" s="6" t="str">
        <f>IF(OR(Table1818[[#This Row],[Type]]="Main Product", Table1818[[#This Row],[Type]]="Co-Product"), Table1818[[#This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IF(Table1818[[#This Row],[Type]]="Co-product", "No", "")</f>
        <v/>
      </c>
      <c r="J34" s="25"/>
      <c r="K34" s="6"/>
      <c r="L34" s="6" t="str">
        <f>IF(Table1818[[#This Row],[Category]]="Transportation", _xlfn.XLOOKUP(Table1818[[#This Row],[Resource]], 'SI - Payload'!$A$10:$A$40,'SI - Payload'!$B$10:$B$40,"",0), "")</f>
        <v/>
      </c>
      <c r="M34" s="6" t="str">
        <f>IF(Table1818[[#This Row],[Category]]="Transportation", "ton", "")</f>
        <v/>
      </c>
      <c r="N34" s="6"/>
      <c r="O34" s="6"/>
      <c r="P34" s="6" t="str">
        <f>IF(OR(Table1818[[#This Row],[Type]]="Main Product", Table1818[[#This Row],[Type]]="Co-Product"), Table1818[[#This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IF(Table1818[[#This Row],[Type]]="Co-product", "No", "")</f>
        <v/>
      </c>
      <c r="J35" s="25"/>
      <c r="K35" s="6"/>
      <c r="L35" s="6" t="str">
        <f>IF(Table1818[[#This Row],[Category]]="Transportation", _xlfn.XLOOKUP(Table1818[[#This Row],[Resource]], 'SI - Payload'!$A$10:$A$40,'SI - Payload'!$B$10:$B$40,"",0), "")</f>
        <v/>
      </c>
      <c r="M35" s="6" t="str">
        <f>IF(Table1818[[#This Row],[Category]]="Transportation", "ton", "")</f>
        <v/>
      </c>
      <c r="N35" s="6"/>
      <c r="O35" s="6"/>
      <c r="P35" s="6" t="str">
        <f>IF(OR(Table1818[[#This Row],[Type]]="Main Product", Table1818[[#This Row],[Type]]="Co-Product"), Table1818[[#This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IF(Table1818[[#This Row],[Type]]="Co-product", "No", "")</f>
        <v/>
      </c>
      <c r="J36" s="25"/>
      <c r="K36" s="6"/>
      <c r="L36" s="6" t="str">
        <f>IF(Table1818[[#This Row],[Category]]="Transportation", _xlfn.XLOOKUP(Table1818[[#This Row],[Resource]], 'SI - Payload'!$A$10:$A$40,'SI - Payload'!$B$10:$B$40,"",0), "")</f>
        <v/>
      </c>
      <c r="M36" s="6" t="str">
        <f>IF(Table1818[[#This Row],[Category]]="Transportation", "ton", "")</f>
        <v/>
      </c>
      <c r="N36" s="6"/>
      <c r="O36" s="6"/>
      <c r="P36" s="6" t="str">
        <f>IF(OR(Table1818[[#This Row],[Type]]="Main Product", Table1818[[#This Row],[Type]]="Co-Product"), Table1818[[#This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IF(Table1818[[#This Row],[Type]]="Co-product", "No", "")</f>
        <v/>
      </c>
      <c r="J37" s="25"/>
      <c r="K37" s="6"/>
      <c r="L37" s="6" t="str">
        <f>IF(Table1818[[#This Row],[Category]]="Transportation", _xlfn.XLOOKUP(Table1818[[#This Row],[Resource]], 'SI - Payload'!$A$10:$A$40,'SI - Payload'!$B$10:$B$40,"",0), "")</f>
        <v/>
      </c>
      <c r="M37" s="6" t="str">
        <f>IF(Table1818[[#This Row],[Category]]="Transportation", "ton", "")</f>
        <v/>
      </c>
      <c r="N37" s="6"/>
      <c r="O37" s="6"/>
      <c r="P37" s="6" t="str">
        <f>IF(OR(Table1818[[#This Row],[Type]]="Main Product", Table1818[[#This Row],[Type]]="Co-Product"), Table1818[[#This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IF(Table1818[[#This Row],[Type]]="Co-product", "No", "")</f>
        <v/>
      </c>
      <c r="J38" s="25"/>
      <c r="K38" s="6"/>
      <c r="L38" s="6" t="str">
        <f>IF(Table1818[[#This Row],[Category]]="Transportation", _xlfn.XLOOKUP(Table1818[[#This Row],[Resource]], 'SI - Payload'!$A$10:$A$40,'SI - Payload'!$B$10:$B$40,"",0), "")</f>
        <v/>
      </c>
      <c r="M38" s="6" t="str">
        <f>IF(Table1818[[#This Row],[Category]]="Transportation", "ton", "")</f>
        <v/>
      </c>
      <c r="N38" s="6"/>
      <c r="O38" s="6"/>
      <c r="P38" s="6" t="str">
        <f>IF(OR(Table1818[[#This Row],[Type]]="Main Product", Table1818[[#This Row],[Type]]="Co-Product"), Table1818[[#This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IF(Table1818[[#This Row],[Type]]="Co-product", "No", "")</f>
        <v/>
      </c>
      <c r="J39" s="25"/>
      <c r="K39" s="6"/>
      <c r="L39" s="6" t="str">
        <f>IF(Table1818[[#This Row],[Category]]="Transportation", _xlfn.XLOOKUP(Table1818[[#This Row],[Resource]], 'SI - Payload'!$A$10:$A$40,'SI - Payload'!$B$10:$B$40,"",0), "")</f>
        <v/>
      </c>
      <c r="M39" s="6" t="str">
        <f>IF(Table1818[[#This Row],[Category]]="Transportation", "ton", "")</f>
        <v/>
      </c>
      <c r="N39" s="6"/>
      <c r="O39" s="6"/>
      <c r="P39" s="6" t="str">
        <f>IF(OR(Table1818[[#This Row],[Type]]="Main Product", Table1818[[#This Row],[Type]]="Co-Product"), Table1818[[#This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IF(Table1818[[#This Row],[Type]]="Co-product", "No", "")</f>
        <v/>
      </c>
      <c r="J40" s="25"/>
      <c r="K40" s="6"/>
      <c r="L40" s="6" t="str">
        <f>IF(Table1818[[#This Row],[Category]]="Transportation", _xlfn.XLOOKUP(Table1818[[#This Row],[Resource]], 'SI - Payload'!$A$10:$A$40,'SI - Payload'!$B$10:$B$40,"",0), "")</f>
        <v/>
      </c>
      <c r="M40" s="6" t="str">
        <f>IF(Table1818[[#This Row],[Category]]="Transportation", "ton", "")</f>
        <v/>
      </c>
      <c r="N40" s="6"/>
      <c r="O40" s="6"/>
      <c r="P40" s="6" t="str">
        <f>IF(OR(Table1818[[#This Row],[Type]]="Main Product", Table1818[[#This Row],[Type]]="Co-Product"), Table1818[[#This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IF(Table1818[[#This Row],[Type]]="Co-product", "No", "")</f>
        <v/>
      </c>
      <c r="J41" s="25"/>
      <c r="K41" s="6"/>
      <c r="L41" s="6" t="str">
        <f>IF(Table1818[[#This Row],[Category]]="Transportation", _xlfn.XLOOKUP(Table1818[[#This Row],[Resource]], 'SI - Payload'!$A$10:$A$40,'SI - Payload'!$B$10:$B$40,"",0), "")</f>
        <v/>
      </c>
      <c r="M41" s="6" t="str">
        <f>IF(Table1818[[#This Row],[Category]]="Transportation", "ton", "")</f>
        <v/>
      </c>
      <c r="N41" s="6"/>
      <c r="O41" s="6"/>
      <c r="P41" s="6" t="str">
        <f>IF(OR(Table1818[[#This Row],[Type]]="Main Product", Table1818[[#This Row],[Type]]="Co-Product"), Table1818[[#This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IF(Table1818[[#This Row],[Type]]="Co-product", "No", "")</f>
        <v/>
      </c>
      <c r="J42" s="25"/>
      <c r="K42" s="6"/>
      <c r="L42" s="6" t="str">
        <f>IF(Table1818[[#This Row],[Category]]="Transportation", _xlfn.XLOOKUP(Table1818[[#This Row],[Resource]], 'SI - Payload'!$A$10:$A$40,'SI - Payload'!$B$10:$B$40,"",0), "")</f>
        <v/>
      </c>
      <c r="M42" s="6" t="str">
        <f>IF(Table1818[[#This Row],[Category]]="Transportation", "ton", "")</f>
        <v/>
      </c>
      <c r="N42" s="6"/>
      <c r="O42" s="6"/>
      <c r="P42" s="6" t="str">
        <f>IF(OR(Table1818[[#This Row],[Type]]="Main Product", Table1818[[#This Row],[Type]]="Co-Product"), Table1818[[#This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IF(Table1818[[#This Row],[Type]]="Co-product", "No", "")</f>
        <v/>
      </c>
      <c r="J43" s="25"/>
      <c r="K43" s="6"/>
      <c r="L43" s="6" t="str">
        <f>IF(Table1818[[#This Row],[Category]]="Transportation", _xlfn.XLOOKUP(Table1818[[#This Row],[Resource]], 'SI - Payload'!$A$10:$A$40,'SI - Payload'!$B$10:$B$40,"",0), "")</f>
        <v/>
      </c>
      <c r="M43" s="6" t="str">
        <f>IF(Table1818[[#This Row],[Category]]="Transportation", "ton", "")</f>
        <v/>
      </c>
      <c r="N43" s="6"/>
      <c r="O43" s="6"/>
      <c r="P43" s="6" t="str">
        <f>IF(OR(Table1818[[#This Row],[Type]]="Main Product", Table1818[[#This Row],[Type]]="Co-Product"), Table1818[[#This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IF(Table1818[[#This Row],[Type]]="Co-product", "No", "")</f>
        <v/>
      </c>
      <c r="J44" s="25"/>
      <c r="K44" s="6"/>
      <c r="L44" s="6" t="str">
        <f>IF(Table1818[[#This Row],[Category]]="Transportation", _xlfn.XLOOKUP(Table1818[[#This Row],[Resource]], 'SI - Payload'!$A$10:$A$40,'SI - Payload'!$B$10:$B$40,"",0), "")</f>
        <v/>
      </c>
      <c r="M44" s="6" t="str">
        <f>IF(Table1818[[#This Row],[Category]]="Transportation", "ton", "")</f>
        <v/>
      </c>
      <c r="N44" s="6"/>
      <c r="O44" s="6"/>
      <c r="P44" s="6" t="str">
        <f>IF(OR(Table1818[[#This Row],[Type]]="Main Product", Table1818[[#This Row],[Type]]="Co-Product"), Table1818[[#This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IF(Table1818[[#This Row],[Type]]="Co-product", "No", "")</f>
        <v/>
      </c>
      <c r="J45" s="25"/>
      <c r="K45" s="6"/>
      <c r="L45" s="6" t="str">
        <f>IF(Table1818[[#This Row],[Category]]="Transportation", _xlfn.XLOOKUP(Table1818[[#This Row],[Resource]], 'SI - Payload'!$A$10:$A$40,'SI - Payload'!$B$10:$B$40,"",0), "")</f>
        <v/>
      </c>
      <c r="M45" s="6" t="str">
        <f>IF(Table1818[[#This Row],[Category]]="Transportation", "ton", "")</f>
        <v/>
      </c>
      <c r="N45" s="6"/>
      <c r="O45" s="6"/>
      <c r="P45" s="6" t="str">
        <f>IF(OR(Table1818[[#This Row],[Type]]="Main Product", Table1818[[#This Row],[Type]]="Co-Product"), Table1818[[#This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IF(Table1818[[#This Row],[Type]]="Co-product", "No", "")</f>
        <v/>
      </c>
      <c r="J46" s="25"/>
      <c r="K46" s="6"/>
      <c r="L46" s="6" t="str">
        <f>IF(Table1818[[#This Row],[Category]]="Transportation", _xlfn.XLOOKUP(Table1818[[#This Row],[Resource]], 'SI - Payload'!$A$10:$A$40,'SI - Payload'!$B$10:$B$40,"",0), "")</f>
        <v/>
      </c>
      <c r="M46" s="6" t="str">
        <f>IF(Table1818[[#This Row],[Category]]="Transportation", "ton", "")</f>
        <v/>
      </c>
      <c r="N46" s="6"/>
      <c r="O46" s="6"/>
      <c r="P46" s="6" t="str">
        <f>IF(OR(Table1818[[#This Row],[Type]]="Main Product", Table1818[[#This Row],[Type]]="Co-Product"), Table1818[[#This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IF(Table1818[[#This Row],[Type]]="Co-product", "No", "")</f>
        <v/>
      </c>
      <c r="J47" s="25"/>
      <c r="K47" s="6"/>
      <c r="L47" s="6" t="str">
        <f>IF(Table1818[[#This Row],[Category]]="Transportation", _xlfn.XLOOKUP(Table1818[[#This Row],[Resource]], 'SI - Payload'!$A$10:$A$40,'SI - Payload'!$B$10:$B$40,"",0), "")</f>
        <v/>
      </c>
      <c r="M47" s="6" t="str">
        <f>IF(Table1818[[#This Row],[Category]]="Transportation", "ton", "")</f>
        <v/>
      </c>
      <c r="N47" s="6"/>
      <c r="O47" s="6"/>
      <c r="P47" s="6" t="str">
        <f>IF(OR(Table1818[[#This Row],[Type]]="Main Product", Table1818[[#This Row],[Type]]="Co-Product"), Table1818[[#This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IF(Table1818[[#This Row],[Type]]="Co-product", "No", "")</f>
        <v/>
      </c>
      <c r="J48" s="25"/>
      <c r="K48" s="6"/>
      <c r="L48" s="6" t="str">
        <f>IF(Table1818[[#This Row],[Category]]="Transportation", _xlfn.XLOOKUP(Table1818[[#This Row],[Resource]], 'SI - Payload'!$A$10:$A$40,'SI - Payload'!$B$10:$B$40,"",0), "")</f>
        <v/>
      </c>
      <c r="M48" s="6" t="str">
        <f>IF(Table1818[[#This Row],[Category]]="Transportation", "ton", "")</f>
        <v/>
      </c>
      <c r="N48" s="6"/>
      <c r="O48" s="6"/>
      <c r="P48" s="6" t="str">
        <f>IF(OR(Table1818[[#This Row],[Type]]="Main Product", Table1818[[#This Row],[Type]]="Co-Product"), Table1818[[#This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IF(Table1818[[#This Row],[Type]]="Co-product", "No", "")</f>
        <v/>
      </c>
      <c r="J49" s="25"/>
      <c r="K49" s="6"/>
      <c r="L49" s="6" t="str">
        <f>IF(Table1818[[#This Row],[Category]]="Transportation", _xlfn.XLOOKUP(Table1818[[#This Row],[Resource]], 'SI - Payload'!$A$10:$A$40,'SI - Payload'!$B$10:$B$40,"",0), "")</f>
        <v/>
      </c>
      <c r="M49" s="6" t="str">
        <f>IF(Table1818[[#This Row],[Category]]="Transportation", "ton", "")</f>
        <v/>
      </c>
      <c r="N49" s="6"/>
      <c r="O49" s="6"/>
      <c r="P49" s="6" t="str">
        <f>IF(OR(Table1818[[#This Row],[Type]]="Main Product", Table1818[[#This Row],[Type]]="Co-Product"), Table1818[[#This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IF(Table1818[[#This Row],[Type]]="Co-product", "No", "")</f>
        <v/>
      </c>
      <c r="J50" s="25"/>
      <c r="K50" s="6"/>
      <c r="L50" s="6" t="str">
        <f>IF(Table1818[[#This Row],[Category]]="Transportation", _xlfn.XLOOKUP(Table1818[[#This Row],[Resource]], 'SI - Payload'!$A$10:$A$40,'SI - Payload'!$B$10:$B$40,"",0), "")</f>
        <v/>
      </c>
      <c r="M50" s="6" t="str">
        <f>IF(Table1818[[#This Row],[Category]]="Transportation", "ton", "")</f>
        <v/>
      </c>
      <c r="N50" s="6"/>
      <c r="O50" s="6"/>
      <c r="P50" s="6" t="str">
        <f>IF(OR(Table1818[[#This Row],[Type]]="Main Product", Table1818[[#This Row],[Type]]="Co-Product"), Table1818[[#This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IF(Table1818[[#This Row],[Type]]="Co-product", "No", "")</f>
        <v/>
      </c>
      <c r="J51" s="25"/>
      <c r="K51" s="6"/>
      <c r="L51" s="6" t="str">
        <f>IF(Table1818[[#This Row],[Category]]="Transportation", _xlfn.XLOOKUP(Table1818[[#This Row],[Resource]], 'SI - Payload'!$A$10:$A$40,'SI - Payload'!$B$10:$B$40,"",0), "")</f>
        <v/>
      </c>
      <c r="M51" s="6" t="str">
        <f>IF(Table1818[[#This Row],[Category]]="Transportation", "ton", "")</f>
        <v/>
      </c>
      <c r="N51" s="6"/>
      <c r="O51" s="6"/>
      <c r="P51" s="6" t="str">
        <f>IF(OR(Table1818[[#This Row],[Type]]="Main Product", Table1818[[#This Row],[Type]]="Co-Product"), Table1818[[#This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IF(Table1818[[#This Row],[Type]]="Co-product", "No", "")</f>
        <v/>
      </c>
      <c r="J52" s="25"/>
      <c r="K52" s="6"/>
      <c r="L52" s="6" t="str">
        <f>IF(Table1818[[#This Row],[Category]]="Transportation", _xlfn.XLOOKUP(Table1818[[#This Row],[Resource]], 'SI - Payload'!$A$10:$A$40,'SI - Payload'!$B$10:$B$40,"",0), "")</f>
        <v/>
      </c>
      <c r="M52" s="6" t="str">
        <f>IF(Table1818[[#This Row],[Category]]="Transportation", "ton", "")</f>
        <v/>
      </c>
      <c r="N52" s="6"/>
      <c r="O52" s="6"/>
      <c r="P52" s="6" t="str">
        <f>IF(OR(Table1818[[#This Row],[Type]]="Main Product", Table1818[[#This Row],[Type]]="Co-Product"), Table1818[[#This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IF(Table1818[[#This Row],[Type]]="Co-product", "No", "")</f>
        <v/>
      </c>
      <c r="J53" s="25"/>
      <c r="K53" s="6"/>
      <c r="L53" s="6" t="str">
        <f>IF(Table1818[[#This Row],[Category]]="Transportation", _xlfn.XLOOKUP(Table1818[[#This Row],[Resource]], 'SI - Payload'!$A$10:$A$40,'SI - Payload'!$B$10:$B$40,"",0), "")</f>
        <v/>
      </c>
      <c r="M53" s="6" t="str">
        <f>IF(Table1818[[#This Row],[Category]]="Transportation", "ton", "")</f>
        <v/>
      </c>
      <c r="N53" s="6"/>
      <c r="O53" s="6"/>
      <c r="P53" s="6" t="str">
        <f>IF(OR(Table1818[[#This Row],[Type]]="Main Product", Table1818[[#This Row],[Type]]="Co-Product"), Table1818[[#This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IF(Table1818[[#This Row],[Type]]="Co-product", "No", "")</f>
        <v/>
      </c>
      <c r="J54" s="25"/>
      <c r="K54" s="6"/>
      <c r="L54" s="6" t="str">
        <f>IF(Table1818[[#This Row],[Category]]="Transportation", _xlfn.XLOOKUP(Table1818[[#This Row],[Resource]], 'SI - Payload'!$A$10:$A$40,'SI - Payload'!$B$10:$B$40,"",0), "")</f>
        <v/>
      </c>
      <c r="M54" s="6" t="str">
        <f>IF(Table1818[[#This Row],[Category]]="Transportation", "ton", "")</f>
        <v/>
      </c>
      <c r="N54" s="6"/>
      <c r="O54" s="6"/>
      <c r="P54" s="6" t="str">
        <f>IF(OR(Table1818[[#This Row],[Type]]="Main Product", Table1818[[#This Row],[Type]]="Co-Product"), Table1818[[#This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IF(Table1818[[#This Row],[Type]]="Co-product", "No", "")</f>
        <v/>
      </c>
      <c r="J55" s="25"/>
      <c r="K55" s="6"/>
      <c r="L55" s="6" t="str">
        <f>IF(Table1818[[#This Row],[Category]]="Transportation", _xlfn.XLOOKUP(Table1818[[#This Row],[Resource]], 'SI - Payload'!$A$10:$A$40,'SI - Payload'!$B$10:$B$40,"",0), "")</f>
        <v/>
      </c>
      <c r="M55" s="6" t="str">
        <f>IF(Table1818[[#This Row],[Category]]="Transportation", "ton", "")</f>
        <v/>
      </c>
      <c r="N55" s="6"/>
      <c r="O55" s="6"/>
      <c r="P55" s="6" t="str">
        <f>IF(OR(Table1818[[#This Row],[Type]]="Main Product", Table1818[[#This Row],[Type]]="Co-Product"), Table1818[[#This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IF(Table1818[[#This Row],[Type]]="Co-product", "No", "")</f>
        <v/>
      </c>
      <c r="J56" s="25"/>
      <c r="K56" s="6"/>
      <c r="L56" s="6" t="str">
        <f>IF(Table1818[[#This Row],[Category]]="Transportation", _xlfn.XLOOKUP(Table1818[[#This Row],[Resource]], 'SI - Payload'!$A$10:$A$40,'SI - Payload'!$B$10:$B$40,"",0), "")</f>
        <v/>
      </c>
      <c r="M56" s="6" t="str">
        <f>IF(Table1818[[#This Row],[Category]]="Transportation", "ton", "")</f>
        <v/>
      </c>
      <c r="N56" s="6"/>
      <c r="O56" s="6"/>
      <c r="P56" s="6" t="str">
        <f>IF(OR(Table1818[[#This Row],[Type]]="Main Product", Table1818[[#This Row],[Type]]="Co-Product"), Table1818[[#This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IF(Table1818[[#This Row],[Type]]="Co-product", "No", "")</f>
        <v/>
      </c>
      <c r="J57" s="25"/>
      <c r="K57" s="6"/>
      <c r="L57" s="6" t="str">
        <f>IF(Table1818[[#This Row],[Category]]="Transportation", _xlfn.XLOOKUP(Table1818[[#This Row],[Resource]], 'SI - Payload'!$A$10:$A$40,'SI - Payload'!$B$10:$B$40,"",0), "")</f>
        <v/>
      </c>
      <c r="M57" s="6" t="str">
        <f>IF(Table1818[[#This Row],[Category]]="Transportation", "ton", "")</f>
        <v/>
      </c>
      <c r="N57" s="6"/>
      <c r="O57" s="6"/>
      <c r="P57" s="6" t="str">
        <f>IF(OR(Table1818[[#This Row],[Type]]="Main Product", Table1818[[#This Row],[Type]]="Co-Product"), Table1818[[#This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IF(Table1818[[#This Row],[Type]]="Co-product", "No", "")</f>
        <v/>
      </c>
      <c r="J58" s="25"/>
      <c r="K58" s="6"/>
      <c r="L58" s="6" t="str">
        <f>IF(Table1818[[#This Row],[Category]]="Transportation", _xlfn.XLOOKUP(Table1818[[#This Row],[Resource]], 'SI - Payload'!$A$10:$A$40,'SI - Payload'!$B$10:$B$40,"",0), "")</f>
        <v/>
      </c>
      <c r="M58" s="6" t="str">
        <f>IF(Table1818[[#This Row],[Category]]="Transportation", "ton", "")</f>
        <v/>
      </c>
      <c r="N58" s="6"/>
      <c r="O58" s="6"/>
      <c r="P58" s="6" t="str">
        <f>IF(OR(Table1818[[#This Row],[Type]]="Main Product", Table1818[[#This Row],[Type]]="Co-Product"), Table1818[[#This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IF(Table1818[[#This Row],[Type]]="Co-product", "No", "")</f>
        <v/>
      </c>
      <c r="J59" s="25"/>
      <c r="K59" s="6"/>
      <c r="L59" s="6" t="str">
        <f>IF(Table1818[[#This Row],[Category]]="Transportation", _xlfn.XLOOKUP(Table1818[[#This Row],[Resource]], 'SI - Payload'!$A$10:$A$40,'SI - Payload'!$B$10:$B$40,"",0), "")</f>
        <v/>
      </c>
      <c r="M59" s="6" t="str">
        <f>IF(Table1818[[#This Row],[Category]]="Transportation", "ton", "")</f>
        <v/>
      </c>
      <c r="N59" s="6"/>
      <c r="O59" s="6"/>
      <c r="P59" s="6" t="str">
        <f>IF(OR(Table1818[[#This Row],[Type]]="Main Product", Table1818[[#This Row],[Type]]="Co-Product"), Table1818[[#This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IF(Table1818[[#This Row],[Type]]="Co-product", "No", "")</f>
        <v/>
      </c>
      <c r="J60" s="25"/>
      <c r="K60" s="6"/>
      <c r="L60" s="6" t="str">
        <f>IF(Table1818[[#This Row],[Category]]="Transportation", _xlfn.XLOOKUP(Table1818[[#This Row],[Resource]], 'SI - Payload'!$A$10:$A$40,'SI - Payload'!$B$10:$B$40,"",0), "")</f>
        <v/>
      </c>
      <c r="M60" s="6" t="str">
        <f>IF(Table1818[[#This Row],[Category]]="Transportation", "ton", "")</f>
        <v/>
      </c>
      <c r="N60" s="6"/>
      <c r="O60" s="6"/>
      <c r="P60" s="6" t="str">
        <f>IF(OR(Table1818[[#This Row],[Type]]="Main Product", Table1818[[#This Row],[Type]]="Co-Product"), Table1818[[#This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IF(Table1818[[#This Row],[Type]]="Co-product", "No", "")</f>
        <v/>
      </c>
      <c r="J61" s="25"/>
      <c r="K61" s="6"/>
      <c r="L61" s="6" t="str">
        <f>IF(Table1818[[#This Row],[Category]]="Transportation", _xlfn.XLOOKUP(Table1818[[#This Row],[Resource]], 'SI - Payload'!$A$10:$A$40,'SI - Payload'!$B$10:$B$40,"",0), "")</f>
        <v/>
      </c>
      <c r="M61" s="6" t="str">
        <f>IF(Table1818[[#This Row],[Category]]="Transportation", "ton", "")</f>
        <v/>
      </c>
      <c r="N61" s="6"/>
      <c r="O61" s="6"/>
      <c r="P61" s="6" t="str">
        <f>IF(OR(Table1818[[#This Row],[Type]]="Main Product", Table1818[[#This Row],[Type]]="Co-Product"), Table1818[[#This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IF(Table1818[[#This Row],[Type]]="Co-product", "No", "")</f>
        <v/>
      </c>
      <c r="J62" s="25"/>
      <c r="K62" s="6"/>
      <c r="L62" s="6" t="str">
        <f>IF(Table1818[[#This Row],[Category]]="Transportation", _xlfn.XLOOKUP(Table1818[[#This Row],[Resource]], 'SI - Payload'!$A$10:$A$40,'SI - Payload'!$B$10:$B$40,"",0), "")</f>
        <v/>
      </c>
      <c r="M62" s="6" t="str">
        <f>IF(Table1818[[#This Row],[Category]]="Transportation", "ton", "")</f>
        <v/>
      </c>
      <c r="N62" s="6"/>
      <c r="O62" s="6"/>
      <c r="P62" s="6" t="str">
        <f>IF(OR(Table1818[[#This Row],[Type]]="Main Product", Table1818[[#This Row],[Type]]="Co-Product"), Table1818[[#This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IF(Table1818[[#This Row],[Type]]="Co-product", "No", "")</f>
        <v/>
      </c>
      <c r="J63" s="25"/>
      <c r="K63" s="6"/>
      <c r="L63" s="6" t="str">
        <f>IF(Table1818[[#This Row],[Category]]="Transportation", _xlfn.XLOOKUP(Table1818[[#This Row],[Resource]], 'SI - Payload'!$A$10:$A$40,'SI - Payload'!$B$10:$B$40,"",0), "")</f>
        <v/>
      </c>
      <c r="M63" s="6" t="str">
        <f>IF(Table1818[[#This Row],[Category]]="Transportation", "ton", "")</f>
        <v/>
      </c>
      <c r="N63" s="6"/>
      <c r="O63" s="6"/>
      <c r="P63" s="6" t="str">
        <f>IF(OR(Table1818[[#This Row],[Type]]="Main Product", Table1818[[#This Row],[Type]]="Co-Product"), Table1818[[#This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IF(Table1818[[#This Row],[Type]]="Co-product", "No", "")</f>
        <v/>
      </c>
      <c r="J64" s="25"/>
      <c r="K64" s="6"/>
      <c r="L64" s="6" t="str">
        <f>IF(Table1818[[#This Row],[Category]]="Transportation", _xlfn.XLOOKUP(Table1818[[#This Row],[Resource]], 'SI - Payload'!$A$10:$A$40,'SI - Payload'!$B$10:$B$40,"",0), "")</f>
        <v/>
      </c>
      <c r="M64" s="6" t="str">
        <f>IF(Table1818[[#This Row],[Category]]="Transportation", "ton", "")</f>
        <v/>
      </c>
      <c r="N64" s="6"/>
      <c r="O64" s="6"/>
      <c r="P64" s="6" t="str">
        <f>IF(OR(Table1818[[#This Row],[Type]]="Main Product", Table1818[[#This Row],[Type]]="Co-Product"), Table1818[[#This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IF(Table1818[[#This Row],[Type]]="Co-product", "No", "")</f>
        <v/>
      </c>
      <c r="J65" s="25"/>
      <c r="K65" s="6"/>
      <c r="L65" s="6" t="str">
        <f>IF(Table1818[[#This Row],[Category]]="Transportation", _xlfn.XLOOKUP(Table1818[[#This Row],[Resource]], 'SI - Payload'!$A$10:$A$40,'SI - Payload'!$B$10:$B$40,"",0), "")</f>
        <v/>
      </c>
      <c r="M65" s="6" t="str">
        <f>IF(Table1818[[#This Row],[Category]]="Transportation", "ton", "")</f>
        <v/>
      </c>
      <c r="N65" s="6"/>
      <c r="O65" s="6"/>
      <c r="P65" s="6" t="str">
        <f>IF(OR(Table1818[[#This Row],[Type]]="Main Product", Table1818[[#This Row],[Type]]="Co-Product"), Table1818[[#This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IF(Table1818[[#This Row],[Type]]="Co-product", "No", "")</f>
        <v/>
      </c>
      <c r="J66" s="25"/>
      <c r="K66" s="6"/>
      <c r="L66" s="6" t="str">
        <f>IF(Table1818[[#This Row],[Category]]="Transportation", _xlfn.XLOOKUP(Table1818[[#This Row],[Resource]], 'SI - Payload'!$A$10:$A$40,'SI - Payload'!$B$10:$B$40,"",0), "")</f>
        <v/>
      </c>
      <c r="M66" s="6" t="str">
        <f>IF(Table1818[[#This Row],[Category]]="Transportation", "ton", "")</f>
        <v/>
      </c>
      <c r="N66" s="6"/>
      <c r="O66" s="6"/>
      <c r="P66" s="6" t="str">
        <f>IF(OR(Table1818[[#This Row],[Type]]="Main Product", Table1818[[#This Row],[Type]]="Co-Product"), Table1818[[#This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IF(Table1818[[#This Row],[Type]]="Co-product", "No", "")</f>
        <v/>
      </c>
      <c r="J67" s="25"/>
      <c r="K67" s="6"/>
      <c r="L67" s="6" t="str">
        <f>IF(Table1818[[#This Row],[Category]]="Transportation", _xlfn.XLOOKUP(Table1818[[#This Row],[Resource]], 'SI - Payload'!$A$10:$A$40,'SI - Payload'!$B$10:$B$40,"",0), "")</f>
        <v/>
      </c>
      <c r="M67" s="6" t="str">
        <f>IF(Table1818[[#This Row],[Category]]="Transportation", "ton", "")</f>
        <v/>
      </c>
      <c r="N67" s="6"/>
      <c r="O67" s="6"/>
      <c r="P67" s="6" t="str">
        <f>IF(OR(Table1818[[#This Row],[Type]]="Main Product", Table1818[[#This Row],[Type]]="Co-Product"), Table1818[[#This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IF(Table1818[[#This Row],[Type]]="Co-product", "No", "")</f>
        <v/>
      </c>
      <c r="J68" s="25"/>
      <c r="K68" s="6"/>
      <c r="L68" s="6" t="str">
        <f>IF(Table1818[[#This Row],[Category]]="Transportation", _xlfn.XLOOKUP(Table1818[[#This Row],[Resource]], 'SI - Payload'!$A$10:$A$40,'SI - Payload'!$B$10:$B$40,"",0), "")</f>
        <v/>
      </c>
      <c r="M68" s="6" t="str">
        <f>IF(Table1818[[#This Row],[Category]]="Transportation", "ton", "")</f>
        <v/>
      </c>
      <c r="N68" s="6"/>
      <c r="O68" s="6"/>
      <c r="P68" s="6" t="str">
        <f>IF(OR(Table1818[[#This Row],[Type]]="Main Product", Table1818[[#This Row],[Type]]="Co-Product"), Table1818[[#This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IF(Table1818[[#This Row],[Type]]="Co-product", "No", "")</f>
        <v/>
      </c>
      <c r="J69" s="25"/>
      <c r="K69" s="6"/>
      <c r="L69" s="6" t="str">
        <f>IF(Table1818[[#This Row],[Category]]="Transportation", _xlfn.XLOOKUP(Table1818[[#This Row],[Resource]], 'SI - Payload'!$A$10:$A$40,'SI - Payload'!$B$10:$B$40,"",0), "")</f>
        <v/>
      </c>
      <c r="M69" s="6" t="str">
        <f>IF(Table1818[[#This Row],[Category]]="Transportation", "ton", "")</f>
        <v/>
      </c>
      <c r="N69" s="6"/>
      <c r="O69" s="6"/>
      <c r="P69" s="6" t="str">
        <f>IF(OR(Table1818[[#This Row],[Type]]="Main Product", Table1818[[#This Row],[Type]]="Co-Product"), Table1818[[#This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IF(Table1818[[#This Row],[Type]]="Co-product", "No", "")</f>
        <v/>
      </c>
      <c r="J70" s="25"/>
      <c r="K70" s="6"/>
      <c r="L70" s="6" t="str">
        <f>IF(Table1818[[#This Row],[Category]]="Transportation", _xlfn.XLOOKUP(Table1818[[#This Row],[Resource]], 'SI - Payload'!$A$10:$A$40,'SI - Payload'!$B$10:$B$40,"",0), "")</f>
        <v/>
      </c>
      <c r="M70" s="6" t="str">
        <f>IF(Table1818[[#This Row],[Category]]="Transportation", "ton", "")</f>
        <v/>
      </c>
      <c r="N70" s="6"/>
      <c r="O70" s="6"/>
      <c r="P70" s="6" t="str">
        <f>IF(OR(Table1818[[#This Row],[Type]]="Main Product", Table1818[[#This Row],[Type]]="Co-Product"), Table1818[[#This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IF(Table1818[[#This Row],[Type]]="Co-product", "No", "")</f>
        <v/>
      </c>
      <c r="J71" s="25"/>
      <c r="K71" s="6"/>
      <c r="L71" s="6" t="str">
        <f>IF(Table1818[[#This Row],[Category]]="Transportation", _xlfn.XLOOKUP(Table1818[[#This Row],[Resource]], 'SI - Payload'!$A$10:$A$40,'SI - Payload'!$B$10:$B$40,"",0), "")</f>
        <v/>
      </c>
      <c r="M71" s="6" t="str">
        <f>IF(Table1818[[#This Row],[Category]]="Transportation", "ton", "")</f>
        <v/>
      </c>
      <c r="N71" s="6"/>
      <c r="O71" s="6"/>
      <c r="P71" s="6" t="str">
        <f>IF(OR(Table1818[[#This Row],[Type]]="Main Product", Table1818[[#This Row],[Type]]="Co-Product"), Table1818[[#This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IF(Table1818[[#This Row],[Type]]="Co-product", "No", "")</f>
        <v/>
      </c>
      <c r="J72" s="25"/>
      <c r="K72" s="6"/>
      <c r="L72" s="6" t="str">
        <f>IF(Table1818[[#This Row],[Category]]="Transportation", _xlfn.XLOOKUP(Table1818[[#This Row],[Resource]], 'SI - Payload'!$A$10:$A$40,'SI - Payload'!$B$10:$B$40,"",0), "")</f>
        <v/>
      </c>
      <c r="M72" s="6" t="str">
        <f>IF(Table1818[[#This Row],[Category]]="Transportation", "ton", "")</f>
        <v/>
      </c>
      <c r="N72" s="6"/>
      <c r="O72" s="6"/>
      <c r="P72" s="6" t="str">
        <f>IF(OR(Table1818[[#This Row],[Type]]="Main Product", Table1818[[#This Row],[Type]]="Co-Product"), Table1818[[#This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IF(Table1818[[#This Row],[Type]]="Co-product", "No", "")</f>
        <v/>
      </c>
      <c r="J73" s="25"/>
      <c r="K73" s="6"/>
      <c r="L73" s="6" t="str">
        <f>IF(Table1818[[#This Row],[Category]]="Transportation", _xlfn.XLOOKUP(Table1818[[#This Row],[Resource]], 'SI - Payload'!$A$10:$A$40,'SI - Payload'!$B$10:$B$40,"",0), "")</f>
        <v/>
      </c>
      <c r="M73" s="6" t="str">
        <f>IF(Table1818[[#This Row],[Category]]="Transportation", "ton", "")</f>
        <v/>
      </c>
      <c r="N73" s="6"/>
      <c r="O73" s="6"/>
      <c r="P73" s="6" t="str">
        <f>IF(OR(Table1818[[#This Row],[Type]]="Main Product", Table1818[[#This Row],[Type]]="Co-Product"), Table1818[[#This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IF(Table1818[[#This Row],[Type]]="Co-product", "No", "")</f>
        <v/>
      </c>
      <c r="J74" s="25"/>
      <c r="K74" s="6"/>
      <c r="L74" s="6" t="str">
        <f>IF(Table1818[[#This Row],[Category]]="Transportation", _xlfn.XLOOKUP(Table1818[[#This Row],[Resource]], 'SI - Payload'!$A$10:$A$40,'SI - Payload'!$B$10:$B$40,"",0), "")</f>
        <v/>
      </c>
      <c r="M74" s="6" t="str">
        <f>IF(Table1818[[#This Row],[Category]]="Transportation", "ton", "")</f>
        <v/>
      </c>
      <c r="N74" s="6"/>
      <c r="O74" s="6"/>
      <c r="P74" s="6" t="str">
        <f>IF(OR(Table1818[[#This Row],[Type]]="Main Product", Table1818[[#This Row],[Type]]="Co-Product"), Table1818[[#This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IF(Table1818[[#This Row],[Type]]="Co-product", "No", "")</f>
        <v/>
      </c>
      <c r="J75" s="25"/>
      <c r="K75" s="6"/>
      <c r="L75" s="6" t="str">
        <f>IF(Table1818[[#This Row],[Category]]="Transportation", _xlfn.XLOOKUP(Table1818[[#This Row],[Resource]], 'SI - Payload'!$A$10:$A$40,'SI - Payload'!$B$10:$B$40,"",0), "")</f>
        <v/>
      </c>
      <c r="M75" s="6" t="str">
        <f>IF(Table1818[[#This Row],[Category]]="Transportation", "ton", "")</f>
        <v/>
      </c>
      <c r="N75" s="6"/>
      <c r="O75" s="6"/>
      <c r="P75" s="6" t="str">
        <f>IF(OR(Table1818[[#This Row],[Type]]="Main Product", Table1818[[#This Row],[Type]]="Co-Product"), Table1818[[#This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IF(Table1818[[#This Row],[Type]]="Co-product", "No", "")</f>
        <v/>
      </c>
      <c r="J76" s="25"/>
      <c r="K76" s="6"/>
      <c r="L76" s="6" t="str">
        <f>IF(Table1818[[#This Row],[Category]]="Transportation", _xlfn.XLOOKUP(Table1818[[#This Row],[Resource]], 'SI - Payload'!$A$10:$A$40,'SI - Payload'!$B$10:$B$40,"",0), "")</f>
        <v/>
      </c>
      <c r="M76" s="6" t="str">
        <f>IF(Table1818[[#This Row],[Category]]="Transportation", "ton", "")</f>
        <v/>
      </c>
      <c r="N76" s="6"/>
      <c r="O76" s="6"/>
      <c r="P76" s="6" t="str">
        <f>IF(OR(Table1818[[#This Row],[Type]]="Main Product", Table1818[[#This Row],[Type]]="Co-Product"), Table1818[[#This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IF(Table1818[[#This Row],[Type]]="Co-product", "No", "")</f>
        <v/>
      </c>
      <c r="J77" s="25"/>
      <c r="K77" s="6"/>
      <c r="L77" s="6" t="str">
        <f>IF(Table1818[[#This Row],[Category]]="Transportation", _xlfn.XLOOKUP(Table1818[[#This Row],[Resource]], 'SI - Payload'!$A$10:$A$40,'SI - Payload'!$B$10:$B$40,"",0), "")</f>
        <v/>
      </c>
      <c r="M77" s="6" t="str">
        <f>IF(Table1818[[#This Row],[Category]]="Transportation", "ton", "")</f>
        <v/>
      </c>
      <c r="N77" s="6"/>
      <c r="O77" s="6"/>
      <c r="P77" s="6" t="str">
        <f>IF(OR(Table1818[[#This Row],[Type]]="Main Product", Table1818[[#This Row],[Type]]="Co-Product"), Table1818[[#This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IF(Table1818[[#This Row],[Type]]="Co-product", "No", "")</f>
        <v/>
      </c>
      <c r="J78" s="25"/>
      <c r="K78" s="6"/>
      <c r="L78" s="6" t="str">
        <f>IF(Table1818[[#This Row],[Category]]="Transportation", _xlfn.XLOOKUP(Table1818[[#This Row],[Resource]], 'SI - Payload'!$A$10:$A$40,'SI - Payload'!$B$10:$B$40,"",0), "")</f>
        <v/>
      </c>
      <c r="M78" s="6" t="str">
        <f>IF(Table1818[[#This Row],[Category]]="Transportation", "ton", "")</f>
        <v/>
      </c>
      <c r="N78" s="6"/>
      <c r="O78" s="6"/>
      <c r="P78" s="6" t="str">
        <f>IF(OR(Table1818[[#This Row],[Type]]="Main Product", Table1818[[#This Row],[Type]]="Co-Product"), Table1818[[#This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IF(Table1818[[#This Row],[Type]]="Co-product", "No", "")</f>
        <v/>
      </c>
      <c r="J79" s="25"/>
      <c r="K79" s="6"/>
      <c r="L79" s="6" t="str">
        <f>IF(Table1818[[#This Row],[Category]]="Transportation", _xlfn.XLOOKUP(Table1818[[#This Row],[Resource]], 'SI - Payload'!$A$10:$A$40,'SI - Payload'!$B$10:$B$40,"",0), "")</f>
        <v/>
      </c>
      <c r="M79" s="6" t="str">
        <f>IF(Table1818[[#This Row],[Category]]="Transportation", "ton", "")</f>
        <v/>
      </c>
      <c r="N79" s="6"/>
      <c r="O79" s="6"/>
      <c r="P79" s="6" t="str">
        <f>IF(OR(Table1818[[#This Row],[Type]]="Main Product", Table1818[[#This Row],[Type]]="Co-Product"), Table1818[[#This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IF(Table1818[[#This Row],[Type]]="Co-product", "No", "")</f>
        <v/>
      </c>
      <c r="J80" s="25"/>
      <c r="K80" s="6"/>
      <c r="L80" s="6" t="str">
        <f>IF(Table1818[[#This Row],[Category]]="Transportation", _xlfn.XLOOKUP(Table1818[[#This Row],[Resource]], 'SI - Payload'!$A$10:$A$40,'SI - Payload'!$B$10:$B$40,"",0), "")</f>
        <v/>
      </c>
      <c r="M80" s="6" t="str">
        <f>IF(Table1818[[#This Row],[Category]]="Transportation", "ton", "")</f>
        <v/>
      </c>
      <c r="N80" s="6"/>
      <c r="O80" s="6"/>
      <c r="P80" s="6" t="str">
        <f>IF(OR(Table1818[[#This Row],[Type]]="Main Product", Table1818[[#This Row],[Type]]="Co-Product"), Table1818[[#This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IF(Table1818[[#This Row],[Type]]="Co-product", "No", "")</f>
        <v/>
      </c>
      <c r="J81" s="25"/>
      <c r="K81" s="6"/>
      <c r="L81" s="6" t="str">
        <f>IF(Table1818[[#This Row],[Category]]="Transportation", _xlfn.XLOOKUP(Table1818[[#This Row],[Resource]], 'SI - Payload'!$A$10:$A$40,'SI - Payload'!$B$10:$B$40,"",0), "")</f>
        <v/>
      </c>
      <c r="M81" s="6" t="str">
        <f>IF(Table1818[[#This Row],[Category]]="Transportation", "ton", "")</f>
        <v/>
      </c>
      <c r="N81" s="6"/>
      <c r="O81" s="6"/>
      <c r="P81" s="6" t="str">
        <f>IF(OR(Table1818[[#This Row],[Type]]="Main Product", Table1818[[#This Row],[Type]]="Co-Product"), Table1818[[#This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IF(Table1818[[#This Row],[Type]]="Co-product", "No", "")</f>
        <v/>
      </c>
      <c r="J82" s="25"/>
      <c r="K82" s="6"/>
      <c r="L82" s="6" t="str">
        <f>IF(Table1818[[#This Row],[Category]]="Transportation", _xlfn.XLOOKUP(Table1818[[#This Row],[Resource]], 'SI - Payload'!$A$10:$A$40,'SI - Payload'!$B$10:$B$40,"",0), "")</f>
        <v/>
      </c>
      <c r="M82" s="6" t="str">
        <f>IF(Table1818[[#This Row],[Category]]="Transportation", "ton", "")</f>
        <v/>
      </c>
      <c r="N82" s="6"/>
      <c r="O82" s="6"/>
      <c r="P82" s="6" t="str">
        <f>IF(OR(Table1818[[#This Row],[Type]]="Main Product", Table1818[[#This Row],[Type]]="Co-Product"), Table1818[[#This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IF(Table1818[[#This Row],[Type]]="Co-product", "No", "")</f>
        <v/>
      </c>
      <c r="J83" s="25"/>
      <c r="K83" s="6"/>
      <c r="L83" s="6" t="str">
        <f>IF(Table1818[[#This Row],[Category]]="Transportation", _xlfn.XLOOKUP(Table1818[[#This Row],[Resource]], 'SI - Payload'!$A$10:$A$40,'SI - Payload'!$B$10:$B$40,"",0), "")</f>
        <v/>
      </c>
      <c r="M83" s="6" t="str">
        <f>IF(Table1818[[#This Row],[Category]]="Transportation", "ton", "")</f>
        <v/>
      </c>
      <c r="N83" s="6"/>
      <c r="O83" s="6"/>
      <c r="P83" s="6" t="str">
        <f>IF(OR(Table1818[[#This Row],[Type]]="Main Product", Table1818[[#This Row],[Type]]="Co-Product"), Table1818[[#This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IF(Table1818[[#This Row],[Type]]="Co-product", "No", "")</f>
        <v/>
      </c>
      <c r="J84" s="25"/>
      <c r="K84" s="6"/>
      <c r="L84" s="6" t="str">
        <f>IF(Table1818[[#This Row],[Category]]="Transportation", _xlfn.XLOOKUP(Table1818[[#This Row],[Resource]], 'SI - Payload'!$A$10:$A$40,'SI - Payload'!$B$10:$B$40,"",0), "")</f>
        <v/>
      </c>
      <c r="M84" s="6" t="str">
        <f>IF(Table1818[[#This Row],[Category]]="Transportation", "ton", "")</f>
        <v/>
      </c>
      <c r="N84" s="6"/>
      <c r="O84" s="6"/>
      <c r="P84" s="6" t="str">
        <f>IF(OR(Table1818[[#This Row],[Type]]="Main Product", Table1818[[#This Row],[Type]]="Co-Product"), Table1818[[#This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IF(Table1818[[#This Row],[Type]]="Co-product", "No", "")</f>
        <v/>
      </c>
      <c r="J85" s="25"/>
      <c r="K85" s="6"/>
      <c r="L85" s="6" t="str">
        <f>IF(Table1818[[#This Row],[Category]]="Transportation", _xlfn.XLOOKUP(Table1818[[#This Row],[Resource]], 'SI - Payload'!$A$10:$A$40,'SI - Payload'!$B$10:$B$40,"",0), "")</f>
        <v/>
      </c>
      <c r="M85" s="6" t="str">
        <f>IF(Table1818[[#This Row],[Category]]="Transportation", "ton", "")</f>
        <v/>
      </c>
      <c r="N85" s="6"/>
      <c r="O85" s="6"/>
      <c r="P85" s="6" t="str">
        <f>IF(OR(Table1818[[#This Row],[Type]]="Main Product", Table1818[[#This Row],[Type]]="Co-Product"), Table1818[[#This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IF(Table1818[[#This Row],[Type]]="Co-product", "No", "")</f>
        <v/>
      </c>
      <c r="J86" s="25"/>
      <c r="K86" s="6"/>
      <c r="L86" s="6" t="str">
        <f>IF(Table1818[[#This Row],[Category]]="Transportation", _xlfn.XLOOKUP(Table1818[[#This Row],[Resource]], 'SI - Payload'!$A$10:$A$40,'SI - Payload'!$B$10:$B$40,"",0), "")</f>
        <v/>
      </c>
      <c r="M86" s="6" t="str">
        <f>IF(Table1818[[#This Row],[Category]]="Transportation", "ton", "")</f>
        <v/>
      </c>
      <c r="N86" s="6"/>
      <c r="O86" s="6"/>
      <c r="P86" s="6" t="str">
        <f>IF(OR(Table1818[[#This Row],[Type]]="Main Product", Table1818[[#This Row],[Type]]="Co-Product"), Table1818[[#This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IF(Table1818[[#This Row],[Type]]="Co-product", "No", "")</f>
        <v/>
      </c>
      <c r="J87" s="25"/>
      <c r="K87" s="6"/>
      <c r="L87" s="6" t="str">
        <f>IF(Table1818[[#This Row],[Category]]="Transportation", _xlfn.XLOOKUP(Table1818[[#This Row],[Resource]], 'SI - Payload'!$A$10:$A$40,'SI - Payload'!$B$10:$B$40,"",0), "")</f>
        <v/>
      </c>
      <c r="M87" s="6" t="str">
        <f>IF(Table1818[[#This Row],[Category]]="Transportation", "ton", "")</f>
        <v/>
      </c>
      <c r="N87" s="6"/>
      <c r="O87" s="6"/>
      <c r="P87" s="6" t="str">
        <f>IF(OR(Table1818[[#This Row],[Type]]="Main Product", Table1818[[#This Row],[Type]]="Co-Product"), Table1818[[#This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IF(Table1818[[#This Row],[Type]]="Co-product", "No", "")</f>
        <v/>
      </c>
      <c r="J88" s="25"/>
      <c r="K88" s="6"/>
      <c r="L88" s="6" t="str">
        <f>IF(Table1818[[#This Row],[Category]]="Transportation", _xlfn.XLOOKUP(Table1818[[#This Row],[Resource]], 'SI - Payload'!$A$10:$A$40,'SI - Payload'!$B$10:$B$40,"",0), "")</f>
        <v/>
      </c>
      <c r="M88" s="6" t="str">
        <f>IF(Table1818[[#This Row],[Category]]="Transportation", "ton", "")</f>
        <v/>
      </c>
      <c r="N88" s="6"/>
      <c r="O88" s="6"/>
      <c r="P88" s="6" t="str">
        <f>IF(OR(Table1818[[#This Row],[Type]]="Main Product", Table1818[[#This Row],[Type]]="Co-Product"), Table1818[[#This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IF(Table1818[[#This Row],[Type]]="Co-product", "No", "")</f>
        <v/>
      </c>
      <c r="J89" s="25"/>
      <c r="K89" s="6"/>
      <c r="L89" s="6" t="str">
        <f>IF(Table1818[[#This Row],[Category]]="Transportation", _xlfn.XLOOKUP(Table1818[[#This Row],[Resource]], 'SI - Payload'!$A$10:$A$40,'SI - Payload'!$B$10:$B$40,"",0), "")</f>
        <v/>
      </c>
      <c r="M89" s="6" t="str">
        <f>IF(Table1818[[#This Row],[Category]]="Transportation", "ton", "")</f>
        <v/>
      </c>
      <c r="N89" s="6"/>
      <c r="O89" s="6"/>
      <c r="P89" s="6" t="str">
        <f>IF(OR(Table1818[[#This Row],[Type]]="Main Product", Table1818[[#This Row],[Type]]="Co-Product"), Table1818[[#This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IF(Table1818[[#This Row],[Type]]="Co-product", "No", "")</f>
        <v/>
      </c>
      <c r="J90" s="25"/>
      <c r="K90" s="6"/>
      <c r="L90" s="6" t="str">
        <f>IF(Table1818[[#This Row],[Category]]="Transportation", _xlfn.XLOOKUP(Table1818[[#This Row],[Resource]], 'SI - Payload'!$A$10:$A$40,'SI - Payload'!$B$10:$B$40,"",0), "")</f>
        <v/>
      </c>
      <c r="M90" s="6" t="str">
        <f>IF(Table1818[[#This Row],[Category]]="Transportation", "ton", "")</f>
        <v/>
      </c>
      <c r="N90" s="6"/>
      <c r="O90" s="6"/>
      <c r="P90" s="6" t="str">
        <f>IF(OR(Table1818[[#This Row],[Type]]="Main Product", Table1818[[#This Row],[Type]]="Co-Product"), Table1818[[#This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IF(Table1818[[#This Row],[Type]]="Co-product", "No", "")</f>
        <v/>
      </c>
      <c r="J91" s="25"/>
      <c r="K91" s="6"/>
      <c r="L91" s="6" t="str">
        <f>IF(Table1818[[#This Row],[Category]]="Transportation", _xlfn.XLOOKUP(Table1818[[#This Row],[Resource]], 'SI - Payload'!$A$10:$A$40,'SI - Payload'!$B$10:$B$40,"",0), "")</f>
        <v/>
      </c>
      <c r="M91" s="6" t="str">
        <f>IF(Table1818[[#This Row],[Category]]="Transportation", "ton", "")</f>
        <v/>
      </c>
      <c r="N91" s="6"/>
      <c r="O91" s="6"/>
      <c r="P91" s="6" t="str">
        <f>IF(OR(Table1818[[#This Row],[Type]]="Main Product", Table1818[[#This Row],[Type]]="Co-Product"), Table1818[[#This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IF(Table1818[[#This Row],[Type]]="Co-product", "No", "")</f>
        <v/>
      </c>
      <c r="J92" s="25"/>
      <c r="K92" s="6"/>
      <c r="L92" s="6" t="str">
        <f>IF(Table1818[[#This Row],[Category]]="Transportation", _xlfn.XLOOKUP(Table1818[[#This Row],[Resource]], 'SI - Payload'!$A$10:$A$40,'SI - Payload'!$B$10:$B$40,"",0), "")</f>
        <v/>
      </c>
      <c r="M92" s="6" t="str">
        <f>IF(Table1818[[#This Row],[Category]]="Transportation", "ton", "")</f>
        <v/>
      </c>
      <c r="N92" s="6"/>
      <c r="O92" s="6"/>
      <c r="P92" s="6" t="str">
        <f>IF(OR(Table1818[[#This Row],[Type]]="Main Product", Table1818[[#This Row],[Type]]="Co-Product"), Table1818[[#This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IF(Table1818[[#This Row],[Type]]="Co-product", "No", "")</f>
        <v/>
      </c>
      <c r="J93" s="25"/>
      <c r="K93" s="6"/>
      <c r="L93" s="6" t="str">
        <f>IF(Table1818[[#This Row],[Category]]="Transportation", _xlfn.XLOOKUP(Table1818[[#This Row],[Resource]], 'SI - Payload'!$A$10:$A$40,'SI - Payload'!$B$10:$B$40,"",0), "")</f>
        <v/>
      </c>
      <c r="M93" s="6" t="str">
        <f>IF(Table1818[[#This Row],[Category]]="Transportation", "ton", "")</f>
        <v/>
      </c>
      <c r="N93" s="6"/>
      <c r="O93" s="6"/>
      <c r="P93" s="6" t="str">
        <f>IF(OR(Table1818[[#This Row],[Type]]="Main Product", Table1818[[#This Row],[Type]]="Co-Product"), Table1818[[#This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IF(Table1818[[#This Row],[Type]]="Co-product", "No", "")</f>
        <v/>
      </c>
      <c r="J94" s="25"/>
      <c r="K94" s="6"/>
      <c r="L94" s="6" t="str">
        <f>IF(Table1818[[#This Row],[Category]]="Transportation", _xlfn.XLOOKUP(Table1818[[#This Row],[Resource]], 'SI - Payload'!$A$10:$A$40,'SI - Payload'!$B$10:$B$40,"",0), "")</f>
        <v/>
      </c>
      <c r="M94" s="6" t="str">
        <f>IF(Table1818[[#This Row],[Category]]="Transportation", "ton", "")</f>
        <v/>
      </c>
      <c r="N94" s="6"/>
      <c r="O94" s="6"/>
      <c r="P94" s="6" t="str">
        <f>IF(OR(Table1818[[#This Row],[Type]]="Main Product", Table1818[[#This Row],[Type]]="Co-Product"), Table1818[[#This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IF(Table1818[[#This Row],[Type]]="Co-product", "No", "")</f>
        <v/>
      </c>
      <c r="J95" s="25"/>
      <c r="K95" s="6"/>
      <c r="L95" s="6" t="str">
        <f>IF(Table1818[[#This Row],[Category]]="Transportation", _xlfn.XLOOKUP(Table1818[[#This Row],[Resource]], 'SI - Payload'!$A$10:$A$40,'SI - Payload'!$B$10:$B$40,"",0), "")</f>
        <v/>
      </c>
      <c r="M95" s="6" t="str">
        <f>IF(Table1818[[#This Row],[Category]]="Transportation", "ton", "")</f>
        <v/>
      </c>
      <c r="N95" s="6"/>
      <c r="O95" s="6"/>
      <c r="P95" s="6" t="str">
        <f>IF(OR(Table1818[[#This Row],[Type]]="Main Product", Table1818[[#This Row],[Type]]="Co-Product"), Table1818[[#This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IF(Table1818[[#This Row],[Type]]="Co-product", "No", "")</f>
        <v/>
      </c>
      <c r="J96" s="25"/>
      <c r="K96" s="6"/>
      <c r="L96" s="6" t="str">
        <f>IF(Table1818[[#This Row],[Category]]="Transportation", _xlfn.XLOOKUP(Table1818[[#This Row],[Resource]], 'SI - Payload'!$A$10:$A$40,'SI - Payload'!$B$10:$B$40,"",0), "")</f>
        <v/>
      </c>
      <c r="M96" s="6" t="str">
        <f>IF(Table1818[[#This Row],[Category]]="Transportation", "ton", "")</f>
        <v/>
      </c>
      <c r="N96" s="6"/>
      <c r="O96" s="6"/>
      <c r="P96" s="6" t="str">
        <f>IF(OR(Table1818[[#This Row],[Type]]="Main Product", Table1818[[#This Row],[Type]]="Co-Product"), Table1818[[#This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IF(Table1818[[#This Row],[Type]]="Co-product", "No", "")</f>
        <v/>
      </c>
      <c r="J97" s="25"/>
      <c r="K97" s="6"/>
      <c r="L97" s="6" t="str">
        <f>IF(Table1818[[#This Row],[Category]]="Transportation", _xlfn.XLOOKUP(Table1818[[#This Row],[Resource]], 'SI - Payload'!$A$10:$A$40,'SI - Payload'!$B$10:$B$40,"",0), "")</f>
        <v/>
      </c>
      <c r="M97" s="6" t="str">
        <f>IF(Table1818[[#This Row],[Category]]="Transportation", "ton", "")</f>
        <v/>
      </c>
      <c r="N97" s="6"/>
      <c r="O97" s="6"/>
      <c r="P97" s="6" t="str">
        <f>IF(OR(Table1818[[#This Row],[Type]]="Main Product", Table1818[[#This Row],[Type]]="Co-Product"), Table1818[[#This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IF(Table1818[[#This Row],[Type]]="Co-product", "No", "")</f>
        <v/>
      </c>
      <c r="J98" s="25"/>
      <c r="K98" s="6"/>
      <c r="L98" s="6" t="str">
        <f>IF(Table1818[[#This Row],[Category]]="Transportation", _xlfn.XLOOKUP(Table1818[[#This Row],[Resource]], 'SI - Payload'!$A$10:$A$40,'SI - Payload'!$B$10:$B$40,"",0), "")</f>
        <v/>
      </c>
      <c r="M98" s="6" t="str">
        <f>IF(Table1818[[#This Row],[Category]]="Transportation", "ton", "")</f>
        <v/>
      </c>
      <c r="N98" s="6"/>
      <c r="O98" s="6"/>
      <c r="P98" s="6" t="str">
        <f>IF(OR(Table1818[[#This Row],[Type]]="Main Product", Table1818[[#This Row],[Type]]="Co-Product"), Table1818[[#This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IF(Table1818[[#This Row],[Type]]="Co-product", "No", "")</f>
        <v/>
      </c>
      <c r="J99" s="25"/>
      <c r="K99" s="6"/>
      <c r="L99" s="6" t="str">
        <f>IF(Table1818[[#This Row],[Category]]="Transportation", _xlfn.XLOOKUP(Table1818[[#This Row],[Resource]], 'SI - Payload'!$A$10:$A$40,'SI - Payload'!$B$10:$B$40,"",0), "")</f>
        <v/>
      </c>
      <c r="M99" s="6" t="str">
        <f>IF(Table1818[[#This Row],[Category]]="Transportation", "ton", "")</f>
        <v/>
      </c>
      <c r="N99" s="6"/>
      <c r="O99" s="6"/>
      <c r="P99" s="6" t="str">
        <f>IF(OR(Table1818[[#This Row],[Type]]="Main Product", Table1818[[#This Row],[Type]]="Co-Product"), Table1818[[#This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IF(Table1818[[#This Row],[Type]]="Co-product", "No", "")</f>
        <v/>
      </c>
      <c r="J100" s="25"/>
      <c r="K100" s="6"/>
      <c r="L100" s="6" t="str">
        <f>IF(Table1818[[#This Row],[Category]]="Transportation", _xlfn.XLOOKUP(Table1818[[#This Row],[Resource]], 'SI - Payload'!$A$10:$A$40,'SI - Payload'!$B$10:$B$40,"",0), "")</f>
        <v/>
      </c>
      <c r="M100" s="6" t="str">
        <f>IF(Table1818[[#This Row],[Category]]="Transportation", "ton", "")</f>
        <v/>
      </c>
      <c r="N100" s="6"/>
      <c r="O100" s="6"/>
      <c r="P100" s="6" t="str">
        <f>IF(OR(Table1818[[#This Row],[Type]]="Main Product", Table1818[[#This Row],[Type]]="Co-Product"), Table1818[[#This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E04EFFAC-87A6-4432-B4EF-FB90A4135C0B}">
      <formula1>"Yes, No"</formula1>
    </dataValidation>
    <dataValidation type="custom" allowBlank="1" showInputMessage="1" showErrorMessage="1" sqref="E6:E100" xr:uid="{F5EF61D9-7CEC-4E8F-831B-9F3F609CA053}">
      <formula1>ISNUMBER(E6)</formula1>
    </dataValidation>
    <dataValidation type="decimal" allowBlank="1" showInputMessage="1" showErrorMessage="1" error="Please type a number between 0 and 1." sqref="G6:G100" xr:uid="{CFA7F76A-F15A-4272-A1C4-6AE2C430C47F}">
      <formula1>0</formula1>
      <formula2>1</formula2>
    </dataValidation>
    <dataValidation type="decimal" operator="greaterThan" allowBlank="1" showInputMessage="1" showErrorMessage="1" error="Please type a positive price." sqref="N6:N100" xr:uid="{F32A6DEF-9498-49AB-A68E-BE2474137795}">
      <formula1>0</formula1>
    </dataValidation>
    <dataValidation type="decimal" operator="greaterThan" allowBlank="1" showInputMessage="1" showErrorMessage="1" error="Please type a positive number." sqref="L6:L100" xr:uid="{D4528BF5-9640-47BF-8EFF-B306BFDB525F}">
      <formula1>0</formula1>
    </dataValidation>
    <dataValidation type="list" allowBlank="1" showInputMessage="1" showErrorMessage="1" sqref="M6:M100" xr:uid="{F26CA888-8468-419C-A6AC-8C624AC4EB28}">
      <formula1>payload_units</formula1>
    </dataValidation>
    <dataValidation type="decimal" allowBlank="1" showInputMessage="1" showErrorMessage="1" sqref="J6:J100" xr:uid="{A663AE27-2000-4E06-9D4C-7CC3B20A76EA}">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87A898A-C139-41F2-8310-463B84213A9C}">
          <x14:formula1>
            <xm:f>'SI - Co-products'!$D$2:$D$8</xm:f>
          </x14:formula1>
          <xm:sqref>C1</xm:sqref>
        </x14:dataValidation>
        <x14:dataValidation type="list" allowBlank="1" showInputMessage="1" showErrorMessage="1" xr:uid="{DB437650-5A6D-43E3-A54C-9C528BF3D744}">
          <x14:formula1>
            <xm:f>'SI - Co-products'!$A$2:$A$5</xm:f>
          </x14:formula1>
          <xm:sqref>K6:K100</xm:sqref>
        </x14:dataValidation>
        <x14:dataValidation type="list" allowBlank="1" showInputMessage="1" showErrorMessage="1" xr:uid="{F09F864D-F564-448D-9CF8-ADB6D971A106}">
          <x14:formula1>
            <xm:f>'SI - Co-products'!$C$2:$C$4</xm:f>
          </x14:formula1>
          <xm:sqref>I6:I100</xm:sqref>
        </x14:dataValidation>
        <x14:dataValidation type="list" allowBlank="1" showInputMessage="1" showErrorMessage="1" xr:uid="{0C17266C-BB5D-42DD-AA9A-846518310DC1}">
          <x14:formula1>
            <xm:f>'SI - Resources'!$A$1:$J$1</xm:f>
          </x14:formula1>
          <xm:sqref>B6:B100</xm:sqref>
        </x14:dataValidation>
        <x14:dataValidation type="list" allowBlank="1" showInputMessage="1" showErrorMessage="1" xr:uid="{EE4D6732-71A5-4FB3-8DD1-4F839DE9DA6D}">
          <x14:formula1>
            <xm:f>'SI - Co-products'!$B$2:$B$6</xm:f>
          </x14:formula1>
          <xm:sqref>A6:A100</xm:sqref>
        </x14:dataValidation>
        <x14:dataValidation type="list" allowBlank="1" showInputMessage="1" showErrorMessage="1" xr:uid="{03B0BC83-A1E3-439D-81AE-29D7ADC8471E}">
          <x14:formula1>
            <xm:f>INDIRECT(_xlfn.XLOOKUP($B6, 'SI - Resources'!$R$1:$R$10,'SI - Resources'!$S$1:$S$10, "placeholder_resource", 0))</xm:f>
          </x14:formula1>
          <xm:sqref>P6:P100 C6:C100</xm:sqref>
        </x14:dataValidation>
        <x14:dataValidation type="list" allowBlank="1" showInputMessage="1" xr:uid="{20689C64-54AD-4036-8E20-409091B8CC8F}">
          <x14:formula1>
            <xm:f>INDIRECT(_xlfn.XLOOKUP($C6,'SI - End Use'!$A$14:$A$23,'SI - End Use'!$B$14:$B$23,"other_end_use",0))</xm:f>
          </x14:formula1>
          <xm:sqref>D6:D100</xm:sqref>
        </x14:dataValidation>
        <x14:dataValidation type="list" allowBlank="1" showInputMessage="1" showErrorMessage="1" xr:uid="{C14A548C-C444-4954-9FE5-160DCE3F7B6F}">
          <x14:formula1>
            <xm:f>INDIRECT(_xlfn.XLOOKUP($P6,'SI - End Use'!$A$14:$A$23,'SI - End Use'!$B$14:$B$23,"other_end_use",0))</xm:f>
          </x14:formula1>
          <xm:sqref>Q6:R100</xm:sqref>
        </x14:dataValidation>
        <x14:dataValidation type="list" allowBlank="1" showInputMessage="1" showErrorMessage="1" xr:uid="{7C289EF9-DA90-4940-BF8C-A319AD384A76}">
          <x14:formula1>
            <xm:f>IF($B6="Transportation",  transport_units, INDIRECT(_xlfn.XLOOKUP($C6, 'SI - Units'!$F$27:$F$41,'SI - Units'!$G$27:$G$41,"mass",0)))</xm:f>
          </x14:formula1>
          <xm:sqref>F6:F100</xm:sqref>
        </x14:dataValidation>
        <x14:dataValidation type="list" allowBlank="1" showInputMessage="1" showErrorMessage="1" xr:uid="{674BD4F1-262D-4E85-884B-57A387947C52}">
          <x14:formula1>
            <xm:f>INDIRECT("p_"&amp;_xlfn.XLOOKUP($C6,'SI - Units'!$F$27:$F$41,'SI - Units'!$G$27:$G$41,"mass",0))</xm:f>
          </x14:formula1>
          <xm:sqref>O6:O100</xm:sqref>
        </x14:dataValidation>
        <x14:dataValidation type="list" allowBlank="1" showInputMessage="1" showErrorMessage="1" xr:uid="{E9D8EB36-E639-4784-B558-E681BFE3C2E9}">
          <x14:formula1>
            <xm:f>_xlfn.XLOOKUP(_xlfn.XLOOKUP(#REF!,'SI - Units'!$B$25:$B$113,'SI - Units'!$C$25:$C$113),'SI - Units'!$A$2:$A$9,'SI - Units'!$B$2:$R$9)</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31B7-814B-42A3-A164-EE3C5C9E921E}">
  <sheetPr codeName="Sheet21"/>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347</v>
      </c>
      <c r="I6" s="26" t="str">
        <f>IF(Table11219[[#This Row],[Type]]="Co-product", "No", "")</f>
        <v/>
      </c>
      <c r="J6" s="25"/>
      <c r="K6" s="6"/>
      <c r="L6" s="6" t="str">
        <f>IF(Table11219[[#This Row],[Category]]="Transportation", _xlfn.XLOOKUP(Table11219[[#This Row],[Resource]], 'SI - Payload'!$A$10:$A$40,'SI - Payload'!$B$10:$B$40,"",0), "")</f>
        <v/>
      </c>
      <c r="M6" s="6" t="str">
        <f>IF(Table11219[[#This Row],[Category]]="Transportation", "ton", "")</f>
        <v/>
      </c>
      <c r="N6" s="6"/>
      <c r="O6" s="6"/>
      <c r="P6" s="6" t="str">
        <f>IF(OR(Table11219[[#This Row],[Type]]="Main Product", Table11219[[#This Row],[Type]]="Co-Product"), Table11219[[#This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42</v>
      </c>
      <c r="F7" s="6" t="s">
        <v>69</v>
      </c>
      <c r="G7" s="25"/>
      <c r="H7" s="25"/>
      <c r="I7" s="26" t="str">
        <f>IF(Table11219[[#This Row],[Type]]="Co-product", "No", "")</f>
        <v/>
      </c>
      <c r="J7" s="25"/>
      <c r="K7" s="6"/>
      <c r="L7" s="6" t="str">
        <f>IF(Table11219[[#This Row],[Category]]="Transportation", _xlfn.XLOOKUP(Table11219[[#This Row],[Resource]], 'SI - Payload'!$A$10:$A$40,'SI - Payload'!$B$10:$B$40,"",0), "")</f>
        <v/>
      </c>
      <c r="M7" s="6" t="str">
        <f>IF(Table11219[[#This Row],[Category]]="Transportation", "ton", "")</f>
        <v/>
      </c>
      <c r="N7" s="6"/>
      <c r="O7" s="6"/>
      <c r="P7" s="6" t="str">
        <f>IF(OR(Table11219[[#This Row],[Type]]="Main Product", Table11219[[#This Row],[Type]]="Co-Product"), Table11219[[#This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9960</v>
      </c>
      <c r="F8" s="6" t="s">
        <v>69</v>
      </c>
      <c r="G8" s="25"/>
      <c r="H8" s="25"/>
      <c r="I8" s="26" t="str">
        <f>IF(Table11219[[#This Row],[Type]]="Co-product", "No", "")</f>
        <v/>
      </c>
      <c r="J8" s="25"/>
      <c r="K8" s="6"/>
      <c r="L8" s="6" t="str">
        <f>IF(Table11219[[#This Row],[Category]]="Transportation", _xlfn.XLOOKUP(Table11219[[#This Row],[Resource]], 'SI - Payload'!$A$10:$A$40,'SI - Payload'!$B$10:$B$40,"",0), "")</f>
        <v/>
      </c>
      <c r="M8" s="6" t="str">
        <f>IF(Table11219[[#This Row],[Category]]="Transportation", "ton", "")</f>
        <v/>
      </c>
      <c r="N8" s="6"/>
      <c r="O8" s="6"/>
      <c r="P8" s="6" t="str">
        <f>IF(OR(Table11219[[#This Row],[Type]]="Main Product", Table11219[[#This Row],[Type]]="Co-Product"), Table11219[[#This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IF(Table11219[[#This Row],[Type]]="Co-product", "No", "")</f>
        <v/>
      </c>
      <c r="J9" s="25"/>
      <c r="K9" s="6"/>
      <c r="L9" s="6" t="str">
        <f>IF(Table11219[[#This Row],[Category]]="Transportation", _xlfn.XLOOKUP(Table11219[[#This Row],[Resource]], 'SI - Payload'!$A$10:$A$40,'SI - Payload'!$B$10:$B$40,"",0), "")</f>
        <v/>
      </c>
      <c r="M9" s="6" t="str">
        <f>IF(Table11219[[#This Row],[Category]]="Transportation", "ton", "")</f>
        <v/>
      </c>
      <c r="N9" s="6"/>
      <c r="O9" s="6"/>
      <c r="P9" s="6" t="str">
        <f>IF(OR(Table11219[[#This Row],[Type]]="Main Product", Table11219[[#This Row],[Type]]="Co-Product"), Table11219[[#This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IF(Table11219[[#This Row],[Type]]="Co-product", "No", "")</f>
        <v/>
      </c>
      <c r="J10" s="25"/>
      <c r="K10" s="6"/>
      <c r="L10" s="6" t="str">
        <f>IF(Table11219[[#This Row],[Category]]="Transportation", _xlfn.XLOOKUP(Table11219[[#This Row],[Resource]], 'SI - Payload'!$A$10:$A$40,'SI - Payload'!$B$10:$B$40,"",0), "")</f>
        <v/>
      </c>
      <c r="M10" s="6" t="str">
        <f>IF(Table11219[[#This Row],[Category]]="Transportation", "ton", "")</f>
        <v/>
      </c>
      <c r="N10" s="6"/>
      <c r="O10" s="6"/>
      <c r="P10" s="6" t="str">
        <f>IF(OR(Table11219[[#This Row],[Type]]="Main Product", Table11219[[#This Row],[Type]]="Co-Product"), Table11219[[#This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IF(Table11219[[#This Row],[Type]]="Co-product", "No", "")</f>
        <v/>
      </c>
      <c r="J11" s="25"/>
      <c r="K11" s="6"/>
      <c r="L11" s="6" t="str">
        <f>IF(Table11219[[#This Row],[Category]]="Transportation", _xlfn.XLOOKUP(Table11219[[#This Row],[Resource]], 'SI - Payload'!$A$10:$A$40,'SI - Payload'!$B$10:$B$40,"",0), "")</f>
        <v/>
      </c>
      <c r="M11" s="6" t="str">
        <f>IF(Table11219[[#This Row],[Category]]="Transportation", "ton", "")</f>
        <v/>
      </c>
      <c r="N11" s="6"/>
      <c r="O11" s="6"/>
      <c r="P11" s="6" t="str">
        <f>IF(OR(Table11219[[#This Row],[Type]]="Main Product", Table11219[[#This Row],[Type]]="Co-Product"), Table11219[[#This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IF(Table11219[[#This Row],[Type]]="Co-product", "No", "")</f>
        <v/>
      </c>
      <c r="J12" s="25"/>
      <c r="K12" s="6"/>
      <c r="L12" s="6" t="str">
        <f>IF(Table11219[[#This Row],[Category]]="Transportation", _xlfn.XLOOKUP(Table11219[[#This Row],[Resource]], 'SI - Payload'!$A$10:$A$40,'SI - Payload'!$B$10:$B$40,"",0), "")</f>
        <v/>
      </c>
      <c r="M12" s="6" t="str">
        <f>IF(Table11219[[#This Row],[Category]]="Transportation", "ton", "")</f>
        <v/>
      </c>
      <c r="N12" s="6"/>
      <c r="O12" s="6"/>
      <c r="P12" s="6" t="str">
        <f>IF(OR(Table11219[[#This Row],[Type]]="Main Product", Table11219[[#This Row],[Type]]="Co-Product"), Table11219[[#This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IF(Table11219[[#This Row],[Type]]="Co-product", "No", "")</f>
        <v/>
      </c>
      <c r="J13" s="25"/>
      <c r="K13" s="6"/>
      <c r="L13" s="6" t="str">
        <f>IF(Table11219[[#This Row],[Category]]="Transportation", _xlfn.XLOOKUP(Table11219[[#This Row],[Resource]], 'SI - Payload'!$A$10:$A$40,'SI - Payload'!$B$10:$B$40,"",0), "")</f>
        <v/>
      </c>
      <c r="M13" s="6" t="str">
        <f>IF(Table11219[[#This Row],[Category]]="Transportation", "ton", "")</f>
        <v/>
      </c>
      <c r="N13" s="6"/>
      <c r="O13" s="6"/>
      <c r="P13" s="6" t="str">
        <f>IF(OR(Table11219[[#This Row],[Type]]="Main Product", Table11219[[#This Row],[Type]]="Co-Product"), Table11219[[#This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IF(Table11219[[#This Row],[Type]]="Co-product", "No", "")</f>
        <v/>
      </c>
      <c r="J14" s="25"/>
      <c r="K14" s="6"/>
      <c r="L14" s="6" t="str">
        <f>IF(Table11219[[#This Row],[Category]]="Transportation", _xlfn.XLOOKUP(Table11219[[#This Row],[Resource]], 'SI - Payload'!$A$10:$A$40,'SI - Payload'!$B$10:$B$40,"",0), "")</f>
        <v/>
      </c>
      <c r="M14" s="6" t="str">
        <f>IF(Table11219[[#This Row],[Category]]="Transportation", "ton", "")</f>
        <v/>
      </c>
      <c r="N14" s="6"/>
      <c r="O14" s="6"/>
      <c r="P14" s="6" t="str">
        <f>IF(OR(Table11219[[#This Row],[Type]]="Main Product", Table11219[[#This Row],[Type]]="Co-Product"), Table11219[[#This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IF(Table11219[[#This Row],[Type]]="Co-product", "No", "")</f>
        <v/>
      </c>
      <c r="J15" s="25"/>
      <c r="K15" s="6"/>
      <c r="L15" s="6" t="str">
        <f>IF(Table11219[[#This Row],[Category]]="Transportation", _xlfn.XLOOKUP(Table11219[[#This Row],[Resource]], 'SI - Payload'!$A$10:$A$40,'SI - Payload'!$B$10:$B$40,"",0), "")</f>
        <v/>
      </c>
      <c r="M15" s="6" t="str">
        <f>IF(Table11219[[#This Row],[Category]]="Transportation", "ton", "")</f>
        <v/>
      </c>
      <c r="N15" s="6"/>
      <c r="O15" s="6"/>
      <c r="P15" s="6" t="str">
        <f>IF(OR(Table11219[[#This Row],[Type]]="Main Product", Table11219[[#This Row],[Type]]="Co-Product"), Table11219[[#This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IF(Table11219[[#This Row],[Type]]="Co-product", "No", "")</f>
        <v/>
      </c>
      <c r="J16" s="25"/>
      <c r="K16" s="6"/>
      <c r="L16" s="6" t="str">
        <f>IF(Table11219[[#This Row],[Category]]="Transportation", _xlfn.XLOOKUP(Table11219[[#This Row],[Resource]], 'SI - Payload'!$A$10:$A$40,'SI - Payload'!$B$10:$B$40,"",0), "")</f>
        <v/>
      </c>
      <c r="M16" s="6" t="str">
        <f>IF(Table11219[[#This Row],[Category]]="Transportation", "ton", "")</f>
        <v/>
      </c>
      <c r="N16" s="6"/>
      <c r="O16" s="6"/>
      <c r="P16" s="6" t="str">
        <f>IF(OR(Table11219[[#This Row],[Type]]="Main Product", Table11219[[#This Row],[Type]]="Co-Product"), Table11219[[#This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IF(Table11219[[#This Row],[Type]]="Co-product", "No", "")</f>
        <v/>
      </c>
      <c r="J17" s="25"/>
      <c r="K17" s="6"/>
      <c r="L17" s="6" t="str">
        <f>IF(Table11219[[#This Row],[Category]]="Transportation", _xlfn.XLOOKUP(Table11219[[#This Row],[Resource]], 'SI - Payload'!$A$10:$A$40,'SI - Payload'!$B$10:$B$40,"",0), "")</f>
        <v/>
      </c>
      <c r="M17" s="6" t="str">
        <f>IF(Table11219[[#This Row],[Category]]="Transportation", "ton", "")</f>
        <v/>
      </c>
      <c r="N17" s="6"/>
      <c r="O17" s="6"/>
      <c r="P17" s="6" t="str">
        <f>IF(OR(Table11219[[#This Row],[Type]]="Main Product", Table11219[[#This Row],[Type]]="Co-Product"), Table11219[[#This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IF(Table11219[[#This Row],[Type]]="Co-product", "No", "")</f>
        <v/>
      </c>
      <c r="J18" s="25"/>
      <c r="K18" s="6"/>
      <c r="L18" s="6" t="str">
        <f>IF(Table11219[[#This Row],[Category]]="Transportation", _xlfn.XLOOKUP(Table11219[[#This Row],[Resource]], 'SI - Payload'!$A$10:$A$40,'SI - Payload'!$B$10:$B$40,"",0), "")</f>
        <v/>
      </c>
      <c r="M18" s="6" t="str">
        <f>IF(Table11219[[#This Row],[Category]]="Transportation", "ton", "")</f>
        <v/>
      </c>
      <c r="N18" s="6"/>
      <c r="O18" s="6"/>
      <c r="P18" s="6" t="str">
        <f>IF(OR(Table11219[[#This Row],[Type]]="Main Product", Table11219[[#This Row],[Type]]="Co-Product"), Table11219[[#This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IF(Table11219[[#This Row],[Type]]="Co-product", "No", "")</f>
        <v/>
      </c>
      <c r="J19" s="25"/>
      <c r="K19" s="6"/>
      <c r="L19" s="6" t="str">
        <f>IF(Table11219[[#This Row],[Category]]="Transportation", _xlfn.XLOOKUP(Table11219[[#This Row],[Resource]], 'SI - Payload'!$A$10:$A$40,'SI - Payload'!$B$10:$B$40,"",0), "")</f>
        <v/>
      </c>
      <c r="M19" s="6" t="str">
        <f>IF(Table11219[[#This Row],[Category]]="Transportation", "ton", "")</f>
        <v/>
      </c>
      <c r="N19" s="6"/>
      <c r="O19" s="6"/>
      <c r="P19" s="6" t="str">
        <f>IF(OR(Table11219[[#This Row],[Type]]="Main Product", Table11219[[#This Row],[Type]]="Co-Product"), Table11219[[#This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IF(Table11219[[#This Row],[Type]]="Co-product", "No", "")</f>
        <v/>
      </c>
      <c r="J20" s="25"/>
      <c r="K20" s="6"/>
      <c r="L20" s="6" t="str">
        <f>IF(Table11219[[#This Row],[Category]]="Transportation", _xlfn.XLOOKUP(Table11219[[#This Row],[Resource]], 'SI - Payload'!$A$10:$A$40,'SI - Payload'!$B$10:$B$40,"",0), "")</f>
        <v/>
      </c>
      <c r="M20" s="6" t="str">
        <f>IF(Table11219[[#This Row],[Category]]="Transportation", "ton", "")</f>
        <v/>
      </c>
      <c r="N20" s="6"/>
      <c r="O20" s="6"/>
      <c r="P20" s="6" t="str">
        <f>IF(OR(Table11219[[#This Row],[Type]]="Main Product", Table11219[[#This Row],[Type]]="Co-Product"), Table11219[[#This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IF(Table11219[[#This Row],[Type]]="Co-product", "No", "")</f>
        <v/>
      </c>
      <c r="J21" s="25"/>
      <c r="K21" s="6"/>
      <c r="L21" s="6" t="str">
        <f>IF(Table11219[[#This Row],[Category]]="Transportation", _xlfn.XLOOKUP(Table11219[[#This Row],[Resource]], 'SI - Payload'!$A$10:$A$40,'SI - Payload'!$B$10:$B$40,"",0), "")</f>
        <v/>
      </c>
      <c r="M21" s="6" t="str">
        <f>IF(Table11219[[#This Row],[Category]]="Transportation", "ton", "")</f>
        <v/>
      </c>
      <c r="N21" s="6"/>
      <c r="O21" s="6"/>
      <c r="P21" s="6" t="str">
        <f>IF(OR(Table11219[[#This Row],[Type]]="Main Product", Table11219[[#This Row],[Type]]="Co-Product"), Table11219[[#This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IF(Table11219[[#This Row],[Type]]="Co-product", "No", "")</f>
        <v/>
      </c>
      <c r="J22" s="25"/>
      <c r="K22" s="6"/>
      <c r="L22" s="6" t="str">
        <f>IF(Table11219[[#This Row],[Category]]="Transportation", _xlfn.XLOOKUP(Table11219[[#This Row],[Resource]], 'SI - Payload'!$A$10:$A$40,'SI - Payload'!$B$10:$B$40,"",0), "")</f>
        <v/>
      </c>
      <c r="M22" s="6" t="str">
        <f>IF(Table11219[[#This Row],[Category]]="Transportation", "ton", "")</f>
        <v/>
      </c>
      <c r="N22" s="6"/>
      <c r="O22" s="6"/>
      <c r="P22" s="6" t="str">
        <f>IF(OR(Table11219[[#This Row],[Type]]="Main Product", Table11219[[#This Row],[Type]]="Co-Product"), Table11219[[#This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IF(Table11219[[#This Row],[Type]]="Co-product", "No", "")</f>
        <v/>
      </c>
      <c r="J23" s="25"/>
      <c r="K23" s="6"/>
      <c r="L23" s="6" t="str">
        <f>IF(Table11219[[#This Row],[Category]]="Transportation", _xlfn.XLOOKUP(Table11219[[#This Row],[Resource]], 'SI - Payload'!$A$10:$A$40,'SI - Payload'!$B$10:$B$40,"",0), "")</f>
        <v/>
      </c>
      <c r="M23" s="6" t="str">
        <f>IF(Table11219[[#This Row],[Category]]="Transportation", "ton", "")</f>
        <v/>
      </c>
      <c r="N23" s="6"/>
      <c r="O23" s="6"/>
      <c r="P23" s="6" t="str">
        <f>IF(OR(Table11219[[#This Row],[Type]]="Main Product", Table11219[[#This Row],[Type]]="Co-Product"), Table11219[[#This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IF(Table11219[[#This Row],[Type]]="Co-product", "No", "")</f>
        <v/>
      </c>
      <c r="J24" s="25"/>
      <c r="K24" s="6"/>
      <c r="L24" s="6" t="str">
        <f>IF(Table11219[[#This Row],[Category]]="Transportation", _xlfn.XLOOKUP(Table11219[[#This Row],[Resource]], 'SI - Payload'!$A$10:$A$40,'SI - Payload'!$B$10:$B$40,"",0), "")</f>
        <v/>
      </c>
      <c r="M24" s="6" t="str">
        <f>IF(Table11219[[#This Row],[Category]]="Transportation", "ton", "")</f>
        <v/>
      </c>
      <c r="N24" s="6"/>
      <c r="O24" s="6"/>
      <c r="P24" s="6" t="str">
        <f>IF(OR(Table11219[[#This Row],[Type]]="Main Product", Table11219[[#This Row],[Type]]="Co-Product"), Table11219[[#This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IF(Table11219[[#This Row],[Type]]="Co-product", "No", "")</f>
        <v/>
      </c>
      <c r="J25" s="25"/>
      <c r="K25" s="6"/>
      <c r="L25" s="6" t="str">
        <f>IF(Table11219[[#This Row],[Category]]="Transportation", _xlfn.XLOOKUP(Table11219[[#This Row],[Resource]], 'SI - Payload'!$A$10:$A$40,'SI - Payload'!$B$10:$B$40,"",0), "")</f>
        <v/>
      </c>
      <c r="M25" s="6" t="str">
        <f>IF(Table11219[[#This Row],[Category]]="Transportation", "ton", "")</f>
        <v/>
      </c>
      <c r="N25" s="6"/>
      <c r="O25" s="6"/>
      <c r="P25" s="6" t="str">
        <f>IF(OR(Table11219[[#This Row],[Type]]="Main Product", Table11219[[#This Row],[Type]]="Co-Product"), Table11219[[#This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IF(Table11219[[#This Row],[Type]]="Co-product", "No", "")</f>
        <v/>
      </c>
      <c r="J26" s="25"/>
      <c r="K26" s="6"/>
      <c r="L26" s="6" t="str">
        <f>IF(Table11219[[#This Row],[Category]]="Transportation", _xlfn.XLOOKUP(Table11219[[#This Row],[Resource]], 'SI - Payload'!$A$10:$A$40,'SI - Payload'!$B$10:$B$40,"",0), "")</f>
        <v/>
      </c>
      <c r="M26" s="6" t="str">
        <f>IF(Table11219[[#This Row],[Category]]="Transportation", "ton", "")</f>
        <v/>
      </c>
      <c r="N26" s="6"/>
      <c r="O26" s="6"/>
      <c r="P26" s="6" t="str">
        <f>IF(OR(Table11219[[#This Row],[Type]]="Main Product", Table11219[[#This Row],[Type]]="Co-Product"), Table11219[[#This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IF(Table11219[[#This Row],[Type]]="Co-product", "No", "")</f>
        <v/>
      </c>
      <c r="J27" s="25"/>
      <c r="K27" s="6"/>
      <c r="L27" s="6" t="str">
        <f>IF(Table11219[[#This Row],[Category]]="Transportation", _xlfn.XLOOKUP(Table11219[[#This Row],[Resource]], 'SI - Payload'!$A$10:$A$40,'SI - Payload'!$B$10:$B$40,"",0), "")</f>
        <v/>
      </c>
      <c r="M27" s="6" t="str">
        <f>IF(Table11219[[#This Row],[Category]]="Transportation", "ton", "")</f>
        <v/>
      </c>
      <c r="N27" s="6"/>
      <c r="O27" s="6"/>
      <c r="P27" s="6" t="str">
        <f>IF(OR(Table11219[[#This Row],[Type]]="Main Product", Table11219[[#This Row],[Type]]="Co-Product"), Table11219[[#This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IF(Table11219[[#This Row],[Type]]="Co-product", "No", "")</f>
        <v/>
      </c>
      <c r="J28" s="25"/>
      <c r="K28" s="6"/>
      <c r="L28" s="6" t="str">
        <f>IF(Table11219[[#This Row],[Category]]="Transportation", _xlfn.XLOOKUP(Table11219[[#This Row],[Resource]], 'SI - Payload'!$A$10:$A$40,'SI - Payload'!$B$10:$B$40,"",0), "")</f>
        <v/>
      </c>
      <c r="M28" s="6" t="str">
        <f>IF(Table11219[[#This Row],[Category]]="Transportation", "ton", "")</f>
        <v/>
      </c>
      <c r="N28" s="6"/>
      <c r="O28" s="6"/>
      <c r="P28" s="6" t="str">
        <f>IF(OR(Table11219[[#This Row],[Type]]="Main Product", Table11219[[#This Row],[Type]]="Co-Product"), Table11219[[#This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IF(Table11219[[#This Row],[Type]]="Co-product", "No", "")</f>
        <v/>
      </c>
      <c r="J29" s="25"/>
      <c r="K29" s="6"/>
      <c r="L29" s="6" t="str">
        <f>IF(Table11219[[#This Row],[Category]]="Transportation", _xlfn.XLOOKUP(Table11219[[#This Row],[Resource]], 'SI - Payload'!$A$10:$A$40,'SI - Payload'!$B$10:$B$40,"",0), "")</f>
        <v/>
      </c>
      <c r="M29" s="6" t="str">
        <f>IF(Table11219[[#This Row],[Category]]="Transportation", "ton", "")</f>
        <v/>
      </c>
      <c r="N29" s="6"/>
      <c r="O29" s="6"/>
      <c r="P29" s="6" t="str">
        <f>IF(OR(Table11219[[#This Row],[Type]]="Main Product", Table11219[[#This Row],[Type]]="Co-Product"), Table11219[[#This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IF(Table11219[[#This Row],[Type]]="Co-product", "No", "")</f>
        <v/>
      </c>
      <c r="J30" s="25"/>
      <c r="K30" s="6"/>
      <c r="L30" s="6" t="str">
        <f>IF(Table11219[[#This Row],[Category]]="Transportation", _xlfn.XLOOKUP(Table11219[[#This Row],[Resource]], 'SI - Payload'!$A$10:$A$40,'SI - Payload'!$B$10:$B$40,"",0), "")</f>
        <v/>
      </c>
      <c r="M30" s="6" t="str">
        <f>IF(Table11219[[#This Row],[Category]]="Transportation", "ton", "")</f>
        <v/>
      </c>
      <c r="N30" s="6"/>
      <c r="O30" s="6"/>
      <c r="P30" s="6" t="str">
        <f>IF(OR(Table11219[[#This Row],[Type]]="Main Product", Table11219[[#This Row],[Type]]="Co-Product"), Table11219[[#This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IF(Table11219[[#This Row],[Type]]="Co-product", "No", "")</f>
        <v/>
      </c>
      <c r="J31" s="25"/>
      <c r="K31" s="6"/>
      <c r="L31" s="6" t="str">
        <f>IF(Table11219[[#This Row],[Category]]="Transportation", _xlfn.XLOOKUP(Table11219[[#This Row],[Resource]], 'SI - Payload'!$A$10:$A$40,'SI - Payload'!$B$10:$B$40,"",0), "")</f>
        <v/>
      </c>
      <c r="M31" s="6" t="str">
        <f>IF(Table11219[[#This Row],[Category]]="Transportation", "ton", "")</f>
        <v/>
      </c>
      <c r="N31" s="6"/>
      <c r="O31" s="6"/>
      <c r="P31" s="6" t="str">
        <f>IF(OR(Table11219[[#This Row],[Type]]="Main Product", Table11219[[#This Row],[Type]]="Co-Product"), Table11219[[#This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IF(Table11219[[#This Row],[Type]]="Co-product", "No", "")</f>
        <v/>
      </c>
      <c r="J32" s="25"/>
      <c r="K32" s="6"/>
      <c r="L32" s="6" t="str">
        <f>IF(Table11219[[#This Row],[Category]]="Transportation", _xlfn.XLOOKUP(Table11219[[#This Row],[Resource]], 'SI - Payload'!$A$10:$A$40,'SI - Payload'!$B$10:$B$40,"",0), "")</f>
        <v/>
      </c>
      <c r="M32" s="6" t="str">
        <f>IF(Table11219[[#This Row],[Category]]="Transportation", "ton", "")</f>
        <v/>
      </c>
      <c r="N32" s="6"/>
      <c r="O32" s="6"/>
      <c r="P32" s="6" t="str">
        <f>IF(OR(Table11219[[#This Row],[Type]]="Main Product", Table11219[[#This Row],[Type]]="Co-Product"), Table11219[[#This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IF(Table11219[[#This Row],[Type]]="Co-product", "No", "")</f>
        <v/>
      </c>
      <c r="J33" s="25"/>
      <c r="K33" s="6"/>
      <c r="L33" s="6" t="str">
        <f>IF(Table11219[[#This Row],[Category]]="Transportation", _xlfn.XLOOKUP(Table11219[[#This Row],[Resource]], 'SI - Payload'!$A$10:$A$40,'SI - Payload'!$B$10:$B$40,"",0), "")</f>
        <v/>
      </c>
      <c r="M33" s="6" t="str">
        <f>IF(Table11219[[#This Row],[Category]]="Transportation", "ton", "")</f>
        <v/>
      </c>
      <c r="N33" s="6"/>
      <c r="O33" s="6"/>
      <c r="P33" s="6" t="str">
        <f>IF(OR(Table11219[[#This Row],[Type]]="Main Product", Table11219[[#This Row],[Type]]="Co-Product"), Table11219[[#This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IF(Table11219[[#This Row],[Type]]="Co-product", "No", "")</f>
        <v/>
      </c>
      <c r="J34" s="25"/>
      <c r="K34" s="6"/>
      <c r="L34" s="6" t="str">
        <f>IF(Table11219[[#This Row],[Category]]="Transportation", _xlfn.XLOOKUP(Table11219[[#This Row],[Resource]], 'SI - Payload'!$A$10:$A$40,'SI - Payload'!$B$10:$B$40,"",0), "")</f>
        <v/>
      </c>
      <c r="M34" s="6" t="str">
        <f>IF(Table11219[[#This Row],[Category]]="Transportation", "ton", "")</f>
        <v/>
      </c>
      <c r="N34" s="6"/>
      <c r="O34" s="6"/>
      <c r="P34" s="6" t="str">
        <f>IF(OR(Table11219[[#This Row],[Type]]="Main Product", Table11219[[#This Row],[Type]]="Co-Product"), Table11219[[#This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IF(Table11219[[#This Row],[Type]]="Co-product", "No", "")</f>
        <v/>
      </c>
      <c r="J35" s="25"/>
      <c r="K35" s="6"/>
      <c r="L35" s="6" t="str">
        <f>IF(Table11219[[#This Row],[Category]]="Transportation", _xlfn.XLOOKUP(Table11219[[#This Row],[Resource]], 'SI - Payload'!$A$10:$A$40,'SI - Payload'!$B$10:$B$40,"",0), "")</f>
        <v/>
      </c>
      <c r="M35" s="6" t="str">
        <f>IF(Table11219[[#This Row],[Category]]="Transportation", "ton", "")</f>
        <v/>
      </c>
      <c r="N35" s="6"/>
      <c r="O35" s="6"/>
      <c r="P35" s="6" t="str">
        <f>IF(OR(Table11219[[#This Row],[Type]]="Main Product", Table11219[[#This Row],[Type]]="Co-Product"), Table11219[[#This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IF(Table11219[[#This Row],[Type]]="Co-product", "No", "")</f>
        <v/>
      </c>
      <c r="J36" s="25"/>
      <c r="K36" s="6"/>
      <c r="L36" s="6" t="str">
        <f>IF(Table11219[[#This Row],[Category]]="Transportation", _xlfn.XLOOKUP(Table11219[[#This Row],[Resource]], 'SI - Payload'!$A$10:$A$40,'SI - Payload'!$B$10:$B$40,"",0), "")</f>
        <v/>
      </c>
      <c r="M36" s="6" t="str">
        <f>IF(Table11219[[#This Row],[Category]]="Transportation", "ton", "")</f>
        <v/>
      </c>
      <c r="N36" s="6"/>
      <c r="O36" s="6"/>
      <c r="P36" s="6" t="str">
        <f>IF(OR(Table11219[[#This Row],[Type]]="Main Product", Table11219[[#This Row],[Type]]="Co-Product"), Table11219[[#This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IF(Table11219[[#This Row],[Type]]="Co-product", "No", "")</f>
        <v/>
      </c>
      <c r="J37" s="25"/>
      <c r="K37" s="6"/>
      <c r="L37" s="6" t="str">
        <f>IF(Table11219[[#This Row],[Category]]="Transportation", _xlfn.XLOOKUP(Table11219[[#This Row],[Resource]], 'SI - Payload'!$A$10:$A$40,'SI - Payload'!$B$10:$B$40,"",0), "")</f>
        <v/>
      </c>
      <c r="M37" s="6" t="str">
        <f>IF(Table11219[[#This Row],[Category]]="Transportation", "ton", "")</f>
        <v/>
      </c>
      <c r="N37" s="6"/>
      <c r="O37" s="6"/>
      <c r="P37" s="6" t="str">
        <f>IF(OR(Table11219[[#This Row],[Type]]="Main Product", Table11219[[#This Row],[Type]]="Co-Product"), Table11219[[#This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IF(Table11219[[#This Row],[Type]]="Co-product", "No", "")</f>
        <v/>
      </c>
      <c r="J38" s="25"/>
      <c r="K38" s="6"/>
      <c r="L38" s="6" t="str">
        <f>IF(Table11219[[#This Row],[Category]]="Transportation", _xlfn.XLOOKUP(Table11219[[#This Row],[Resource]], 'SI - Payload'!$A$10:$A$40,'SI - Payload'!$B$10:$B$40,"",0), "")</f>
        <v/>
      </c>
      <c r="M38" s="6" t="str">
        <f>IF(Table11219[[#This Row],[Category]]="Transportation", "ton", "")</f>
        <v/>
      </c>
      <c r="N38" s="6"/>
      <c r="O38" s="6"/>
      <c r="P38" s="6" t="str">
        <f>IF(OR(Table11219[[#This Row],[Type]]="Main Product", Table11219[[#This Row],[Type]]="Co-Product"), Table11219[[#This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IF(Table11219[[#This Row],[Type]]="Co-product", "No", "")</f>
        <v/>
      </c>
      <c r="J39" s="25"/>
      <c r="K39" s="6"/>
      <c r="L39" s="6" t="str">
        <f>IF(Table11219[[#This Row],[Category]]="Transportation", _xlfn.XLOOKUP(Table11219[[#This Row],[Resource]], 'SI - Payload'!$A$10:$A$40,'SI - Payload'!$B$10:$B$40,"",0), "")</f>
        <v/>
      </c>
      <c r="M39" s="6" t="str">
        <f>IF(Table11219[[#This Row],[Category]]="Transportation", "ton", "")</f>
        <v/>
      </c>
      <c r="N39" s="6"/>
      <c r="O39" s="6"/>
      <c r="P39" s="6" t="str">
        <f>IF(OR(Table11219[[#This Row],[Type]]="Main Product", Table11219[[#This Row],[Type]]="Co-Product"), Table11219[[#This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IF(Table11219[[#This Row],[Type]]="Co-product", "No", "")</f>
        <v/>
      </c>
      <c r="J40" s="25"/>
      <c r="K40" s="6"/>
      <c r="L40" s="6" t="str">
        <f>IF(Table11219[[#This Row],[Category]]="Transportation", _xlfn.XLOOKUP(Table11219[[#This Row],[Resource]], 'SI - Payload'!$A$10:$A$40,'SI - Payload'!$B$10:$B$40,"",0), "")</f>
        <v/>
      </c>
      <c r="M40" s="6" t="str">
        <f>IF(Table11219[[#This Row],[Category]]="Transportation", "ton", "")</f>
        <v/>
      </c>
      <c r="N40" s="6"/>
      <c r="O40" s="6"/>
      <c r="P40" s="6" t="str">
        <f>IF(OR(Table11219[[#This Row],[Type]]="Main Product", Table11219[[#This Row],[Type]]="Co-Product"), Table11219[[#This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IF(Table11219[[#This Row],[Type]]="Co-product", "No", "")</f>
        <v/>
      </c>
      <c r="J41" s="25"/>
      <c r="K41" s="6"/>
      <c r="L41" s="6" t="str">
        <f>IF(Table11219[[#This Row],[Category]]="Transportation", _xlfn.XLOOKUP(Table11219[[#This Row],[Resource]], 'SI - Payload'!$A$10:$A$40,'SI - Payload'!$B$10:$B$40,"",0), "")</f>
        <v/>
      </c>
      <c r="M41" s="6" t="str">
        <f>IF(Table11219[[#This Row],[Category]]="Transportation", "ton", "")</f>
        <v/>
      </c>
      <c r="N41" s="6"/>
      <c r="O41" s="6"/>
      <c r="P41" s="6" t="str">
        <f>IF(OR(Table11219[[#This Row],[Type]]="Main Product", Table11219[[#This Row],[Type]]="Co-Product"), Table11219[[#This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IF(Table11219[[#This Row],[Type]]="Co-product", "No", "")</f>
        <v/>
      </c>
      <c r="J42" s="25"/>
      <c r="K42" s="6"/>
      <c r="L42" s="6" t="str">
        <f>IF(Table11219[[#This Row],[Category]]="Transportation", _xlfn.XLOOKUP(Table11219[[#This Row],[Resource]], 'SI - Payload'!$A$10:$A$40,'SI - Payload'!$B$10:$B$40,"",0), "")</f>
        <v/>
      </c>
      <c r="M42" s="6" t="str">
        <f>IF(Table11219[[#This Row],[Category]]="Transportation", "ton", "")</f>
        <v/>
      </c>
      <c r="N42" s="6"/>
      <c r="O42" s="6"/>
      <c r="P42" s="6" t="str">
        <f>IF(OR(Table11219[[#This Row],[Type]]="Main Product", Table11219[[#This Row],[Type]]="Co-Product"), Table11219[[#This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IF(Table11219[[#This Row],[Type]]="Co-product", "No", "")</f>
        <v/>
      </c>
      <c r="J43" s="25"/>
      <c r="K43" s="6"/>
      <c r="L43" s="6" t="str">
        <f>IF(Table11219[[#This Row],[Category]]="Transportation", _xlfn.XLOOKUP(Table11219[[#This Row],[Resource]], 'SI - Payload'!$A$10:$A$40,'SI - Payload'!$B$10:$B$40,"",0), "")</f>
        <v/>
      </c>
      <c r="M43" s="6" t="str">
        <f>IF(Table11219[[#This Row],[Category]]="Transportation", "ton", "")</f>
        <v/>
      </c>
      <c r="N43" s="6"/>
      <c r="O43" s="6"/>
      <c r="P43" s="6" t="str">
        <f>IF(OR(Table11219[[#This Row],[Type]]="Main Product", Table11219[[#This Row],[Type]]="Co-Product"), Table11219[[#This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IF(Table11219[[#This Row],[Type]]="Co-product", "No", "")</f>
        <v/>
      </c>
      <c r="J44" s="25"/>
      <c r="K44" s="6"/>
      <c r="L44" s="6" t="str">
        <f>IF(Table11219[[#This Row],[Category]]="Transportation", _xlfn.XLOOKUP(Table11219[[#This Row],[Resource]], 'SI - Payload'!$A$10:$A$40,'SI - Payload'!$B$10:$B$40,"",0), "")</f>
        <v/>
      </c>
      <c r="M44" s="6" t="str">
        <f>IF(Table11219[[#This Row],[Category]]="Transportation", "ton", "")</f>
        <v/>
      </c>
      <c r="N44" s="6"/>
      <c r="O44" s="6"/>
      <c r="P44" s="6" t="str">
        <f>IF(OR(Table11219[[#This Row],[Type]]="Main Product", Table11219[[#This Row],[Type]]="Co-Product"), Table11219[[#This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IF(Table11219[[#This Row],[Type]]="Co-product", "No", "")</f>
        <v/>
      </c>
      <c r="J45" s="25"/>
      <c r="K45" s="6"/>
      <c r="L45" s="6" t="str">
        <f>IF(Table11219[[#This Row],[Category]]="Transportation", _xlfn.XLOOKUP(Table11219[[#This Row],[Resource]], 'SI - Payload'!$A$10:$A$40,'SI - Payload'!$B$10:$B$40,"",0), "")</f>
        <v/>
      </c>
      <c r="M45" s="6" t="str">
        <f>IF(Table11219[[#This Row],[Category]]="Transportation", "ton", "")</f>
        <v/>
      </c>
      <c r="N45" s="6"/>
      <c r="O45" s="6"/>
      <c r="P45" s="6" t="str">
        <f>IF(OR(Table11219[[#This Row],[Type]]="Main Product", Table11219[[#This Row],[Type]]="Co-Product"), Table11219[[#This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IF(Table11219[[#This Row],[Type]]="Co-product", "No", "")</f>
        <v/>
      </c>
      <c r="J46" s="25"/>
      <c r="K46" s="6"/>
      <c r="L46" s="6" t="str">
        <f>IF(Table11219[[#This Row],[Category]]="Transportation", _xlfn.XLOOKUP(Table11219[[#This Row],[Resource]], 'SI - Payload'!$A$10:$A$40,'SI - Payload'!$B$10:$B$40,"",0), "")</f>
        <v/>
      </c>
      <c r="M46" s="6" t="str">
        <f>IF(Table11219[[#This Row],[Category]]="Transportation", "ton", "")</f>
        <v/>
      </c>
      <c r="N46" s="6"/>
      <c r="O46" s="6"/>
      <c r="P46" s="6" t="str">
        <f>IF(OR(Table11219[[#This Row],[Type]]="Main Product", Table11219[[#This Row],[Type]]="Co-Product"), Table11219[[#This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IF(Table11219[[#This Row],[Type]]="Co-product", "No", "")</f>
        <v/>
      </c>
      <c r="J47" s="25"/>
      <c r="K47" s="6"/>
      <c r="L47" s="6" t="str">
        <f>IF(Table11219[[#This Row],[Category]]="Transportation", _xlfn.XLOOKUP(Table11219[[#This Row],[Resource]], 'SI - Payload'!$A$10:$A$40,'SI - Payload'!$B$10:$B$40,"",0), "")</f>
        <v/>
      </c>
      <c r="M47" s="6" t="str">
        <f>IF(Table11219[[#This Row],[Category]]="Transportation", "ton", "")</f>
        <v/>
      </c>
      <c r="N47" s="6"/>
      <c r="O47" s="6"/>
      <c r="P47" s="6" t="str">
        <f>IF(OR(Table11219[[#This Row],[Type]]="Main Product", Table11219[[#This Row],[Type]]="Co-Product"), Table11219[[#This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IF(Table11219[[#This Row],[Type]]="Co-product", "No", "")</f>
        <v/>
      </c>
      <c r="J48" s="25"/>
      <c r="K48" s="6"/>
      <c r="L48" s="6" t="str">
        <f>IF(Table11219[[#This Row],[Category]]="Transportation", _xlfn.XLOOKUP(Table11219[[#This Row],[Resource]], 'SI - Payload'!$A$10:$A$40,'SI - Payload'!$B$10:$B$40,"",0), "")</f>
        <v/>
      </c>
      <c r="M48" s="6" t="str">
        <f>IF(Table11219[[#This Row],[Category]]="Transportation", "ton", "")</f>
        <v/>
      </c>
      <c r="N48" s="6"/>
      <c r="O48" s="6"/>
      <c r="P48" s="6" t="str">
        <f>IF(OR(Table11219[[#This Row],[Type]]="Main Product", Table11219[[#This Row],[Type]]="Co-Product"), Table11219[[#This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IF(Table11219[[#This Row],[Type]]="Co-product", "No", "")</f>
        <v/>
      </c>
      <c r="J49" s="25"/>
      <c r="K49" s="6"/>
      <c r="L49" s="6" t="str">
        <f>IF(Table11219[[#This Row],[Category]]="Transportation", _xlfn.XLOOKUP(Table11219[[#This Row],[Resource]], 'SI - Payload'!$A$10:$A$40,'SI - Payload'!$B$10:$B$40,"",0), "")</f>
        <v/>
      </c>
      <c r="M49" s="6" t="str">
        <f>IF(Table11219[[#This Row],[Category]]="Transportation", "ton", "")</f>
        <v/>
      </c>
      <c r="N49" s="6"/>
      <c r="O49" s="6"/>
      <c r="P49" s="6" t="str">
        <f>IF(OR(Table11219[[#This Row],[Type]]="Main Product", Table11219[[#This Row],[Type]]="Co-Product"), Table11219[[#This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IF(Table11219[[#This Row],[Type]]="Co-product", "No", "")</f>
        <v/>
      </c>
      <c r="J50" s="25"/>
      <c r="K50" s="6"/>
      <c r="L50" s="6" t="str">
        <f>IF(Table11219[[#This Row],[Category]]="Transportation", _xlfn.XLOOKUP(Table11219[[#This Row],[Resource]], 'SI - Payload'!$A$10:$A$40,'SI - Payload'!$B$10:$B$40,"",0), "")</f>
        <v/>
      </c>
      <c r="M50" s="6" t="str">
        <f>IF(Table11219[[#This Row],[Category]]="Transportation", "ton", "")</f>
        <v/>
      </c>
      <c r="N50" s="6"/>
      <c r="O50" s="6"/>
      <c r="P50" s="6" t="str">
        <f>IF(OR(Table11219[[#This Row],[Type]]="Main Product", Table11219[[#This Row],[Type]]="Co-Product"), Table11219[[#This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IF(Table11219[[#This Row],[Type]]="Co-product", "No", "")</f>
        <v/>
      </c>
      <c r="J51" s="25"/>
      <c r="K51" s="6"/>
      <c r="L51" s="6" t="str">
        <f>IF(Table11219[[#This Row],[Category]]="Transportation", _xlfn.XLOOKUP(Table11219[[#This Row],[Resource]], 'SI - Payload'!$A$10:$A$40,'SI - Payload'!$B$10:$B$40,"",0), "")</f>
        <v/>
      </c>
      <c r="M51" s="6" t="str">
        <f>IF(Table11219[[#This Row],[Category]]="Transportation", "ton", "")</f>
        <v/>
      </c>
      <c r="N51" s="6"/>
      <c r="O51" s="6"/>
      <c r="P51" s="6" t="str">
        <f>IF(OR(Table11219[[#This Row],[Type]]="Main Product", Table11219[[#This Row],[Type]]="Co-Product"), Table11219[[#This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IF(Table11219[[#This Row],[Type]]="Co-product", "No", "")</f>
        <v/>
      </c>
      <c r="J52" s="25"/>
      <c r="K52" s="6"/>
      <c r="L52" s="6" t="str">
        <f>IF(Table11219[[#This Row],[Category]]="Transportation", _xlfn.XLOOKUP(Table11219[[#This Row],[Resource]], 'SI - Payload'!$A$10:$A$40,'SI - Payload'!$B$10:$B$40,"",0), "")</f>
        <v/>
      </c>
      <c r="M52" s="6" t="str">
        <f>IF(Table11219[[#This Row],[Category]]="Transportation", "ton", "")</f>
        <v/>
      </c>
      <c r="N52" s="6"/>
      <c r="O52" s="6"/>
      <c r="P52" s="6" t="str">
        <f>IF(OR(Table11219[[#This Row],[Type]]="Main Product", Table11219[[#This Row],[Type]]="Co-Product"), Table11219[[#This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IF(Table11219[[#This Row],[Type]]="Co-product", "No", "")</f>
        <v/>
      </c>
      <c r="J53" s="25"/>
      <c r="K53" s="6"/>
      <c r="L53" s="6" t="str">
        <f>IF(Table11219[[#This Row],[Category]]="Transportation", _xlfn.XLOOKUP(Table11219[[#This Row],[Resource]], 'SI - Payload'!$A$10:$A$40,'SI - Payload'!$B$10:$B$40,"",0), "")</f>
        <v/>
      </c>
      <c r="M53" s="6" t="str">
        <f>IF(Table11219[[#This Row],[Category]]="Transportation", "ton", "")</f>
        <v/>
      </c>
      <c r="N53" s="6"/>
      <c r="O53" s="6"/>
      <c r="P53" s="6" t="str">
        <f>IF(OR(Table11219[[#This Row],[Type]]="Main Product", Table11219[[#This Row],[Type]]="Co-Product"), Table11219[[#This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IF(Table11219[[#This Row],[Type]]="Co-product", "No", "")</f>
        <v/>
      </c>
      <c r="J54" s="25"/>
      <c r="K54" s="6"/>
      <c r="L54" s="6" t="str">
        <f>IF(Table11219[[#This Row],[Category]]="Transportation", _xlfn.XLOOKUP(Table11219[[#This Row],[Resource]], 'SI - Payload'!$A$10:$A$40,'SI - Payload'!$B$10:$B$40,"",0), "")</f>
        <v/>
      </c>
      <c r="M54" s="6" t="str">
        <f>IF(Table11219[[#This Row],[Category]]="Transportation", "ton", "")</f>
        <v/>
      </c>
      <c r="N54" s="6"/>
      <c r="O54" s="6"/>
      <c r="P54" s="6" t="str">
        <f>IF(OR(Table11219[[#This Row],[Type]]="Main Product", Table11219[[#This Row],[Type]]="Co-Product"), Table11219[[#This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IF(Table11219[[#This Row],[Type]]="Co-product", "No", "")</f>
        <v/>
      </c>
      <c r="J55" s="25"/>
      <c r="K55" s="6"/>
      <c r="L55" s="6" t="str">
        <f>IF(Table11219[[#This Row],[Category]]="Transportation", _xlfn.XLOOKUP(Table11219[[#This Row],[Resource]], 'SI - Payload'!$A$10:$A$40,'SI - Payload'!$B$10:$B$40,"",0), "")</f>
        <v/>
      </c>
      <c r="M55" s="6" t="str">
        <f>IF(Table11219[[#This Row],[Category]]="Transportation", "ton", "")</f>
        <v/>
      </c>
      <c r="N55" s="6"/>
      <c r="O55" s="6"/>
      <c r="P55" s="6" t="str">
        <f>IF(OR(Table11219[[#This Row],[Type]]="Main Product", Table11219[[#This Row],[Type]]="Co-Product"), Table11219[[#This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IF(Table11219[[#This Row],[Type]]="Co-product", "No", "")</f>
        <v/>
      </c>
      <c r="J56" s="25"/>
      <c r="K56" s="6"/>
      <c r="L56" s="6" t="str">
        <f>IF(Table11219[[#This Row],[Category]]="Transportation", _xlfn.XLOOKUP(Table11219[[#This Row],[Resource]], 'SI - Payload'!$A$10:$A$40,'SI - Payload'!$B$10:$B$40,"",0), "")</f>
        <v/>
      </c>
      <c r="M56" s="6" t="str">
        <f>IF(Table11219[[#This Row],[Category]]="Transportation", "ton", "")</f>
        <v/>
      </c>
      <c r="N56" s="6"/>
      <c r="O56" s="6"/>
      <c r="P56" s="6" t="str">
        <f>IF(OR(Table11219[[#This Row],[Type]]="Main Product", Table11219[[#This Row],[Type]]="Co-Product"), Table11219[[#This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IF(Table11219[[#This Row],[Type]]="Co-product", "No", "")</f>
        <v/>
      </c>
      <c r="J57" s="25"/>
      <c r="K57" s="6"/>
      <c r="L57" s="6" t="str">
        <f>IF(Table11219[[#This Row],[Category]]="Transportation", _xlfn.XLOOKUP(Table11219[[#This Row],[Resource]], 'SI - Payload'!$A$10:$A$40,'SI - Payload'!$B$10:$B$40,"",0), "")</f>
        <v/>
      </c>
      <c r="M57" s="6" t="str">
        <f>IF(Table11219[[#This Row],[Category]]="Transportation", "ton", "")</f>
        <v/>
      </c>
      <c r="N57" s="6"/>
      <c r="O57" s="6"/>
      <c r="P57" s="6" t="str">
        <f>IF(OR(Table11219[[#This Row],[Type]]="Main Product", Table11219[[#This Row],[Type]]="Co-Product"), Table11219[[#This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IF(Table11219[[#This Row],[Type]]="Co-product", "No", "")</f>
        <v/>
      </c>
      <c r="J58" s="25"/>
      <c r="K58" s="6"/>
      <c r="L58" s="6" t="str">
        <f>IF(Table11219[[#This Row],[Category]]="Transportation", _xlfn.XLOOKUP(Table11219[[#This Row],[Resource]], 'SI - Payload'!$A$10:$A$40,'SI - Payload'!$B$10:$B$40,"",0), "")</f>
        <v/>
      </c>
      <c r="M58" s="6" t="str">
        <f>IF(Table11219[[#This Row],[Category]]="Transportation", "ton", "")</f>
        <v/>
      </c>
      <c r="N58" s="6"/>
      <c r="O58" s="6"/>
      <c r="P58" s="6" t="str">
        <f>IF(OR(Table11219[[#This Row],[Type]]="Main Product", Table11219[[#This Row],[Type]]="Co-Product"), Table11219[[#This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IF(Table11219[[#This Row],[Type]]="Co-product", "No", "")</f>
        <v/>
      </c>
      <c r="J59" s="25"/>
      <c r="K59" s="6"/>
      <c r="L59" s="6" t="str">
        <f>IF(Table11219[[#This Row],[Category]]="Transportation", _xlfn.XLOOKUP(Table11219[[#This Row],[Resource]], 'SI - Payload'!$A$10:$A$40,'SI - Payload'!$B$10:$B$40,"",0), "")</f>
        <v/>
      </c>
      <c r="M59" s="6" t="str">
        <f>IF(Table11219[[#This Row],[Category]]="Transportation", "ton", "")</f>
        <v/>
      </c>
      <c r="N59" s="6"/>
      <c r="O59" s="6"/>
      <c r="P59" s="6" t="str">
        <f>IF(OR(Table11219[[#This Row],[Type]]="Main Product", Table11219[[#This Row],[Type]]="Co-Product"), Table11219[[#This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IF(Table11219[[#This Row],[Type]]="Co-product", "No", "")</f>
        <v/>
      </c>
      <c r="J60" s="25"/>
      <c r="K60" s="6"/>
      <c r="L60" s="6" t="str">
        <f>IF(Table11219[[#This Row],[Category]]="Transportation", _xlfn.XLOOKUP(Table11219[[#This Row],[Resource]], 'SI - Payload'!$A$10:$A$40,'SI - Payload'!$B$10:$B$40,"",0), "")</f>
        <v/>
      </c>
      <c r="M60" s="6" t="str">
        <f>IF(Table11219[[#This Row],[Category]]="Transportation", "ton", "")</f>
        <v/>
      </c>
      <c r="N60" s="6"/>
      <c r="O60" s="6"/>
      <c r="P60" s="6" t="str">
        <f>IF(OR(Table11219[[#This Row],[Type]]="Main Product", Table11219[[#This Row],[Type]]="Co-Product"), Table11219[[#This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IF(Table11219[[#This Row],[Type]]="Co-product", "No", "")</f>
        <v/>
      </c>
      <c r="J61" s="25"/>
      <c r="K61" s="6"/>
      <c r="L61" s="6" t="str">
        <f>IF(Table11219[[#This Row],[Category]]="Transportation", _xlfn.XLOOKUP(Table11219[[#This Row],[Resource]], 'SI - Payload'!$A$10:$A$40,'SI - Payload'!$B$10:$B$40,"",0), "")</f>
        <v/>
      </c>
      <c r="M61" s="6" t="str">
        <f>IF(Table11219[[#This Row],[Category]]="Transportation", "ton", "")</f>
        <v/>
      </c>
      <c r="N61" s="6"/>
      <c r="O61" s="6"/>
      <c r="P61" s="6" t="str">
        <f>IF(OR(Table11219[[#This Row],[Type]]="Main Product", Table11219[[#This Row],[Type]]="Co-Product"), Table11219[[#This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IF(Table11219[[#This Row],[Type]]="Co-product", "No", "")</f>
        <v/>
      </c>
      <c r="J62" s="25"/>
      <c r="K62" s="6"/>
      <c r="L62" s="6" t="str">
        <f>IF(Table11219[[#This Row],[Category]]="Transportation", _xlfn.XLOOKUP(Table11219[[#This Row],[Resource]], 'SI - Payload'!$A$10:$A$40,'SI - Payload'!$B$10:$B$40,"",0), "")</f>
        <v/>
      </c>
      <c r="M62" s="6" t="str">
        <f>IF(Table11219[[#This Row],[Category]]="Transportation", "ton", "")</f>
        <v/>
      </c>
      <c r="N62" s="6"/>
      <c r="O62" s="6"/>
      <c r="P62" s="6" t="str">
        <f>IF(OR(Table11219[[#This Row],[Type]]="Main Product", Table11219[[#This Row],[Type]]="Co-Product"), Table11219[[#This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IF(Table11219[[#This Row],[Type]]="Co-product", "No", "")</f>
        <v/>
      </c>
      <c r="J63" s="25"/>
      <c r="K63" s="6"/>
      <c r="L63" s="6" t="str">
        <f>IF(Table11219[[#This Row],[Category]]="Transportation", _xlfn.XLOOKUP(Table11219[[#This Row],[Resource]], 'SI - Payload'!$A$10:$A$40,'SI - Payload'!$B$10:$B$40,"",0), "")</f>
        <v/>
      </c>
      <c r="M63" s="6" t="str">
        <f>IF(Table11219[[#This Row],[Category]]="Transportation", "ton", "")</f>
        <v/>
      </c>
      <c r="N63" s="6"/>
      <c r="O63" s="6"/>
      <c r="P63" s="6" t="str">
        <f>IF(OR(Table11219[[#This Row],[Type]]="Main Product", Table11219[[#This Row],[Type]]="Co-Product"), Table11219[[#This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IF(Table11219[[#This Row],[Type]]="Co-product", "No", "")</f>
        <v/>
      </c>
      <c r="J64" s="25"/>
      <c r="K64" s="6"/>
      <c r="L64" s="6" t="str">
        <f>IF(Table11219[[#This Row],[Category]]="Transportation", _xlfn.XLOOKUP(Table11219[[#This Row],[Resource]], 'SI - Payload'!$A$10:$A$40,'SI - Payload'!$B$10:$B$40,"",0), "")</f>
        <v/>
      </c>
      <c r="M64" s="6" t="str">
        <f>IF(Table11219[[#This Row],[Category]]="Transportation", "ton", "")</f>
        <v/>
      </c>
      <c r="N64" s="6"/>
      <c r="O64" s="6"/>
      <c r="P64" s="6" t="str">
        <f>IF(OR(Table11219[[#This Row],[Type]]="Main Product", Table11219[[#This Row],[Type]]="Co-Product"), Table11219[[#This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IF(Table11219[[#This Row],[Type]]="Co-product", "No", "")</f>
        <v/>
      </c>
      <c r="J65" s="25"/>
      <c r="K65" s="6"/>
      <c r="L65" s="6" t="str">
        <f>IF(Table11219[[#This Row],[Category]]="Transportation", _xlfn.XLOOKUP(Table11219[[#This Row],[Resource]], 'SI - Payload'!$A$10:$A$40,'SI - Payload'!$B$10:$B$40,"",0), "")</f>
        <v/>
      </c>
      <c r="M65" s="6" t="str">
        <f>IF(Table11219[[#This Row],[Category]]="Transportation", "ton", "")</f>
        <v/>
      </c>
      <c r="N65" s="6"/>
      <c r="O65" s="6"/>
      <c r="P65" s="6" t="str">
        <f>IF(OR(Table11219[[#This Row],[Type]]="Main Product", Table11219[[#This Row],[Type]]="Co-Product"), Table11219[[#This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IF(Table11219[[#This Row],[Type]]="Co-product", "No", "")</f>
        <v/>
      </c>
      <c r="J66" s="25"/>
      <c r="K66" s="6"/>
      <c r="L66" s="6" t="str">
        <f>IF(Table11219[[#This Row],[Category]]="Transportation", _xlfn.XLOOKUP(Table11219[[#This Row],[Resource]], 'SI - Payload'!$A$10:$A$40,'SI - Payload'!$B$10:$B$40,"",0), "")</f>
        <v/>
      </c>
      <c r="M66" s="6" t="str">
        <f>IF(Table11219[[#This Row],[Category]]="Transportation", "ton", "")</f>
        <v/>
      </c>
      <c r="N66" s="6"/>
      <c r="O66" s="6"/>
      <c r="P66" s="6" t="str">
        <f>IF(OR(Table11219[[#This Row],[Type]]="Main Product", Table11219[[#This Row],[Type]]="Co-Product"), Table11219[[#This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IF(Table11219[[#This Row],[Type]]="Co-product", "No", "")</f>
        <v/>
      </c>
      <c r="J67" s="25"/>
      <c r="K67" s="6"/>
      <c r="L67" s="6" t="str">
        <f>IF(Table11219[[#This Row],[Category]]="Transportation", _xlfn.XLOOKUP(Table11219[[#This Row],[Resource]], 'SI - Payload'!$A$10:$A$40,'SI - Payload'!$B$10:$B$40,"",0), "")</f>
        <v/>
      </c>
      <c r="M67" s="6" t="str">
        <f>IF(Table11219[[#This Row],[Category]]="Transportation", "ton", "")</f>
        <v/>
      </c>
      <c r="N67" s="6"/>
      <c r="O67" s="6"/>
      <c r="P67" s="6" t="str">
        <f>IF(OR(Table11219[[#This Row],[Type]]="Main Product", Table11219[[#This Row],[Type]]="Co-Product"), Table11219[[#This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IF(Table11219[[#This Row],[Type]]="Co-product", "No", "")</f>
        <v/>
      </c>
      <c r="J68" s="25"/>
      <c r="K68" s="6"/>
      <c r="L68" s="6" t="str">
        <f>IF(Table11219[[#This Row],[Category]]="Transportation", _xlfn.XLOOKUP(Table11219[[#This Row],[Resource]], 'SI - Payload'!$A$10:$A$40,'SI - Payload'!$B$10:$B$40,"",0), "")</f>
        <v/>
      </c>
      <c r="M68" s="6" t="str">
        <f>IF(Table11219[[#This Row],[Category]]="Transportation", "ton", "")</f>
        <v/>
      </c>
      <c r="N68" s="6"/>
      <c r="O68" s="6"/>
      <c r="P68" s="6" t="str">
        <f>IF(OR(Table11219[[#This Row],[Type]]="Main Product", Table11219[[#This Row],[Type]]="Co-Product"), Table11219[[#This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IF(Table11219[[#This Row],[Type]]="Co-product", "No", "")</f>
        <v/>
      </c>
      <c r="J69" s="25"/>
      <c r="K69" s="6"/>
      <c r="L69" s="6" t="str">
        <f>IF(Table11219[[#This Row],[Category]]="Transportation", _xlfn.XLOOKUP(Table11219[[#This Row],[Resource]], 'SI - Payload'!$A$10:$A$40,'SI - Payload'!$B$10:$B$40,"",0), "")</f>
        <v/>
      </c>
      <c r="M69" s="6" t="str">
        <f>IF(Table11219[[#This Row],[Category]]="Transportation", "ton", "")</f>
        <v/>
      </c>
      <c r="N69" s="6"/>
      <c r="O69" s="6"/>
      <c r="P69" s="6" t="str">
        <f>IF(OR(Table11219[[#This Row],[Type]]="Main Product", Table11219[[#This Row],[Type]]="Co-Product"), Table11219[[#This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IF(Table11219[[#This Row],[Type]]="Co-product", "No", "")</f>
        <v/>
      </c>
      <c r="J70" s="25"/>
      <c r="K70" s="6"/>
      <c r="L70" s="6" t="str">
        <f>IF(Table11219[[#This Row],[Category]]="Transportation", _xlfn.XLOOKUP(Table11219[[#This Row],[Resource]], 'SI - Payload'!$A$10:$A$40,'SI - Payload'!$B$10:$B$40,"",0), "")</f>
        <v/>
      </c>
      <c r="M70" s="6" t="str">
        <f>IF(Table11219[[#This Row],[Category]]="Transportation", "ton", "")</f>
        <v/>
      </c>
      <c r="N70" s="6"/>
      <c r="O70" s="6"/>
      <c r="P70" s="6" t="str">
        <f>IF(OR(Table11219[[#This Row],[Type]]="Main Product", Table11219[[#This Row],[Type]]="Co-Product"), Table11219[[#This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IF(Table11219[[#This Row],[Type]]="Co-product", "No", "")</f>
        <v/>
      </c>
      <c r="J71" s="25"/>
      <c r="K71" s="6"/>
      <c r="L71" s="6" t="str">
        <f>IF(Table11219[[#This Row],[Category]]="Transportation", _xlfn.XLOOKUP(Table11219[[#This Row],[Resource]], 'SI - Payload'!$A$10:$A$40,'SI - Payload'!$B$10:$B$40,"",0), "")</f>
        <v/>
      </c>
      <c r="M71" s="6" t="str">
        <f>IF(Table11219[[#This Row],[Category]]="Transportation", "ton", "")</f>
        <v/>
      </c>
      <c r="N71" s="6"/>
      <c r="O71" s="6"/>
      <c r="P71" s="6" t="str">
        <f>IF(OR(Table11219[[#This Row],[Type]]="Main Product", Table11219[[#This Row],[Type]]="Co-Product"), Table11219[[#This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IF(Table11219[[#This Row],[Type]]="Co-product", "No", "")</f>
        <v/>
      </c>
      <c r="J72" s="25"/>
      <c r="K72" s="6"/>
      <c r="L72" s="6" t="str">
        <f>IF(Table11219[[#This Row],[Category]]="Transportation", _xlfn.XLOOKUP(Table11219[[#This Row],[Resource]], 'SI - Payload'!$A$10:$A$40,'SI - Payload'!$B$10:$B$40,"",0), "")</f>
        <v/>
      </c>
      <c r="M72" s="6" t="str">
        <f>IF(Table11219[[#This Row],[Category]]="Transportation", "ton", "")</f>
        <v/>
      </c>
      <c r="N72" s="6"/>
      <c r="O72" s="6"/>
      <c r="P72" s="6" t="str">
        <f>IF(OR(Table11219[[#This Row],[Type]]="Main Product", Table11219[[#This Row],[Type]]="Co-Product"), Table11219[[#This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IF(Table11219[[#This Row],[Type]]="Co-product", "No", "")</f>
        <v/>
      </c>
      <c r="J73" s="25"/>
      <c r="K73" s="6"/>
      <c r="L73" s="6" t="str">
        <f>IF(Table11219[[#This Row],[Category]]="Transportation", _xlfn.XLOOKUP(Table11219[[#This Row],[Resource]], 'SI - Payload'!$A$10:$A$40,'SI - Payload'!$B$10:$B$40,"",0), "")</f>
        <v/>
      </c>
      <c r="M73" s="6" t="str">
        <f>IF(Table11219[[#This Row],[Category]]="Transportation", "ton", "")</f>
        <v/>
      </c>
      <c r="N73" s="6"/>
      <c r="O73" s="6"/>
      <c r="P73" s="6" t="str">
        <f>IF(OR(Table11219[[#This Row],[Type]]="Main Product", Table11219[[#This Row],[Type]]="Co-Product"), Table11219[[#This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IF(Table11219[[#This Row],[Type]]="Co-product", "No", "")</f>
        <v/>
      </c>
      <c r="J74" s="25"/>
      <c r="K74" s="6"/>
      <c r="L74" s="6" t="str">
        <f>IF(Table11219[[#This Row],[Category]]="Transportation", _xlfn.XLOOKUP(Table11219[[#This Row],[Resource]], 'SI - Payload'!$A$10:$A$40,'SI - Payload'!$B$10:$B$40,"",0), "")</f>
        <v/>
      </c>
      <c r="M74" s="6" t="str">
        <f>IF(Table11219[[#This Row],[Category]]="Transportation", "ton", "")</f>
        <v/>
      </c>
      <c r="N74" s="6"/>
      <c r="O74" s="6"/>
      <c r="P74" s="6" t="str">
        <f>IF(OR(Table11219[[#This Row],[Type]]="Main Product", Table11219[[#This Row],[Type]]="Co-Product"), Table11219[[#This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IF(Table11219[[#This Row],[Type]]="Co-product", "No", "")</f>
        <v/>
      </c>
      <c r="J75" s="25"/>
      <c r="K75" s="6"/>
      <c r="L75" s="6" t="str">
        <f>IF(Table11219[[#This Row],[Category]]="Transportation", _xlfn.XLOOKUP(Table11219[[#This Row],[Resource]], 'SI - Payload'!$A$10:$A$40,'SI - Payload'!$B$10:$B$40,"",0), "")</f>
        <v/>
      </c>
      <c r="M75" s="6" t="str">
        <f>IF(Table11219[[#This Row],[Category]]="Transportation", "ton", "")</f>
        <v/>
      </c>
      <c r="N75" s="6"/>
      <c r="O75" s="6"/>
      <c r="P75" s="6" t="str">
        <f>IF(OR(Table11219[[#This Row],[Type]]="Main Product", Table11219[[#This Row],[Type]]="Co-Product"), Table11219[[#This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IF(Table11219[[#This Row],[Type]]="Co-product", "No", "")</f>
        <v/>
      </c>
      <c r="J76" s="25"/>
      <c r="K76" s="6"/>
      <c r="L76" s="6" t="str">
        <f>IF(Table11219[[#This Row],[Category]]="Transportation", _xlfn.XLOOKUP(Table11219[[#This Row],[Resource]], 'SI - Payload'!$A$10:$A$40,'SI - Payload'!$B$10:$B$40,"",0), "")</f>
        <v/>
      </c>
      <c r="M76" s="6" t="str">
        <f>IF(Table11219[[#This Row],[Category]]="Transportation", "ton", "")</f>
        <v/>
      </c>
      <c r="N76" s="6"/>
      <c r="O76" s="6"/>
      <c r="P76" s="6" t="str">
        <f>IF(OR(Table11219[[#This Row],[Type]]="Main Product", Table11219[[#This Row],[Type]]="Co-Product"), Table11219[[#This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IF(Table11219[[#This Row],[Type]]="Co-product", "No", "")</f>
        <v/>
      </c>
      <c r="J77" s="25"/>
      <c r="K77" s="6"/>
      <c r="L77" s="6" t="str">
        <f>IF(Table11219[[#This Row],[Category]]="Transportation", _xlfn.XLOOKUP(Table11219[[#This Row],[Resource]], 'SI - Payload'!$A$10:$A$40,'SI - Payload'!$B$10:$B$40,"",0), "")</f>
        <v/>
      </c>
      <c r="M77" s="6" t="str">
        <f>IF(Table11219[[#This Row],[Category]]="Transportation", "ton", "")</f>
        <v/>
      </c>
      <c r="N77" s="6"/>
      <c r="O77" s="6"/>
      <c r="P77" s="6" t="str">
        <f>IF(OR(Table11219[[#This Row],[Type]]="Main Product", Table11219[[#This Row],[Type]]="Co-Product"), Table11219[[#This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IF(Table11219[[#This Row],[Type]]="Co-product", "No", "")</f>
        <v/>
      </c>
      <c r="J78" s="25"/>
      <c r="K78" s="6"/>
      <c r="L78" s="6" t="str">
        <f>IF(Table11219[[#This Row],[Category]]="Transportation", _xlfn.XLOOKUP(Table11219[[#This Row],[Resource]], 'SI - Payload'!$A$10:$A$40,'SI - Payload'!$B$10:$B$40,"",0), "")</f>
        <v/>
      </c>
      <c r="M78" s="6" t="str">
        <f>IF(Table11219[[#This Row],[Category]]="Transportation", "ton", "")</f>
        <v/>
      </c>
      <c r="N78" s="6"/>
      <c r="O78" s="6"/>
      <c r="P78" s="6" t="str">
        <f>IF(OR(Table11219[[#This Row],[Type]]="Main Product", Table11219[[#This Row],[Type]]="Co-Product"), Table11219[[#This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IF(Table11219[[#This Row],[Type]]="Co-product", "No", "")</f>
        <v/>
      </c>
      <c r="J79" s="25"/>
      <c r="K79" s="6"/>
      <c r="L79" s="6" t="str">
        <f>IF(Table11219[[#This Row],[Category]]="Transportation", _xlfn.XLOOKUP(Table11219[[#This Row],[Resource]], 'SI - Payload'!$A$10:$A$40,'SI - Payload'!$B$10:$B$40,"",0), "")</f>
        <v/>
      </c>
      <c r="M79" s="6" t="str">
        <f>IF(Table11219[[#This Row],[Category]]="Transportation", "ton", "")</f>
        <v/>
      </c>
      <c r="N79" s="6"/>
      <c r="O79" s="6"/>
      <c r="P79" s="6" t="str">
        <f>IF(OR(Table11219[[#This Row],[Type]]="Main Product", Table11219[[#This Row],[Type]]="Co-Product"), Table11219[[#This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IF(Table11219[[#This Row],[Type]]="Co-product", "No", "")</f>
        <v/>
      </c>
      <c r="J80" s="25"/>
      <c r="K80" s="6"/>
      <c r="L80" s="6" t="str">
        <f>IF(Table11219[[#This Row],[Category]]="Transportation", _xlfn.XLOOKUP(Table11219[[#This Row],[Resource]], 'SI - Payload'!$A$10:$A$40,'SI - Payload'!$B$10:$B$40,"",0), "")</f>
        <v/>
      </c>
      <c r="M80" s="6" t="str">
        <f>IF(Table11219[[#This Row],[Category]]="Transportation", "ton", "")</f>
        <v/>
      </c>
      <c r="N80" s="6"/>
      <c r="O80" s="6"/>
      <c r="P80" s="6" t="str">
        <f>IF(OR(Table11219[[#This Row],[Type]]="Main Product", Table11219[[#This Row],[Type]]="Co-Product"), Table11219[[#This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IF(Table11219[[#This Row],[Type]]="Co-product", "No", "")</f>
        <v/>
      </c>
      <c r="J81" s="25"/>
      <c r="K81" s="6"/>
      <c r="L81" s="6" t="str">
        <f>IF(Table11219[[#This Row],[Category]]="Transportation", _xlfn.XLOOKUP(Table11219[[#This Row],[Resource]], 'SI - Payload'!$A$10:$A$40,'SI - Payload'!$B$10:$B$40,"",0), "")</f>
        <v/>
      </c>
      <c r="M81" s="6" t="str">
        <f>IF(Table11219[[#This Row],[Category]]="Transportation", "ton", "")</f>
        <v/>
      </c>
      <c r="N81" s="6"/>
      <c r="O81" s="6"/>
      <c r="P81" s="6" t="str">
        <f>IF(OR(Table11219[[#This Row],[Type]]="Main Product", Table11219[[#This Row],[Type]]="Co-Product"), Table11219[[#This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IF(Table11219[[#This Row],[Type]]="Co-product", "No", "")</f>
        <v/>
      </c>
      <c r="J82" s="25"/>
      <c r="K82" s="6"/>
      <c r="L82" s="6" t="str">
        <f>IF(Table11219[[#This Row],[Category]]="Transportation", _xlfn.XLOOKUP(Table11219[[#This Row],[Resource]], 'SI - Payload'!$A$10:$A$40,'SI - Payload'!$B$10:$B$40,"",0), "")</f>
        <v/>
      </c>
      <c r="M82" s="6" t="str">
        <f>IF(Table11219[[#This Row],[Category]]="Transportation", "ton", "")</f>
        <v/>
      </c>
      <c r="N82" s="6"/>
      <c r="O82" s="6"/>
      <c r="P82" s="6" t="str">
        <f>IF(OR(Table11219[[#This Row],[Type]]="Main Product", Table11219[[#This Row],[Type]]="Co-Product"), Table11219[[#This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IF(Table11219[[#This Row],[Type]]="Co-product", "No", "")</f>
        <v/>
      </c>
      <c r="J83" s="25"/>
      <c r="K83" s="6"/>
      <c r="L83" s="6" t="str">
        <f>IF(Table11219[[#This Row],[Category]]="Transportation", _xlfn.XLOOKUP(Table11219[[#This Row],[Resource]], 'SI - Payload'!$A$10:$A$40,'SI - Payload'!$B$10:$B$40,"",0), "")</f>
        <v/>
      </c>
      <c r="M83" s="6" t="str">
        <f>IF(Table11219[[#This Row],[Category]]="Transportation", "ton", "")</f>
        <v/>
      </c>
      <c r="N83" s="6"/>
      <c r="O83" s="6"/>
      <c r="P83" s="6" t="str">
        <f>IF(OR(Table11219[[#This Row],[Type]]="Main Product", Table11219[[#This Row],[Type]]="Co-Product"), Table11219[[#This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IF(Table11219[[#This Row],[Type]]="Co-product", "No", "")</f>
        <v/>
      </c>
      <c r="J84" s="25"/>
      <c r="K84" s="6"/>
      <c r="L84" s="6" t="str">
        <f>IF(Table11219[[#This Row],[Category]]="Transportation", _xlfn.XLOOKUP(Table11219[[#This Row],[Resource]], 'SI - Payload'!$A$10:$A$40,'SI - Payload'!$B$10:$B$40,"",0), "")</f>
        <v/>
      </c>
      <c r="M84" s="6" t="str">
        <f>IF(Table11219[[#This Row],[Category]]="Transportation", "ton", "")</f>
        <v/>
      </c>
      <c r="N84" s="6"/>
      <c r="O84" s="6"/>
      <c r="P84" s="6" t="str">
        <f>IF(OR(Table11219[[#This Row],[Type]]="Main Product", Table11219[[#This Row],[Type]]="Co-Product"), Table11219[[#This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IF(Table11219[[#This Row],[Type]]="Co-product", "No", "")</f>
        <v/>
      </c>
      <c r="J85" s="25"/>
      <c r="K85" s="6"/>
      <c r="L85" s="6" t="str">
        <f>IF(Table11219[[#This Row],[Category]]="Transportation", _xlfn.XLOOKUP(Table11219[[#This Row],[Resource]], 'SI - Payload'!$A$10:$A$40,'SI - Payload'!$B$10:$B$40,"",0), "")</f>
        <v/>
      </c>
      <c r="M85" s="6" t="str">
        <f>IF(Table11219[[#This Row],[Category]]="Transportation", "ton", "")</f>
        <v/>
      </c>
      <c r="N85" s="6"/>
      <c r="O85" s="6"/>
      <c r="P85" s="6" t="str">
        <f>IF(OR(Table11219[[#This Row],[Type]]="Main Product", Table11219[[#This Row],[Type]]="Co-Product"), Table11219[[#This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IF(Table11219[[#This Row],[Type]]="Co-product", "No", "")</f>
        <v/>
      </c>
      <c r="J86" s="25"/>
      <c r="K86" s="6"/>
      <c r="L86" s="6" t="str">
        <f>IF(Table11219[[#This Row],[Category]]="Transportation", _xlfn.XLOOKUP(Table11219[[#This Row],[Resource]], 'SI - Payload'!$A$10:$A$40,'SI - Payload'!$B$10:$B$40,"",0), "")</f>
        <v/>
      </c>
      <c r="M86" s="6" t="str">
        <f>IF(Table11219[[#This Row],[Category]]="Transportation", "ton", "")</f>
        <v/>
      </c>
      <c r="N86" s="6"/>
      <c r="O86" s="6"/>
      <c r="P86" s="6" t="str">
        <f>IF(OR(Table11219[[#This Row],[Type]]="Main Product", Table11219[[#This Row],[Type]]="Co-Product"), Table11219[[#This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IF(Table11219[[#This Row],[Type]]="Co-product", "No", "")</f>
        <v/>
      </c>
      <c r="J87" s="25"/>
      <c r="K87" s="6"/>
      <c r="L87" s="6" t="str">
        <f>IF(Table11219[[#This Row],[Category]]="Transportation", _xlfn.XLOOKUP(Table11219[[#This Row],[Resource]], 'SI - Payload'!$A$10:$A$40,'SI - Payload'!$B$10:$B$40,"",0), "")</f>
        <v/>
      </c>
      <c r="M87" s="6" t="str">
        <f>IF(Table11219[[#This Row],[Category]]="Transportation", "ton", "")</f>
        <v/>
      </c>
      <c r="N87" s="6"/>
      <c r="O87" s="6"/>
      <c r="P87" s="6" t="str">
        <f>IF(OR(Table11219[[#This Row],[Type]]="Main Product", Table11219[[#This Row],[Type]]="Co-Product"), Table11219[[#This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IF(Table11219[[#This Row],[Type]]="Co-product", "No", "")</f>
        <v/>
      </c>
      <c r="J88" s="25"/>
      <c r="K88" s="6"/>
      <c r="L88" s="6" t="str">
        <f>IF(Table11219[[#This Row],[Category]]="Transportation", _xlfn.XLOOKUP(Table11219[[#This Row],[Resource]], 'SI - Payload'!$A$10:$A$40,'SI - Payload'!$B$10:$B$40,"",0), "")</f>
        <v/>
      </c>
      <c r="M88" s="6" t="str">
        <f>IF(Table11219[[#This Row],[Category]]="Transportation", "ton", "")</f>
        <v/>
      </c>
      <c r="N88" s="6"/>
      <c r="O88" s="6"/>
      <c r="P88" s="6" t="str">
        <f>IF(OR(Table11219[[#This Row],[Type]]="Main Product", Table11219[[#This Row],[Type]]="Co-Product"), Table11219[[#This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IF(Table11219[[#This Row],[Type]]="Co-product", "No", "")</f>
        <v/>
      </c>
      <c r="J89" s="25"/>
      <c r="K89" s="6"/>
      <c r="L89" s="6" t="str">
        <f>IF(Table11219[[#This Row],[Category]]="Transportation", _xlfn.XLOOKUP(Table11219[[#This Row],[Resource]], 'SI - Payload'!$A$10:$A$40,'SI - Payload'!$B$10:$B$40,"",0), "")</f>
        <v/>
      </c>
      <c r="M89" s="6" t="str">
        <f>IF(Table11219[[#This Row],[Category]]="Transportation", "ton", "")</f>
        <v/>
      </c>
      <c r="N89" s="6"/>
      <c r="O89" s="6"/>
      <c r="P89" s="6" t="str">
        <f>IF(OR(Table11219[[#This Row],[Type]]="Main Product", Table11219[[#This Row],[Type]]="Co-Product"), Table11219[[#This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IF(Table11219[[#This Row],[Type]]="Co-product", "No", "")</f>
        <v/>
      </c>
      <c r="J90" s="25"/>
      <c r="K90" s="6"/>
      <c r="L90" s="6" t="str">
        <f>IF(Table11219[[#This Row],[Category]]="Transportation", _xlfn.XLOOKUP(Table11219[[#This Row],[Resource]], 'SI - Payload'!$A$10:$A$40,'SI - Payload'!$B$10:$B$40,"",0), "")</f>
        <v/>
      </c>
      <c r="M90" s="6" t="str">
        <f>IF(Table11219[[#This Row],[Category]]="Transportation", "ton", "")</f>
        <v/>
      </c>
      <c r="N90" s="6"/>
      <c r="O90" s="6"/>
      <c r="P90" s="6" t="str">
        <f>IF(OR(Table11219[[#This Row],[Type]]="Main Product", Table11219[[#This Row],[Type]]="Co-Product"), Table11219[[#This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IF(Table11219[[#This Row],[Type]]="Co-product", "No", "")</f>
        <v/>
      </c>
      <c r="J91" s="25"/>
      <c r="K91" s="6"/>
      <c r="L91" s="6" t="str">
        <f>IF(Table11219[[#This Row],[Category]]="Transportation", _xlfn.XLOOKUP(Table11219[[#This Row],[Resource]], 'SI - Payload'!$A$10:$A$40,'SI - Payload'!$B$10:$B$40,"",0), "")</f>
        <v/>
      </c>
      <c r="M91" s="6" t="str">
        <f>IF(Table11219[[#This Row],[Category]]="Transportation", "ton", "")</f>
        <v/>
      </c>
      <c r="N91" s="6"/>
      <c r="O91" s="6"/>
      <c r="P91" s="6" t="str">
        <f>IF(OR(Table11219[[#This Row],[Type]]="Main Product", Table11219[[#This Row],[Type]]="Co-Product"), Table11219[[#This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IF(Table11219[[#This Row],[Type]]="Co-product", "No", "")</f>
        <v/>
      </c>
      <c r="J92" s="25"/>
      <c r="K92" s="6"/>
      <c r="L92" s="6" t="str">
        <f>IF(Table11219[[#This Row],[Category]]="Transportation", _xlfn.XLOOKUP(Table11219[[#This Row],[Resource]], 'SI - Payload'!$A$10:$A$40,'SI - Payload'!$B$10:$B$40,"",0), "")</f>
        <v/>
      </c>
      <c r="M92" s="6" t="str">
        <f>IF(Table11219[[#This Row],[Category]]="Transportation", "ton", "")</f>
        <v/>
      </c>
      <c r="N92" s="6"/>
      <c r="O92" s="6"/>
      <c r="P92" s="6" t="str">
        <f>IF(OR(Table11219[[#This Row],[Type]]="Main Product", Table11219[[#This Row],[Type]]="Co-Product"), Table11219[[#This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IF(Table11219[[#This Row],[Type]]="Co-product", "No", "")</f>
        <v/>
      </c>
      <c r="J93" s="25"/>
      <c r="K93" s="6"/>
      <c r="L93" s="6" t="str">
        <f>IF(Table11219[[#This Row],[Category]]="Transportation", _xlfn.XLOOKUP(Table11219[[#This Row],[Resource]], 'SI - Payload'!$A$10:$A$40,'SI - Payload'!$B$10:$B$40,"",0), "")</f>
        <v/>
      </c>
      <c r="M93" s="6" t="str">
        <f>IF(Table11219[[#This Row],[Category]]="Transportation", "ton", "")</f>
        <v/>
      </c>
      <c r="N93" s="6"/>
      <c r="O93" s="6"/>
      <c r="P93" s="6" t="str">
        <f>IF(OR(Table11219[[#This Row],[Type]]="Main Product", Table11219[[#This Row],[Type]]="Co-Product"), Table11219[[#This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IF(Table11219[[#This Row],[Type]]="Co-product", "No", "")</f>
        <v/>
      </c>
      <c r="J94" s="25"/>
      <c r="K94" s="6"/>
      <c r="L94" s="6" t="str">
        <f>IF(Table11219[[#This Row],[Category]]="Transportation", _xlfn.XLOOKUP(Table11219[[#This Row],[Resource]], 'SI - Payload'!$A$10:$A$40,'SI - Payload'!$B$10:$B$40,"",0), "")</f>
        <v/>
      </c>
      <c r="M94" s="6" t="str">
        <f>IF(Table11219[[#This Row],[Category]]="Transportation", "ton", "")</f>
        <v/>
      </c>
      <c r="N94" s="6"/>
      <c r="O94" s="6"/>
      <c r="P94" s="6" t="str">
        <f>IF(OR(Table11219[[#This Row],[Type]]="Main Product", Table11219[[#This Row],[Type]]="Co-Product"), Table11219[[#This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IF(Table11219[[#This Row],[Type]]="Co-product", "No", "")</f>
        <v/>
      </c>
      <c r="J95" s="25"/>
      <c r="K95" s="6"/>
      <c r="L95" s="6" t="str">
        <f>IF(Table11219[[#This Row],[Category]]="Transportation", _xlfn.XLOOKUP(Table11219[[#This Row],[Resource]], 'SI - Payload'!$A$10:$A$40,'SI - Payload'!$B$10:$B$40,"",0), "")</f>
        <v/>
      </c>
      <c r="M95" s="6" t="str">
        <f>IF(Table11219[[#This Row],[Category]]="Transportation", "ton", "")</f>
        <v/>
      </c>
      <c r="N95" s="6"/>
      <c r="O95" s="6"/>
      <c r="P95" s="6" t="str">
        <f>IF(OR(Table11219[[#This Row],[Type]]="Main Product", Table11219[[#This Row],[Type]]="Co-Product"), Table11219[[#This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IF(Table11219[[#This Row],[Type]]="Co-product", "No", "")</f>
        <v/>
      </c>
      <c r="J96" s="25"/>
      <c r="K96" s="6"/>
      <c r="L96" s="6" t="str">
        <f>IF(Table11219[[#This Row],[Category]]="Transportation", _xlfn.XLOOKUP(Table11219[[#This Row],[Resource]], 'SI - Payload'!$A$10:$A$40,'SI - Payload'!$B$10:$B$40,"",0), "")</f>
        <v/>
      </c>
      <c r="M96" s="6" t="str">
        <f>IF(Table11219[[#This Row],[Category]]="Transportation", "ton", "")</f>
        <v/>
      </c>
      <c r="N96" s="6"/>
      <c r="O96" s="6"/>
      <c r="P96" s="6" t="str">
        <f>IF(OR(Table11219[[#This Row],[Type]]="Main Product", Table11219[[#This Row],[Type]]="Co-Product"), Table11219[[#This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IF(Table11219[[#This Row],[Type]]="Co-product", "No", "")</f>
        <v/>
      </c>
      <c r="J97" s="25"/>
      <c r="K97" s="6"/>
      <c r="L97" s="6" t="str">
        <f>IF(Table11219[[#This Row],[Category]]="Transportation", _xlfn.XLOOKUP(Table11219[[#This Row],[Resource]], 'SI - Payload'!$A$10:$A$40,'SI - Payload'!$B$10:$B$40,"",0), "")</f>
        <v/>
      </c>
      <c r="M97" s="6" t="str">
        <f>IF(Table11219[[#This Row],[Category]]="Transportation", "ton", "")</f>
        <v/>
      </c>
      <c r="N97" s="6"/>
      <c r="O97" s="6"/>
      <c r="P97" s="6" t="str">
        <f>IF(OR(Table11219[[#This Row],[Type]]="Main Product", Table11219[[#This Row],[Type]]="Co-Product"), Table11219[[#This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IF(Table11219[[#This Row],[Type]]="Co-product", "No", "")</f>
        <v/>
      </c>
      <c r="J98" s="25"/>
      <c r="K98" s="6"/>
      <c r="L98" s="6" t="str">
        <f>IF(Table11219[[#This Row],[Category]]="Transportation", _xlfn.XLOOKUP(Table11219[[#This Row],[Resource]], 'SI - Payload'!$A$10:$A$40,'SI - Payload'!$B$10:$B$40,"",0), "")</f>
        <v/>
      </c>
      <c r="M98" s="6" t="str">
        <f>IF(Table11219[[#This Row],[Category]]="Transportation", "ton", "")</f>
        <v/>
      </c>
      <c r="N98" s="6"/>
      <c r="O98" s="6"/>
      <c r="P98" s="6" t="str">
        <f>IF(OR(Table11219[[#This Row],[Type]]="Main Product", Table11219[[#This Row],[Type]]="Co-Product"), Table11219[[#This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IF(Table11219[[#This Row],[Type]]="Co-product", "No", "")</f>
        <v/>
      </c>
      <c r="J99" s="25"/>
      <c r="K99" s="6"/>
      <c r="L99" s="6" t="str">
        <f>IF(Table11219[[#This Row],[Category]]="Transportation", _xlfn.XLOOKUP(Table11219[[#This Row],[Resource]], 'SI - Payload'!$A$10:$A$40,'SI - Payload'!$B$10:$B$40,"",0), "")</f>
        <v/>
      </c>
      <c r="M99" s="6" t="str">
        <f>IF(Table11219[[#This Row],[Category]]="Transportation", "ton", "")</f>
        <v/>
      </c>
      <c r="N99" s="6"/>
      <c r="O99" s="6"/>
      <c r="P99" s="6" t="str">
        <f>IF(OR(Table11219[[#This Row],[Type]]="Main Product", Table11219[[#This Row],[Type]]="Co-Product"), Table11219[[#This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IF(Table11219[[#This Row],[Type]]="Co-product", "No", "")</f>
        <v/>
      </c>
      <c r="J100" s="25"/>
      <c r="K100" s="6"/>
      <c r="L100" s="6" t="str">
        <f>IF(Table11219[[#This Row],[Category]]="Transportation", _xlfn.XLOOKUP(Table11219[[#This Row],[Resource]], 'SI - Payload'!$A$10:$A$40,'SI - Payload'!$B$10:$B$40,"",0), "")</f>
        <v/>
      </c>
      <c r="M100" s="6" t="str">
        <f>IF(Table11219[[#This Row],[Category]]="Transportation", "ton", "")</f>
        <v/>
      </c>
      <c r="N100" s="6"/>
      <c r="O100" s="6"/>
      <c r="P100" s="6" t="str">
        <f>IF(OR(Table11219[[#This Row],[Type]]="Main Product", Table11219[[#This Row],[Type]]="Co-Product"), Table11219[[#This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B0DE46E5-D501-4B1D-BA3A-7C54534FD761}">
      <formula1>"Yes, No"</formula1>
    </dataValidation>
    <dataValidation type="custom" allowBlank="1" showInputMessage="1" showErrorMessage="1" sqref="E6:E100" xr:uid="{54CAAD99-15B3-47DB-96A3-5296E1E8AF3D}">
      <formula1>ISNUMBER(E6)</formula1>
    </dataValidation>
    <dataValidation type="decimal" allowBlank="1" showInputMessage="1" showErrorMessage="1" error="Please type a number between 0 and 1." sqref="G6:G100" xr:uid="{BE141F6F-18CB-4E7E-928A-EAD7BAF0A0F8}">
      <formula1>0</formula1>
      <formula2>1</formula2>
    </dataValidation>
    <dataValidation type="decimal" operator="greaterThan" allowBlank="1" showInputMessage="1" showErrorMessage="1" error="Please type a positive price." sqref="N6:N100" xr:uid="{165A5F47-139D-4AC0-8B9A-A81608DE2523}">
      <formula1>0</formula1>
    </dataValidation>
    <dataValidation type="decimal" operator="greaterThan" allowBlank="1" showInputMessage="1" showErrorMessage="1" error="Please type a positive number." sqref="L6:L100" xr:uid="{E82B557D-C5A2-45AD-B1E4-860194FD6290}">
      <formula1>0</formula1>
    </dataValidation>
    <dataValidation type="list" allowBlank="1" showInputMessage="1" showErrorMessage="1" sqref="M6:M100" xr:uid="{3515F2F2-C4E1-46FA-8324-B23D5B6DBC17}">
      <formula1>payload_units</formula1>
    </dataValidation>
    <dataValidation type="decimal" allowBlank="1" showInputMessage="1" showErrorMessage="1" sqref="J6:J100" xr:uid="{EEE7341A-FE0C-4EB4-A4F6-D5C0D722726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48EBD12-7032-40B0-B78D-F2E3FD8C107D}">
          <x14:formula1>
            <xm:f>'SI - Co-products'!$D$2:$D$8</xm:f>
          </x14:formula1>
          <xm:sqref>C1</xm:sqref>
        </x14:dataValidation>
        <x14:dataValidation type="list" allowBlank="1" showInputMessage="1" showErrorMessage="1" xr:uid="{6DAB2BCA-446F-49B1-9299-779D58BF4E96}">
          <x14:formula1>
            <xm:f>'SI - Co-products'!$A$2:$A$5</xm:f>
          </x14:formula1>
          <xm:sqref>K6:K100</xm:sqref>
        </x14:dataValidation>
        <x14:dataValidation type="list" allowBlank="1" showInputMessage="1" showErrorMessage="1" xr:uid="{A3C1F419-EF72-43F4-B887-1CF834D16526}">
          <x14:formula1>
            <xm:f>'SI - Co-products'!$C$2:$C$4</xm:f>
          </x14:formula1>
          <xm:sqref>I6:I100</xm:sqref>
        </x14:dataValidation>
        <x14:dataValidation type="list" allowBlank="1" showInputMessage="1" showErrorMessage="1" xr:uid="{98A57275-8AFB-41AC-851D-C0C92077CAFC}">
          <x14:formula1>
            <xm:f>'SI - Resources'!$A$1:$J$1</xm:f>
          </x14:formula1>
          <xm:sqref>B6:B100</xm:sqref>
        </x14:dataValidation>
        <x14:dataValidation type="list" allowBlank="1" showInputMessage="1" showErrorMessage="1" xr:uid="{F15092FA-6F30-4718-907F-3B1CA80FB090}">
          <x14:formula1>
            <xm:f>'SI - Co-products'!$B$2:$B$6</xm:f>
          </x14:formula1>
          <xm:sqref>A6:A100</xm:sqref>
        </x14:dataValidation>
        <x14:dataValidation type="list" allowBlank="1" showInputMessage="1" showErrorMessage="1" xr:uid="{9A3B3912-4D01-428A-9C9D-AA7677607D04}">
          <x14:formula1>
            <xm:f>INDIRECT(_xlfn.XLOOKUP($B6, 'SI - Resources'!$R$1:$R$10,'SI - Resources'!$S$1:$S$10, "placeholder_resource", 0))</xm:f>
          </x14:formula1>
          <xm:sqref>P6:P100 C6:C100</xm:sqref>
        </x14:dataValidation>
        <x14:dataValidation type="list" allowBlank="1" showInputMessage="1" xr:uid="{D379D095-4CD4-4A2A-9E9F-2FCA4EF7BC8D}">
          <x14:formula1>
            <xm:f>INDIRECT(_xlfn.XLOOKUP($C6,'SI - End Use'!$A$14:$A$23,'SI - End Use'!$B$14:$B$23,"other_end_use",0))</xm:f>
          </x14:formula1>
          <xm:sqref>D6:D100</xm:sqref>
        </x14:dataValidation>
        <x14:dataValidation type="list" allowBlank="1" showInputMessage="1" showErrorMessage="1" xr:uid="{0673D0A0-705E-4491-B14B-BEFB2D9729E0}">
          <x14:formula1>
            <xm:f>INDIRECT(_xlfn.XLOOKUP($P6,'SI - End Use'!$A$14:$A$23,'SI - End Use'!$B$14:$B$23,"other_end_use",0))</xm:f>
          </x14:formula1>
          <xm:sqref>Q6:R100</xm:sqref>
        </x14:dataValidation>
        <x14:dataValidation type="list" allowBlank="1" showInputMessage="1" showErrorMessage="1" xr:uid="{64984493-B727-476C-B9FB-6826040E40FD}">
          <x14:formula1>
            <xm:f>IF($B6="Transportation",  transport_units, INDIRECT(_xlfn.XLOOKUP($C6, 'SI - Units'!$F$27:$F$41,'SI - Units'!$G$27:$G$41,"mass",0)))</xm:f>
          </x14:formula1>
          <xm:sqref>F6:F100</xm:sqref>
        </x14:dataValidation>
        <x14:dataValidation type="list" allowBlank="1" showInputMessage="1" showErrorMessage="1" xr:uid="{86079FD0-321D-43A7-8EE8-A47C8D54F91D}">
          <x14:formula1>
            <xm:f>INDIRECT("p_"&amp;_xlfn.XLOOKUP($C6,'SI - Units'!$F$27:$F$41,'SI - Units'!$G$27:$G$41,"mass",0))</xm:f>
          </x14:formula1>
          <xm:sqref>O6:O100</xm:sqref>
        </x14:dataValidation>
        <x14:dataValidation type="list" allowBlank="1" showInputMessage="1" showErrorMessage="1" xr:uid="{64288755-7EC4-4BEC-A7EF-9C79F72BB202}">
          <x14:formula1>
            <xm:f>_xlfn.XLOOKUP(_xlfn.XLOOKUP(#REF!,'SI - Units'!$B$25:$B$113,'SI - Units'!$C$25:$C$113),'SI - Units'!$A$2:$A$9,'SI - Units'!$B$2:$R$9)</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05F3E-2440-4512-B9EB-5CDE25A04267}">
  <sheetPr codeName="Sheet22"/>
  <dimension ref="A1:T99"/>
  <sheetViews>
    <sheetView workbookViewId="0">
      <pane ySplit="5" topLeftCell="A24" activePane="bottomLeft" state="frozen"/>
      <selection activeCell="C19" sqref="C19"/>
      <selection pane="bottomLeft" activeCell="H25" sqref="H2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348</v>
      </c>
      <c r="I6" s="26" t="str">
        <f>IF(Table11320[[#This Row],[Type]]="Co-product", "No", "")</f>
        <v/>
      </c>
      <c r="J6" s="25"/>
      <c r="K6" s="6"/>
      <c r="L6" s="6" t="str">
        <f>IF(Table11320[[#This Row],[Category]]="Transportation", _xlfn.XLOOKUP(Table11320[[#This Row],[Resource]], 'SI - Payload'!$A$10:$A$40,'SI - Payload'!$B$10:$B$40,"",0), "")</f>
        <v/>
      </c>
      <c r="M6" s="6" t="str">
        <f>IF(Table11320[[#This Row],[Category]]="Transportation", "ton", "")</f>
        <v/>
      </c>
      <c r="N6" s="6"/>
      <c r="O6" s="6"/>
      <c r="P6" s="6" t="str">
        <f>IF(OR(Table11320[[#This Row],[Type]]="Main Product", Table11320[[#This Row],[Type]]="Co-Product"), Table11320[[#This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232730</v>
      </c>
      <c r="F7" s="6" t="s">
        <v>69</v>
      </c>
      <c r="G7" s="25"/>
      <c r="H7" s="25"/>
      <c r="I7" s="26" t="str">
        <f>IF(Table11320[[#This Row],[Type]]="Co-product", "No", "")</f>
        <v/>
      </c>
      <c r="J7" s="25"/>
      <c r="K7" s="6"/>
      <c r="L7" s="6" t="str">
        <f>IF(Table11320[[#This Row],[Category]]="Transportation", _xlfn.XLOOKUP(Table11320[[#This Row],[Resource]], 'SI - Payload'!$A$10:$A$40,'SI - Payload'!$B$10:$B$40,"",0), "")</f>
        <v/>
      </c>
      <c r="M7" s="6" t="str">
        <f>IF(Table11320[[#This Row],[Category]]="Transportation", "ton", "")</f>
        <v/>
      </c>
      <c r="N7" s="6"/>
      <c r="O7" s="6"/>
      <c r="P7" s="6" t="str">
        <f>IF(OR(Table11320[[#This Row],[Type]]="Main Product", Table11320[[#This Row],[Type]]="Co-Product"), Table11320[[#This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0.87</v>
      </c>
      <c r="F8" s="6" t="s">
        <v>11</v>
      </c>
      <c r="G8" s="25"/>
      <c r="H8" s="25"/>
      <c r="I8" s="26" t="str">
        <f>IF(Table11320[[#This Row],[Type]]="Co-product", "No", "")</f>
        <v/>
      </c>
      <c r="J8" s="25"/>
      <c r="K8" s="6"/>
      <c r="L8" s="6" t="str">
        <f>IF(Table11320[[#This Row],[Category]]="Transportation", _xlfn.XLOOKUP(Table11320[[#This Row],[Resource]], 'SI - Payload'!$A$10:$A$40,'SI - Payload'!$B$10:$B$40,"",0), "")</f>
        <v/>
      </c>
      <c r="M8" s="6" t="str">
        <f>IF(Table11320[[#This Row],[Category]]="Transportation", "ton", "")</f>
        <v/>
      </c>
      <c r="N8" s="6"/>
      <c r="O8" s="6"/>
      <c r="P8" s="6" t="str">
        <f>IF(OR(Table11320[[#This Row],[Type]]="Main Product", Table11320[[#This Row],[Type]]="Co-Product"), Table11320[[#This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IF(Table11320[[#This Row],[Type]]="Co-product", "No", "")</f>
        <v/>
      </c>
      <c r="J9" s="25"/>
      <c r="K9" s="6"/>
      <c r="L9" s="6" t="str">
        <f>IF(Table11320[[#This Row],[Category]]="Transportation", _xlfn.XLOOKUP(Table11320[[#This Row],[Resource]], 'SI - Payload'!$A$10:$A$40,'SI - Payload'!$B$10:$B$40,"",0), "")</f>
        <v/>
      </c>
      <c r="M9" s="6" t="str">
        <f>IF(Table11320[[#This Row],[Category]]="Transportation", "ton", "")</f>
        <v/>
      </c>
      <c r="N9" s="6"/>
      <c r="O9" s="6"/>
      <c r="P9" s="6" t="str">
        <f>IF(OR(Table11320[[#This Row],[Type]]="Main Product", Table11320[[#This Row],[Type]]="Co-Product"), Table11320[[#This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IF(Table11320[[#This Row],[Type]]="Co-product", "No", "")</f>
        <v/>
      </c>
      <c r="J10" s="25"/>
      <c r="K10" s="6"/>
      <c r="L10" s="6" t="str">
        <f>IF(Table11320[[#This Row],[Category]]="Transportation", _xlfn.XLOOKUP(Table11320[[#This Row],[Resource]], 'SI - Payload'!$A$10:$A$40,'SI - Payload'!$B$10:$B$40,"",0), "")</f>
        <v/>
      </c>
      <c r="M10" s="6" t="str">
        <f>IF(Table11320[[#This Row],[Category]]="Transportation", "ton", "")</f>
        <v/>
      </c>
      <c r="N10" s="6"/>
      <c r="O10" s="6"/>
      <c r="P10" s="6" t="str">
        <f>IF(OR(Table11320[[#This Row],[Type]]="Main Product", Table11320[[#This Row],[Type]]="Co-Product"), Table11320[[#This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IF(Table11320[[#This Row],[Type]]="Co-product", "No", "")</f>
        <v/>
      </c>
      <c r="J11" s="25"/>
      <c r="K11" s="6"/>
      <c r="L11" s="6" t="str">
        <f>IF(Table11320[[#This Row],[Category]]="Transportation", _xlfn.XLOOKUP(Table11320[[#This Row],[Resource]], 'SI - Payload'!$A$10:$A$40,'SI - Payload'!$B$10:$B$40,"",0), "")</f>
        <v/>
      </c>
      <c r="M11" s="6" t="str">
        <f>IF(Table11320[[#This Row],[Category]]="Transportation", "ton", "")</f>
        <v/>
      </c>
      <c r="N11" s="6"/>
      <c r="O11" s="6"/>
      <c r="P11" s="6" t="str">
        <f>IF(OR(Table11320[[#This Row],[Type]]="Main Product", Table11320[[#This Row],[Type]]="Co-Product"), Table11320[[#This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IF(Table11320[[#This Row],[Type]]="Co-product", "No", "")</f>
        <v/>
      </c>
      <c r="J12" s="25"/>
      <c r="K12" s="6"/>
      <c r="L12" s="6" t="str">
        <f>IF(Table11320[[#This Row],[Category]]="Transportation", _xlfn.XLOOKUP(Table11320[[#This Row],[Resource]], 'SI - Payload'!$A$10:$A$40,'SI - Payload'!$B$10:$B$40,"",0), "")</f>
        <v/>
      </c>
      <c r="M12" s="6" t="str">
        <f>IF(Table11320[[#This Row],[Category]]="Transportation", "ton", "")</f>
        <v/>
      </c>
      <c r="N12" s="6"/>
      <c r="O12" s="6"/>
      <c r="P12" s="6" t="str">
        <f>IF(OR(Table11320[[#This Row],[Type]]="Main Product", Table11320[[#This Row],[Type]]="Co-Product"), Table11320[[#This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IF(Table11320[[#This Row],[Type]]="Co-product", "No", "")</f>
        <v/>
      </c>
      <c r="J13" s="25"/>
      <c r="K13" s="6"/>
      <c r="L13" s="6" t="str">
        <f>IF(Table11320[[#This Row],[Category]]="Transportation", _xlfn.XLOOKUP(Table11320[[#This Row],[Resource]], 'SI - Payload'!$A$10:$A$40,'SI - Payload'!$B$10:$B$40,"",0), "")</f>
        <v/>
      </c>
      <c r="M13" s="6" t="str">
        <f>IF(Table11320[[#This Row],[Category]]="Transportation", "ton", "")</f>
        <v/>
      </c>
      <c r="N13" s="6"/>
      <c r="O13" s="6"/>
      <c r="P13" s="6" t="str">
        <f>IF(OR(Table11320[[#This Row],[Type]]="Main Product", Table11320[[#This Row],[Type]]="Co-Product"), Table11320[[#This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IF(Table11320[[#This Row],[Type]]="Co-product", "No", "")</f>
        <v/>
      </c>
      <c r="J14" s="25"/>
      <c r="K14" s="6"/>
      <c r="L14" s="6" t="str">
        <f>IF(Table11320[[#This Row],[Category]]="Transportation", _xlfn.XLOOKUP(Table11320[[#This Row],[Resource]], 'SI - Payload'!$A$10:$A$40,'SI - Payload'!$B$10:$B$40,"",0), "")</f>
        <v/>
      </c>
      <c r="M14" s="6" t="str">
        <f>IF(Table11320[[#This Row],[Category]]="Transportation", "ton", "")</f>
        <v/>
      </c>
      <c r="N14" s="6"/>
      <c r="O14" s="6"/>
      <c r="P14" s="6" t="str">
        <f>IF(OR(Table11320[[#This Row],[Type]]="Main Product", Table11320[[#This Row],[Type]]="Co-Product"), Table11320[[#This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IF(Table11320[[#This Row],[Type]]="Co-product", "No", "")</f>
        <v/>
      </c>
      <c r="J15" s="25"/>
      <c r="K15" s="6"/>
      <c r="L15" s="6" t="str">
        <f>IF(Table11320[[#This Row],[Category]]="Transportation", _xlfn.XLOOKUP(Table11320[[#This Row],[Resource]], 'SI - Payload'!$A$10:$A$40,'SI - Payload'!$B$10:$B$40,"",0), "")</f>
        <v/>
      </c>
      <c r="M15" s="6" t="str">
        <f>IF(Table11320[[#This Row],[Category]]="Transportation", "ton", "")</f>
        <v/>
      </c>
      <c r="N15" s="6"/>
      <c r="O15" s="6"/>
      <c r="P15" s="6" t="str">
        <f>IF(OR(Table11320[[#This Row],[Type]]="Main Product", Table11320[[#This Row],[Type]]="Co-Product"), Table11320[[#This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IF(Table11320[[#This Row],[Type]]="Co-product", "No", "")</f>
        <v/>
      </c>
      <c r="J16" s="25"/>
      <c r="K16" s="6"/>
      <c r="L16" s="6" t="str">
        <f>IF(Table11320[[#This Row],[Category]]="Transportation", _xlfn.XLOOKUP(Table11320[[#This Row],[Resource]], 'SI - Payload'!$A$10:$A$40,'SI - Payload'!$B$10:$B$40,"",0), "")</f>
        <v/>
      </c>
      <c r="M16" s="6" t="str">
        <f>IF(Table11320[[#This Row],[Category]]="Transportation", "ton", "")</f>
        <v/>
      </c>
      <c r="N16" s="6"/>
      <c r="O16" s="6"/>
      <c r="P16" s="6" t="str">
        <f>IF(OR(Table11320[[#This Row],[Type]]="Main Product", Table11320[[#This Row],[Type]]="Co-Product"), Table11320[[#This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IF(Table11320[[#This Row],[Type]]="Co-product", "No", "")</f>
        <v/>
      </c>
      <c r="J17" s="25"/>
      <c r="K17" s="6"/>
      <c r="L17" s="6" t="str">
        <f>IF(Table11320[[#This Row],[Category]]="Transportation", _xlfn.XLOOKUP(Table11320[[#This Row],[Resource]], 'SI - Payload'!$A$10:$A$40,'SI - Payload'!$B$10:$B$40,"",0), "")</f>
        <v/>
      </c>
      <c r="M17" s="6" t="str">
        <f>IF(Table11320[[#This Row],[Category]]="Transportation", "ton", "")</f>
        <v/>
      </c>
      <c r="N17" s="6"/>
      <c r="O17" s="6"/>
      <c r="P17" s="6" t="str">
        <f>IF(OR(Table11320[[#This Row],[Type]]="Main Product", Table11320[[#This Row],[Type]]="Co-Product"), Table11320[[#This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IF(Table11320[[#This Row],[Type]]="Co-product", "No", "")</f>
        <v/>
      </c>
      <c r="J18" s="25"/>
      <c r="K18" s="6"/>
      <c r="L18" s="6" t="str">
        <f>IF(Table11320[[#This Row],[Category]]="Transportation", _xlfn.XLOOKUP(Table11320[[#This Row],[Resource]], 'SI - Payload'!$A$10:$A$40,'SI - Payload'!$B$10:$B$40,"",0), "")</f>
        <v/>
      </c>
      <c r="M18" s="6" t="str">
        <f>IF(Table11320[[#This Row],[Category]]="Transportation", "ton", "")</f>
        <v/>
      </c>
      <c r="N18" s="6"/>
      <c r="O18" s="6"/>
      <c r="P18" s="6" t="str">
        <f>IF(OR(Table11320[[#This Row],[Type]]="Main Product", Table11320[[#This Row],[Type]]="Co-Product"), Table11320[[#This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IF(Table11320[[#This Row],[Type]]="Co-product", "No", "")</f>
        <v/>
      </c>
      <c r="J19" s="25"/>
      <c r="K19" s="6"/>
      <c r="L19" s="6" t="str">
        <f>IF(Table11320[[#This Row],[Category]]="Transportation", _xlfn.XLOOKUP(Table11320[[#This Row],[Resource]], 'SI - Payload'!$A$10:$A$40,'SI - Payload'!$B$10:$B$40,"",0), "")</f>
        <v/>
      </c>
      <c r="M19" s="6" t="str">
        <f>IF(Table11320[[#This Row],[Category]]="Transportation", "ton", "")</f>
        <v/>
      </c>
      <c r="N19" s="6"/>
      <c r="O19" s="6"/>
      <c r="P19" s="6" t="str">
        <f>IF(OR(Table11320[[#This Row],[Type]]="Main Product", Table11320[[#This Row],[Type]]="Co-Product"), Table11320[[#This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IF(Table11320[[#This Row],[Type]]="Co-product", "No", "")</f>
        <v/>
      </c>
      <c r="J20" s="25"/>
      <c r="K20" s="6"/>
      <c r="L20" s="6" t="str">
        <f>IF(Table11320[[#This Row],[Category]]="Transportation", _xlfn.XLOOKUP(Table11320[[#This Row],[Resource]], 'SI - Payload'!$A$10:$A$40,'SI - Payload'!$B$10:$B$40,"",0), "")</f>
        <v/>
      </c>
      <c r="M20" s="6" t="str">
        <f>IF(Table11320[[#This Row],[Category]]="Transportation", "ton", "")</f>
        <v/>
      </c>
      <c r="N20" s="6"/>
      <c r="O20" s="6"/>
      <c r="P20" s="6" t="str">
        <f>IF(OR(Table11320[[#This Row],[Type]]="Main Product", Table11320[[#This Row],[Type]]="Co-Product"), Table11320[[#This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IF(Table11320[[#This Row],[Type]]="Co-product", "No", "")</f>
        <v/>
      </c>
      <c r="J21" s="25"/>
      <c r="K21" s="6"/>
      <c r="L21" s="6" t="str">
        <f>IF(Table11320[[#This Row],[Category]]="Transportation", _xlfn.XLOOKUP(Table11320[[#This Row],[Resource]], 'SI - Payload'!$A$10:$A$40,'SI - Payload'!$B$10:$B$40,"",0), "")</f>
        <v/>
      </c>
      <c r="M21" s="6" t="str">
        <f>IF(Table11320[[#This Row],[Category]]="Transportation", "ton", "")</f>
        <v/>
      </c>
      <c r="N21" s="6"/>
      <c r="O21" s="6"/>
      <c r="P21" s="6" t="str">
        <f>IF(OR(Table11320[[#This Row],[Type]]="Main Product", Table11320[[#This Row],[Type]]="Co-Product"), Table11320[[#This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IF(Table11320[[#This Row],[Type]]="Co-product", "No", "")</f>
        <v/>
      </c>
      <c r="J22" s="25"/>
      <c r="K22" s="6"/>
      <c r="L22" s="6" t="str">
        <f>IF(Table11320[[#This Row],[Category]]="Transportation", _xlfn.XLOOKUP(Table11320[[#This Row],[Resource]], 'SI - Payload'!$A$10:$A$40,'SI - Payload'!$B$10:$B$40,"",0), "")</f>
        <v/>
      </c>
      <c r="M22" s="6" t="str">
        <f>IF(Table11320[[#This Row],[Category]]="Transportation", "ton", "")</f>
        <v/>
      </c>
      <c r="N22" s="6"/>
      <c r="O22" s="6"/>
      <c r="P22" s="6" t="str">
        <f>IF(OR(Table11320[[#This Row],[Type]]="Main Product", Table11320[[#This Row],[Type]]="Co-Product"), Table11320[[#This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IF(Table11320[[#This Row],[Type]]="Co-product", "No", "")</f>
        <v/>
      </c>
      <c r="J23" s="25"/>
      <c r="K23" s="6"/>
      <c r="L23" s="6" t="str">
        <f>IF(Table11320[[#This Row],[Category]]="Transportation", _xlfn.XLOOKUP(Table11320[[#This Row],[Resource]], 'SI - Payload'!$A$10:$A$40,'SI - Payload'!$B$10:$B$40,"",0), "")</f>
        <v/>
      </c>
      <c r="M23" s="6" t="str">
        <f>IF(Table11320[[#This Row],[Category]]="Transportation", "ton", "")</f>
        <v/>
      </c>
      <c r="N23" s="6"/>
      <c r="O23" s="6"/>
      <c r="P23" s="6" t="str">
        <f>IF(OR(Table11320[[#This Row],[Type]]="Main Product", Table11320[[#This Row],[Type]]="Co-Product"), Table11320[[#This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IF(Table11320[[#This Row],[Type]]="Co-product", "No", "")</f>
        <v/>
      </c>
      <c r="J24" s="25"/>
      <c r="K24" s="6"/>
      <c r="L24" s="6" t="str">
        <f>IF(Table11320[[#This Row],[Category]]="Transportation", _xlfn.XLOOKUP(Table11320[[#This Row],[Resource]], 'SI - Payload'!$A$10:$A$40,'SI - Payload'!$B$10:$B$40,"",0), "")</f>
        <v/>
      </c>
      <c r="M24" s="6" t="str">
        <f>IF(Table11320[[#This Row],[Category]]="Transportation", "ton", "")</f>
        <v/>
      </c>
      <c r="N24" s="6"/>
      <c r="O24" s="6"/>
      <c r="P24" s="6" t="str">
        <f>IF(OR(Table11320[[#This Row],[Type]]="Main Product", Table11320[[#This Row],[Type]]="Co-Product"), Table11320[[#This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IF(Table11320[[#This Row],[Type]]="Co-product", "No", "")</f>
        <v/>
      </c>
      <c r="J25" s="25"/>
      <c r="K25" s="6"/>
      <c r="L25" s="6" t="str">
        <f>IF(Table11320[[#This Row],[Category]]="Transportation", _xlfn.XLOOKUP(Table11320[[#This Row],[Resource]], 'SI - Payload'!$A$10:$A$40,'SI - Payload'!$B$10:$B$40,"",0), "")</f>
        <v/>
      </c>
      <c r="M25" s="6" t="str">
        <f>IF(Table11320[[#This Row],[Category]]="Transportation", "ton", "")</f>
        <v/>
      </c>
      <c r="N25" s="6"/>
      <c r="O25" s="6"/>
      <c r="P25" s="6" t="str">
        <f>IF(OR(Table11320[[#This Row],[Type]]="Main Product", Table11320[[#This Row],[Type]]="Co-Product"), Table11320[[#This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IF(Table11320[[#This Row],[Type]]="Co-product", "No", "")</f>
        <v/>
      </c>
      <c r="J26" s="25"/>
      <c r="K26" s="6"/>
      <c r="L26" s="6" t="str">
        <f>IF(Table11320[[#This Row],[Category]]="Transportation", _xlfn.XLOOKUP(Table11320[[#This Row],[Resource]], 'SI - Payload'!$A$10:$A$40,'SI - Payload'!$B$10:$B$40,"",0), "")</f>
        <v/>
      </c>
      <c r="M26" s="6" t="str">
        <f>IF(Table11320[[#This Row],[Category]]="Transportation", "ton", "")</f>
        <v/>
      </c>
      <c r="N26" s="6"/>
      <c r="O26" s="6"/>
      <c r="P26" s="6" t="str">
        <f>IF(OR(Table11320[[#This Row],[Type]]="Main Product", Table11320[[#This Row],[Type]]="Co-Product"), Table11320[[#This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IF(Table11320[[#This Row],[Type]]="Co-product", "No", "")</f>
        <v/>
      </c>
      <c r="J27" s="25"/>
      <c r="K27" s="6"/>
      <c r="L27" s="6" t="str">
        <f>IF(Table11320[[#This Row],[Category]]="Transportation", _xlfn.XLOOKUP(Table11320[[#This Row],[Resource]], 'SI - Payload'!$A$10:$A$40,'SI - Payload'!$B$10:$B$40,"",0), "")</f>
        <v/>
      </c>
      <c r="M27" s="6" t="str">
        <f>IF(Table11320[[#This Row],[Category]]="Transportation", "ton", "")</f>
        <v/>
      </c>
      <c r="N27" s="6"/>
      <c r="O27" s="6"/>
      <c r="P27" s="6" t="str">
        <f>IF(OR(Table11320[[#This Row],[Type]]="Main Product", Table11320[[#This Row],[Type]]="Co-Product"), Table11320[[#This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IF(Table11320[[#This Row],[Type]]="Co-product", "No", "")</f>
        <v/>
      </c>
      <c r="J28" s="25"/>
      <c r="K28" s="6"/>
      <c r="L28" s="6" t="str">
        <f>IF(Table11320[[#This Row],[Category]]="Transportation", _xlfn.XLOOKUP(Table11320[[#This Row],[Resource]], 'SI - Payload'!$A$10:$A$40,'SI - Payload'!$B$10:$B$40,"",0), "")</f>
        <v/>
      </c>
      <c r="M28" s="6" t="str">
        <f>IF(Table11320[[#This Row],[Category]]="Transportation", "ton", "")</f>
        <v/>
      </c>
      <c r="N28" s="6"/>
      <c r="O28" s="6"/>
      <c r="P28" s="6" t="str">
        <f>IF(OR(Table11320[[#This Row],[Type]]="Main Product", Table11320[[#This Row],[Type]]="Co-Product"), Table11320[[#This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IF(Table11320[[#This Row],[Type]]="Co-product", "No", "")</f>
        <v/>
      </c>
      <c r="J29" s="25"/>
      <c r="K29" s="6"/>
      <c r="L29" s="6" t="str">
        <f>IF(Table11320[[#This Row],[Category]]="Transportation", _xlfn.XLOOKUP(Table11320[[#This Row],[Resource]], 'SI - Payload'!$A$10:$A$40,'SI - Payload'!$B$10:$B$40,"",0), "")</f>
        <v/>
      </c>
      <c r="M29" s="6" t="str">
        <f>IF(Table11320[[#This Row],[Category]]="Transportation", "ton", "")</f>
        <v/>
      </c>
      <c r="N29" s="6"/>
      <c r="O29" s="6"/>
      <c r="P29" s="6" t="str">
        <f>IF(OR(Table11320[[#This Row],[Type]]="Main Product", Table11320[[#This Row],[Type]]="Co-Product"), Table11320[[#This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IF(Table11320[[#This Row],[Type]]="Co-product", "No", "")</f>
        <v/>
      </c>
      <c r="J30" s="25"/>
      <c r="K30" s="6"/>
      <c r="L30" s="6" t="str">
        <f>IF(Table11320[[#This Row],[Category]]="Transportation", _xlfn.XLOOKUP(Table11320[[#This Row],[Resource]], 'SI - Payload'!$A$10:$A$40,'SI - Payload'!$B$10:$B$40,"",0), "")</f>
        <v/>
      </c>
      <c r="M30" s="6" t="str">
        <f>IF(Table11320[[#This Row],[Category]]="Transportation", "ton", "")</f>
        <v/>
      </c>
      <c r="N30" s="6"/>
      <c r="O30" s="6"/>
      <c r="P30" s="6" t="str">
        <f>IF(OR(Table11320[[#This Row],[Type]]="Main Product", Table11320[[#This Row],[Type]]="Co-Product"), Table11320[[#This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IF(Table11320[[#This Row],[Type]]="Co-product", "No", "")</f>
        <v/>
      </c>
      <c r="J31" s="25"/>
      <c r="K31" s="6"/>
      <c r="L31" s="6" t="str">
        <f>IF(Table11320[[#This Row],[Category]]="Transportation", _xlfn.XLOOKUP(Table11320[[#This Row],[Resource]], 'SI - Payload'!$A$10:$A$40,'SI - Payload'!$B$10:$B$40,"",0), "")</f>
        <v/>
      </c>
      <c r="M31" s="6" t="str">
        <f>IF(Table11320[[#This Row],[Category]]="Transportation", "ton", "")</f>
        <v/>
      </c>
      <c r="N31" s="6"/>
      <c r="O31" s="6"/>
      <c r="P31" s="6" t="str">
        <f>IF(OR(Table11320[[#This Row],[Type]]="Main Product", Table11320[[#This Row],[Type]]="Co-Product"), Table11320[[#This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IF(Table11320[[#This Row],[Type]]="Co-product", "No", "")</f>
        <v/>
      </c>
      <c r="J32" s="25"/>
      <c r="K32" s="6"/>
      <c r="L32" s="6" t="str">
        <f>IF(Table11320[[#This Row],[Category]]="Transportation", _xlfn.XLOOKUP(Table11320[[#This Row],[Resource]], 'SI - Payload'!$A$10:$A$40,'SI - Payload'!$B$10:$B$40,"",0), "")</f>
        <v/>
      </c>
      <c r="M32" s="6" t="str">
        <f>IF(Table11320[[#This Row],[Category]]="Transportation", "ton", "")</f>
        <v/>
      </c>
      <c r="N32" s="6"/>
      <c r="O32" s="6"/>
      <c r="P32" s="6" t="str">
        <f>IF(OR(Table11320[[#This Row],[Type]]="Main Product", Table11320[[#This Row],[Type]]="Co-Product"), Table11320[[#This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IF(Table11320[[#This Row],[Type]]="Co-product", "No", "")</f>
        <v/>
      </c>
      <c r="J33" s="25"/>
      <c r="K33" s="6"/>
      <c r="L33" s="6" t="str">
        <f>IF(Table11320[[#This Row],[Category]]="Transportation", _xlfn.XLOOKUP(Table11320[[#This Row],[Resource]], 'SI - Payload'!$A$10:$A$40,'SI - Payload'!$B$10:$B$40,"",0), "")</f>
        <v/>
      </c>
      <c r="M33" s="6" t="str">
        <f>IF(Table11320[[#This Row],[Category]]="Transportation", "ton", "")</f>
        <v/>
      </c>
      <c r="N33" s="6"/>
      <c r="O33" s="6"/>
      <c r="P33" s="6" t="str">
        <f>IF(OR(Table11320[[#This Row],[Type]]="Main Product", Table11320[[#This Row],[Type]]="Co-Product"), Table11320[[#This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IF(Table11320[[#This Row],[Type]]="Co-product", "No", "")</f>
        <v/>
      </c>
      <c r="J34" s="25"/>
      <c r="K34" s="6"/>
      <c r="L34" s="6" t="str">
        <f>IF(Table11320[[#This Row],[Category]]="Transportation", _xlfn.XLOOKUP(Table11320[[#This Row],[Resource]], 'SI - Payload'!$A$10:$A$40,'SI - Payload'!$B$10:$B$40,"",0), "")</f>
        <v/>
      </c>
      <c r="M34" s="6" t="str">
        <f>IF(Table11320[[#This Row],[Category]]="Transportation", "ton", "")</f>
        <v/>
      </c>
      <c r="N34" s="6"/>
      <c r="O34" s="6"/>
      <c r="P34" s="6" t="str">
        <f>IF(OR(Table11320[[#This Row],[Type]]="Main Product", Table11320[[#This Row],[Type]]="Co-Product"), Table11320[[#This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IF(Table11320[[#This Row],[Type]]="Co-product", "No", "")</f>
        <v/>
      </c>
      <c r="J35" s="25"/>
      <c r="K35" s="6"/>
      <c r="L35" s="6" t="str">
        <f>IF(Table11320[[#This Row],[Category]]="Transportation", _xlfn.XLOOKUP(Table11320[[#This Row],[Resource]], 'SI - Payload'!$A$10:$A$40,'SI - Payload'!$B$10:$B$40,"",0), "")</f>
        <v/>
      </c>
      <c r="M35" s="6" t="str">
        <f>IF(Table11320[[#This Row],[Category]]="Transportation", "ton", "")</f>
        <v/>
      </c>
      <c r="N35" s="6"/>
      <c r="O35" s="6"/>
      <c r="P35" s="6" t="str">
        <f>IF(OR(Table11320[[#This Row],[Type]]="Main Product", Table11320[[#This Row],[Type]]="Co-Product"), Table11320[[#This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IF(Table11320[[#This Row],[Type]]="Co-product", "No", "")</f>
        <v/>
      </c>
      <c r="J36" s="25"/>
      <c r="K36" s="6"/>
      <c r="L36" s="6" t="str">
        <f>IF(Table11320[[#This Row],[Category]]="Transportation", _xlfn.XLOOKUP(Table11320[[#This Row],[Resource]], 'SI - Payload'!$A$10:$A$40,'SI - Payload'!$B$10:$B$40,"",0), "")</f>
        <v/>
      </c>
      <c r="M36" s="6" t="str">
        <f>IF(Table11320[[#This Row],[Category]]="Transportation", "ton", "")</f>
        <v/>
      </c>
      <c r="N36" s="6"/>
      <c r="O36" s="6"/>
      <c r="P36" s="6" t="str">
        <f>IF(OR(Table11320[[#This Row],[Type]]="Main Product", Table11320[[#This Row],[Type]]="Co-Product"), Table11320[[#This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IF(Table11320[[#This Row],[Type]]="Co-product", "No", "")</f>
        <v/>
      </c>
      <c r="J37" s="25"/>
      <c r="K37" s="6"/>
      <c r="L37" s="6" t="str">
        <f>IF(Table11320[[#This Row],[Category]]="Transportation", _xlfn.XLOOKUP(Table11320[[#This Row],[Resource]], 'SI - Payload'!$A$10:$A$40,'SI - Payload'!$B$10:$B$40,"",0), "")</f>
        <v/>
      </c>
      <c r="M37" s="6" t="str">
        <f>IF(Table11320[[#This Row],[Category]]="Transportation", "ton", "")</f>
        <v/>
      </c>
      <c r="N37" s="6"/>
      <c r="O37" s="6"/>
      <c r="P37" s="6" t="str">
        <f>IF(OR(Table11320[[#This Row],[Type]]="Main Product", Table11320[[#This Row],[Type]]="Co-Product"), Table11320[[#This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IF(Table11320[[#This Row],[Type]]="Co-product", "No", "")</f>
        <v/>
      </c>
      <c r="J38" s="25"/>
      <c r="K38" s="6"/>
      <c r="L38" s="6" t="str">
        <f>IF(Table11320[[#This Row],[Category]]="Transportation", _xlfn.XLOOKUP(Table11320[[#This Row],[Resource]], 'SI - Payload'!$A$10:$A$40,'SI - Payload'!$B$10:$B$40,"",0), "")</f>
        <v/>
      </c>
      <c r="M38" s="6" t="str">
        <f>IF(Table11320[[#This Row],[Category]]="Transportation", "ton", "")</f>
        <v/>
      </c>
      <c r="N38" s="6"/>
      <c r="O38" s="6"/>
      <c r="P38" s="6" t="str">
        <f>IF(OR(Table11320[[#This Row],[Type]]="Main Product", Table11320[[#This Row],[Type]]="Co-Product"), Table11320[[#This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IF(Table11320[[#This Row],[Type]]="Co-product", "No", "")</f>
        <v/>
      </c>
      <c r="J39" s="25"/>
      <c r="K39" s="6"/>
      <c r="L39" s="6" t="str">
        <f>IF(Table11320[[#This Row],[Category]]="Transportation", _xlfn.XLOOKUP(Table11320[[#This Row],[Resource]], 'SI - Payload'!$A$10:$A$40,'SI - Payload'!$B$10:$B$40,"",0), "")</f>
        <v/>
      </c>
      <c r="M39" s="6" t="str">
        <f>IF(Table11320[[#This Row],[Category]]="Transportation", "ton", "")</f>
        <v/>
      </c>
      <c r="N39" s="6"/>
      <c r="O39" s="6"/>
      <c r="P39" s="6" t="str">
        <f>IF(OR(Table11320[[#This Row],[Type]]="Main Product", Table11320[[#This Row],[Type]]="Co-Product"), Table11320[[#This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IF(Table11320[[#This Row],[Type]]="Co-product", "No", "")</f>
        <v/>
      </c>
      <c r="J40" s="25"/>
      <c r="K40" s="6"/>
      <c r="L40" s="6" t="str">
        <f>IF(Table11320[[#This Row],[Category]]="Transportation", _xlfn.XLOOKUP(Table11320[[#This Row],[Resource]], 'SI - Payload'!$A$10:$A$40,'SI - Payload'!$B$10:$B$40,"",0), "")</f>
        <v/>
      </c>
      <c r="M40" s="6" t="str">
        <f>IF(Table11320[[#This Row],[Category]]="Transportation", "ton", "")</f>
        <v/>
      </c>
      <c r="N40" s="6"/>
      <c r="O40" s="6"/>
      <c r="P40" s="6" t="str">
        <f>IF(OR(Table11320[[#This Row],[Type]]="Main Product", Table11320[[#This Row],[Type]]="Co-Product"), Table11320[[#This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IF(Table11320[[#This Row],[Type]]="Co-product", "No", "")</f>
        <v/>
      </c>
      <c r="J41" s="25"/>
      <c r="K41" s="6"/>
      <c r="L41" s="6" t="str">
        <f>IF(Table11320[[#This Row],[Category]]="Transportation", _xlfn.XLOOKUP(Table11320[[#This Row],[Resource]], 'SI - Payload'!$A$10:$A$40,'SI - Payload'!$B$10:$B$40,"",0), "")</f>
        <v/>
      </c>
      <c r="M41" s="6" t="str">
        <f>IF(Table11320[[#This Row],[Category]]="Transportation", "ton", "")</f>
        <v/>
      </c>
      <c r="N41" s="6"/>
      <c r="O41" s="6"/>
      <c r="P41" s="6" t="str">
        <f>IF(OR(Table11320[[#This Row],[Type]]="Main Product", Table11320[[#This Row],[Type]]="Co-Product"), Table11320[[#This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IF(Table11320[[#This Row],[Type]]="Co-product", "No", "")</f>
        <v/>
      </c>
      <c r="J42" s="25"/>
      <c r="K42" s="6"/>
      <c r="L42" s="6" t="str">
        <f>IF(Table11320[[#This Row],[Category]]="Transportation", _xlfn.XLOOKUP(Table11320[[#This Row],[Resource]], 'SI - Payload'!$A$10:$A$40,'SI - Payload'!$B$10:$B$40,"",0), "")</f>
        <v/>
      </c>
      <c r="M42" s="6" t="str">
        <f>IF(Table11320[[#This Row],[Category]]="Transportation", "ton", "")</f>
        <v/>
      </c>
      <c r="N42" s="6"/>
      <c r="O42" s="6"/>
      <c r="P42" s="6" t="str">
        <f>IF(OR(Table11320[[#This Row],[Type]]="Main Product", Table11320[[#This Row],[Type]]="Co-Product"), Table11320[[#This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IF(Table11320[[#This Row],[Type]]="Co-product", "No", "")</f>
        <v/>
      </c>
      <c r="J43" s="25"/>
      <c r="K43" s="6"/>
      <c r="L43" s="6" t="str">
        <f>IF(Table11320[[#This Row],[Category]]="Transportation", _xlfn.XLOOKUP(Table11320[[#This Row],[Resource]], 'SI - Payload'!$A$10:$A$40,'SI - Payload'!$B$10:$B$40,"",0), "")</f>
        <v/>
      </c>
      <c r="M43" s="6" t="str">
        <f>IF(Table11320[[#This Row],[Category]]="Transportation", "ton", "")</f>
        <v/>
      </c>
      <c r="N43" s="6"/>
      <c r="O43" s="6"/>
      <c r="P43" s="6" t="str">
        <f>IF(OR(Table11320[[#This Row],[Type]]="Main Product", Table11320[[#This Row],[Type]]="Co-Product"), Table11320[[#This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IF(Table11320[[#This Row],[Type]]="Co-product", "No", "")</f>
        <v/>
      </c>
      <c r="J44" s="25"/>
      <c r="K44" s="6"/>
      <c r="L44" s="6" t="str">
        <f>IF(Table11320[[#This Row],[Category]]="Transportation", _xlfn.XLOOKUP(Table11320[[#This Row],[Resource]], 'SI - Payload'!$A$10:$A$40,'SI - Payload'!$B$10:$B$40,"",0), "")</f>
        <v/>
      </c>
      <c r="M44" s="6" t="str">
        <f>IF(Table11320[[#This Row],[Category]]="Transportation", "ton", "")</f>
        <v/>
      </c>
      <c r="N44" s="6"/>
      <c r="O44" s="6"/>
      <c r="P44" s="6" t="str">
        <f>IF(OR(Table11320[[#This Row],[Type]]="Main Product", Table11320[[#This Row],[Type]]="Co-Product"), Table11320[[#This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IF(Table11320[[#This Row],[Type]]="Co-product", "No", "")</f>
        <v/>
      </c>
      <c r="J45" s="25"/>
      <c r="K45" s="6"/>
      <c r="L45" s="6" t="str">
        <f>IF(Table11320[[#This Row],[Category]]="Transportation", _xlfn.XLOOKUP(Table11320[[#This Row],[Resource]], 'SI - Payload'!$A$10:$A$40,'SI - Payload'!$B$10:$B$40,"",0), "")</f>
        <v/>
      </c>
      <c r="M45" s="6" t="str">
        <f>IF(Table11320[[#This Row],[Category]]="Transportation", "ton", "")</f>
        <v/>
      </c>
      <c r="N45" s="6"/>
      <c r="O45" s="6"/>
      <c r="P45" s="6" t="str">
        <f>IF(OR(Table11320[[#This Row],[Type]]="Main Product", Table11320[[#This Row],[Type]]="Co-Product"), Table11320[[#This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IF(Table11320[[#This Row],[Type]]="Co-product", "No", "")</f>
        <v/>
      </c>
      <c r="J46" s="25"/>
      <c r="K46" s="6"/>
      <c r="L46" s="6" t="str">
        <f>IF(Table11320[[#This Row],[Category]]="Transportation", _xlfn.XLOOKUP(Table11320[[#This Row],[Resource]], 'SI - Payload'!$A$10:$A$40,'SI - Payload'!$B$10:$B$40,"",0), "")</f>
        <v/>
      </c>
      <c r="M46" s="6" t="str">
        <f>IF(Table11320[[#This Row],[Category]]="Transportation", "ton", "")</f>
        <v/>
      </c>
      <c r="N46" s="6"/>
      <c r="O46" s="6"/>
      <c r="P46" s="6" t="str">
        <f>IF(OR(Table11320[[#This Row],[Type]]="Main Product", Table11320[[#This Row],[Type]]="Co-Product"), Table11320[[#This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IF(Table11320[[#This Row],[Type]]="Co-product", "No", "")</f>
        <v/>
      </c>
      <c r="J47" s="25"/>
      <c r="K47" s="6"/>
      <c r="L47" s="6" t="str">
        <f>IF(Table11320[[#This Row],[Category]]="Transportation", _xlfn.XLOOKUP(Table11320[[#This Row],[Resource]], 'SI - Payload'!$A$10:$A$40,'SI - Payload'!$B$10:$B$40,"",0), "")</f>
        <v/>
      </c>
      <c r="M47" s="6" t="str">
        <f>IF(Table11320[[#This Row],[Category]]="Transportation", "ton", "")</f>
        <v/>
      </c>
      <c r="N47" s="6"/>
      <c r="O47" s="6"/>
      <c r="P47" s="6" t="str">
        <f>IF(OR(Table11320[[#This Row],[Type]]="Main Product", Table11320[[#This Row],[Type]]="Co-Product"), Table11320[[#This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IF(Table11320[[#This Row],[Type]]="Co-product", "No", "")</f>
        <v/>
      </c>
      <c r="J48" s="25"/>
      <c r="K48" s="6"/>
      <c r="L48" s="6" t="str">
        <f>IF(Table11320[[#This Row],[Category]]="Transportation", _xlfn.XLOOKUP(Table11320[[#This Row],[Resource]], 'SI - Payload'!$A$10:$A$40,'SI - Payload'!$B$10:$B$40,"",0), "")</f>
        <v/>
      </c>
      <c r="M48" s="6" t="str">
        <f>IF(Table11320[[#This Row],[Category]]="Transportation", "ton", "")</f>
        <v/>
      </c>
      <c r="N48" s="6"/>
      <c r="O48" s="6"/>
      <c r="P48" s="6" t="str">
        <f>IF(OR(Table11320[[#This Row],[Type]]="Main Product", Table11320[[#This Row],[Type]]="Co-Product"), Table11320[[#This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IF(Table11320[[#This Row],[Type]]="Co-product", "No", "")</f>
        <v/>
      </c>
      <c r="J49" s="25"/>
      <c r="K49" s="6"/>
      <c r="L49" s="6" t="str">
        <f>IF(Table11320[[#This Row],[Category]]="Transportation", _xlfn.XLOOKUP(Table11320[[#This Row],[Resource]], 'SI - Payload'!$A$10:$A$40,'SI - Payload'!$B$10:$B$40,"",0), "")</f>
        <v/>
      </c>
      <c r="M49" s="6" t="str">
        <f>IF(Table11320[[#This Row],[Category]]="Transportation", "ton", "")</f>
        <v/>
      </c>
      <c r="N49" s="6"/>
      <c r="O49" s="6"/>
      <c r="P49" s="6" t="str">
        <f>IF(OR(Table11320[[#This Row],[Type]]="Main Product", Table11320[[#This Row],[Type]]="Co-Product"), Table11320[[#This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IF(Table11320[[#This Row],[Type]]="Co-product", "No", "")</f>
        <v/>
      </c>
      <c r="J50" s="25"/>
      <c r="K50" s="6"/>
      <c r="L50" s="6" t="str">
        <f>IF(Table11320[[#This Row],[Category]]="Transportation", _xlfn.XLOOKUP(Table11320[[#This Row],[Resource]], 'SI - Payload'!$A$10:$A$40,'SI - Payload'!$B$10:$B$40,"",0), "")</f>
        <v/>
      </c>
      <c r="M50" s="6" t="str">
        <f>IF(Table11320[[#This Row],[Category]]="Transportation", "ton", "")</f>
        <v/>
      </c>
      <c r="N50" s="6"/>
      <c r="O50" s="6"/>
      <c r="P50" s="6" t="str">
        <f>IF(OR(Table11320[[#This Row],[Type]]="Main Product", Table11320[[#This Row],[Type]]="Co-Product"), Table11320[[#This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IF(Table11320[[#This Row],[Type]]="Co-product", "No", "")</f>
        <v/>
      </c>
      <c r="J51" s="25"/>
      <c r="K51" s="6"/>
      <c r="L51" s="6" t="str">
        <f>IF(Table11320[[#This Row],[Category]]="Transportation", _xlfn.XLOOKUP(Table11320[[#This Row],[Resource]], 'SI - Payload'!$A$10:$A$40,'SI - Payload'!$B$10:$B$40,"",0), "")</f>
        <v/>
      </c>
      <c r="M51" s="6" t="str">
        <f>IF(Table11320[[#This Row],[Category]]="Transportation", "ton", "")</f>
        <v/>
      </c>
      <c r="N51" s="6"/>
      <c r="O51" s="6"/>
      <c r="P51" s="6" t="str">
        <f>IF(OR(Table11320[[#This Row],[Type]]="Main Product", Table11320[[#This Row],[Type]]="Co-Product"), Table11320[[#This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IF(Table11320[[#This Row],[Type]]="Co-product", "No", "")</f>
        <v/>
      </c>
      <c r="J52" s="25"/>
      <c r="K52" s="6"/>
      <c r="L52" s="6" t="str">
        <f>IF(Table11320[[#This Row],[Category]]="Transportation", _xlfn.XLOOKUP(Table11320[[#This Row],[Resource]], 'SI - Payload'!$A$10:$A$40,'SI - Payload'!$B$10:$B$40,"",0), "")</f>
        <v/>
      </c>
      <c r="M52" s="6" t="str">
        <f>IF(Table11320[[#This Row],[Category]]="Transportation", "ton", "")</f>
        <v/>
      </c>
      <c r="N52" s="6"/>
      <c r="O52" s="6"/>
      <c r="P52" s="6" t="str">
        <f>IF(OR(Table11320[[#This Row],[Type]]="Main Product", Table11320[[#This Row],[Type]]="Co-Product"), Table11320[[#This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IF(Table11320[[#This Row],[Type]]="Co-product", "No", "")</f>
        <v/>
      </c>
      <c r="J53" s="25"/>
      <c r="K53" s="6"/>
      <c r="L53" s="6" t="str">
        <f>IF(Table11320[[#This Row],[Category]]="Transportation", _xlfn.XLOOKUP(Table11320[[#This Row],[Resource]], 'SI - Payload'!$A$10:$A$40,'SI - Payload'!$B$10:$B$40,"",0), "")</f>
        <v/>
      </c>
      <c r="M53" s="6" t="str">
        <f>IF(Table11320[[#This Row],[Category]]="Transportation", "ton", "")</f>
        <v/>
      </c>
      <c r="N53" s="6"/>
      <c r="O53" s="6"/>
      <c r="P53" s="6" t="str">
        <f>IF(OR(Table11320[[#This Row],[Type]]="Main Product", Table11320[[#This Row],[Type]]="Co-Product"), Table11320[[#This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IF(Table11320[[#This Row],[Type]]="Co-product", "No", "")</f>
        <v/>
      </c>
      <c r="J54" s="25"/>
      <c r="K54" s="6"/>
      <c r="L54" s="6" t="str">
        <f>IF(Table11320[[#This Row],[Category]]="Transportation", _xlfn.XLOOKUP(Table11320[[#This Row],[Resource]], 'SI - Payload'!$A$10:$A$40,'SI - Payload'!$B$10:$B$40,"",0), "")</f>
        <v/>
      </c>
      <c r="M54" s="6" t="str">
        <f>IF(Table11320[[#This Row],[Category]]="Transportation", "ton", "")</f>
        <v/>
      </c>
      <c r="N54" s="6"/>
      <c r="O54" s="6"/>
      <c r="P54" s="6" t="str">
        <f>IF(OR(Table11320[[#This Row],[Type]]="Main Product", Table11320[[#This Row],[Type]]="Co-Product"), Table11320[[#This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IF(Table11320[[#This Row],[Type]]="Co-product", "No", "")</f>
        <v/>
      </c>
      <c r="J55" s="25"/>
      <c r="K55" s="6"/>
      <c r="L55" s="6" t="str">
        <f>IF(Table11320[[#This Row],[Category]]="Transportation", _xlfn.XLOOKUP(Table11320[[#This Row],[Resource]], 'SI - Payload'!$A$10:$A$40,'SI - Payload'!$B$10:$B$40,"",0), "")</f>
        <v/>
      </c>
      <c r="M55" s="6" t="str">
        <f>IF(Table11320[[#This Row],[Category]]="Transportation", "ton", "")</f>
        <v/>
      </c>
      <c r="N55" s="6"/>
      <c r="O55" s="6"/>
      <c r="P55" s="6" t="str">
        <f>IF(OR(Table11320[[#This Row],[Type]]="Main Product", Table11320[[#This Row],[Type]]="Co-Product"), Table11320[[#This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IF(Table11320[[#This Row],[Type]]="Co-product", "No", "")</f>
        <v/>
      </c>
      <c r="J56" s="25"/>
      <c r="K56" s="6"/>
      <c r="L56" s="6" t="str">
        <f>IF(Table11320[[#This Row],[Category]]="Transportation", _xlfn.XLOOKUP(Table11320[[#This Row],[Resource]], 'SI - Payload'!$A$10:$A$40,'SI - Payload'!$B$10:$B$40,"",0), "")</f>
        <v/>
      </c>
      <c r="M56" s="6" t="str">
        <f>IF(Table11320[[#This Row],[Category]]="Transportation", "ton", "")</f>
        <v/>
      </c>
      <c r="N56" s="6"/>
      <c r="O56" s="6"/>
      <c r="P56" s="6" t="str">
        <f>IF(OR(Table11320[[#This Row],[Type]]="Main Product", Table11320[[#This Row],[Type]]="Co-Product"), Table11320[[#This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IF(Table11320[[#This Row],[Type]]="Co-product", "No", "")</f>
        <v/>
      </c>
      <c r="J57" s="25"/>
      <c r="K57" s="6"/>
      <c r="L57" s="6" t="str">
        <f>IF(Table11320[[#This Row],[Category]]="Transportation", _xlfn.XLOOKUP(Table11320[[#This Row],[Resource]], 'SI - Payload'!$A$10:$A$40,'SI - Payload'!$B$10:$B$40,"",0), "")</f>
        <v/>
      </c>
      <c r="M57" s="6" t="str">
        <f>IF(Table11320[[#This Row],[Category]]="Transportation", "ton", "")</f>
        <v/>
      </c>
      <c r="N57" s="6"/>
      <c r="O57" s="6"/>
      <c r="P57" s="6" t="str">
        <f>IF(OR(Table11320[[#This Row],[Type]]="Main Product", Table11320[[#This Row],[Type]]="Co-Product"), Table11320[[#This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IF(Table11320[[#This Row],[Type]]="Co-product", "No", "")</f>
        <v/>
      </c>
      <c r="J58" s="25"/>
      <c r="K58" s="6"/>
      <c r="L58" s="6" t="str">
        <f>IF(Table11320[[#This Row],[Category]]="Transportation", _xlfn.XLOOKUP(Table11320[[#This Row],[Resource]], 'SI - Payload'!$A$10:$A$40,'SI - Payload'!$B$10:$B$40,"",0), "")</f>
        <v/>
      </c>
      <c r="M58" s="6" t="str">
        <f>IF(Table11320[[#This Row],[Category]]="Transportation", "ton", "")</f>
        <v/>
      </c>
      <c r="N58" s="6"/>
      <c r="O58" s="6"/>
      <c r="P58" s="6" t="str">
        <f>IF(OR(Table11320[[#This Row],[Type]]="Main Product", Table11320[[#This Row],[Type]]="Co-Product"), Table11320[[#This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IF(Table11320[[#This Row],[Type]]="Co-product", "No", "")</f>
        <v/>
      </c>
      <c r="J59" s="25"/>
      <c r="K59" s="6"/>
      <c r="L59" s="6" t="str">
        <f>IF(Table11320[[#This Row],[Category]]="Transportation", _xlfn.XLOOKUP(Table11320[[#This Row],[Resource]], 'SI - Payload'!$A$10:$A$40,'SI - Payload'!$B$10:$B$40,"",0), "")</f>
        <v/>
      </c>
      <c r="M59" s="6" t="str">
        <f>IF(Table11320[[#This Row],[Category]]="Transportation", "ton", "")</f>
        <v/>
      </c>
      <c r="N59" s="6"/>
      <c r="O59" s="6"/>
      <c r="P59" s="6" t="str">
        <f>IF(OR(Table11320[[#This Row],[Type]]="Main Product", Table11320[[#This Row],[Type]]="Co-Product"), Table11320[[#This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IF(Table11320[[#This Row],[Type]]="Co-product", "No", "")</f>
        <v/>
      </c>
      <c r="J60" s="25"/>
      <c r="K60" s="6"/>
      <c r="L60" s="6" t="str">
        <f>IF(Table11320[[#This Row],[Category]]="Transportation", _xlfn.XLOOKUP(Table11320[[#This Row],[Resource]], 'SI - Payload'!$A$10:$A$40,'SI - Payload'!$B$10:$B$40,"",0), "")</f>
        <v/>
      </c>
      <c r="M60" s="6" t="str">
        <f>IF(Table11320[[#This Row],[Category]]="Transportation", "ton", "")</f>
        <v/>
      </c>
      <c r="N60" s="6"/>
      <c r="O60" s="6"/>
      <c r="P60" s="6" t="str">
        <f>IF(OR(Table11320[[#This Row],[Type]]="Main Product", Table11320[[#This Row],[Type]]="Co-Product"), Table11320[[#This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IF(Table11320[[#This Row],[Type]]="Co-product", "No", "")</f>
        <v/>
      </c>
      <c r="J61" s="25"/>
      <c r="K61" s="6"/>
      <c r="L61" s="6" t="str">
        <f>IF(Table11320[[#This Row],[Category]]="Transportation", _xlfn.XLOOKUP(Table11320[[#This Row],[Resource]], 'SI - Payload'!$A$10:$A$40,'SI - Payload'!$B$10:$B$40,"",0), "")</f>
        <v/>
      </c>
      <c r="M61" s="6" t="str">
        <f>IF(Table11320[[#This Row],[Category]]="Transportation", "ton", "")</f>
        <v/>
      </c>
      <c r="N61" s="6"/>
      <c r="O61" s="6"/>
      <c r="P61" s="6" t="str">
        <f>IF(OR(Table11320[[#This Row],[Type]]="Main Product", Table11320[[#This Row],[Type]]="Co-Product"), Table11320[[#This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IF(Table11320[[#This Row],[Type]]="Co-product", "No", "")</f>
        <v/>
      </c>
      <c r="J62" s="25"/>
      <c r="K62" s="6"/>
      <c r="L62" s="6" t="str">
        <f>IF(Table11320[[#This Row],[Category]]="Transportation", _xlfn.XLOOKUP(Table11320[[#This Row],[Resource]], 'SI - Payload'!$A$10:$A$40,'SI - Payload'!$B$10:$B$40,"",0), "")</f>
        <v/>
      </c>
      <c r="M62" s="6" t="str">
        <f>IF(Table11320[[#This Row],[Category]]="Transportation", "ton", "")</f>
        <v/>
      </c>
      <c r="N62" s="6"/>
      <c r="O62" s="6"/>
      <c r="P62" s="6" t="str">
        <f>IF(OR(Table11320[[#This Row],[Type]]="Main Product", Table11320[[#This Row],[Type]]="Co-Product"), Table11320[[#This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IF(Table11320[[#This Row],[Type]]="Co-product", "No", "")</f>
        <v/>
      </c>
      <c r="J63" s="25"/>
      <c r="K63" s="6"/>
      <c r="L63" s="6" t="str">
        <f>IF(Table11320[[#This Row],[Category]]="Transportation", _xlfn.XLOOKUP(Table11320[[#This Row],[Resource]], 'SI - Payload'!$A$10:$A$40,'SI - Payload'!$B$10:$B$40,"",0), "")</f>
        <v/>
      </c>
      <c r="M63" s="6" t="str">
        <f>IF(Table11320[[#This Row],[Category]]="Transportation", "ton", "")</f>
        <v/>
      </c>
      <c r="N63" s="6"/>
      <c r="O63" s="6"/>
      <c r="P63" s="6" t="str">
        <f>IF(OR(Table11320[[#This Row],[Type]]="Main Product", Table11320[[#This Row],[Type]]="Co-Product"), Table11320[[#This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IF(Table11320[[#This Row],[Type]]="Co-product", "No", "")</f>
        <v/>
      </c>
      <c r="J64" s="25"/>
      <c r="K64" s="6"/>
      <c r="L64" s="6" t="str">
        <f>IF(Table11320[[#This Row],[Category]]="Transportation", _xlfn.XLOOKUP(Table11320[[#This Row],[Resource]], 'SI - Payload'!$A$10:$A$40,'SI - Payload'!$B$10:$B$40,"",0), "")</f>
        <v/>
      </c>
      <c r="M64" s="6" t="str">
        <f>IF(Table11320[[#This Row],[Category]]="Transportation", "ton", "")</f>
        <v/>
      </c>
      <c r="N64" s="6"/>
      <c r="O64" s="6"/>
      <c r="P64" s="6" t="str">
        <f>IF(OR(Table11320[[#This Row],[Type]]="Main Product", Table11320[[#This Row],[Type]]="Co-Product"), Table11320[[#This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IF(Table11320[[#This Row],[Type]]="Co-product", "No", "")</f>
        <v/>
      </c>
      <c r="J65" s="25"/>
      <c r="K65" s="6"/>
      <c r="L65" s="6" t="str">
        <f>IF(Table11320[[#This Row],[Category]]="Transportation", _xlfn.XLOOKUP(Table11320[[#This Row],[Resource]], 'SI - Payload'!$A$10:$A$40,'SI - Payload'!$B$10:$B$40,"",0), "")</f>
        <v/>
      </c>
      <c r="M65" s="6" t="str">
        <f>IF(Table11320[[#This Row],[Category]]="Transportation", "ton", "")</f>
        <v/>
      </c>
      <c r="N65" s="6"/>
      <c r="O65" s="6"/>
      <c r="P65" s="6" t="str">
        <f>IF(OR(Table11320[[#This Row],[Type]]="Main Product", Table11320[[#This Row],[Type]]="Co-Product"), Table11320[[#This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IF(Table11320[[#This Row],[Type]]="Co-product", "No", "")</f>
        <v/>
      </c>
      <c r="J66" s="25"/>
      <c r="K66" s="6"/>
      <c r="L66" s="6" t="str">
        <f>IF(Table11320[[#This Row],[Category]]="Transportation", _xlfn.XLOOKUP(Table11320[[#This Row],[Resource]], 'SI - Payload'!$A$10:$A$40,'SI - Payload'!$B$10:$B$40,"",0), "")</f>
        <v/>
      </c>
      <c r="M66" s="6" t="str">
        <f>IF(Table11320[[#This Row],[Category]]="Transportation", "ton", "")</f>
        <v/>
      </c>
      <c r="N66" s="6"/>
      <c r="O66" s="6"/>
      <c r="P66" s="6" t="str">
        <f>IF(OR(Table11320[[#This Row],[Type]]="Main Product", Table11320[[#This Row],[Type]]="Co-Product"), Table11320[[#This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IF(Table11320[[#This Row],[Type]]="Co-product", "No", "")</f>
        <v/>
      </c>
      <c r="J67" s="25"/>
      <c r="K67" s="6"/>
      <c r="L67" s="6" t="str">
        <f>IF(Table11320[[#This Row],[Category]]="Transportation", _xlfn.XLOOKUP(Table11320[[#This Row],[Resource]], 'SI - Payload'!$A$10:$A$40,'SI - Payload'!$B$10:$B$40,"",0), "")</f>
        <v/>
      </c>
      <c r="M67" s="6" t="str">
        <f>IF(Table11320[[#This Row],[Category]]="Transportation", "ton", "")</f>
        <v/>
      </c>
      <c r="N67" s="6"/>
      <c r="O67" s="6"/>
      <c r="P67" s="6" t="str">
        <f>IF(OR(Table11320[[#This Row],[Type]]="Main Product", Table11320[[#This Row],[Type]]="Co-Product"), Table11320[[#This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IF(Table11320[[#This Row],[Type]]="Co-product", "No", "")</f>
        <v/>
      </c>
      <c r="J68" s="25"/>
      <c r="K68" s="6"/>
      <c r="L68" s="6" t="str">
        <f>IF(Table11320[[#This Row],[Category]]="Transportation", _xlfn.XLOOKUP(Table11320[[#This Row],[Resource]], 'SI - Payload'!$A$10:$A$40,'SI - Payload'!$B$10:$B$40,"",0), "")</f>
        <v/>
      </c>
      <c r="M68" s="6" t="str">
        <f>IF(Table11320[[#This Row],[Category]]="Transportation", "ton", "")</f>
        <v/>
      </c>
      <c r="N68" s="6"/>
      <c r="O68" s="6"/>
      <c r="P68" s="6" t="str">
        <f>IF(OR(Table11320[[#This Row],[Type]]="Main Product", Table11320[[#This Row],[Type]]="Co-Product"), Table11320[[#This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IF(Table11320[[#This Row],[Type]]="Co-product", "No", "")</f>
        <v/>
      </c>
      <c r="J69" s="25"/>
      <c r="K69" s="6"/>
      <c r="L69" s="6" t="str">
        <f>IF(Table11320[[#This Row],[Category]]="Transportation", _xlfn.XLOOKUP(Table11320[[#This Row],[Resource]], 'SI - Payload'!$A$10:$A$40,'SI - Payload'!$B$10:$B$40,"",0), "")</f>
        <v/>
      </c>
      <c r="M69" s="6" t="str">
        <f>IF(Table11320[[#This Row],[Category]]="Transportation", "ton", "")</f>
        <v/>
      </c>
      <c r="N69" s="6"/>
      <c r="O69" s="6"/>
      <c r="P69" s="6" t="str">
        <f>IF(OR(Table11320[[#This Row],[Type]]="Main Product", Table11320[[#This Row],[Type]]="Co-Product"), Table11320[[#This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IF(Table11320[[#This Row],[Type]]="Co-product", "No", "")</f>
        <v/>
      </c>
      <c r="J70" s="25"/>
      <c r="K70" s="6"/>
      <c r="L70" s="6" t="str">
        <f>IF(Table11320[[#This Row],[Category]]="Transportation", _xlfn.XLOOKUP(Table11320[[#This Row],[Resource]], 'SI - Payload'!$A$10:$A$40,'SI - Payload'!$B$10:$B$40,"",0), "")</f>
        <v/>
      </c>
      <c r="M70" s="6" t="str">
        <f>IF(Table11320[[#This Row],[Category]]="Transportation", "ton", "")</f>
        <v/>
      </c>
      <c r="N70" s="6"/>
      <c r="O70" s="6"/>
      <c r="P70" s="6" t="str">
        <f>IF(OR(Table11320[[#This Row],[Type]]="Main Product", Table11320[[#This Row],[Type]]="Co-Product"), Table11320[[#This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IF(Table11320[[#This Row],[Type]]="Co-product", "No", "")</f>
        <v/>
      </c>
      <c r="J71" s="25"/>
      <c r="K71" s="6"/>
      <c r="L71" s="6" t="str">
        <f>IF(Table11320[[#This Row],[Category]]="Transportation", _xlfn.XLOOKUP(Table11320[[#This Row],[Resource]], 'SI - Payload'!$A$10:$A$40,'SI - Payload'!$B$10:$B$40,"",0), "")</f>
        <v/>
      </c>
      <c r="M71" s="6" t="str">
        <f>IF(Table11320[[#This Row],[Category]]="Transportation", "ton", "")</f>
        <v/>
      </c>
      <c r="N71" s="6"/>
      <c r="O71" s="6"/>
      <c r="P71" s="6" t="str">
        <f>IF(OR(Table11320[[#This Row],[Type]]="Main Product", Table11320[[#This Row],[Type]]="Co-Product"), Table11320[[#This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IF(Table11320[[#This Row],[Type]]="Co-product", "No", "")</f>
        <v/>
      </c>
      <c r="J72" s="25"/>
      <c r="K72" s="6"/>
      <c r="L72" s="6" t="str">
        <f>IF(Table11320[[#This Row],[Category]]="Transportation", _xlfn.XLOOKUP(Table11320[[#This Row],[Resource]], 'SI - Payload'!$A$10:$A$40,'SI - Payload'!$B$10:$B$40,"",0), "")</f>
        <v/>
      </c>
      <c r="M72" s="6" t="str">
        <f>IF(Table11320[[#This Row],[Category]]="Transportation", "ton", "")</f>
        <v/>
      </c>
      <c r="N72" s="6"/>
      <c r="O72" s="6"/>
      <c r="P72" s="6" t="str">
        <f>IF(OR(Table11320[[#This Row],[Type]]="Main Product", Table11320[[#This Row],[Type]]="Co-Product"), Table11320[[#This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IF(Table11320[[#This Row],[Type]]="Co-product", "No", "")</f>
        <v/>
      </c>
      <c r="J73" s="25"/>
      <c r="K73" s="6"/>
      <c r="L73" s="6" t="str">
        <f>IF(Table11320[[#This Row],[Category]]="Transportation", _xlfn.XLOOKUP(Table11320[[#This Row],[Resource]], 'SI - Payload'!$A$10:$A$40,'SI - Payload'!$B$10:$B$40,"",0), "")</f>
        <v/>
      </c>
      <c r="M73" s="6" t="str">
        <f>IF(Table11320[[#This Row],[Category]]="Transportation", "ton", "")</f>
        <v/>
      </c>
      <c r="N73" s="6"/>
      <c r="O73" s="6"/>
      <c r="P73" s="6" t="str">
        <f>IF(OR(Table11320[[#This Row],[Type]]="Main Product", Table11320[[#This Row],[Type]]="Co-Product"), Table11320[[#This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IF(Table11320[[#This Row],[Type]]="Co-product", "No", "")</f>
        <v/>
      </c>
      <c r="J74" s="25"/>
      <c r="K74" s="6"/>
      <c r="L74" s="6" t="str">
        <f>IF(Table11320[[#This Row],[Category]]="Transportation", _xlfn.XLOOKUP(Table11320[[#This Row],[Resource]], 'SI - Payload'!$A$10:$A$40,'SI - Payload'!$B$10:$B$40,"",0), "")</f>
        <v/>
      </c>
      <c r="M74" s="6" t="str">
        <f>IF(Table11320[[#This Row],[Category]]="Transportation", "ton", "")</f>
        <v/>
      </c>
      <c r="N74" s="6"/>
      <c r="O74" s="6"/>
      <c r="P74" s="6" t="str">
        <f>IF(OR(Table11320[[#This Row],[Type]]="Main Product", Table11320[[#This Row],[Type]]="Co-Product"), Table11320[[#This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IF(Table11320[[#This Row],[Type]]="Co-product", "No", "")</f>
        <v/>
      </c>
      <c r="J75" s="25"/>
      <c r="K75" s="6"/>
      <c r="L75" s="6" t="str">
        <f>IF(Table11320[[#This Row],[Category]]="Transportation", _xlfn.XLOOKUP(Table11320[[#This Row],[Resource]], 'SI - Payload'!$A$10:$A$40,'SI - Payload'!$B$10:$B$40,"",0), "")</f>
        <v/>
      </c>
      <c r="M75" s="6" t="str">
        <f>IF(Table11320[[#This Row],[Category]]="Transportation", "ton", "")</f>
        <v/>
      </c>
      <c r="N75" s="6"/>
      <c r="O75" s="6"/>
      <c r="P75" s="6" t="str">
        <f>IF(OR(Table11320[[#This Row],[Type]]="Main Product", Table11320[[#This Row],[Type]]="Co-Product"), Table11320[[#This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IF(Table11320[[#This Row],[Type]]="Co-product", "No", "")</f>
        <v/>
      </c>
      <c r="J76" s="25"/>
      <c r="K76" s="6"/>
      <c r="L76" s="6" t="str">
        <f>IF(Table11320[[#This Row],[Category]]="Transportation", _xlfn.XLOOKUP(Table11320[[#This Row],[Resource]], 'SI - Payload'!$A$10:$A$40,'SI - Payload'!$B$10:$B$40,"",0), "")</f>
        <v/>
      </c>
      <c r="M76" s="6" t="str">
        <f>IF(Table11320[[#This Row],[Category]]="Transportation", "ton", "")</f>
        <v/>
      </c>
      <c r="N76" s="6"/>
      <c r="O76" s="6"/>
      <c r="P76" s="6" t="str">
        <f>IF(OR(Table11320[[#This Row],[Type]]="Main Product", Table11320[[#This Row],[Type]]="Co-Product"), Table11320[[#This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IF(Table11320[[#This Row],[Type]]="Co-product", "No", "")</f>
        <v/>
      </c>
      <c r="J77" s="25"/>
      <c r="K77" s="6"/>
      <c r="L77" s="6" t="str">
        <f>IF(Table11320[[#This Row],[Category]]="Transportation", _xlfn.XLOOKUP(Table11320[[#This Row],[Resource]], 'SI - Payload'!$A$10:$A$40,'SI - Payload'!$B$10:$B$40,"",0), "")</f>
        <v/>
      </c>
      <c r="M77" s="6" t="str">
        <f>IF(Table11320[[#This Row],[Category]]="Transportation", "ton", "")</f>
        <v/>
      </c>
      <c r="N77" s="6"/>
      <c r="O77" s="6"/>
      <c r="P77" s="6" t="str">
        <f>IF(OR(Table11320[[#This Row],[Type]]="Main Product", Table11320[[#This Row],[Type]]="Co-Product"), Table11320[[#This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IF(Table11320[[#This Row],[Type]]="Co-product", "No", "")</f>
        <v/>
      </c>
      <c r="J78" s="25"/>
      <c r="K78" s="6"/>
      <c r="L78" s="6" t="str">
        <f>IF(Table11320[[#This Row],[Category]]="Transportation", _xlfn.XLOOKUP(Table11320[[#This Row],[Resource]], 'SI - Payload'!$A$10:$A$40,'SI - Payload'!$B$10:$B$40,"",0), "")</f>
        <v/>
      </c>
      <c r="M78" s="6" t="str">
        <f>IF(Table11320[[#This Row],[Category]]="Transportation", "ton", "")</f>
        <v/>
      </c>
      <c r="N78" s="6"/>
      <c r="O78" s="6"/>
      <c r="P78" s="6" t="str">
        <f>IF(OR(Table11320[[#This Row],[Type]]="Main Product", Table11320[[#This Row],[Type]]="Co-Product"), Table11320[[#This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IF(Table11320[[#This Row],[Type]]="Co-product", "No", "")</f>
        <v/>
      </c>
      <c r="J79" s="25"/>
      <c r="K79" s="6"/>
      <c r="L79" s="6" t="str">
        <f>IF(Table11320[[#This Row],[Category]]="Transportation", _xlfn.XLOOKUP(Table11320[[#This Row],[Resource]], 'SI - Payload'!$A$10:$A$40,'SI - Payload'!$B$10:$B$40,"",0), "")</f>
        <v/>
      </c>
      <c r="M79" s="6" t="str">
        <f>IF(Table11320[[#This Row],[Category]]="Transportation", "ton", "")</f>
        <v/>
      </c>
      <c r="N79" s="6"/>
      <c r="O79" s="6"/>
      <c r="P79" s="6" t="str">
        <f>IF(OR(Table11320[[#This Row],[Type]]="Main Product", Table11320[[#This Row],[Type]]="Co-Product"), Table11320[[#This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IF(Table11320[[#This Row],[Type]]="Co-product", "No", "")</f>
        <v/>
      </c>
      <c r="J80" s="25"/>
      <c r="K80" s="6"/>
      <c r="L80" s="6" t="str">
        <f>IF(Table11320[[#This Row],[Category]]="Transportation", _xlfn.XLOOKUP(Table11320[[#This Row],[Resource]], 'SI - Payload'!$A$10:$A$40,'SI - Payload'!$B$10:$B$40,"",0), "")</f>
        <v/>
      </c>
      <c r="M80" s="6" t="str">
        <f>IF(Table11320[[#This Row],[Category]]="Transportation", "ton", "")</f>
        <v/>
      </c>
      <c r="N80" s="6"/>
      <c r="O80" s="6"/>
      <c r="P80" s="6" t="str">
        <f>IF(OR(Table11320[[#This Row],[Type]]="Main Product", Table11320[[#This Row],[Type]]="Co-Product"), Table11320[[#This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IF(Table11320[[#This Row],[Type]]="Co-product", "No", "")</f>
        <v/>
      </c>
      <c r="J81" s="25"/>
      <c r="K81" s="6"/>
      <c r="L81" s="6" t="str">
        <f>IF(Table11320[[#This Row],[Category]]="Transportation", _xlfn.XLOOKUP(Table11320[[#This Row],[Resource]], 'SI - Payload'!$A$10:$A$40,'SI - Payload'!$B$10:$B$40,"",0), "")</f>
        <v/>
      </c>
      <c r="M81" s="6" t="str">
        <f>IF(Table11320[[#This Row],[Category]]="Transportation", "ton", "")</f>
        <v/>
      </c>
      <c r="N81" s="6"/>
      <c r="O81" s="6"/>
      <c r="P81" s="6" t="str">
        <f>IF(OR(Table11320[[#This Row],[Type]]="Main Product", Table11320[[#This Row],[Type]]="Co-Product"), Table11320[[#This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IF(Table11320[[#This Row],[Type]]="Co-product", "No", "")</f>
        <v/>
      </c>
      <c r="J82" s="25"/>
      <c r="K82" s="6"/>
      <c r="L82" s="6" t="str">
        <f>IF(Table11320[[#This Row],[Category]]="Transportation", _xlfn.XLOOKUP(Table11320[[#This Row],[Resource]], 'SI - Payload'!$A$10:$A$40,'SI - Payload'!$B$10:$B$40,"",0), "")</f>
        <v/>
      </c>
      <c r="M82" s="6" t="str">
        <f>IF(Table11320[[#This Row],[Category]]="Transportation", "ton", "")</f>
        <v/>
      </c>
      <c r="N82" s="6"/>
      <c r="O82" s="6"/>
      <c r="P82" s="6" t="str">
        <f>IF(OR(Table11320[[#This Row],[Type]]="Main Product", Table11320[[#This Row],[Type]]="Co-Product"), Table11320[[#This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IF(Table11320[[#This Row],[Type]]="Co-product", "No", "")</f>
        <v/>
      </c>
      <c r="J83" s="25"/>
      <c r="K83" s="6"/>
      <c r="L83" s="6" t="str">
        <f>IF(Table11320[[#This Row],[Category]]="Transportation", _xlfn.XLOOKUP(Table11320[[#This Row],[Resource]], 'SI - Payload'!$A$10:$A$40,'SI - Payload'!$B$10:$B$40,"",0), "")</f>
        <v/>
      </c>
      <c r="M83" s="6" t="str">
        <f>IF(Table11320[[#This Row],[Category]]="Transportation", "ton", "")</f>
        <v/>
      </c>
      <c r="N83" s="6"/>
      <c r="O83" s="6"/>
      <c r="P83" s="6" t="str">
        <f>IF(OR(Table11320[[#This Row],[Type]]="Main Product", Table11320[[#This Row],[Type]]="Co-Product"), Table11320[[#This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IF(Table11320[[#This Row],[Type]]="Co-product", "No", "")</f>
        <v/>
      </c>
      <c r="J84" s="25"/>
      <c r="K84" s="6"/>
      <c r="L84" s="6" t="str">
        <f>IF(Table11320[[#This Row],[Category]]="Transportation", _xlfn.XLOOKUP(Table11320[[#This Row],[Resource]], 'SI - Payload'!$A$10:$A$40,'SI - Payload'!$B$10:$B$40,"",0), "")</f>
        <v/>
      </c>
      <c r="M84" s="6" t="str">
        <f>IF(Table11320[[#This Row],[Category]]="Transportation", "ton", "")</f>
        <v/>
      </c>
      <c r="N84" s="6"/>
      <c r="O84" s="6"/>
      <c r="P84" s="6" t="str">
        <f>IF(OR(Table11320[[#This Row],[Type]]="Main Product", Table11320[[#This Row],[Type]]="Co-Product"), Table11320[[#This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IF(Table11320[[#This Row],[Type]]="Co-product", "No", "")</f>
        <v/>
      </c>
      <c r="J85" s="25"/>
      <c r="K85" s="6"/>
      <c r="L85" s="6" t="str">
        <f>IF(Table11320[[#This Row],[Category]]="Transportation", _xlfn.XLOOKUP(Table11320[[#This Row],[Resource]], 'SI - Payload'!$A$10:$A$40,'SI - Payload'!$B$10:$B$40,"",0), "")</f>
        <v/>
      </c>
      <c r="M85" s="6" t="str">
        <f>IF(Table11320[[#This Row],[Category]]="Transportation", "ton", "")</f>
        <v/>
      </c>
      <c r="N85" s="6"/>
      <c r="O85" s="6"/>
      <c r="P85" s="6" t="str">
        <f>IF(OR(Table11320[[#This Row],[Type]]="Main Product", Table11320[[#This Row],[Type]]="Co-Product"), Table11320[[#This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IF(Table11320[[#This Row],[Type]]="Co-product", "No", "")</f>
        <v/>
      </c>
      <c r="J86" s="25"/>
      <c r="K86" s="6"/>
      <c r="L86" s="6" t="str">
        <f>IF(Table11320[[#This Row],[Category]]="Transportation", _xlfn.XLOOKUP(Table11320[[#This Row],[Resource]], 'SI - Payload'!$A$10:$A$40,'SI - Payload'!$B$10:$B$40,"",0), "")</f>
        <v/>
      </c>
      <c r="M86" s="6" t="str">
        <f>IF(Table11320[[#This Row],[Category]]="Transportation", "ton", "")</f>
        <v/>
      </c>
      <c r="N86" s="6"/>
      <c r="O86" s="6"/>
      <c r="P86" s="6" t="str">
        <f>IF(OR(Table11320[[#This Row],[Type]]="Main Product", Table11320[[#This Row],[Type]]="Co-Product"), Table11320[[#This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IF(Table11320[[#This Row],[Type]]="Co-product", "No", "")</f>
        <v/>
      </c>
      <c r="J87" s="25"/>
      <c r="K87" s="6"/>
      <c r="L87" s="6" t="str">
        <f>IF(Table11320[[#This Row],[Category]]="Transportation", _xlfn.XLOOKUP(Table11320[[#This Row],[Resource]], 'SI - Payload'!$A$10:$A$40,'SI - Payload'!$B$10:$B$40,"",0), "")</f>
        <v/>
      </c>
      <c r="M87" s="6" t="str">
        <f>IF(Table11320[[#This Row],[Category]]="Transportation", "ton", "")</f>
        <v/>
      </c>
      <c r="N87" s="6"/>
      <c r="O87" s="6"/>
      <c r="P87" s="6" t="str">
        <f>IF(OR(Table11320[[#This Row],[Type]]="Main Product", Table11320[[#This Row],[Type]]="Co-Product"), Table11320[[#This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IF(Table11320[[#This Row],[Type]]="Co-product", "No", "")</f>
        <v/>
      </c>
      <c r="J88" s="25"/>
      <c r="K88" s="6"/>
      <c r="L88" s="6" t="str">
        <f>IF(Table11320[[#This Row],[Category]]="Transportation", _xlfn.XLOOKUP(Table11320[[#This Row],[Resource]], 'SI - Payload'!$A$10:$A$40,'SI - Payload'!$B$10:$B$40,"",0), "")</f>
        <v/>
      </c>
      <c r="M88" s="6" t="str">
        <f>IF(Table11320[[#This Row],[Category]]="Transportation", "ton", "")</f>
        <v/>
      </c>
      <c r="N88" s="6"/>
      <c r="O88" s="6"/>
      <c r="P88" s="6" t="str">
        <f>IF(OR(Table11320[[#This Row],[Type]]="Main Product", Table11320[[#This Row],[Type]]="Co-Product"), Table11320[[#This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IF(Table11320[[#This Row],[Type]]="Co-product", "No", "")</f>
        <v/>
      </c>
      <c r="J89" s="25"/>
      <c r="K89" s="6"/>
      <c r="L89" s="6" t="str">
        <f>IF(Table11320[[#This Row],[Category]]="Transportation", _xlfn.XLOOKUP(Table11320[[#This Row],[Resource]], 'SI - Payload'!$A$10:$A$40,'SI - Payload'!$B$10:$B$40,"",0), "")</f>
        <v/>
      </c>
      <c r="M89" s="6" t="str">
        <f>IF(Table11320[[#This Row],[Category]]="Transportation", "ton", "")</f>
        <v/>
      </c>
      <c r="N89" s="6"/>
      <c r="O89" s="6"/>
      <c r="P89" s="6" t="str">
        <f>IF(OR(Table11320[[#This Row],[Type]]="Main Product", Table11320[[#This Row],[Type]]="Co-Product"), Table11320[[#This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IF(Table11320[[#This Row],[Type]]="Co-product", "No", "")</f>
        <v/>
      </c>
      <c r="J90" s="25"/>
      <c r="K90" s="6"/>
      <c r="L90" s="6" t="str">
        <f>IF(Table11320[[#This Row],[Category]]="Transportation", _xlfn.XLOOKUP(Table11320[[#This Row],[Resource]], 'SI - Payload'!$A$10:$A$40,'SI - Payload'!$B$10:$B$40,"",0), "")</f>
        <v/>
      </c>
      <c r="M90" s="6" t="str">
        <f>IF(Table11320[[#This Row],[Category]]="Transportation", "ton", "")</f>
        <v/>
      </c>
      <c r="N90" s="6"/>
      <c r="O90" s="6"/>
      <c r="P90" s="6" t="str">
        <f>IF(OR(Table11320[[#This Row],[Type]]="Main Product", Table11320[[#This Row],[Type]]="Co-Product"), Table11320[[#This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IF(Table11320[[#This Row],[Type]]="Co-product", "No", "")</f>
        <v/>
      </c>
      <c r="J91" s="25"/>
      <c r="K91" s="6"/>
      <c r="L91" s="6" t="str">
        <f>IF(Table11320[[#This Row],[Category]]="Transportation", _xlfn.XLOOKUP(Table11320[[#This Row],[Resource]], 'SI - Payload'!$A$10:$A$40,'SI - Payload'!$B$10:$B$40,"",0), "")</f>
        <v/>
      </c>
      <c r="M91" s="6" t="str">
        <f>IF(Table11320[[#This Row],[Category]]="Transportation", "ton", "")</f>
        <v/>
      </c>
      <c r="N91" s="6"/>
      <c r="O91" s="6"/>
      <c r="P91" s="6" t="str">
        <f>IF(OR(Table11320[[#This Row],[Type]]="Main Product", Table11320[[#This Row],[Type]]="Co-Product"), Table11320[[#This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IF(Table11320[[#This Row],[Type]]="Co-product", "No", "")</f>
        <v/>
      </c>
      <c r="J92" s="25"/>
      <c r="K92" s="6"/>
      <c r="L92" s="6" t="str">
        <f>IF(Table11320[[#This Row],[Category]]="Transportation", _xlfn.XLOOKUP(Table11320[[#This Row],[Resource]], 'SI - Payload'!$A$10:$A$40,'SI - Payload'!$B$10:$B$40,"",0), "")</f>
        <v/>
      </c>
      <c r="M92" s="6" t="str">
        <f>IF(Table11320[[#This Row],[Category]]="Transportation", "ton", "")</f>
        <v/>
      </c>
      <c r="N92" s="6"/>
      <c r="O92" s="6"/>
      <c r="P92" s="6" t="str">
        <f>IF(OR(Table11320[[#This Row],[Type]]="Main Product", Table11320[[#This Row],[Type]]="Co-Product"), Table11320[[#This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IF(Table11320[[#This Row],[Type]]="Co-product", "No", "")</f>
        <v/>
      </c>
      <c r="J93" s="25"/>
      <c r="K93" s="6"/>
      <c r="L93" s="6" t="str">
        <f>IF(Table11320[[#This Row],[Category]]="Transportation", _xlfn.XLOOKUP(Table11320[[#This Row],[Resource]], 'SI - Payload'!$A$10:$A$40,'SI - Payload'!$B$10:$B$40,"",0), "")</f>
        <v/>
      </c>
      <c r="M93" s="6" t="str">
        <f>IF(Table11320[[#This Row],[Category]]="Transportation", "ton", "")</f>
        <v/>
      </c>
      <c r="N93" s="6"/>
      <c r="O93" s="6"/>
      <c r="P93" s="6" t="str">
        <f>IF(OR(Table11320[[#This Row],[Type]]="Main Product", Table11320[[#This Row],[Type]]="Co-Product"), Table11320[[#This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IF(Table11320[[#This Row],[Type]]="Co-product", "No", "")</f>
        <v/>
      </c>
      <c r="J94" s="25"/>
      <c r="K94" s="6"/>
      <c r="L94" s="6" t="str">
        <f>IF(Table11320[[#This Row],[Category]]="Transportation", _xlfn.XLOOKUP(Table11320[[#This Row],[Resource]], 'SI - Payload'!$A$10:$A$40,'SI - Payload'!$B$10:$B$40,"",0), "")</f>
        <v/>
      </c>
      <c r="M94" s="6" t="str">
        <f>IF(Table11320[[#This Row],[Category]]="Transportation", "ton", "")</f>
        <v/>
      </c>
      <c r="N94" s="6"/>
      <c r="O94" s="6"/>
      <c r="P94" s="6" t="str">
        <f>IF(OR(Table11320[[#This Row],[Type]]="Main Product", Table11320[[#This Row],[Type]]="Co-Product"), Table11320[[#This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IF(Table11320[[#This Row],[Type]]="Co-product", "No", "")</f>
        <v/>
      </c>
      <c r="J95" s="25"/>
      <c r="K95" s="6"/>
      <c r="L95" s="6" t="str">
        <f>IF(Table11320[[#This Row],[Category]]="Transportation", _xlfn.XLOOKUP(Table11320[[#This Row],[Resource]], 'SI - Payload'!$A$10:$A$40,'SI - Payload'!$B$10:$B$40,"",0), "")</f>
        <v/>
      </c>
      <c r="M95" s="6" t="str">
        <f>IF(Table11320[[#This Row],[Category]]="Transportation", "ton", "")</f>
        <v/>
      </c>
      <c r="N95" s="6"/>
      <c r="O95" s="6"/>
      <c r="P95" s="6" t="str">
        <f>IF(OR(Table11320[[#This Row],[Type]]="Main Product", Table11320[[#This Row],[Type]]="Co-Product"), Table11320[[#This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IF(Table11320[[#This Row],[Type]]="Co-product", "No", "")</f>
        <v/>
      </c>
      <c r="J96" s="25"/>
      <c r="K96" s="6"/>
      <c r="L96" s="6" t="str">
        <f>IF(Table11320[[#This Row],[Category]]="Transportation", _xlfn.XLOOKUP(Table11320[[#This Row],[Resource]], 'SI - Payload'!$A$10:$A$40,'SI - Payload'!$B$10:$B$40,"",0), "")</f>
        <v/>
      </c>
      <c r="M96" s="6" t="str">
        <f>IF(Table11320[[#This Row],[Category]]="Transportation", "ton", "")</f>
        <v/>
      </c>
      <c r="N96" s="6"/>
      <c r="O96" s="6"/>
      <c r="P96" s="6" t="str">
        <f>IF(OR(Table11320[[#This Row],[Type]]="Main Product", Table11320[[#This Row],[Type]]="Co-Product"), Table11320[[#This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IF(Table11320[[#This Row],[Type]]="Co-product", "No", "")</f>
        <v/>
      </c>
      <c r="J97" s="25"/>
      <c r="K97" s="6"/>
      <c r="L97" s="6" t="str">
        <f>IF(Table11320[[#This Row],[Category]]="Transportation", _xlfn.XLOOKUP(Table11320[[#This Row],[Resource]], 'SI - Payload'!$A$10:$A$40,'SI - Payload'!$B$10:$B$40,"",0), "")</f>
        <v/>
      </c>
      <c r="M97" s="6" t="str">
        <f>IF(Table11320[[#This Row],[Category]]="Transportation", "ton", "")</f>
        <v/>
      </c>
      <c r="N97" s="6"/>
      <c r="O97" s="6"/>
      <c r="P97" s="6" t="str">
        <f>IF(OR(Table11320[[#This Row],[Type]]="Main Product", Table11320[[#This Row],[Type]]="Co-Product"), Table11320[[#This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IF(Table11320[[#This Row],[Type]]="Co-product", "No", "")</f>
        <v/>
      </c>
      <c r="J98" s="25"/>
      <c r="K98" s="6"/>
      <c r="L98" s="6" t="str">
        <f>IF(Table11320[[#This Row],[Category]]="Transportation", _xlfn.XLOOKUP(Table11320[[#This Row],[Resource]], 'SI - Payload'!$A$10:$A$40,'SI - Payload'!$B$10:$B$40,"",0), "")</f>
        <v/>
      </c>
      <c r="M98" s="6" t="str">
        <f>IF(Table11320[[#This Row],[Category]]="Transportation", "ton", "")</f>
        <v/>
      </c>
      <c r="N98" s="6"/>
      <c r="O98" s="6"/>
      <c r="P98" s="6" t="str">
        <f>IF(OR(Table11320[[#This Row],[Type]]="Main Product", Table11320[[#This Row],[Type]]="Co-Product"), Table11320[[#This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IF(Table11320[[#This Row],[Type]]="Co-product", "No", "")</f>
        <v/>
      </c>
      <c r="J99" s="25"/>
      <c r="K99" s="6"/>
      <c r="L99" s="6" t="str">
        <f>IF(Table11320[[#This Row],[Category]]="Transportation", _xlfn.XLOOKUP(Table11320[[#This Row],[Resource]], 'SI - Payload'!$A$10:$A$40,'SI - Payload'!$B$10:$B$40,"",0), "")</f>
        <v/>
      </c>
      <c r="M99" s="6" t="str">
        <f>IF(Table11320[[#This Row],[Category]]="Transportation", "ton", "")</f>
        <v/>
      </c>
      <c r="N99" s="6"/>
      <c r="O99" s="6"/>
      <c r="P99" s="6" t="str">
        <f>IF(OR(Table11320[[#This Row],[Type]]="Main Product", Table11320[[#This Row],[Type]]="Co-Product"), Table11320[[#This Row],[Resource]], "")</f>
        <v/>
      </c>
      <c r="Q99" s="6" t="str">
        <f>IF(_xlfn.XLOOKUP($P99,'SI - End Use'!$B$2:$B$9,'SI - End Use'!$C$2:$C$9, "")="", "", _xlfn.XLOOKUP($C99,'SI - End Use'!$B$2:$B$9,'SI - End Use'!$C$2:$C$9, ""))</f>
        <v/>
      </c>
      <c r="R99" s="6"/>
      <c r="S99" s="6"/>
      <c r="T99" s="6"/>
    </row>
  </sheetData>
  <dataValidations count="7">
    <dataValidation type="custom" allowBlank="1" showInputMessage="1" showErrorMessage="1" sqref="E6:E99" xr:uid="{8432388F-E5C8-4DE3-BF97-294A4872BF82}">
      <formula1>ISNUMBER(E6)</formula1>
    </dataValidation>
    <dataValidation type="decimal" allowBlank="1" showInputMessage="1" showErrorMessage="1" error="Please type a number between 0 and 1." sqref="G6:G99" xr:uid="{95834045-862B-4BAA-9E7F-78521ED4966D}">
      <formula1>0</formula1>
      <formula2>1</formula2>
    </dataValidation>
    <dataValidation type="decimal" operator="greaterThan" allowBlank="1" showInputMessage="1" showErrorMessage="1" error="Please type a positive price." sqref="N6:N99" xr:uid="{53572661-75B6-4E2B-BD2D-5D6EDFDBE9A9}">
      <formula1>0</formula1>
    </dataValidation>
    <dataValidation type="decimal" operator="greaterThan" allowBlank="1" showInputMessage="1" showErrorMessage="1" error="Please type a positive number." sqref="L6:L99" xr:uid="{620957E8-8523-47CB-8FBD-DC6C6A5C2A6F}">
      <formula1>0</formula1>
    </dataValidation>
    <dataValidation type="list" allowBlank="1" showInputMessage="1" showErrorMessage="1" sqref="M6:M99" xr:uid="{843C19F3-8F8F-42FC-A1E2-136F186190CE}">
      <formula1>payload_units</formula1>
    </dataValidation>
    <dataValidation type="decimal" allowBlank="1" showInputMessage="1" showErrorMessage="1" sqref="J6:J99" xr:uid="{2C8FB793-5578-4BD6-93D5-EDA1323E6494}">
      <formula1>0</formula1>
      <formula2>1</formula2>
    </dataValidation>
    <dataValidation type="list" allowBlank="1" showInputMessage="1" showErrorMessage="1" sqref="C2" xr:uid="{66F2CEF4-F6BD-4B8F-82E0-D3F0B9557A7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4E3E4E-044A-41CF-8F4B-4A148B40BCE2}">
          <x14:formula1>
            <xm:f>'SI - Co-products'!$A$2:$A$5</xm:f>
          </x14:formula1>
          <xm:sqref>K6:K99</xm:sqref>
        </x14:dataValidation>
        <x14:dataValidation type="list" allowBlank="1" showInputMessage="1" showErrorMessage="1" xr:uid="{17042FBD-35D2-465A-BD39-20D5DADDF775}">
          <x14:formula1>
            <xm:f>'SI - Co-products'!$C$2:$C$4</xm:f>
          </x14:formula1>
          <xm:sqref>I6:I99</xm:sqref>
        </x14:dataValidation>
        <x14:dataValidation type="list" allowBlank="1" showInputMessage="1" showErrorMessage="1" xr:uid="{34944DBC-4FF6-4B9D-AF85-EC906CE0A1D9}">
          <x14:formula1>
            <xm:f>'SI - Resources'!$A$1:$J$1</xm:f>
          </x14:formula1>
          <xm:sqref>B6:B99</xm:sqref>
        </x14:dataValidation>
        <x14:dataValidation type="list" allowBlank="1" showInputMessage="1" showErrorMessage="1" xr:uid="{E07BBDDF-7571-4899-98A8-3DD20EC45687}">
          <x14:formula1>
            <xm:f>'SI - Co-products'!$B$2:$B$6</xm:f>
          </x14:formula1>
          <xm:sqref>A6:A99</xm:sqref>
        </x14:dataValidation>
        <x14:dataValidation type="list" allowBlank="1" showInputMessage="1" showErrorMessage="1" xr:uid="{ADD69ED4-1F52-4808-8E9C-67A68BDB355D}">
          <x14:formula1>
            <xm:f>INDIRECT(_xlfn.XLOOKUP($B6, 'SI - Resources'!$R$1:$R$10,'SI - Resources'!$S$1:$S$10, "placeholder_resource", 0))</xm:f>
          </x14:formula1>
          <xm:sqref>C6:C99 P6:P99</xm:sqref>
        </x14:dataValidation>
        <x14:dataValidation type="list" allowBlank="1" showInputMessage="1" xr:uid="{F68FB87A-D8ED-46B0-9B22-9E6200A71673}">
          <x14:formula1>
            <xm:f>INDIRECT(_xlfn.XLOOKUP($C6,'SI - End Use'!$A$14:$A$23,'SI - End Use'!$B$14:$B$23,"other_end_use",0))</xm:f>
          </x14:formula1>
          <xm:sqref>D6:D99</xm:sqref>
        </x14:dataValidation>
        <x14:dataValidation type="list" allowBlank="1" showInputMessage="1" showErrorMessage="1" xr:uid="{06D4205F-2921-41CD-9BC0-379DE026D647}">
          <x14:formula1>
            <xm:f>INDIRECT(_xlfn.XLOOKUP($P6,'SI - End Use'!$A$14:$A$23,'SI - End Use'!$B$14:$B$23,"other_end_use",0))</xm:f>
          </x14:formula1>
          <xm:sqref>Q6:R99</xm:sqref>
        </x14:dataValidation>
        <x14:dataValidation type="list" allowBlank="1" showInputMessage="1" showErrorMessage="1" xr:uid="{386183AD-D9AA-4B91-A5F9-1EE9959E8E8B}">
          <x14:formula1>
            <xm:f>'SI - Co-products'!$D$2:$D$8</xm:f>
          </x14:formula1>
          <xm:sqref>C1</xm:sqref>
        </x14:dataValidation>
        <x14:dataValidation type="list" allowBlank="1" showInputMessage="1" showErrorMessage="1" xr:uid="{D0B602C6-4ED7-46FE-9CF2-3A382E7D53C8}">
          <x14:formula1>
            <xm:f>IF($B6="Transportation",  transport_units, INDIRECT(_xlfn.XLOOKUP($C6, 'SI - Units'!$F$27:$F$41,'SI - Units'!$G$27:$G$41,"mass",0)))</xm:f>
          </x14:formula1>
          <xm:sqref>F6:F99</xm:sqref>
        </x14:dataValidation>
        <x14:dataValidation type="list" allowBlank="1" showInputMessage="1" showErrorMessage="1" xr:uid="{ABF6634D-6557-42A4-931E-93699BD64E37}">
          <x14:formula1>
            <xm:f>INDIRECT("p_"&amp;_xlfn.XLOOKUP($C6,'SI - Units'!$F$27:$F$41,'SI - Units'!$G$27:$G$41,"mass",0))</xm:f>
          </x14:formula1>
          <xm:sqref>O6:O99</xm:sqref>
        </x14:dataValidation>
        <x14:dataValidation type="list" allowBlank="1" showInputMessage="1" showErrorMessage="1" xr:uid="{5FFF03DE-102C-4DD3-A9DE-3B57ABD5592D}">
          <x14:formula1>
            <xm:f>_xlfn.XLOOKUP(_xlfn.XLOOKUP(#REF!,'SI - Units'!$B$25:$B$113,'SI - Units'!$C$25:$C$113),'SI - Units'!$A$2:$A$9,'SI - Units'!$B$2:$R$9)</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36</vt:i4>
      </vt:variant>
    </vt:vector>
  </HeadingPairs>
  <TitlesOfParts>
    <vt:vector size="54" baseType="lpstr">
      <vt:lpstr>Introduction</vt:lpstr>
      <vt:lpstr>Template</vt:lpstr>
      <vt:lpstr>SI - Payload</vt:lpstr>
      <vt:lpstr>SI - Resources</vt:lpstr>
      <vt:lpstr>SI - End Use</vt:lpstr>
      <vt:lpstr>SI - Units</vt:lpstr>
      <vt:lpstr>SI - Co-products</vt:lpstr>
      <vt:lpstr>Fuel production</vt:lpstr>
      <vt:lpstr>Fuel combustion</vt:lpstr>
      <vt:lpstr>Forest residue processing</vt:lpstr>
      <vt:lpstr>Forest residue transportation</vt:lpstr>
      <vt:lpstr>Receiving handling and storage</vt:lpstr>
      <vt:lpstr>Forest residue preprocessing</vt:lpstr>
      <vt:lpstr>Pine collection</vt:lpstr>
      <vt:lpstr>Pine processing</vt:lpstr>
      <vt:lpstr>Pine transportation</vt:lpstr>
      <vt:lpstr>Pine handling and storage</vt:lpstr>
      <vt:lpstr>Pine preprocessing</vt:lpstr>
      <vt:lpstr>bio_fuel_gas_end_use</vt:lpstr>
      <vt:lpstr>biochar_end_use</vt:lpstr>
      <vt:lpstr>biomass_resource</vt:lpstr>
      <vt:lpstr>chemicals_resource</vt:lpstr>
      <vt:lpstr>diesel_end_use</vt:lpstr>
      <vt:lpstr>electricity_end_use</vt:lpstr>
      <vt:lpstr>electricity_resource</vt:lpstr>
      <vt:lpstr>electricity_units</vt:lpstr>
      <vt:lpstr>emission_resource</vt:lpstr>
      <vt:lpstr>energy</vt:lpstr>
      <vt:lpstr>fuel_gas_end_use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2023-09-21T16:24:07Z</dcterms:modified>
</cp:coreProperties>
</file>