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Longwen Ou\Desktop\dash_development\Interactive-SCSA_Dash\static\"/>
    </mc:Choice>
  </mc:AlternateContent>
  <xr:revisionPtr revIDLastSave="0" documentId="13_ncr:1_{52773465-A481-4B10-8E9A-3B16201F05AC}" xr6:coauthVersionLast="47" xr6:coauthVersionMax="47" xr10:uidLastSave="{00000000-0000-0000-0000-000000000000}"/>
  <bookViews>
    <workbookView xWindow="57480" yWindow="-120" windowWidth="38640" windowHeight="21240" tabRatio="685" activeTab="8" xr2:uid="{CD6380C4-55CF-4A2B-8B40-E0431B51BF74}"/>
  </bookViews>
  <sheets>
    <sheet name="Introduction" sheetId="16" r:id="rId1"/>
    <sheet name="Template" sheetId="10" state="hidden" r:id="rId2"/>
    <sheet name="SI - Payload" sheetId="24" r:id="rId3"/>
    <sheet name="SI - Resources" sheetId="6" r:id="rId4"/>
    <sheet name="SI - End Use" sheetId="7" r:id="rId5"/>
    <sheet name="SI - Units" sheetId="8" r:id="rId6"/>
    <sheet name="SI - Co-products" sheetId="9" r:id="rId7"/>
    <sheet name="Algae growth" sheetId="26" r:id="rId8"/>
    <sheet name="Algae transportation" sheetId="25" r:id="rId9"/>
  </sheets>
  <externalReferences>
    <externalReference r:id="rId10"/>
  </externalReferences>
  <definedNames>
    <definedName name="kWh2Btu">#REF!</definedName>
    <definedName name="mmkcal2mmbtu">[1]SI!$B$1</definedName>
    <definedName name="NGLHV">#REF!</definedName>
  </definedNames>
  <calcPr calcId="191029"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6" i="25" l="1"/>
  <c r="F6" i="25" a="1"/>
  <c r="F6" i="25" s="1"/>
  <c r="I6" i="25"/>
  <c r="K6" i="25"/>
  <c r="L6" i="25"/>
  <c r="O6" i="25"/>
  <c r="P6" i="25" s="1"/>
  <c r="D7" i="25"/>
  <c r="F7" i="25" a="1"/>
  <c r="F7" i="25" s="1"/>
  <c r="I7" i="25"/>
  <c r="K7" i="25"/>
  <c r="L7" i="25"/>
  <c r="O7" i="25"/>
  <c r="P7" i="25"/>
  <c r="C8" i="25"/>
  <c r="D8" i="25" s="1"/>
  <c r="I8" i="25"/>
  <c r="K8" i="25"/>
  <c r="L8" i="25"/>
  <c r="O8" i="25"/>
  <c r="P8" i="25" s="1"/>
  <c r="O100" i="26"/>
  <c r="P100" i="26" s="1"/>
  <c r="L100" i="26"/>
  <c r="K100" i="26"/>
  <c r="I100" i="26"/>
  <c r="D100" i="26"/>
  <c r="C100" i="26"/>
  <c r="F100" i="26" s="1" a="1"/>
  <c r="F100" i="26" s="1"/>
  <c r="O99" i="26"/>
  <c r="P99" i="26" s="1"/>
  <c r="L99" i="26"/>
  <c r="K99" i="26"/>
  <c r="I99" i="26"/>
  <c r="F99" i="26" a="1"/>
  <c r="F99" i="26" s="1"/>
  <c r="C99" i="26"/>
  <c r="D99" i="26" s="1"/>
  <c r="O98" i="26"/>
  <c r="P98" i="26" s="1"/>
  <c r="L98" i="26"/>
  <c r="K98" i="26"/>
  <c r="I98" i="26"/>
  <c r="C98" i="26"/>
  <c r="F98" i="26" s="1" a="1"/>
  <c r="F98" i="26" s="1"/>
  <c r="O97" i="26"/>
  <c r="P97" i="26" s="1"/>
  <c r="L97" i="26"/>
  <c r="K97" i="26"/>
  <c r="I97" i="26"/>
  <c r="C97" i="26"/>
  <c r="F97" i="26" s="1" a="1"/>
  <c r="F97" i="26" s="1"/>
  <c r="O96" i="26"/>
  <c r="P96" i="26" s="1"/>
  <c r="L96" i="26"/>
  <c r="K96" i="26"/>
  <c r="I96" i="26"/>
  <c r="C96" i="26"/>
  <c r="F96" i="26" s="1" a="1"/>
  <c r="F96" i="26" s="1"/>
  <c r="P95" i="26"/>
  <c r="O95" i="26"/>
  <c r="L95" i="26"/>
  <c r="K95" i="26"/>
  <c r="I95" i="26"/>
  <c r="C95" i="26"/>
  <c r="F95" i="26" s="1" a="1"/>
  <c r="F95" i="26" s="1"/>
  <c r="O94" i="26"/>
  <c r="P94" i="26" s="1"/>
  <c r="L94" i="26"/>
  <c r="K94" i="26"/>
  <c r="I94" i="26"/>
  <c r="F94" i="26" a="1"/>
  <c r="F94" i="26" s="1"/>
  <c r="D94" i="26"/>
  <c r="C94" i="26"/>
  <c r="P93" i="26"/>
  <c r="O93" i="26"/>
  <c r="L93" i="26"/>
  <c r="K93" i="26"/>
  <c r="I93" i="26"/>
  <c r="C93" i="26"/>
  <c r="F93" i="26" s="1" a="1"/>
  <c r="F93" i="26" s="1"/>
  <c r="P92" i="26"/>
  <c r="O92" i="26"/>
  <c r="L92" i="26"/>
  <c r="K92" i="26"/>
  <c r="I92" i="26"/>
  <c r="F92" i="26"/>
  <c r="F92" i="26" a="1"/>
  <c r="D92" i="26"/>
  <c r="C92" i="26"/>
  <c r="P91" i="26"/>
  <c r="O91" i="26"/>
  <c r="L91" i="26"/>
  <c r="K91" i="26"/>
  <c r="I91" i="26"/>
  <c r="F91" i="26" a="1"/>
  <c r="F91" i="26" s="1"/>
  <c r="D91" i="26"/>
  <c r="C91" i="26"/>
  <c r="P90" i="26"/>
  <c r="O90" i="26"/>
  <c r="L90" i="26"/>
  <c r="K90" i="26"/>
  <c r="I90" i="26"/>
  <c r="D90" i="26"/>
  <c r="C90" i="26"/>
  <c r="F90" i="26" s="1" a="1"/>
  <c r="F90" i="26" s="1"/>
  <c r="P89" i="26"/>
  <c r="O89" i="26"/>
  <c r="L89" i="26"/>
  <c r="K89" i="26"/>
  <c r="I89" i="26"/>
  <c r="D89" i="26"/>
  <c r="C89" i="26"/>
  <c r="F89" i="26" s="1" a="1"/>
  <c r="F89" i="26" s="1"/>
  <c r="O88" i="26"/>
  <c r="P88" i="26" s="1"/>
  <c r="L88" i="26"/>
  <c r="K88" i="26"/>
  <c r="I88" i="26"/>
  <c r="F88" i="26"/>
  <c r="F88" i="26" a="1"/>
  <c r="D88" i="26"/>
  <c r="C88" i="26"/>
  <c r="P87" i="26"/>
  <c r="O87" i="26"/>
  <c r="L87" i="26"/>
  <c r="K87" i="26"/>
  <c r="I87" i="26"/>
  <c r="C87" i="26"/>
  <c r="F87" i="26" s="1" a="1"/>
  <c r="F87" i="26" s="1"/>
  <c r="O86" i="26"/>
  <c r="P86" i="26" s="1"/>
  <c r="L86" i="26"/>
  <c r="K86" i="26"/>
  <c r="I86" i="26"/>
  <c r="F86" i="26"/>
  <c r="F86" i="26" a="1"/>
  <c r="D86" i="26"/>
  <c r="C86" i="26"/>
  <c r="P85" i="26"/>
  <c r="O85" i="26"/>
  <c r="L85" i="26"/>
  <c r="K85" i="26"/>
  <c r="I85" i="26"/>
  <c r="F85" i="26" a="1"/>
  <c r="F85" i="26" s="1"/>
  <c r="C85" i="26"/>
  <c r="D85" i="26" s="1"/>
  <c r="O84" i="26"/>
  <c r="P84" i="26" s="1"/>
  <c r="L84" i="26"/>
  <c r="K84" i="26"/>
  <c r="I84" i="26"/>
  <c r="D84" i="26"/>
  <c r="C84" i="26"/>
  <c r="F84" i="26" s="1" a="1"/>
  <c r="F84" i="26" s="1"/>
  <c r="O83" i="26"/>
  <c r="P83" i="26" s="1"/>
  <c r="L83" i="26"/>
  <c r="K83" i="26"/>
  <c r="I83" i="26"/>
  <c r="F83" i="26" a="1"/>
  <c r="F83" i="26" s="1"/>
  <c r="C83" i="26"/>
  <c r="D83" i="26" s="1"/>
  <c r="O82" i="26"/>
  <c r="P82" i="26" s="1"/>
  <c r="L82" i="26"/>
  <c r="K82" i="26"/>
  <c r="I82" i="26"/>
  <c r="C82" i="26"/>
  <c r="F82" i="26" s="1" a="1"/>
  <c r="F82" i="26" s="1"/>
  <c r="O81" i="26"/>
  <c r="P81" i="26" s="1"/>
  <c r="L81" i="26"/>
  <c r="K81" i="26"/>
  <c r="I81" i="26"/>
  <c r="C81" i="26"/>
  <c r="F81" i="26" s="1" a="1"/>
  <c r="F81" i="26" s="1"/>
  <c r="O80" i="26"/>
  <c r="P80" i="26" s="1"/>
  <c r="L80" i="26"/>
  <c r="K80" i="26"/>
  <c r="I80" i="26"/>
  <c r="C80" i="26"/>
  <c r="F80" i="26" s="1" a="1"/>
  <c r="F80" i="26" s="1"/>
  <c r="P79" i="26"/>
  <c r="O79" i="26"/>
  <c r="L79" i="26"/>
  <c r="K79" i="26"/>
  <c r="I79" i="26"/>
  <c r="F79" i="26" a="1"/>
  <c r="F79" i="26" s="1"/>
  <c r="C79" i="26"/>
  <c r="D79" i="26" s="1"/>
  <c r="O78" i="26"/>
  <c r="P78" i="26" s="1"/>
  <c r="L78" i="26"/>
  <c r="K78" i="26"/>
  <c r="I78" i="26"/>
  <c r="D78" i="26"/>
  <c r="C78" i="26"/>
  <c r="F78" i="26" s="1" a="1"/>
  <c r="F78" i="26" s="1"/>
  <c r="P77" i="26"/>
  <c r="O77" i="26"/>
  <c r="L77" i="26"/>
  <c r="K77" i="26"/>
  <c r="I77" i="26"/>
  <c r="C77" i="26"/>
  <c r="F77" i="26" s="1" a="1"/>
  <c r="F77" i="26" s="1"/>
  <c r="P76" i="26"/>
  <c r="O76" i="26"/>
  <c r="L76" i="26"/>
  <c r="K76" i="26"/>
  <c r="I76" i="26"/>
  <c r="F76" i="26"/>
  <c r="F76" i="26" a="1"/>
  <c r="D76" i="26"/>
  <c r="C76" i="26"/>
  <c r="P75" i="26"/>
  <c r="O75" i="26"/>
  <c r="L75" i="26"/>
  <c r="K75" i="26"/>
  <c r="I75" i="26"/>
  <c r="F75" i="26" a="1"/>
  <c r="F75" i="26" s="1"/>
  <c r="D75" i="26"/>
  <c r="C75" i="26"/>
  <c r="P74" i="26"/>
  <c r="O74" i="26"/>
  <c r="L74" i="26"/>
  <c r="K74" i="26"/>
  <c r="I74" i="26"/>
  <c r="D74" i="26"/>
  <c r="C74" i="26"/>
  <c r="F74" i="26" s="1" a="1"/>
  <c r="F74" i="26" s="1"/>
  <c r="P73" i="26"/>
  <c r="O73" i="26"/>
  <c r="L73" i="26"/>
  <c r="K73" i="26"/>
  <c r="I73" i="26"/>
  <c r="D73" i="26"/>
  <c r="C73" i="26"/>
  <c r="F73" i="26" s="1" a="1"/>
  <c r="F73" i="26" s="1"/>
  <c r="O72" i="26"/>
  <c r="P72" i="26" s="1"/>
  <c r="L72" i="26"/>
  <c r="K72" i="26"/>
  <c r="I72" i="26"/>
  <c r="F72" i="26"/>
  <c r="F72" i="26" a="1"/>
  <c r="D72" i="26"/>
  <c r="C72" i="26"/>
  <c r="P71" i="26"/>
  <c r="O71" i="26"/>
  <c r="L71" i="26"/>
  <c r="K71" i="26"/>
  <c r="I71" i="26"/>
  <c r="C71" i="26"/>
  <c r="F71" i="26" s="1" a="1"/>
  <c r="F71" i="26" s="1"/>
  <c r="O70" i="26"/>
  <c r="P70" i="26" s="1"/>
  <c r="L70" i="26"/>
  <c r="K70" i="26"/>
  <c r="I70" i="26"/>
  <c r="F70" i="26"/>
  <c r="F70" i="26" a="1"/>
  <c r="D70" i="26"/>
  <c r="C70" i="26"/>
  <c r="P69" i="26"/>
  <c r="O69" i="26"/>
  <c r="L69" i="26"/>
  <c r="K69" i="26"/>
  <c r="I69" i="26"/>
  <c r="F69" i="26" a="1"/>
  <c r="F69" i="26" s="1"/>
  <c r="C69" i="26"/>
  <c r="D69" i="26" s="1"/>
  <c r="O68" i="26"/>
  <c r="P68" i="26" s="1"/>
  <c r="L68" i="26"/>
  <c r="K68" i="26"/>
  <c r="I68" i="26"/>
  <c r="D68" i="26"/>
  <c r="C68" i="26"/>
  <c r="F68" i="26" s="1" a="1"/>
  <c r="F68" i="26" s="1"/>
  <c r="O67" i="26"/>
  <c r="P67" i="26" s="1"/>
  <c r="L67" i="26"/>
  <c r="K67" i="26"/>
  <c r="I67" i="26"/>
  <c r="F67" i="26" a="1"/>
  <c r="F67" i="26" s="1"/>
  <c r="C67" i="26"/>
  <c r="D67" i="26" s="1"/>
  <c r="O66" i="26"/>
  <c r="P66" i="26" s="1"/>
  <c r="L66" i="26"/>
  <c r="K66" i="26"/>
  <c r="I66" i="26"/>
  <c r="F66" i="26"/>
  <c r="F66" i="26" a="1"/>
  <c r="C66" i="26"/>
  <c r="D66" i="26" s="1"/>
  <c r="O65" i="26"/>
  <c r="P65" i="26" s="1"/>
  <c r="L65" i="26"/>
  <c r="K65" i="26"/>
  <c r="I65" i="26"/>
  <c r="C65" i="26"/>
  <c r="F65" i="26" s="1" a="1"/>
  <c r="F65" i="26" s="1"/>
  <c r="O64" i="26"/>
  <c r="P64" i="26" s="1"/>
  <c r="L64" i="26"/>
  <c r="K64" i="26"/>
  <c r="I64" i="26"/>
  <c r="F64" i="26" a="1"/>
  <c r="F64" i="26" s="1"/>
  <c r="C64" i="26"/>
  <c r="D64" i="26" s="1"/>
  <c r="P63" i="26"/>
  <c r="O63" i="26"/>
  <c r="L63" i="26"/>
  <c r="K63" i="26"/>
  <c r="I63" i="26"/>
  <c r="F63" i="26" a="1"/>
  <c r="F63" i="26" s="1"/>
  <c r="C63" i="26"/>
  <c r="D63" i="26" s="1"/>
  <c r="O62" i="26"/>
  <c r="P62" i="26" s="1"/>
  <c r="L62" i="26"/>
  <c r="K62" i="26"/>
  <c r="I62" i="26"/>
  <c r="D62" i="26"/>
  <c r="C62" i="26"/>
  <c r="F62" i="26" s="1" a="1"/>
  <c r="F62" i="26" s="1"/>
  <c r="P61" i="26"/>
  <c r="O61" i="26"/>
  <c r="L61" i="26"/>
  <c r="K61" i="26"/>
  <c r="I61" i="26"/>
  <c r="C61" i="26"/>
  <c r="F61" i="26" s="1" a="1"/>
  <c r="F61" i="26" s="1"/>
  <c r="P60" i="26"/>
  <c r="O60" i="26"/>
  <c r="L60" i="26"/>
  <c r="K60" i="26"/>
  <c r="I60" i="26"/>
  <c r="F60" i="26"/>
  <c r="F60" i="26" a="1"/>
  <c r="D60" i="26"/>
  <c r="C60" i="26"/>
  <c r="P59" i="26"/>
  <c r="O59" i="26"/>
  <c r="L59" i="26"/>
  <c r="K59" i="26"/>
  <c r="I59" i="26"/>
  <c r="F59" i="26" a="1"/>
  <c r="F59" i="26" s="1"/>
  <c r="D59" i="26"/>
  <c r="C59" i="26"/>
  <c r="P58" i="26"/>
  <c r="O58" i="26"/>
  <c r="L58" i="26"/>
  <c r="K58" i="26"/>
  <c r="I58" i="26"/>
  <c r="D58" i="26"/>
  <c r="C58" i="26"/>
  <c r="F58" i="26" s="1" a="1"/>
  <c r="F58" i="26" s="1"/>
  <c r="P57" i="26"/>
  <c r="O57" i="26"/>
  <c r="L57" i="26"/>
  <c r="K57" i="26"/>
  <c r="I57" i="26"/>
  <c r="D57" i="26"/>
  <c r="C57" i="26"/>
  <c r="F57" i="26" s="1" a="1"/>
  <c r="F57" i="26" s="1"/>
  <c r="O56" i="26"/>
  <c r="P56" i="26" s="1"/>
  <c r="L56" i="26"/>
  <c r="K56" i="26"/>
  <c r="I56" i="26"/>
  <c r="D56" i="26"/>
  <c r="C56" i="26"/>
  <c r="F56" i="26" s="1" a="1"/>
  <c r="F56" i="26" s="1"/>
  <c r="P55" i="26"/>
  <c r="O55" i="26"/>
  <c r="L55" i="26"/>
  <c r="K55" i="26"/>
  <c r="I55" i="26"/>
  <c r="C55" i="26"/>
  <c r="F55" i="26" s="1" a="1"/>
  <c r="F55" i="26" s="1"/>
  <c r="O54" i="26"/>
  <c r="P54" i="26" s="1"/>
  <c r="L54" i="26"/>
  <c r="K54" i="26"/>
  <c r="I54" i="26"/>
  <c r="F54" i="26"/>
  <c r="F54" i="26" a="1"/>
  <c r="D54" i="26"/>
  <c r="C54" i="26"/>
  <c r="O53" i="26"/>
  <c r="P53" i="26" s="1"/>
  <c r="L53" i="26"/>
  <c r="K53" i="26"/>
  <c r="I53" i="26"/>
  <c r="F53" i="26" a="1"/>
  <c r="F53" i="26" s="1"/>
  <c r="C53" i="26"/>
  <c r="D53" i="26" s="1"/>
  <c r="O52" i="26"/>
  <c r="P52" i="26" s="1"/>
  <c r="L52" i="26"/>
  <c r="K52" i="26"/>
  <c r="I52" i="26"/>
  <c r="C52" i="26"/>
  <c r="F52" i="26" s="1" a="1"/>
  <c r="F52" i="26" s="1"/>
  <c r="O51" i="26"/>
  <c r="P51" i="26" s="1"/>
  <c r="L51" i="26"/>
  <c r="K51" i="26"/>
  <c r="I51" i="26"/>
  <c r="F51" i="26" a="1"/>
  <c r="F51" i="26" s="1"/>
  <c r="C51" i="26"/>
  <c r="D51" i="26" s="1"/>
  <c r="O50" i="26"/>
  <c r="P50" i="26" s="1"/>
  <c r="L50" i="26"/>
  <c r="K50" i="26"/>
  <c r="I50" i="26"/>
  <c r="F50" i="26" a="1"/>
  <c r="F50" i="26" s="1"/>
  <c r="C50" i="26"/>
  <c r="D50" i="26" s="1"/>
  <c r="O49" i="26"/>
  <c r="P49" i="26" s="1"/>
  <c r="L49" i="26"/>
  <c r="K49" i="26"/>
  <c r="I49" i="26"/>
  <c r="C49" i="26"/>
  <c r="F49" i="26" s="1" a="1"/>
  <c r="F49" i="26" s="1"/>
  <c r="O48" i="26"/>
  <c r="P48" i="26" s="1"/>
  <c r="L48" i="26"/>
  <c r="K48" i="26"/>
  <c r="I48" i="26"/>
  <c r="F48" i="26" a="1"/>
  <c r="F48" i="26" s="1"/>
  <c r="C48" i="26"/>
  <c r="D48" i="26" s="1"/>
  <c r="P47" i="26"/>
  <c r="O47" i="26"/>
  <c r="L47" i="26"/>
  <c r="K47" i="26"/>
  <c r="I47" i="26"/>
  <c r="F47" i="26" a="1"/>
  <c r="F47" i="26" s="1"/>
  <c r="C47" i="26"/>
  <c r="D47" i="26" s="1"/>
  <c r="O46" i="26"/>
  <c r="P46" i="26" s="1"/>
  <c r="L46" i="26"/>
  <c r="K46" i="26"/>
  <c r="I46" i="26"/>
  <c r="D46" i="26"/>
  <c r="C46" i="26"/>
  <c r="F46" i="26" s="1" a="1"/>
  <c r="F46" i="26" s="1"/>
  <c r="P45" i="26"/>
  <c r="O45" i="26"/>
  <c r="L45" i="26"/>
  <c r="K45" i="26"/>
  <c r="I45" i="26"/>
  <c r="C45" i="26"/>
  <c r="F45" i="26" s="1" a="1"/>
  <c r="F45" i="26" s="1"/>
  <c r="P44" i="26"/>
  <c r="O44" i="26"/>
  <c r="L44" i="26"/>
  <c r="K44" i="26"/>
  <c r="I44" i="26"/>
  <c r="F44" i="26"/>
  <c r="F44" i="26" a="1"/>
  <c r="D44" i="26"/>
  <c r="C44" i="26"/>
  <c r="P43" i="26"/>
  <c r="O43" i="26"/>
  <c r="L43" i="26"/>
  <c r="K43" i="26"/>
  <c r="I43" i="26"/>
  <c r="F43" i="26" a="1"/>
  <c r="F43" i="26" s="1"/>
  <c r="D43" i="26"/>
  <c r="C43" i="26"/>
  <c r="P42" i="26"/>
  <c r="O42" i="26"/>
  <c r="L42" i="26"/>
  <c r="K42" i="26"/>
  <c r="I42" i="26"/>
  <c r="D42" i="26"/>
  <c r="C42" i="26"/>
  <c r="F42" i="26" s="1" a="1"/>
  <c r="F42" i="26" s="1"/>
  <c r="P41" i="26"/>
  <c r="O41" i="26"/>
  <c r="L41" i="26"/>
  <c r="K41" i="26"/>
  <c r="I41" i="26"/>
  <c r="D41" i="26"/>
  <c r="C41" i="26"/>
  <c r="F41" i="26" s="1" a="1"/>
  <c r="F41" i="26" s="1"/>
  <c r="O40" i="26"/>
  <c r="P40" i="26" s="1"/>
  <c r="L40" i="26"/>
  <c r="K40" i="26"/>
  <c r="I40" i="26"/>
  <c r="D40" i="26"/>
  <c r="C40" i="26"/>
  <c r="F40" i="26" s="1" a="1"/>
  <c r="F40" i="26" s="1"/>
  <c r="P39" i="26"/>
  <c r="O39" i="26"/>
  <c r="L39" i="26"/>
  <c r="K39" i="26"/>
  <c r="I39" i="26"/>
  <c r="C39" i="26"/>
  <c r="F39" i="26" s="1" a="1"/>
  <c r="F39" i="26" s="1"/>
  <c r="O38" i="26"/>
  <c r="P38" i="26" s="1"/>
  <c r="L38" i="26"/>
  <c r="K38" i="26"/>
  <c r="I38" i="26"/>
  <c r="F38" i="26"/>
  <c r="F38" i="26" a="1"/>
  <c r="D38" i="26"/>
  <c r="C38" i="26"/>
  <c r="O37" i="26"/>
  <c r="P37" i="26" s="1"/>
  <c r="L37" i="26"/>
  <c r="K37" i="26"/>
  <c r="I37" i="26"/>
  <c r="C37" i="26"/>
  <c r="F37" i="26" s="1" a="1"/>
  <c r="F37" i="26" s="1"/>
  <c r="O36" i="26"/>
  <c r="P36" i="26" s="1"/>
  <c r="L36" i="26"/>
  <c r="K36" i="26"/>
  <c r="I36" i="26"/>
  <c r="C36" i="26"/>
  <c r="F36" i="26" s="1" a="1"/>
  <c r="F36" i="26" s="1"/>
  <c r="O35" i="26"/>
  <c r="P35" i="26" s="1"/>
  <c r="L35" i="26"/>
  <c r="K35" i="26"/>
  <c r="I35" i="26"/>
  <c r="F35" i="26" a="1"/>
  <c r="F35" i="26" s="1"/>
  <c r="C35" i="26"/>
  <c r="D35" i="26" s="1"/>
  <c r="O34" i="26"/>
  <c r="P34" i="26" s="1"/>
  <c r="L34" i="26"/>
  <c r="K34" i="26"/>
  <c r="I34" i="26"/>
  <c r="F34" i="26" a="1"/>
  <c r="F34" i="26" s="1"/>
  <c r="C34" i="26"/>
  <c r="D34" i="26" s="1"/>
  <c r="O33" i="26"/>
  <c r="P33" i="26" s="1"/>
  <c r="L33" i="26"/>
  <c r="K33" i="26"/>
  <c r="I33" i="26"/>
  <c r="C33" i="26"/>
  <c r="F33" i="26" s="1" a="1"/>
  <c r="F33" i="26" s="1"/>
  <c r="O32" i="26"/>
  <c r="P32" i="26" s="1"/>
  <c r="L32" i="26"/>
  <c r="K32" i="26"/>
  <c r="I32" i="26"/>
  <c r="F32" i="26" a="1"/>
  <c r="F32" i="26" s="1"/>
  <c r="C32" i="26"/>
  <c r="D32" i="26" s="1"/>
  <c r="P31" i="26"/>
  <c r="O31" i="26"/>
  <c r="L31" i="26"/>
  <c r="K31" i="26"/>
  <c r="I31" i="26"/>
  <c r="F31" i="26" a="1"/>
  <c r="F31" i="26" s="1"/>
  <c r="C31" i="26"/>
  <c r="D31" i="26" s="1"/>
  <c r="O30" i="26"/>
  <c r="P30" i="26" s="1"/>
  <c r="L30" i="26"/>
  <c r="K30" i="26"/>
  <c r="I30" i="26"/>
  <c r="D30" i="26"/>
  <c r="C30" i="26"/>
  <c r="F30" i="26" s="1" a="1"/>
  <c r="F30" i="26" s="1"/>
  <c r="P29" i="26"/>
  <c r="O29" i="26"/>
  <c r="L29" i="26"/>
  <c r="K29" i="26"/>
  <c r="I29" i="26"/>
  <c r="F29" i="26" a="1"/>
  <c r="F29" i="26" s="1"/>
  <c r="C29" i="26"/>
  <c r="D29" i="26" s="1"/>
  <c r="P28" i="26"/>
  <c r="O28" i="26"/>
  <c r="L28" i="26"/>
  <c r="K28" i="26"/>
  <c r="I28" i="26"/>
  <c r="F28" i="26"/>
  <c r="F28" i="26" a="1"/>
  <c r="D28" i="26"/>
  <c r="C28" i="26"/>
  <c r="P27" i="26"/>
  <c r="O27" i="26"/>
  <c r="L27" i="26"/>
  <c r="K27" i="26"/>
  <c r="I27" i="26"/>
  <c r="F27" i="26" a="1"/>
  <c r="F27" i="26" s="1"/>
  <c r="D27" i="26"/>
  <c r="C27" i="26"/>
  <c r="P26" i="26"/>
  <c r="O26" i="26"/>
  <c r="L26" i="26"/>
  <c r="K26" i="26"/>
  <c r="I26" i="26"/>
  <c r="D26" i="26"/>
  <c r="C26" i="26"/>
  <c r="F26" i="26" s="1" a="1"/>
  <c r="F26" i="26" s="1"/>
  <c r="P25" i="26"/>
  <c r="O25" i="26"/>
  <c r="L25" i="26"/>
  <c r="K25" i="26"/>
  <c r="I25" i="26"/>
  <c r="D25" i="26"/>
  <c r="C25" i="26"/>
  <c r="F25" i="26" s="1" a="1"/>
  <c r="F25" i="26" s="1"/>
  <c r="O24" i="26"/>
  <c r="P24" i="26" s="1"/>
  <c r="L24" i="26"/>
  <c r="K24" i="26"/>
  <c r="I24" i="26"/>
  <c r="D24" i="26"/>
  <c r="C24" i="26"/>
  <c r="F24" i="26" s="1" a="1"/>
  <c r="F24" i="26" s="1"/>
  <c r="P23" i="26"/>
  <c r="O23" i="26"/>
  <c r="L23" i="26"/>
  <c r="K23" i="26"/>
  <c r="I23" i="26"/>
  <c r="C23" i="26"/>
  <c r="F23" i="26" s="1" a="1"/>
  <c r="F23" i="26" s="1"/>
  <c r="O22" i="26"/>
  <c r="P22" i="26" s="1"/>
  <c r="L22" i="26"/>
  <c r="K22" i="26"/>
  <c r="I22" i="26"/>
  <c r="F22" i="26"/>
  <c r="F22" i="26" a="1"/>
  <c r="D22" i="26"/>
  <c r="C22" i="26"/>
  <c r="O21" i="26"/>
  <c r="P21" i="26" s="1"/>
  <c r="L21" i="26"/>
  <c r="K21" i="26"/>
  <c r="I21" i="26"/>
  <c r="C21" i="26"/>
  <c r="F21" i="26" s="1" a="1"/>
  <c r="F21" i="26" s="1"/>
  <c r="O20" i="26"/>
  <c r="P20" i="26" s="1"/>
  <c r="L20" i="26"/>
  <c r="K20" i="26"/>
  <c r="I20" i="26"/>
  <c r="C20" i="26"/>
  <c r="F20" i="26" s="1" a="1"/>
  <c r="F20" i="26" s="1"/>
  <c r="O19" i="26"/>
  <c r="P19" i="26" s="1"/>
  <c r="L19" i="26"/>
  <c r="K19" i="26"/>
  <c r="I19" i="26"/>
  <c r="F19" i="26" a="1"/>
  <c r="F19" i="26" s="1"/>
  <c r="C19" i="26"/>
  <c r="D19" i="26" s="1"/>
  <c r="O18" i="26"/>
  <c r="P18" i="26" s="1"/>
  <c r="L18" i="26"/>
  <c r="K18" i="26"/>
  <c r="I18" i="26"/>
  <c r="F18" i="26" a="1"/>
  <c r="F18" i="26" s="1"/>
  <c r="C18" i="26"/>
  <c r="D18" i="26" s="1"/>
  <c r="O17" i="26"/>
  <c r="P17" i="26" s="1"/>
  <c r="L17" i="26"/>
  <c r="K17" i="26"/>
  <c r="I17" i="26"/>
  <c r="C17" i="26"/>
  <c r="F17" i="26" s="1" a="1"/>
  <c r="F17" i="26" s="1"/>
  <c r="O16" i="26"/>
  <c r="P16" i="26" s="1"/>
  <c r="L16" i="26"/>
  <c r="K16" i="26"/>
  <c r="I16" i="26"/>
  <c r="F16" i="26" a="1"/>
  <c r="F16" i="26" s="1"/>
  <c r="C16" i="26"/>
  <c r="D16" i="26" s="1"/>
  <c r="P15" i="26"/>
  <c r="O15" i="26"/>
  <c r="L15" i="26"/>
  <c r="K15" i="26"/>
  <c r="I15" i="26"/>
  <c r="C15" i="26"/>
  <c r="F15" i="26" s="1" a="1"/>
  <c r="F15" i="26" s="1"/>
  <c r="O14" i="26"/>
  <c r="P14" i="26" s="1"/>
  <c r="L14" i="26"/>
  <c r="K14" i="26"/>
  <c r="I14" i="26"/>
  <c r="D14" i="26"/>
  <c r="C14" i="26"/>
  <c r="F14" i="26" s="1" a="1"/>
  <c r="F14" i="26" s="1"/>
  <c r="P13" i="26"/>
  <c r="O13" i="26"/>
  <c r="L13" i="26"/>
  <c r="K13" i="26"/>
  <c r="I13" i="26"/>
  <c r="F13" i="26" a="1"/>
  <c r="F13" i="26" s="1"/>
  <c r="C13" i="26"/>
  <c r="D13" i="26" s="1"/>
  <c r="P12" i="26"/>
  <c r="O12" i="26"/>
  <c r="L12" i="26"/>
  <c r="K12" i="26"/>
  <c r="I12" i="26"/>
  <c r="F12" i="26"/>
  <c r="F12" i="26" a="1"/>
  <c r="D12" i="26"/>
  <c r="C12" i="26"/>
  <c r="P11" i="26"/>
  <c r="O11" i="26"/>
  <c r="L11" i="26"/>
  <c r="K11" i="26"/>
  <c r="I11" i="26"/>
  <c r="F11" i="26" a="1"/>
  <c r="F11" i="26" s="1"/>
  <c r="D11" i="26"/>
  <c r="C11" i="26"/>
  <c r="P10" i="26"/>
  <c r="O10" i="26"/>
  <c r="L10" i="26"/>
  <c r="K10" i="26"/>
  <c r="I10" i="26"/>
  <c r="D10" i="26"/>
  <c r="C10" i="26"/>
  <c r="F10" i="26" s="1" a="1"/>
  <c r="F10" i="26" s="1"/>
  <c r="P9" i="26"/>
  <c r="O9" i="26"/>
  <c r="L9" i="26"/>
  <c r="K9" i="26"/>
  <c r="I9" i="26"/>
  <c r="D9" i="26"/>
  <c r="C9" i="26"/>
  <c r="F9" i="26" s="1" a="1"/>
  <c r="F9" i="26" s="1"/>
  <c r="O8" i="26"/>
  <c r="P8" i="26" s="1"/>
  <c r="L8" i="26"/>
  <c r="K8" i="26"/>
  <c r="I8" i="26"/>
  <c r="D8" i="26"/>
  <c r="C8" i="26"/>
  <c r="F8" i="26" s="1" a="1"/>
  <c r="F8" i="26" s="1"/>
  <c r="P7" i="26"/>
  <c r="O7" i="26"/>
  <c r="L7" i="26"/>
  <c r="K7" i="26"/>
  <c r="I7" i="26"/>
  <c r="C7" i="26"/>
  <c r="F7" i="26" s="1" a="1"/>
  <c r="F7" i="26" s="1"/>
  <c r="L6" i="26"/>
  <c r="K6" i="26"/>
  <c r="I6" i="26"/>
  <c r="O6" i="26"/>
  <c r="P6" i="26" s="1"/>
  <c r="O5" i="26"/>
  <c r="P5" i="26" s="1"/>
  <c r="L5" i="26"/>
  <c r="K5" i="26"/>
  <c r="I5" i="26"/>
  <c r="C5" i="26"/>
  <c r="F5" i="26" s="1" a="1"/>
  <c r="F5" i="26" s="1"/>
  <c r="F8" i="25" l="1" a="1"/>
  <c r="F8" i="25" s="1"/>
  <c r="D6" i="26"/>
  <c r="F6" i="26" a="1"/>
  <c r="F6" i="26" s="1"/>
  <c r="D5" i="26"/>
  <c r="D21" i="26"/>
  <c r="D37" i="26"/>
  <c r="D7" i="26"/>
  <c r="D39" i="26"/>
  <c r="D55" i="26"/>
  <c r="D71" i="26"/>
  <c r="D87" i="26"/>
  <c r="D23" i="26"/>
  <c r="D80" i="26"/>
  <c r="D96" i="26"/>
  <c r="D82" i="26"/>
  <c r="D98" i="26"/>
  <c r="D20" i="26"/>
  <c r="D36" i="26"/>
  <c r="D52" i="26"/>
  <c r="D45" i="26"/>
  <c r="D61" i="26"/>
  <c r="D77" i="26"/>
  <c r="D93" i="26"/>
  <c r="D15" i="26"/>
  <c r="D95" i="26"/>
  <c r="D17" i="26"/>
  <c r="D33" i="26"/>
  <c r="D49" i="26"/>
  <c r="D65" i="26"/>
  <c r="D81" i="26"/>
  <c r="D97" i="26"/>
  <c r="O100" i="25" l="1"/>
  <c r="P100" i="25" s="1"/>
  <c r="L100" i="25"/>
  <c r="K100" i="25"/>
  <c r="I100" i="25"/>
  <c r="C100" i="25"/>
  <c r="F100" i="25" s="1" a="1"/>
  <c r="F100" i="25" s="1"/>
  <c r="O99" i="25"/>
  <c r="P99" i="25" s="1"/>
  <c r="L99" i="25"/>
  <c r="K99" i="25"/>
  <c r="I99" i="25"/>
  <c r="C99" i="25"/>
  <c r="D99" i="25" s="1"/>
  <c r="O98" i="25"/>
  <c r="P98" i="25" s="1"/>
  <c r="L98" i="25"/>
  <c r="K98" i="25"/>
  <c r="I98" i="25"/>
  <c r="C98" i="25"/>
  <c r="F98" i="25" s="1" a="1"/>
  <c r="F98" i="25" s="1"/>
  <c r="O97" i="25"/>
  <c r="P97" i="25" s="1"/>
  <c r="L97" i="25"/>
  <c r="K97" i="25"/>
  <c r="I97" i="25"/>
  <c r="C97" i="25"/>
  <c r="D97" i="25" s="1"/>
  <c r="O96" i="25"/>
  <c r="P96" i="25" s="1"/>
  <c r="L96" i="25"/>
  <c r="K96" i="25"/>
  <c r="I96" i="25"/>
  <c r="C96" i="25"/>
  <c r="F96" i="25" s="1" a="1"/>
  <c r="F96" i="25" s="1"/>
  <c r="O95" i="25"/>
  <c r="P95" i="25" s="1"/>
  <c r="L95" i="25"/>
  <c r="K95" i="25"/>
  <c r="I95" i="25"/>
  <c r="C95" i="25"/>
  <c r="D95" i="25" s="1"/>
  <c r="O94" i="25"/>
  <c r="P94" i="25" s="1"/>
  <c r="L94" i="25"/>
  <c r="K94" i="25"/>
  <c r="I94" i="25"/>
  <c r="C94" i="25"/>
  <c r="F94" i="25" s="1" a="1"/>
  <c r="F94" i="25" s="1"/>
  <c r="O93" i="25"/>
  <c r="P93" i="25" s="1"/>
  <c r="L93" i="25"/>
  <c r="K93" i="25"/>
  <c r="I93" i="25"/>
  <c r="C93" i="25"/>
  <c r="F93" i="25" s="1" a="1"/>
  <c r="F93" i="25" s="1"/>
  <c r="O92" i="25"/>
  <c r="P92" i="25" s="1"/>
  <c r="L92" i="25"/>
  <c r="K92" i="25"/>
  <c r="I92" i="25"/>
  <c r="C92" i="25"/>
  <c r="F92" i="25" s="1" a="1"/>
  <c r="F92" i="25" s="1"/>
  <c r="O91" i="25"/>
  <c r="P91" i="25" s="1"/>
  <c r="L91" i="25"/>
  <c r="K91" i="25"/>
  <c r="I91" i="25"/>
  <c r="C91" i="25"/>
  <c r="F91" i="25" s="1" a="1"/>
  <c r="F91" i="25" s="1"/>
  <c r="O90" i="25"/>
  <c r="P90" i="25" s="1"/>
  <c r="L90" i="25"/>
  <c r="K90" i="25"/>
  <c r="I90" i="25"/>
  <c r="C90" i="25"/>
  <c r="F90" i="25" s="1" a="1"/>
  <c r="F90" i="25" s="1"/>
  <c r="O89" i="25"/>
  <c r="P89" i="25" s="1"/>
  <c r="L89" i="25"/>
  <c r="K89" i="25"/>
  <c r="I89" i="25"/>
  <c r="D89" i="25"/>
  <c r="C89" i="25"/>
  <c r="F89" i="25" s="1" a="1"/>
  <c r="F89" i="25" s="1"/>
  <c r="O88" i="25"/>
  <c r="P88" i="25" s="1"/>
  <c r="L88" i="25"/>
  <c r="K88" i="25"/>
  <c r="I88" i="25"/>
  <c r="F88" i="25" a="1"/>
  <c r="F88" i="25" s="1"/>
  <c r="D88" i="25"/>
  <c r="C88" i="25"/>
  <c r="O87" i="25"/>
  <c r="P87" i="25" s="1"/>
  <c r="L87" i="25"/>
  <c r="K87" i="25"/>
  <c r="I87" i="25"/>
  <c r="C87" i="25"/>
  <c r="F87" i="25" s="1" a="1"/>
  <c r="F87" i="25" s="1"/>
  <c r="O86" i="25"/>
  <c r="P86" i="25" s="1"/>
  <c r="L86" i="25"/>
  <c r="K86" i="25"/>
  <c r="I86" i="25"/>
  <c r="C86" i="25"/>
  <c r="F86" i="25" s="1" a="1"/>
  <c r="F86" i="25" s="1"/>
  <c r="O85" i="25"/>
  <c r="P85" i="25" s="1"/>
  <c r="L85" i="25"/>
  <c r="K85" i="25"/>
  <c r="I85" i="25"/>
  <c r="C85" i="25"/>
  <c r="F85" i="25" s="1" a="1"/>
  <c r="F85" i="25" s="1"/>
  <c r="O84" i="25"/>
  <c r="P84" i="25" s="1"/>
  <c r="L84" i="25"/>
  <c r="K84" i="25"/>
  <c r="I84" i="25"/>
  <c r="C84" i="25"/>
  <c r="F84" i="25" s="1" a="1"/>
  <c r="F84" i="25" s="1"/>
  <c r="O83" i="25"/>
  <c r="P83" i="25" s="1"/>
  <c r="L83" i="25"/>
  <c r="K83" i="25"/>
  <c r="I83" i="25"/>
  <c r="C83" i="25"/>
  <c r="D83" i="25" s="1"/>
  <c r="O82" i="25"/>
  <c r="P82" i="25" s="1"/>
  <c r="L82" i="25"/>
  <c r="K82" i="25"/>
  <c r="I82" i="25"/>
  <c r="D82" i="25"/>
  <c r="C82" i="25"/>
  <c r="F82" i="25" s="1" a="1"/>
  <c r="F82" i="25" s="1"/>
  <c r="O81" i="25"/>
  <c r="P81" i="25" s="1"/>
  <c r="L81" i="25"/>
  <c r="K81" i="25"/>
  <c r="I81" i="25"/>
  <c r="C81" i="25"/>
  <c r="D81" i="25" s="1"/>
  <c r="O80" i="25"/>
  <c r="P80" i="25" s="1"/>
  <c r="L80" i="25"/>
  <c r="K80" i="25"/>
  <c r="I80" i="25"/>
  <c r="C80" i="25"/>
  <c r="F80" i="25" s="1" a="1"/>
  <c r="F80" i="25" s="1"/>
  <c r="O79" i="25"/>
  <c r="P79" i="25" s="1"/>
  <c r="L79" i="25"/>
  <c r="K79" i="25"/>
  <c r="I79" i="25"/>
  <c r="F79" i="25" a="1"/>
  <c r="F79" i="25" s="1"/>
  <c r="C79" i="25"/>
  <c r="D79" i="25" s="1"/>
  <c r="O78" i="25"/>
  <c r="P78" i="25" s="1"/>
  <c r="L78" i="25"/>
  <c r="K78" i="25"/>
  <c r="I78" i="25"/>
  <c r="C78" i="25"/>
  <c r="F78" i="25" s="1" a="1"/>
  <c r="F78" i="25" s="1"/>
  <c r="O77" i="25"/>
  <c r="P77" i="25" s="1"/>
  <c r="L77" i="25"/>
  <c r="K77" i="25"/>
  <c r="I77" i="25"/>
  <c r="C77" i="25"/>
  <c r="D77" i="25" s="1"/>
  <c r="O76" i="25"/>
  <c r="P76" i="25" s="1"/>
  <c r="L76" i="25"/>
  <c r="K76" i="25"/>
  <c r="I76" i="25"/>
  <c r="F76" i="25" a="1"/>
  <c r="F76" i="25" s="1"/>
  <c r="D76" i="25"/>
  <c r="C76" i="25"/>
  <c r="O75" i="25"/>
  <c r="P75" i="25" s="1"/>
  <c r="L75" i="25"/>
  <c r="K75" i="25"/>
  <c r="I75" i="25"/>
  <c r="C75" i="25"/>
  <c r="F75" i="25" s="1" a="1"/>
  <c r="F75" i="25" s="1"/>
  <c r="O74" i="25"/>
  <c r="P74" i="25" s="1"/>
  <c r="L74" i="25"/>
  <c r="K74" i="25"/>
  <c r="I74" i="25"/>
  <c r="C74" i="25"/>
  <c r="F74" i="25" s="1" a="1"/>
  <c r="F74" i="25" s="1"/>
  <c r="P73" i="25"/>
  <c r="O73" i="25"/>
  <c r="L73" i="25"/>
  <c r="K73" i="25"/>
  <c r="I73" i="25"/>
  <c r="C73" i="25"/>
  <c r="F73" i="25" s="1" a="1"/>
  <c r="F73" i="25" s="1"/>
  <c r="O72" i="25"/>
  <c r="P72" i="25" s="1"/>
  <c r="L72" i="25"/>
  <c r="K72" i="25"/>
  <c r="I72" i="25"/>
  <c r="F72" i="25" a="1"/>
  <c r="F72" i="25" s="1"/>
  <c r="D72" i="25"/>
  <c r="C72" i="25"/>
  <c r="O71" i="25"/>
  <c r="P71" i="25" s="1"/>
  <c r="L71" i="25"/>
  <c r="K71" i="25"/>
  <c r="I71" i="25"/>
  <c r="C71" i="25"/>
  <c r="F71" i="25" s="1" a="1"/>
  <c r="F71" i="25" s="1"/>
  <c r="O70" i="25"/>
  <c r="P70" i="25" s="1"/>
  <c r="L70" i="25"/>
  <c r="K70" i="25"/>
  <c r="I70" i="25"/>
  <c r="C70" i="25"/>
  <c r="F70" i="25" s="1" a="1"/>
  <c r="F70" i="25" s="1"/>
  <c r="O69" i="25"/>
  <c r="P69" i="25" s="1"/>
  <c r="L69" i="25"/>
  <c r="K69" i="25"/>
  <c r="I69" i="25"/>
  <c r="C69" i="25"/>
  <c r="F69" i="25" s="1" a="1"/>
  <c r="F69" i="25" s="1"/>
  <c r="O68" i="25"/>
  <c r="P68" i="25" s="1"/>
  <c r="L68" i="25"/>
  <c r="K68" i="25"/>
  <c r="I68" i="25"/>
  <c r="C68" i="25"/>
  <c r="F68" i="25" s="1" a="1"/>
  <c r="F68" i="25" s="1"/>
  <c r="O67" i="25"/>
  <c r="P67" i="25" s="1"/>
  <c r="L67" i="25"/>
  <c r="K67" i="25"/>
  <c r="I67" i="25"/>
  <c r="F67" i="25" a="1"/>
  <c r="F67" i="25" s="1"/>
  <c r="C67" i="25"/>
  <c r="D67" i="25" s="1"/>
  <c r="O66" i="25"/>
  <c r="P66" i="25" s="1"/>
  <c r="L66" i="25"/>
  <c r="K66" i="25"/>
  <c r="I66" i="25"/>
  <c r="D66" i="25"/>
  <c r="C66" i="25"/>
  <c r="F66" i="25" s="1" a="1"/>
  <c r="F66" i="25" s="1"/>
  <c r="O65" i="25"/>
  <c r="P65" i="25" s="1"/>
  <c r="L65" i="25"/>
  <c r="K65" i="25"/>
  <c r="I65" i="25"/>
  <c r="F65" i="25" a="1"/>
  <c r="F65" i="25" s="1"/>
  <c r="C65" i="25"/>
  <c r="D65" i="25" s="1"/>
  <c r="O64" i="25"/>
  <c r="P64" i="25" s="1"/>
  <c r="L64" i="25"/>
  <c r="K64" i="25"/>
  <c r="I64" i="25"/>
  <c r="C64" i="25"/>
  <c r="F64" i="25" s="1" a="1"/>
  <c r="F64" i="25" s="1"/>
  <c r="O63" i="25"/>
  <c r="P63" i="25" s="1"/>
  <c r="L63" i="25"/>
  <c r="K63" i="25"/>
  <c r="I63" i="25"/>
  <c r="C63" i="25"/>
  <c r="D63" i="25" s="1"/>
  <c r="O62" i="25"/>
  <c r="P62" i="25" s="1"/>
  <c r="L62" i="25"/>
  <c r="K62" i="25"/>
  <c r="I62" i="25"/>
  <c r="F62" i="25" a="1"/>
  <c r="F62" i="25" s="1"/>
  <c r="C62" i="25"/>
  <c r="D62" i="25" s="1"/>
  <c r="O61" i="25"/>
  <c r="P61" i="25" s="1"/>
  <c r="L61" i="25"/>
  <c r="K61" i="25"/>
  <c r="I61" i="25"/>
  <c r="C61" i="25"/>
  <c r="D61" i="25" s="1"/>
  <c r="O60" i="25"/>
  <c r="P60" i="25" s="1"/>
  <c r="L60" i="25"/>
  <c r="K60" i="25"/>
  <c r="I60" i="25"/>
  <c r="C60" i="25"/>
  <c r="D60" i="25" s="1"/>
  <c r="O59" i="25"/>
  <c r="P59" i="25" s="1"/>
  <c r="L59" i="25"/>
  <c r="K59" i="25"/>
  <c r="I59" i="25"/>
  <c r="C59" i="25"/>
  <c r="F59" i="25" s="1" a="1"/>
  <c r="F59" i="25" s="1"/>
  <c r="O58" i="25"/>
  <c r="P58" i="25" s="1"/>
  <c r="L58" i="25"/>
  <c r="K58" i="25"/>
  <c r="I58" i="25"/>
  <c r="C58" i="25"/>
  <c r="D58" i="25" s="1"/>
  <c r="O57" i="25"/>
  <c r="P57" i="25" s="1"/>
  <c r="L57" i="25"/>
  <c r="K57" i="25"/>
  <c r="I57" i="25"/>
  <c r="C57" i="25"/>
  <c r="F57" i="25" s="1" a="1"/>
  <c r="F57" i="25" s="1"/>
  <c r="O56" i="25"/>
  <c r="P56" i="25" s="1"/>
  <c r="L56" i="25"/>
  <c r="K56" i="25"/>
  <c r="I56" i="25"/>
  <c r="C56" i="25"/>
  <c r="F56" i="25" s="1" a="1"/>
  <c r="F56" i="25" s="1"/>
  <c r="O55" i="25"/>
  <c r="P55" i="25" s="1"/>
  <c r="L55" i="25"/>
  <c r="K55" i="25"/>
  <c r="I55" i="25"/>
  <c r="C55" i="25"/>
  <c r="F55" i="25" s="1" a="1"/>
  <c r="F55" i="25" s="1"/>
  <c r="O54" i="25"/>
  <c r="P54" i="25" s="1"/>
  <c r="L54" i="25"/>
  <c r="K54" i="25"/>
  <c r="I54" i="25"/>
  <c r="C54" i="25"/>
  <c r="F54" i="25" s="1" a="1"/>
  <c r="F54" i="25" s="1"/>
  <c r="O53" i="25"/>
  <c r="P53" i="25" s="1"/>
  <c r="L53" i="25"/>
  <c r="K53" i="25"/>
  <c r="I53" i="25"/>
  <c r="C53" i="25"/>
  <c r="F53" i="25" s="1" a="1"/>
  <c r="F53" i="25" s="1"/>
  <c r="O52" i="25"/>
  <c r="P52" i="25" s="1"/>
  <c r="L52" i="25"/>
  <c r="K52" i="25"/>
  <c r="I52" i="25"/>
  <c r="C52" i="25"/>
  <c r="F52" i="25" s="1" a="1"/>
  <c r="F52" i="25" s="1"/>
  <c r="O51" i="25"/>
  <c r="P51" i="25" s="1"/>
  <c r="L51" i="25"/>
  <c r="K51" i="25"/>
  <c r="I51" i="25"/>
  <c r="C51" i="25"/>
  <c r="D51" i="25" s="1"/>
  <c r="O50" i="25"/>
  <c r="P50" i="25" s="1"/>
  <c r="L50" i="25"/>
  <c r="K50" i="25"/>
  <c r="I50" i="25"/>
  <c r="C50" i="25"/>
  <c r="D50" i="25" s="1"/>
  <c r="O49" i="25"/>
  <c r="P49" i="25" s="1"/>
  <c r="L49" i="25"/>
  <c r="K49" i="25"/>
  <c r="I49" i="25"/>
  <c r="C49" i="25"/>
  <c r="D49" i="25" s="1"/>
  <c r="O48" i="25"/>
  <c r="P48" i="25" s="1"/>
  <c r="L48" i="25"/>
  <c r="K48" i="25"/>
  <c r="I48" i="25"/>
  <c r="C48" i="25"/>
  <c r="F48" i="25" s="1" a="1"/>
  <c r="F48" i="25" s="1"/>
  <c r="O47" i="25"/>
  <c r="P47" i="25" s="1"/>
  <c r="L47" i="25"/>
  <c r="K47" i="25"/>
  <c r="I47" i="25"/>
  <c r="C47" i="25"/>
  <c r="F47" i="25" s="1" a="1"/>
  <c r="F47" i="25" s="1"/>
  <c r="O46" i="25"/>
  <c r="P46" i="25" s="1"/>
  <c r="L46" i="25"/>
  <c r="K46" i="25"/>
  <c r="I46" i="25"/>
  <c r="C46" i="25"/>
  <c r="D46" i="25" s="1"/>
  <c r="O45" i="25"/>
  <c r="P45" i="25" s="1"/>
  <c r="L45" i="25"/>
  <c r="K45" i="25"/>
  <c r="I45" i="25"/>
  <c r="C45" i="25"/>
  <c r="D45" i="25" s="1"/>
  <c r="O44" i="25"/>
  <c r="P44" i="25" s="1"/>
  <c r="L44" i="25"/>
  <c r="K44" i="25"/>
  <c r="I44" i="25"/>
  <c r="C44" i="25"/>
  <c r="D44" i="25" s="1"/>
  <c r="O43" i="25"/>
  <c r="P43" i="25" s="1"/>
  <c r="L43" i="25"/>
  <c r="K43" i="25"/>
  <c r="I43" i="25"/>
  <c r="C43" i="25"/>
  <c r="F43" i="25" s="1" a="1"/>
  <c r="F43" i="25" s="1"/>
  <c r="O42" i="25"/>
  <c r="P42" i="25" s="1"/>
  <c r="L42" i="25"/>
  <c r="K42" i="25"/>
  <c r="I42" i="25"/>
  <c r="C42" i="25"/>
  <c r="F42" i="25" s="1" a="1"/>
  <c r="F42" i="25" s="1"/>
  <c r="P41" i="25"/>
  <c r="O41" i="25"/>
  <c r="L41" i="25"/>
  <c r="K41" i="25"/>
  <c r="I41" i="25"/>
  <c r="C41" i="25"/>
  <c r="F41" i="25" s="1" a="1"/>
  <c r="F41" i="25" s="1"/>
  <c r="O40" i="25"/>
  <c r="P40" i="25" s="1"/>
  <c r="L40" i="25"/>
  <c r="K40" i="25"/>
  <c r="I40" i="25"/>
  <c r="C40" i="25"/>
  <c r="F40" i="25" s="1" a="1"/>
  <c r="F40" i="25" s="1"/>
  <c r="O39" i="25"/>
  <c r="P39" i="25" s="1"/>
  <c r="L39" i="25"/>
  <c r="K39" i="25"/>
  <c r="I39" i="25"/>
  <c r="C39" i="25"/>
  <c r="F39" i="25" s="1" a="1"/>
  <c r="F39" i="25" s="1"/>
  <c r="O38" i="25"/>
  <c r="P38" i="25" s="1"/>
  <c r="L38" i="25"/>
  <c r="K38" i="25"/>
  <c r="I38" i="25"/>
  <c r="D38" i="25"/>
  <c r="C38" i="25"/>
  <c r="F38" i="25" s="1" a="1"/>
  <c r="F38" i="25" s="1"/>
  <c r="O37" i="25"/>
  <c r="P37" i="25" s="1"/>
  <c r="L37" i="25"/>
  <c r="K37" i="25"/>
  <c r="I37" i="25"/>
  <c r="C37" i="25"/>
  <c r="F37" i="25" s="1" a="1"/>
  <c r="F37" i="25" s="1"/>
  <c r="O36" i="25"/>
  <c r="P36" i="25" s="1"/>
  <c r="L36" i="25"/>
  <c r="K36" i="25"/>
  <c r="I36" i="25"/>
  <c r="C36" i="25"/>
  <c r="F36" i="25" s="1" a="1"/>
  <c r="F36" i="25" s="1"/>
  <c r="O35" i="25"/>
  <c r="P35" i="25" s="1"/>
  <c r="L35" i="25"/>
  <c r="K35" i="25"/>
  <c r="I35" i="25"/>
  <c r="C35" i="25"/>
  <c r="D35" i="25" s="1"/>
  <c r="O34" i="25"/>
  <c r="P34" i="25" s="1"/>
  <c r="L34" i="25"/>
  <c r="K34" i="25"/>
  <c r="I34" i="25"/>
  <c r="C34" i="25"/>
  <c r="D34" i="25" s="1"/>
  <c r="O33" i="25"/>
  <c r="P33" i="25" s="1"/>
  <c r="L33" i="25"/>
  <c r="K33" i="25"/>
  <c r="I33" i="25"/>
  <c r="C33" i="25"/>
  <c r="D33" i="25" s="1"/>
  <c r="O32" i="25"/>
  <c r="P32" i="25" s="1"/>
  <c r="L32" i="25"/>
  <c r="K32" i="25"/>
  <c r="I32" i="25"/>
  <c r="C32" i="25"/>
  <c r="F32" i="25" s="1" a="1"/>
  <c r="F32" i="25" s="1"/>
  <c r="O31" i="25"/>
  <c r="P31" i="25" s="1"/>
  <c r="L31" i="25"/>
  <c r="K31" i="25"/>
  <c r="I31" i="25"/>
  <c r="C31" i="25"/>
  <c r="F31" i="25" s="1" a="1"/>
  <c r="F31" i="25" s="1"/>
  <c r="O30" i="25"/>
  <c r="P30" i="25" s="1"/>
  <c r="L30" i="25"/>
  <c r="K30" i="25"/>
  <c r="I30" i="25"/>
  <c r="C30" i="25"/>
  <c r="D30" i="25" s="1"/>
  <c r="O29" i="25"/>
  <c r="P29" i="25" s="1"/>
  <c r="L29" i="25"/>
  <c r="K29" i="25"/>
  <c r="I29" i="25"/>
  <c r="C29" i="25"/>
  <c r="D29" i="25" s="1"/>
  <c r="O28" i="25"/>
  <c r="P28" i="25" s="1"/>
  <c r="L28" i="25"/>
  <c r="K28" i="25"/>
  <c r="I28" i="25"/>
  <c r="C28" i="25"/>
  <c r="F28" i="25" s="1" a="1"/>
  <c r="F28" i="25" s="1"/>
  <c r="O27" i="25"/>
  <c r="P27" i="25" s="1"/>
  <c r="L27" i="25"/>
  <c r="K27" i="25"/>
  <c r="I27" i="25"/>
  <c r="C27" i="25"/>
  <c r="F27" i="25" s="1" a="1"/>
  <c r="F27" i="25" s="1"/>
  <c r="O26" i="25"/>
  <c r="P26" i="25" s="1"/>
  <c r="L26" i="25"/>
  <c r="K26" i="25"/>
  <c r="I26" i="25"/>
  <c r="C26" i="25"/>
  <c r="F26" i="25" s="1" a="1"/>
  <c r="F26" i="25" s="1"/>
  <c r="O25" i="25"/>
  <c r="P25" i="25" s="1"/>
  <c r="L25" i="25"/>
  <c r="K25" i="25"/>
  <c r="I25" i="25"/>
  <c r="C25" i="25"/>
  <c r="F25" i="25" s="1" a="1"/>
  <c r="F25" i="25" s="1"/>
  <c r="P24" i="25"/>
  <c r="O24" i="25"/>
  <c r="L24" i="25"/>
  <c r="K24" i="25"/>
  <c r="I24" i="25"/>
  <c r="C24" i="25"/>
  <c r="F24" i="25" s="1" a="1"/>
  <c r="F24" i="25" s="1"/>
  <c r="O23" i="25"/>
  <c r="P23" i="25" s="1"/>
  <c r="L23" i="25"/>
  <c r="K23" i="25"/>
  <c r="I23" i="25"/>
  <c r="C23" i="25"/>
  <c r="F23" i="25" s="1" a="1"/>
  <c r="F23" i="25" s="1"/>
  <c r="O22" i="25"/>
  <c r="P22" i="25" s="1"/>
  <c r="L22" i="25"/>
  <c r="K22" i="25"/>
  <c r="I22" i="25"/>
  <c r="C22" i="25"/>
  <c r="F22" i="25" s="1" a="1"/>
  <c r="F22" i="25" s="1"/>
  <c r="O21" i="25"/>
  <c r="P21" i="25" s="1"/>
  <c r="L21" i="25"/>
  <c r="K21" i="25"/>
  <c r="I21" i="25"/>
  <c r="C21" i="25"/>
  <c r="F21" i="25" s="1" a="1"/>
  <c r="F21" i="25" s="1"/>
  <c r="O20" i="25"/>
  <c r="P20" i="25" s="1"/>
  <c r="L20" i="25"/>
  <c r="K20" i="25"/>
  <c r="I20" i="25"/>
  <c r="C20" i="25"/>
  <c r="F20" i="25" s="1" a="1"/>
  <c r="F20" i="25" s="1"/>
  <c r="O19" i="25"/>
  <c r="P19" i="25" s="1"/>
  <c r="L19" i="25"/>
  <c r="K19" i="25"/>
  <c r="I19" i="25"/>
  <c r="C19" i="25"/>
  <c r="D19" i="25" s="1"/>
  <c r="O18" i="25"/>
  <c r="P18" i="25" s="1"/>
  <c r="L18" i="25"/>
  <c r="K18" i="25"/>
  <c r="I18" i="25"/>
  <c r="C18" i="25"/>
  <c r="D18" i="25" s="1"/>
  <c r="O17" i="25"/>
  <c r="P17" i="25" s="1"/>
  <c r="L17" i="25"/>
  <c r="K17" i="25"/>
  <c r="I17" i="25"/>
  <c r="C17" i="25"/>
  <c r="D17" i="25" s="1"/>
  <c r="O16" i="25"/>
  <c r="P16" i="25" s="1"/>
  <c r="L16" i="25"/>
  <c r="K16" i="25"/>
  <c r="I16" i="25"/>
  <c r="C16" i="25"/>
  <c r="F16" i="25" s="1" a="1"/>
  <c r="F16" i="25" s="1"/>
  <c r="O15" i="25"/>
  <c r="P15" i="25" s="1"/>
  <c r="L15" i="25"/>
  <c r="K15" i="25"/>
  <c r="I15" i="25"/>
  <c r="C15" i="25"/>
  <c r="F15" i="25" s="1" a="1"/>
  <c r="F15" i="25" s="1"/>
  <c r="O14" i="25"/>
  <c r="P14" i="25" s="1"/>
  <c r="L14" i="25"/>
  <c r="K14" i="25"/>
  <c r="I14" i="25"/>
  <c r="C14" i="25"/>
  <c r="D14" i="25" s="1"/>
  <c r="P13" i="25"/>
  <c r="O13" i="25"/>
  <c r="L13" i="25"/>
  <c r="K13" i="25"/>
  <c r="I13" i="25"/>
  <c r="C13" i="25"/>
  <c r="D13" i="25" s="1"/>
  <c r="O12" i="25"/>
  <c r="P12" i="25" s="1"/>
  <c r="L12" i="25"/>
  <c r="K12" i="25"/>
  <c r="I12" i="25"/>
  <c r="C12" i="25"/>
  <c r="F12" i="25" s="1" a="1"/>
  <c r="F12" i="25" s="1"/>
  <c r="O11" i="25"/>
  <c r="P11" i="25" s="1"/>
  <c r="L11" i="25"/>
  <c r="K11" i="25"/>
  <c r="I11" i="25"/>
  <c r="C11" i="25"/>
  <c r="F11" i="25" s="1" a="1"/>
  <c r="F11" i="25" s="1"/>
  <c r="O10" i="25"/>
  <c r="P10" i="25" s="1"/>
  <c r="L10" i="25"/>
  <c r="K10" i="25"/>
  <c r="I10" i="25"/>
  <c r="C10" i="25"/>
  <c r="F10" i="25" s="1" a="1"/>
  <c r="F10" i="25" s="1"/>
  <c r="O9" i="25"/>
  <c r="P9" i="25" s="1"/>
  <c r="L9" i="25"/>
  <c r="K9" i="25"/>
  <c r="I9" i="25"/>
  <c r="C9" i="25"/>
  <c r="D9" i="25" s="1"/>
  <c r="O5" i="25"/>
  <c r="P5" i="25" s="1"/>
  <c r="L5" i="25"/>
  <c r="I5" i="25"/>
  <c r="F5" i="25" a="1"/>
  <c r="F5" i="25" s="1"/>
  <c r="B11" i="24"/>
  <c r="F17" i="25" l="1" a="1"/>
  <c r="F17" i="25" s="1"/>
  <c r="F44" i="25" a="1"/>
  <c r="F44" i="25" s="1"/>
  <c r="F14" i="25" a="1"/>
  <c r="F14" i="25" s="1"/>
  <c r="D39" i="25"/>
  <c r="F9" i="25" a="1"/>
  <c r="F9" i="25" s="1"/>
  <c r="D42" i="25"/>
  <c r="D57" i="25"/>
  <c r="F83" i="25" a="1"/>
  <c r="F83" i="25" s="1"/>
  <c r="D25" i="25"/>
  <c r="D55" i="25"/>
  <c r="D92" i="25"/>
  <c r="D87" i="25"/>
  <c r="F58" i="25" a="1"/>
  <c r="F58" i="25" s="1"/>
  <c r="F30" i="25" a="1"/>
  <c r="F30" i="25" s="1"/>
  <c r="F33" i="25" a="1"/>
  <c r="F33" i="25" s="1"/>
  <c r="D41" i="25"/>
  <c r="F51" i="25" a="1"/>
  <c r="F51" i="25" s="1"/>
  <c r="D54" i="25"/>
  <c r="F63" i="25" a="1"/>
  <c r="F63" i="25" s="1"/>
  <c r="D71" i="25"/>
  <c r="D73" i="25"/>
  <c r="D10" i="25"/>
  <c r="D28" i="25"/>
  <c r="D86" i="25"/>
  <c r="D90" i="25"/>
  <c r="D23" i="25"/>
  <c r="F45" i="25" a="1"/>
  <c r="F45" i="25" s="1"/>
  <c r="F60" i="25" a="1"/>
  <c r="F60" i="25" s="1"/>
  <c r="F77" i="25" a="1"/>
  <c r="F77" i="25" s="1"/>
  <c r="D26" i="25"/>
  <c r="F61" i="25" a="1"/>
  <c r="F61" i="25" s="1"/>
  <c r="F95" i="25" a="1"/>
  <c r="F95" i="25" s="1"/>
  <c r="D12" i="25"/>
  <c r="D24" i="25"/>
  <c r="F46" i="25" a="1"/>
  <c r="F46" i="25" s="1"/>
  <c r="F49" i="25" a="1"/>
  <c r="F49" i="25" s="1"/>
  <c r="D22" i="25"/>
  <c r="F81" i="25" a="1"/>
  <c r="F81" i="25" s="1"/>
  <c r="F13" i="25" a="1"/>
  <c r="F13" i="25" s="1"/>
  <c r="F29" i="25" a="1"/>
  <c r="F29" i="25" s="1"/>
  <c r="D40" i="25"/>
  <c r="D70" i="25"/>
  <c r="D74" i="25"/>
  <c r="D56" i="25"/>
  <c r="F97" i="25" a="1"/>
  <c r="F97" i="25" s="1"/>
  <c r="F99" i="25" a="1"/>
  <c r="F99" i="25" s="1"/>
  <c r="K5" i="25"/>
  <c r="F35" i="25" a="1"/>
  <c r="F35" i="25" s="1"/>
  <c r="D5" i="25"/>
  <c r="D21" i="25"/>
  <c r="D37" i="25"/>
  <c r="D69" i="25"/>
  <c r="D85" i="25"/>
  <c r="F19" i="25" a="1"/>
  <c r="F19" i="25" s="1"/>
  <c r="D53" i="25"/>
  <c r="D78" i="25"/>
  <c r="D94" i="25"/>
  <c r="D16" i="25"/>
  <c r="D32" i="25"/>
  <c r="D48" i="25"/>
  <c r="D64" i="25"/>
  <c r="D80" i="25"/>
  <c r="D96" i="25"/>
  <c r="D98" i="25"/>
  <c r="D11" i="25"/>
  <c r="F18" i="25" a="1"/>
  <c r="F18" i="25" s="1"/>
  <c r="D27" i="25"/>
  <c r="F34" i="25" a="1"/>
  <c r="F34" i="25" s="1"/>
  <c r="D43" i="25"/>
  <c r="F50" i="25" a="1"/>
  <c r="F50" i="25" s="1"/>
  <c r="D59" i="25"/>
  <c r="D75" i="25"/>
  <c r="D91" i="25"/>
  <c r="D20" i="25"/>
  <c r="D36" i="25"/>
  <c r="D52" i="25"/>
  <c r="D68" i="25"/>
  <c r="D84" i="25"/>
  <c r="D100" i="25"/>
  <c r="D93" i="25"/>
  <c r="D15" i="25"/>
  <c r="D31" i="25"/>
  <c r="D47" i="25"/>
  <c r="O5" i="10"/>
  <c r="O6" i="10"/>
  <c r="O7" i="10"/>
  <c r="O8" i="10"/>
  <c r="O9" i="10"/>
  <c r="O10" i="10"/>
  <c r="O11" i="10"/>
  <c r="O12" i="10"/>
  <c r="O13" i="10"/>
  <c r="O14" i="10"/>
  <c r="O15" i="10"/>
  <c r="O16" i="10"/>
  <c r="O17" i="10"/>
  <c r="O18" i="10"/>
  <c r="O19" i="10"/>
  <c r="O20" i="10"/>
  <c r="O21" i="10"/>
  <c r="O22" i="10"/>
  <c r="O23" i="10"/>
  <c r="O24" i="10"/>
  <c r="O25" i="10"/>
  <c r="O26" i="10"/>
  <c r="O27" i="10"/>
  <c r="O28" i="10"/>
  <c r="O29" i="10"/>
  <c r="O30" i="10"/>
  <c r="O31" i="10"/>
  <c r="O32" i="10"/>
  <c r="O33" i="10"/>
  <c r="O34" i="10"/>
  <c r="O35" i="10"/>
  <c r="O36" i="10"/>
  <c r="O37" i="10"/>
  <c r="O38" i="10"/>
  <c r="O39" i="10"/>
  <c r="O40" i="10"/>
  <c r="O41" i="10"/>
  <c r="O42" i="10"/>
  <c r="O43" i="10"/>
  <c r="O44" i="10"/>
  <c r="O45" i="10"/>
  <c r="O46" i="10"/>
  <c r="O47" i="10"/>
  <c r="O48" i="10"/>
  <c r="O49" i="10"/>
  <c r="O50" i="10"/>
  <c r="O51" i="10"/>
  <c r="O52" i="10"/>
  <c r="O53" i="10"/>
  <c r="O54" i="10"/>
  <c r="O55" i="10"/>
  <c r="O56" i="10"/>
  <c r="O57" i="10"/>
  <c r="O58" i="10"/>
  <c r="O59" i="10"/>
  <c r="O60" i="10"/>
  <c r="O61" i="10"/>
  <c r="O62" i="10"/>
  <c r="O63" i="10"/>
  <c r="O64" i="10"/>
  <c r="O65" i="10"/>
  <c r="O66" i="10"/>
  <c r="O67" i="10"/>
  <c r="O68" i="10"/>
  <c r="O69" i="10"/>
  <c r="O70" i="10"/>
  <c r="O71" i="10"/>
  <c r="O72" i="10"/>
  <c r="O73" i="10"/>
  <c r="O74" i="10"/>
  <c r="O75" i="10"/>
  <c r="O76" i="10"/>
  <c r="O77" i="10"/>
  <c r="O78" i="10"/>
  <c r="O79" i="10"/>
  <c r="O80" i="10"/>
  <c r="O81" i="10"/>
  <c r="O82" i="10"/>
  <c r="O83" i="10"/>
  <c r="O84" i="10"/>
  <c r="O85" i="10"/>
  <c r="O86" i="10"/>
  <c r="O87" i="10"/>
  <c r="O88" i="10"/>
  <c r="O89" i="10"/>
  <c r="O90" i="10"/>
  <c r="O91" i="10"/>
  <c r="O92" i="10"/>
  <c r="O93" i="10"/>
  <c r="O94" i="10"/>
  <c r="O95" i="10"/>
  <c r="O96" i="10"/>
  <c r="O97" i="10"/>
  <c r="O98" i="10"/>
  <c r="O99" i="10"/>
  <c r="O100" i="10"/>
  <c r="B16" i="24"/>
  <c r="B14" i="24"/>
  <c r="L5" i="10" l="1"/>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8" i="10"/>
  <c r="L99" i="10"/>
  <c r="L100" i="10"/>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B13" i="24"/>
  <c r="B15" i="24"/>
  <c r="B18" i="24"/>
  <c r="B19" i="24"/>
  <c r="B20" i="24"/>
  <c r="B21" i="24"/>
  <c r="B22" i="24"/>
  <c r="B23" i="24"/>
  <c r="B24" i="24"/>
  <c r="B25" i="24"/>
  <c r="B26" i="24"/>
  <c r="B27" i="24"/>
  <c r="B28" i="24"/>
  <c r="B29" i="24"/>
  <c r="B30" i="24"/>
  <c r="B31" i="24"/>
  <c r="B32" i="24"/>
  <c r="B33" i="24"/>
  <c r="B34" i="24"/>
  <c r="B35" i="24"/>
  <c r="B38" i="24"/>
  <c r="B17" i="24"/>
  <c r="B12"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8" i="10"/>
  <c r="D98" i="10" s="1"/>
  <c r="I97" i="10"/>
  <c r="I98" i="10"/>
  <c r="C99" i="10"/>
  <c r="D99" i="10" s="1"/>
  <c r="I99" i="10"/>
  <c r="I5"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I100" i="10"/>
  <c r="F98" i="10" l="1" a="1"/>
  <c r="F98" i="10" s="1"/>
  <c r="F97" i="10" a="1"/>
  <c r="F97" i="10" s="1"/>
  <c r="P98" i="10"/>
  <c r="P97" i="10"/>
  <c r="P99" i="10"/>
  <c r="F99" i="10" a="1"/>
  <c r="F99" i="10" s="1"/>
  <c r="C5" i="10"/>
  <c r="C96" i="10"/>
  <c r="C100" i="10"/>
  <c r="C87" i="10"/>
  <c r="C88" i="10"/>
  <c r="C89" i="10"/>
  <c r="C90" i="10"/>
  <c r="C91" i="10"/>
  <c r="C92" i="10"/>
  <c r="C93" i="10"/>
  <c r="C94" i="10"/>
  <c r="C95" i="10"/>
  <c r="C59" i="10"/>
  <c r="C60" i="10"/>
  <c r="C61" i="10"/>
  <c r="C62" i="10"/>
  <c r="C63" i="10"/>
  <c r="D63" i="10" s="1"/>
  <c r="C64" i="10"/>
  <c r="C65" i="10"/>
  <c r="C66" i="10"/>
  <c r="C67" i="10"/>
  <c r="C68" i="10"/>
  <c r="C69" i="10"/>
  <c r="C70" i="10"/>
  <c r="C71" i="10"/>
  <c r="C72" i="10"/>
  <c r="C73" i="10"/>
  <c r="C74" i="10"/>
  <c r="C75" i="10"/>
  <c r="C76" i="10"/>
  <c r="C77" i="10"/>
  <c r="C78" i="10"/>
  <c r="C79" i="10"/>
  <c r="C80" i="10"/>
  <c r="C81" i="10"/>
  <c r="C82" i="10"/>
  <c r="C83" i="10"/>
  <c r="C84" i="10"/>
  <c r="C85" i="10"/>
  <c r="C86"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58" i="10"/>
  <c r="C17" i="10"/>
  <c r="C18" i="10"/>
  <c r="C19" i="10"/>
  <c r="C20" i="10"/>
  <c r="C21" i="10"/>
  <c r="C22" i="10"/>
  <c r="C23" i="10"/>
  <c r="C24" i="10"/>
  <c r="C25" i="10"/>
  <c r="C26" i="10"/>
  <c r="C27" i="10"/>
  <c r="C28" i="10"/>
  <c r="C29" i="10"/>
  <c r="C30" i="10"/>
  <c r="C16" i="10"/>
  <c r="C15" i="10"/>
  <c r="C14" i="10"/>
  <c r="C13" i="10"/>
  <c r="C12" i="10"/>
  <c r="C11" i="10"/>
  <c r="C10" i="10"/>
  <c r="C9" i="10"/>
  <c r="C8" i="10"/>
  <c r="C7" i="10"/>
  <c r="C6" i="10"/>
  <c r="D57" i="10" l="1"/>
  <c r="P57" i="10"/>
  <c r="F66" i="10" a="1"/>
  <c r="F66" i="10" s="1"/>
  <c r="P66" i="10"/>
  <c r="D87" i="10"/>
  <c r="P87" i="10"/>
  <c r="F9" i="10" a="1"/>
  <c r="F9" i="10" s="1"/>
  <c r="P9" i="10"/>
  <c r="F30" i="10" a="1"/>
  <c r="F30" i="10" s="1"/>
  <c r="P30" i="10"/>
  <c r="D22" i="10"/>
  <c r="P22" i="10"/>
  <c r="D56" i="10"/>
  <c r="P56" i="10"/>
  <c r="F48" i="10" a="1"/>
  <c r="F48" i="10" s="1"/>
  <c r="P48" i="10"/>
  <c r="D40" i="10"/>
  <c r="P40" i="10"/>
  <c r="F32" i="10" a="1"/>
  <c r="F32" i="10" s="1"/>
  <c r="P32" i="10"/>
  <c r="F81" i="10" a="1"/>
  <c r="F81" i="10" s="1"/>
  <c r="P81" i="10"/>
  <c r="D73" i="10"/>
  <c r="P73" i="10"/>
  <c r="D65" i="10"/>
  <c r="P65" i="10"/>
  <c r="D94" i="10"/>
  <c r="P94" i="10"/>
  <c r="F100" i="10" a="1"/>
  <c r="F100" i="10" s="1"/>
  <c r="P100" i="10"/>
  <c r="D41" i="10"/>
  <c r="P41" i="10"/>
  <c r="D95" i="10"/>
  <c r="P95" i="10"/>
  <c r="F10" i="10" a="1"/>
  <c r="F10" i="10" s="1"/>
  <c r="P10" i="10"/>
  <c r="D29" i="10"/>
  <c r="P29" i="10"/>
  <c r="F21" i="10" a="1"/>
  <c r="F21" i="10" s="1"/>
  <c r="P21" i="10"/>
  <c r="F55" i="10" a="1"/>
  <c r="F55" i="10" s="1"/>
  <c r="P55" i="10"/>
  <c r="D47" i="10"/>
  <c r="P47" i="10"/>
  <c r="D39" i="10"/>
  <c r="P39" i="10"/>
  <c r="F31" i="10" a="1"/>
  <c r="F31" i="10" s="1"/>
  <c r="P31" i="10"/>
  <c r="D80" i="10"/>
  <c r="P80" i="10"/>
  <c r="D72" i="10"/>
  <c r="P72" i="10"/>
  <c r="D64" i="10"/>
  <c r="P64" i="10"/>
  <c r="D93" i="10"/>
  <c r="P93" i="10"/>
  <c r="D96" i="10"/>
  <c r="P96" i="10"/>
  <c r="F49" i="10" a="1"/>
  <c r="F49" i="10" s="1"/>
  <c r="P49" i="10"/>
  <c r="F11" i="10" a="1"/>
  <c r="F11" i="10" s="1"/>
  <c r="P11" i="10"/>
  <c r="D38" i="10"/>
  <c r="P38" i="10"/>
  <c r="F79" i="10" a="1"/>
  <c r="F79" i="10" s="1"/>
  <c r="P79" i="10"/>
  <c r="D71" i="10"/>
  <c r="P71" i="10"/>
  <c r="F63" i="10" a="1"/>
  <c r="F63" i="10" s="1"/>
  <c r="P63" i="10"/>
  <c r="D92" i="10"/>
  <c r="P92" i="10"/>
  <c r="D5" i="10"/>
  <c r="P5" i="10"/>
  <c r="D46" i="10"/>
  <c r="P46" i="10"/>
  <c r="D12" i="10"/>
  <c r="P12" i="10"/>
  <c r="D27" i="10"/>
  <c r="P27" i="10"/>
  <c r="F19" i="10" a="1"/>
  <c r="F19" i="10" s="1"/>
  <c r="P19" i="10"/>
  <c r="D53" i="10"/>
  <c r="P53" i="10"/>
  <c r="F45" i="10" a="1"/>
  <c r="F45" i="10" s="1"/>
  <c r="P45" i="10"/>
  <c r="D37" i="10"/>
  <c r="P37" i="10"/>
  <c r="F86" i="10" a="1"/>
  <c r="F86" i="10" s="1"/>
  <c r="P86" i="10"/>
  <c r="F78" i="10" a="1"/>
  <c r="F78" i="10" s="1"/>
  <c r="P78" i="10"/>
  <c r="F70" i="10" a="1"/>
  <c r="F70" i="10" s="1"/>
  <c r="P70" i="10"/>
  <c r="F62" i="10" a="1"/>
  <c r="F62" i="10" s="1"/>
  <c r="P62" i="10"/>
  <c r="F91" i="10" a="1"/>
  <c r="F91" i="10" s="1"/>
  <c r="P91" i="10"/>
  <c r="D16" i="10"/>
  <c r="P16" i="10"/>
  <c r="D33" i="10"/>
  <c r="P33" i="10"/>
  <c r="F20" i="10" a="1"/>
  <c r="F20" i="10" s="1"/>
  <c r="P20" i="10"/>
  <c r="F13" i="10" a="1"/>
  <c r="F13" i="10" s="1"/>
  <c r="P13" i="10"/>
  <c r="F26" i="10" a="1"/>
  <c r="F26" i="10" s="1"/>
  <c r="P26" i="10"/>
  <c r="D18" i="10"/>
  <c r="P18" i="10"/>
  <c r="D52" i="10"/>
  <c r="P52" i="10"/>
  <c r="D44" i="10"/>
  <c r="P44" i="10"/>
  <c r="D36" i="10"/>
  <c r="P36" i="10"/>
  <c r="D85" i="10"/>
  <c r="P85" i="10"/>
  <c r="D77" i="10"/>
  <c r="P77" i="10"/>
  <c r="D69" i="10"/>
  <c r="P69" i="10"/>
  <c r="D61" i="10"/>
  <c r="P61" i="10"/>
  <c r="F90" i="10" a="1"/>
  <c r="F90" i="10" s="1"/>
  <c r="P90" i="10"/>
  <c r="F8" i="10" a="1"/>
  <c r="F8" i="10" s="1"/>
  <c r="P8" i="10"/>
  <c r="F82" i="10" a="1"/>
  <c r="F82" i="10" s="1"/>
  <c r="P82" i="10"/>
  <c r="D28" i="10"/>
  <c r="P28" i="10"/>
  <c r="D6" i="10"/>
  <c r="P6" i="10"/>
  <c r="F14" i="10" a="1"/>
  <c r="F14" i="10" s="1"/>
  <c r="P14" i="10"/>
  <c r="D25" i="10"/>
  <c r="P25" i="10"/>
  <c r="D17" i="10"/>
  <c r="P17" i="10"/>
  <c r="F51" i="10" a="1"/>
  <c r="F51" i="10" s="1"/>
  <c r="P51" i="10"/>
  <c r="F43" i="10" a="1"/>
  <c r="F43" i="10" s="1"/>
  <c r="P43" i="10"/>
  <c r="D35" i="10"/>
  <c r="P35" i="10"/>
  <c r="F84" i="10" a="1"/>
  <c r="F84" i="10" s="1"/>
  <c r="P84" i="10"/>
  <c r="F76" i="10" a="1"/>
  <c r="F76" i="10" s="1"/>
  <c r="P76" i="10"/>
  <c r="D68" i="10"/>
  <c r="P68" i="10"/>
  <c r="D60" i="10"/>
  <c r="P60" i="10"/>
  <c r="F89" i="10" a="1"/>
  <c r="F89" i="10" s="1"/>
  <c r="P89" i="10"/>
  <c r="F23" i="10" a="1"/>
  <c r="F23" i="10" s="1"/>
  <c r="P23" i="10"/>
  <c r="F74" i="10" a="1"/>
  <c r="F74" i="10" s="1"/>
  <c r="P74" i="10"/>
  <c r="D54" i="10"/>
  <c r="P54" i="10"/>
  <c r="F7" i="10" a="1"/>
  <c r="F7" i="10" s="1"/>
  <c r="P7" i="10"/>
  <c r="D15" i="10"/>
  <c r="P15" i="10"/>
  <c r="F24" i="10" a="1"/>
  <c r="F24" i="10" s="1"/>
  <c r="P24" i="10"/>
  <c r="F58" i="10" a="1"/>
  <c r="F58" i="10" s="1"/>
  <c r="P58" i="10"/>
  <c r="F50" i="10" a="1"/>
  <c r="F50" i="10" s="1"/>
  <c r="P50" i="10"/>
  <c r="D42" i="10"/>
  <c r="P42" i="10"/>
  <c r="D34" i="10"/>
  <c r="P34" i="10"/>
  <c r="F83" i="10" a="1"/>
  <c r="F83" i="10" s="1"/>
  <c r="P83" i="10"/>
  <c r="F75" i="10" a="1"/>
  <c r="F75" i="10" s="1"/>
  <c r="P75" i="10"/>
  <c r="D67" i="10"/>
  <c r="P67" i="10"/>
  <c r="D59" i="10"/>
  <c r="P59" i="10"/>
  <c r="F88" i="10" a="1"/>
  <c r="F88" i="10" s="1"/>
  <c r="P88" i="10"/>
  <c r="D76" i="10"/>
  <c r="D84" i="10"/>
  <c r="D88" i="10"/>
  <c r="D23" i="10"/>
  <c r="F41" i="10" a="1"/>
  <c r="F41" i="10" s="1"/>
  <c r="F33" i="10" a="1"/>
  <c r="F33" i="10" s="1"/>
  <c r="F57" i="10" a="1"/>
  <c r="F57" i="10" s="1"/>
  <c r="D49" i="10"/>
  <c r="D79" i="10"/>
  <c r="D89" i="10"/>
  <c r="F35" i="10" a="1"/>
  <c r="F35" i="10" s="1"/>
  <c r="F40" i="10" a="1"/>
  <c r="F40" i="10" s="1"/>
  <c r="F71" i="10" a="1"/>
  <c r="F71" i="10" s="1"/>
  <c r="F53" i="10" a="1"/>
  <c r="F53" i="10" s="1"/>
  <c r="D58" i="10"/>
  <c r="F60" i="10" a="1"/>
  <c r="F60" i="10" s="1"/>
  <c r="F42" i="10" a="1"/>
  <c r="F42" i="10" s="1"/>
  <c r="D48" i="10"/>
  <c r="D78" i="10"/>
  <c r="F93" i="10" a="1"/>
  <c r="F93" i="10" s="1"/>
  <c r="F34" i="10" a="1"/>
  <c r="F34" i="10" s="1"/>
  <c r="D32" i="10"/>
  <c r="F68" i="10" a="1"/>
  <c r="F68" i="10" s="1"/>
  <c r="F28" i="10" a="1"/>
  <c r="F28" i="10" s="1"/>
  <c r="D50" i="10"/>
  <c r="D20" i="10"/>
  <c r="F56" i="10" a="1"/>
  <c r="F56" i="10" s="1"/>
  <c r="D82" i="10"/>
  <c r="F22" i="10" a="1"/>
  <c r="F22" i="10" s="1"/>
  <c r="F96" i="10" a="1"/>
  <c r="F96" i="10" s="1"/>
  <c r="F61" i="10" a="1"/>
  <c r="F61" i="10" s="1"/>
  <c r="D100" i="10"/>
  <c r="D30" i="10"/>
  <c r="D43" i="10"/>
  <c r="F47" i="10" a="1"/>
  <c r="F47" i="10" s="1"/>
  <c r="F73" i="10" a="1"/>
  <c r="F73" i="10" s="1"/>
  <c r="D70" i="10"/>
  <c r="F25" i="10" a="1"/>
  <c r="F25" i="10" s="1"/>
  <c r="D21" i="10"/>
  <c r="D51" i="10"/>
  <c r="F85" i="10" a="1"/>
  <c r="F85" i="10" s="1"/>
  <c r="F69" i="10" a="1"/>
  <c r="F69" i="10" s="1"/>
  <c r="D81" i="10"/>
  <c r="D62" i="10"/>
  <c r="D55" i="10"/>
  <c r="F65" i="10" a="1"/>
  <c r="F65" i="10" s="1"/>
  <c r="F52" i="10" a="1"/>
  <c r="F52" i="10" s="1"/>
  <c r="F18" i="10" a="1"/>
  <c r="F18" i="10" s="1"/>
  <c r="F77" i="10" a="1"/>
  <c r="F77" i="10" s="1"/>
  <c r="D75" i="10"/>
  <c r="D66" i="10"/>
  <c r="F17" i="10" a="1"/>
  <c r="F17" i="10" s="1"/>
  <c r="D45" i="10"/>
  <c r="D83" i="10"/>
  <c r="D74" i="10"/>
  <c r="D31" i="10"/>
  <c r="D91" i="10"/>
  <c r="F29" i="10" a="1"/>
  <c r="F29" i="10" s="1"/>
  <c r="F39" i="10" a="1"/>
  <c r="F39" i="10" s="1"/>
  <c r="F27" i="10" a="1"/>
  <c r="F27" i="10" s="1"/>
  <c r="F44" i="10" a="1"/>
  <c r="F44" i="10" s="1"/>
  <c r="F67" i="10" a="1"/>
  <c r="F67" i="10" s="1"/>
  <c r="F59" i="10" a="1"/>
  <c r="F59" i="10" s="1"/>
  <c r="F92" i="10" a="1"/>
  <c r="F92" i="10" s="1"/>
  <c r="D19" i="10"/>
  <c r="D26" i="10"/>
  <c r="F37" i="10" a="1"/>
  <c r="F37" i="10" s="1"/>
  <c r="D86" i="10"/>
  <c r="F36" i="10" a="1"/>
  <c r="F36" i="10" s="1"/>
  <c r="D90" i="10"/>
  <c r="F95" i="10" a="1"/>
  <c r="F95" i="10" s="1"/>
  <c r="F87" i="10" a="1"/>
  <c r="F87" i="10" s="1"/>
  <c r="F94" i="10" a="1"/>
  <c r="F94" i="10" s="1"/>
  <c r="F64" i="10" a="1"/>
  <c r="F64" i="10" s="1"/>
  <c r="F80" i="10" a="1"/>
  <c r="F80" i="10" s="1"/>
  <c r="F72" i="10" a="1"/>
  <c r="F72" i="10" s="1"/>
  <c r="F54" i="10" a="1"/>
  <c r="F54" i="10" s="1"/>
  <c r="F46" i="10" a="1"/>
  <c r="F46" i="10" s="1"/>
  <c r="F38" i="10" a="1"/>
  <c r="F38" i="10" s="1"/>
  <c r="D24" i="10"/>
  <c r="F16" i="10" a="1"/>
  <c r="F16" i="10" s="1"/>
  <c r="F15" i="10" a="1"/>
  <c r="F15" i="10" s="1"/>
  <c r="D14" i="10"/>
  <c r="D13" i="10"/>
  <c r="F12" i="10" a="1"/>
  <c r="F12" i="10" s="1"/>
  <c r="D11" i="10"/>
  <c r="D10" i="10"/>
  <c r="D9" i="10"/>
  <c r="D8" i="10"/>
  <c r="D7" i="10"/>
  <c r="F6" i="10" a="1"/>
  <c r="F6" i="10" s="1"/>
  <c r="F5" i="10" a="1"/>
  <c r="F5"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<sst xmlns="http://schemas.openxmlformats.org/spreadsheetml/2006/main" count="859" uniqueCount="321">
  <si>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</si>
  <si>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</si>
  <si>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</si>
  <si>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</si>
  <si>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</si>
  <si>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</si>
  <si>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</si>
  <si>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</si>
  <si>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</si>
  <si>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</si>
  <si>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</si>
  <si>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</si>
  <si>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</si>
  <si>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</si>
  <si>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</si>
  <si>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</si>
  <si>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</si>
  <si>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</si>
  <si>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</si>
  <si>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</si>
  <si>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</si>
  <si>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</si>
  <si>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</si>
  <si>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</si>
  <si>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</si>
  <si>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</si>
  <si>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</si>
  <si>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</si>
  <si>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</si>
  <si>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</si>
  <si>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</si>
  <si>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</si>
  <si>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Use</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</si>
  <si>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</si>
  <si>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</si>
  <si>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</si>
  <si>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</si>
  <si>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</si>
  <si>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</si>
  <si>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</si>
  <si>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</si>
  <si>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</si>
  <si>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</si>
  <si>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</si>
  <si>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</si>
  <si>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</si>
  <si>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</si>
  <si>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</si>
  <si>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</si>
  <si>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</si>
  <si>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</si>
  <si>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</si>
  <si>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Adipic acid</t>
  </si>
  <si>
    <t>Betaketoadipate</t>
  </si>
  <si>
    <t>Combustion</t>
  </si>
  <si>
    <t>Sequestration</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</si>
  <si>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</si>
  <si>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</si>
  <si>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</si>
  <si>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</si>
  <si>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</si>
  <si>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</si>
  <si>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</si>
  <si>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</si>
  <si>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</si>
  <si>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</si>
  <si>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</si>
  <si>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</si>
  <si>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</si>
  <si>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</si>
  <si>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</si>
  <si>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</si>
  <si>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</si>
  <si>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</si>
  <si>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</si>
  <si>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</si>
  <si>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</si>
  <si>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</si>
  <si>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</si>
  <si>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</si>
  <si>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</si>
  <si>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</si>
  <si>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</si>
  <si>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</si>
  <si>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</si>
  <si>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</si>
  <si>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</si>
  <si>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</si>
  <si>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</si>
  <si>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</si>
  <si>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</si>
  <si>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</si>
  <si>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Corn stover</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</si>
  <si>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</si>
  <si>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</si>
  <si>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</si>
  <si>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</si>
  <si>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</si>
  <si>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</si>
  <si>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</si>
  <si>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</si>
  <si>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</si>
  <si>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</si>
  <si>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</si>
  <si>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</si>
  <si>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</si>
  <si>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</si>
  <si>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</si>
  <si>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</si>
  <si>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</si>
  <si>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</si>
  <si>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</si>
  <si>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</si>
  <si>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</si>
  <si>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</si>
  <si>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</si>
  <si>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</si>
  <si>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</si>
  <si>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</si>
  <si>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</si>
  <si>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</si>
  <si>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</si>
  <si>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</si>
  <si>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</si>
  <si>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</si>
  <si>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</si>
  <si>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</si>
  <si>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</si>
  <si>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</si>
  <si>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</si>
  <si>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</si>
  <si>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</si>
  <si>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</si>
  <si>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</si>
  <si>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</si>
  <si>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</si>
  <si>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</si>
  <si>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</si>
  <si>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</si>
  <si>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</si>
  <si>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</si>
  <si>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</si>
  <si>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</si>
  <si>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</si>
  <si>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</si>
  <si>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</si>
  <si>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</si>
  <si>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</si>
  <si>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</si>
  <si>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</si>
  <si>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</si>
  <si>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</si>
  <si>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</si>
  <si>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</si>
  <si>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</si>
  <si>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</si>
  <si>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</si>
  <si>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</si>
  <si>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</si>
  <si>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</si>
  <si>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</si>
  <si>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</si>
  <si>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</si>
  <si>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</si>
  <si>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</si>
  <si>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</si>
  <si>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</si>
  <si>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</si>
  <si>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</si>
  <si>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</si>
  <si>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</si>
  <si>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</si>
  <si>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</si>
  <si>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</si>
  <si>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</si>
  <si>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</si>
  <si>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</si>
  <si>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</si>
  <si>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</si>
  <si>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</si>
  <si>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</si>
  <si>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</si>
  <si>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</si>
  <si>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</si>
  <si>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</si>
  <si>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</si>
  <si>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</si>
  <si>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</si>
  <si>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</si>
  <si>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</si>
  <si>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</si>
  <si>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</si>
  <si>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</si>
  <si>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</si>
  <si>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</si>
  <si>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</si>
  <si>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</si>
  <si>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</si>
  <si>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</si>
  <si>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</si>
  <si>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</si>
  <si>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</si>
  <si>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</si>
  <si>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</si>
  <si>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</si>
  <si>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</si>
  <si>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</si>
  <si>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</si>
  <si>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</si>
  <si>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</si>
  <si>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</si>
  <si>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</si>
  <si>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</si>
  <si>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</si>
  <si>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</si>
  <si>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</si>
  <si>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</si>
  <si>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</si>
  <si>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</si>
  <si>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</si>
  <si>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</si>
  <si>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</si>
  <si>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</si>
  <si>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</si>
  <si>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</si>
  <si>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</si>
  <si>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</si>
  <si>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</si>
  <si>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</si>
  <si>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</si>
  <si>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</si>
  <si>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</si>
  <si>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</si>
  <si>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</si>
  <si>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</si>
  <si>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</si>
  <si>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</si>
  <si>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</si>
  <si>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</si>
  <si>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</si>
  <si>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</si>
  <si>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</si>
  <si>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</si>
  <si>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</si>
  <si>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</si>
  <si>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</si>
  <si>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</si>
  <si>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</si>
  <si>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</si>
  <si>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</si>
  <si>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</si>
  <si>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</si>
  <si>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</si>
  <si>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</si>
  <si>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</si>
  <si>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</si>
  <si>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</si>
  <si>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</si>
  <si>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</si>
  <si>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</si>
  <si>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</si>
  <si>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</si>
  <si>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</si>
  <si>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</si>
  <si>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</si>
  <si>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</si>
  <si>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</si>
  <si>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</si>
  <si>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</si>
  <si>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</si>
  <si>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</si>
  <si>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</si>
  <si>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</si>
  <si>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</si>
  <si>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</si>
  <si>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</si>
  <si>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</si>
  <si>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</si>
  <si>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</si>
  <si>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</si>
  <si>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</si>
  <si>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</si>
  <si>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</si>
  <si>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</si>
  <si>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</si>
  <si>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</si>
  <si>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</si>
  <si>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</si>
  <si>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</si>
  <si>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</si>
  <si>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</si>
  <si>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</si>
  <si>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</si>
  <si>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</si>
  <si>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</si>
  <si>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</si>
  <si>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</si>
  <si>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</si>
  <si>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</si>
  <si>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</si>
  <si>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</si>
  <si>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</si>
  <si>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</si>
  <si>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</si>
  <si>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</si>
  <si>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</si>
  <si>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</si>
  <si>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</si>
  <si>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</si>
  <si>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</si>
  <si>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</si>
  <si>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</si>
  <si>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</si>
  <si>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</si>
  <si>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</si>
  <si>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</si>
  <si>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</si>
  <si>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</si>
  <si>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</si>
  <si>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Algae growth in WWTPs. No energy is allocated to algae.</t>
  </si>
  <si>
    <t>Algae growth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</si>
</sst>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F400]h:mm:ss\ AM/PM"/>
    <numFmt numFmtId="165" formatCode="_(* #,##0_);_(* \(#,##0\);_(* &quot;-&quot;??_);_(@_)"/>
    <numFmt numFmtId="166" formatCode="#,##0.0"/>
    <numFmt numFmtId="168" formatCode="_(* #,##0.000_);_(* \(#,##0.000\);_(* &quot;-&quot;??_);_(@_)"/>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s>
  <fills count="12">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
      <patternFill patternType="solid">
        <fgColor theme="9"/>
        <bgColor indexed="64"/>
      </patternFill>
    </fill>
  </fills>
  <borders count="13">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top style="thin">
        <color theme="4" tint="0.39997558519241921"/>
      </top>
      <bottom style="thin">
        <color theme="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73">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0" fontId="0" fillId="0" borderId="1" xfId="0"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1" xfId="0" applyBorder="1"/>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165" fontId="0" fillId="0" borderId="3" xfId="1" applyNumberFormat="1" applyFont="1" applyBorder="1"/>
    <xf numFmtId="9" fontId="0" fillId="0" borderId="1" xfId="2" applyFont="1" applyBorder="1"/>
    <xf numFmtId="0" fontId="0" fillId="0" borderId="3" xfId="0" applyBorder="1"/>
    <xf numFmtId="0" fontId="0" fillId="0" borderId="2" xfId="2" applyNumberFormat="1" applyFont="1" applyBorder="1"/>
    <xf numFmtId="0" fontId="0" fillId="0" borderId="3" xfId="2" applyNumberFormat="1" applyFont="1" applyBorder="1"/>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applyAlignment="1">
      <alignment horizontal="right" wrapText="1"/>
    </xf>
    <xf numFmtId="0" fontId="16" fillId="0" borderId="7"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8" xfId="0" applyNumberFormat="1" applyFont="1" applyFill="1" applyBorder="1"/>
    <xf numFmtId="0" fontId="4" fillId="0" borderId="8" xfId="0" applyFont="1" applyBorder="1"/>
    <xf numFmtId="3" fontId="4" fillId="7" borderId="0" xfId="0" applyNumberFormat="1" applyFont="1" applyFill="1"/>
    <xf numFmtId="3" fontId="4" fillId="8" borderId="0" xfId="0" applyNumberFormat="1" applyFont="1" applyFill="1"/>
    <xf numFmtId="3" fontId="4" fillId="0" borderId="9"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9" xfId="0" applyNumberFormat="1" applyFont="1" applyFill="1" applyBorder="1"/>
    <xf numFmtId="0" fontId="16" fillId="0" borderId="10" xfId="0" applyFont="1" applyBorder="1"/>
    <xf numFmtId="3" fontId="4" fillId="0" borderId="11" xfId="0" applyNumberFormat="1" applyFont="1" applyBorder="1"/>
    <xf numFmtId="3" fontId="4" fillId="5" borderId="11" xfId="0" applyNumberFormat="1" applyFont="1" applyFill="1" applyBorder="1"/>
    <xf numFmtId="0" fontId="4" fillId="0" borderId="11" xfId="0" applyFont="1" applyBorder="1"/>
    <xf numFmtId="0" fontId="4" fillId="7" borderId="11" xfId="0" applyFont="1" applyFill="1" applyBorder="1"/>
    <xf numFmtId="3" fontId="4" fillId="0" borderId="12" xfId="0" applyNumberFormat="1" applyFont="1" applyBorder="1"/>
    <xf numFmtId="3" fontId="0" fillId="0" borderId="0" xfId="0" applyNumberFormat="1"/>
    <xf numFmtId="166" fontId="0" fillId="0" borderId="0" xfId="0" applyNumberFormat="1"/>
    <xf numFmtId="0" fontId="0" fillId="10" borderId="0" xfId="0" applyFill="1"/>
    <xf numFmtId="0" fontId="0" fillId="10" borderId="0" xfId="0" applyFill="1" applyAlignment="1">
      <alignment horizontal="left"/>
    </xf>
    <xf numFmtId="0" fontId="4" fillId="10" borderId="0" xfId="0" applyFont="1" applyFill="1" applyAlignment="1">
      <alignment horizontal="left"/>
    </xf>
    <xf numFmtId="0" fontId="3" fillId="10" borderId="0" xfId="0" applyFont="1" applyFill="1"/>
    <xf numFmtId="164" fontId="0" fillId="10" borderId="0" xfId="0" applyNumberFormat="1" applyFill="1"/>
    <xf numFmtId="0" fontId="4" fillId="10" borderId="5" xfId="0" applyFont="1" applyFill="1" applyBorder="1"/>
    <xf numFmtId="0" fontId="0" fillId="10" borderId="5" xfId="0" applyFill="1" applyBorder="1"/>
    <xf numFmtId="0" fontId="0" fillId="7" borderId="0" xfId="0" applyFill="1"/>
    <xf numFmtId="0" fontId="4" fillId="7" borderId="0" xfId="0" applyFont="1" applyFill="1" applyAlignment="1">
      <alignment horizontal="left"/>
    </xf>
    <xf numFmtId="0" fontId="0" fillId="11" borderId="0" xfId="0" applyFill="1"/>
    <xf numFmtId="3" fontId="0" fillId="11" borderId="0" xfId="0" applyNumberFormat="1" applyFill="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xf numFmtId="168" fontId="0" fillId="0" borderId="2" xfId="1" applyNumberFormat="1" applyFont="1" applyBorder="1"/>
  </cellXfs>
  <cellStyles count="3">
    <cellStyle name="Comma" xfId="1" builtinId="3"/>
    <cellStyle name="Normal" xfId="0" builtinId="0"/>
    <cellStyle name="Percent" xfId="2" builtinId="5"/>
  </cellStyles>
  <dxfs count="90">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solid">
          <fgColor indexed="64"/>
          <bgColor theme="5"/>
        </patternFill>
      </fill>
    </dxf>
    <dxf>
      <numFmt numFmtId="164" formatCode="[$-F400]h:mm:ss\ AM/PM"/>
      <fill>
        <patternFill patternType="none">
          <fgColor indexed="64"/>
          <bgColor indexed="65"/>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1879600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79638249-C91C-4E67-AAAD-55AEE6C7F51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7F6CDC45-ECF9-4F76-8588-4F66606C60FB}"/>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O - LCI"/>
      <sheetName val="Acids - LCI"/>
      <sheetName val="SI"/>
    </sheetNames>
    <sheetDataSet>
      <sheetData sheetId="0"/>
      <sheetData sheetId="1"/>
      <sheetData sheetId="2">
        <row r="1">
          <cell r="B1">
            <v>3.9657619999999998</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4:R100" totalsRowShown="0" headerRowDxfId="89" dataDxfId="88" tableBorderDxfId="87" dataCellStyle="Percent">
  <autoFilter ref="A4:R100" xr:uid="{1644AED8-49DE-4A1D-989C-1566C9A522B9}"/>
  <tableColumns count="18">
    <tableColumn id="1" xr3:uid="{3C4E83C1-4DAF-4B93-AE9A-B658DBA43631}" name="Type" dataDxfId="86"/>
    <tableColumn id="2" xr3:uid="{7AC9B54E-C457-49EC-A7D6-0ED656B6CFE9}" name="Category" dataDxfId="85"/>
    <tableColumn id="3" xr3:uid="{350F9A14-F368-49FE-AF21-19555EB999FB}" name="Resource" dataDxfId="84">
      <calculatedColumnFormula>_xlfn.XLOOKUP($B5,'SI - Resources'!$A$1:$J$1,'SI - Resources'!$A$2:$J$2, "")</calculatedColumnFormula>
    </tableColumn>
    <tableColumn id="4" xr3:uid="{A0B55D89-6640-4C29-88AC-93188C5097C5}" name="End Use" dataDxfId="83">
      <calculatedColumnFormula>IF(_xlfn.XLOOKUP($C5,'SI - End Use'!$B$2:$B$82,'SI - End Use'!$C$2:$C$82, "")="", "", _xlfn.XLOOKUP($C5,'SI - End Use'!$B$2:$B$82,'SI - End Use'!$C$2:$C$82, ""))</calculatedColumnFormula>
    </tableColumn>
    <tableColumn id="5" xr3:uid="{5ADDDF1D-4510-4428-A882-8D5C8F52BE8C}" name="Amount" dataDxfId="82" dataCellStyle="Comma"/>
    <tableColumn id="6" xr3:uid="{341D427F-5F42-4F22-98AD-9D6883E4330B}" name="Unit" dataDxfId="81">
      <calculatedColumnFormula array="1">IF($B5="Transportation",  'SI - Units'!$B$9:$B$9, _xlfn.XLOOKUP(_xlfn.XLOOKUP($C5,'SI - Units'!$B$24:$B$106,'SI - Units'!$C$24:$C$106, ""),'SI - Units'!$A$2:$A$8,'SI - Units'!$B$2:$B$8, ""))</calculatedColumnFormula>
    </tableColumn>
    <tableColumn id="7" xr3:uid="{515C4DB0-B187-40B1-8F47-45FF3483AEC1}" name="Moisture" dataDxfId="80" dataCellStyle="Percent"/>
    <tableColumn id="8" xr3:uid="{294BC856-42BB-4049-BD49-6A865E88E771}" name="Previous Stage" dataDxfId="79" dataCellStyle="Percent"/>
    <tableColumn id="9" xr3:uid="{CDA23678-EB57-4035-9101-F29AA45C63EE}" name="Always Use Displacement Method for Co-Product?" dataDxfId="78" dataCellStyle="Percent">
      <calculatedColumnFormula>IF(Table1[[#This Row],[Type]]="Co-product", "No", "")</calculatedColumnFormula>
    </tableColumn>
    <tableColumn id="10" xr3:uid="{0E5BF4B8-8667-40EE-B9EF-BC9E06D72AAB}" name="Product Train" dataDxfId="77"/>
    <tableColumn id="14" xr3:uid="{D99A9C54-A8C3-4803-A70D-4659D5193A9A}" name="Payload" dataDxfId="76">
      <calculatedColumnFormula>IF(Table1[[#This Row],[Category]]="Transportation", _xlfn.XLOOKUP(Table1[[#This Row],[Resource]], 'SI - Payload'!$A$10:$A$38,'SI - Payload'!$B$10:$B$38,"",0), "")</calculatedColumnFormula>
    </tableColumn>
    <tableColumn id="15" xr3:uid="{3BF278AE-6D04-4ABA-AACE-E651957B5676}" name="Payload Unit" dataDxfId="75">
      <calculatedColumnFormula>IF(Table1[[#This Row],[Category]]="Transportation", "ton", "")</calculatedColumnFormula>
    </tableColumn>
    <tableColumn id="16" xr3:uid="{B4587E16-116C-48C2-B897-34EA45D2B5E2}" name="Market Price" dataDxfId="74"/>
    <tableColumn id="17" xr3:uid="{CFF030DD-8740-4448-85CE-69419CA7344D}" name="Market Price Unit" dataDxfId="73"/>
    <tableColumn id="12" xr3:uid="{0A5A1CE9-5C17-482C-ACCA-BB3BA789761E}" name="Incumbent Product" dataDxfId="72">
      <calculatedColumnFormula>IF(OR(Table1[[#This Row],[Type]]="Main Product", Table1[[#This Row],[Type]]="Co-Product"), Table1[[#This Row],[Resource]], "")</calculatedColumnFormula>
    </tableColumn>
    <tableColumn id="13" xr3:uid="{A8C514D4-4EE9-4BFC-A5D9-1A3B1C61CAF3}" name="End Use of Incumbent Product" dataDxfId="71">
      <calculatedColumnFormula>IF(_xlfn.XLOOKUP($O5,'SI - End Use'!$B$2:$B$82,'SI - End Use'!$C$2:$C$82, "")="", "", _xlfn.XLOOKUP($C5,'SI - End Use'!$B$2:$B$82,'SI - End Use'!$C$2:$C$82, ""))</calculatedColumnFormula>
    </tableColumn>
    <tableColumn id="18" xr3:uid="{1AFBF91D-E45D-442D-BA06-D58B0AE7953E}" name="Process" dataDxfId="70"/>
    <tableColumn id="11" xr3:uid="{34D8D993-53F9-46B7-8FE9-32F1A6F2DFD2}" name="Note" dataDxfId="6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J50" totalsRowShown="0" headerRowDxfId="68">
  <autoFilter ref="A1:J50" xr:uid="{BF352F56-F627-4A8D-9B22-DA497E2644FC}"/>
  <tableColumns count="10">
    <tableColumn id="1" xr3:uid="{B4C1BEA4-EC08-4542-9BC0-5CAC3303F1DE}" name="Biomass"/>
    <tableColumn id="8" xr3:uid="{CA09F49F-4D37-4D57-9F64-66042BBFCAF3}" name="Waste"/>
    <tableColumn id="2" xr3:uid="{16936180-7E0F-4E08-BEC7-75346859C647}" name="Process fuel"/>
    <tableColumn id="6" xr3:uid="{8ABA29FD-C6B0-4B51-8840-E17193E077EC}" name="Electricity"/>
    <tableColumn id="3" xr3:uid="{C1A34163-30E4-47F2-BE75-A919CC80E9BF}" name="Chemicals and catalysts" dataDxfId="67"/>
    <tableColumn id="4" xr3:uid="{CA7E12F4-CA42-4C30-8167-75EC0AE0646A}" name="Water"/>
    <tableColumn id="9" xr3:uid="{6ADE4401-0F6C-4911-9721-036C8287FC6F}" name="Infrastructure" dataDxfId="66"/>
    <tableColumn id="7" xr3:uid="{C235CCC4-A94E-464B-AE35-96309F90FA7A}" name="Transportation"/>
    <tableColumn id="10" xr3:uid="{C8DE9AE9-442D-497B-B981-79FAEF638C23}" name="Other"/>
    <tableColumn id="5" xr3:uid="{FBD24046-BCD6-418A-8FDF-2918685E10CE}" name="Emissions and sequestratio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82" totalsRowShown="0">
  <autoFilter ref="A1:O82" xr:uid="{A2520818-4902-482A-9E88-A7A4D5A1D5DD}"/>
  <tableColumns count="15">
    <tableColumn id="1" xr3:uid="{75A5F75F-64ED-4232-9A1E-4D41B091D006}" name="Column1"/>
    <tableColumn id="2" xr3:uid="{18B5F0AA-5D76-44C7-A951-0327634C6CCB}" name="Column2"/>
    <tableColumn id="3" xr3:uid="{ECDC9495-57EB-459F-8C28-D2BCDB1550C0}" name="Column3" dataDxfId="65"/>
    <tableColumn id="4" xr3:uid="{066E5028-FE97-46DD-94DD-3F5362889CC8}" name="Column4" dataDxfId="64"/>
    <tableColumn id="5" xr3:uid="{518CF11D-9FC1-41DC-A48E-08F72F35ADAA}" name="Column5" dataDxfId="63"/>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62">
  <autoFilter ref="A1:R10" xr:uid="{A38095DD-9874-4EE7-A8C2-2706165CCEBD}"/>
  <tableColumns count="18">
    <tableColumn id="1" xr3:uid="{65B7BBF3-4BCE-43A4-9B03-83AE412598EC}" name="Column1"/>
    <tableColumn id="2" xr3:uid="{FFDF068B-D532-4DC4-904E-48D00A60A52E}" name="Column2" dataDxfId="61"/>
    <tableColumn id="3" xr3:uid="{22885E79-E7D2-4EEE-B0A6-74B1C5779681}" name="Column3" dataDxfId="60"/>
    <tableColumn id="4" xr3:uid="{C1DEFD79-EA05-47FD-8251-B29B3BCC06B2}" name="Column4" dataDxfId="59"/>
    <tableColumn id="5" xr3:uid="{29AEEBB1-E43B-4691-B73C-A8FA6D80443C}" name="Column5" dataDxfId="58"/>
    <tableColumn id="6" xr3:uid="{CC08C1F9-C485-4200-A0F9-C8E59BA65B97}" name="Column6" dataDxfId="57"/>
    <tableColumn id="7" xr3:uid="{6C28381F-6253-4E2E-A800-FF075582292A}" name="Column7" dataDxfId="56"/>
    <tableColumn id="8" xr3:uid="{CA3D0B6B-B24F-4751-A1CE-28D7D0B98174}" name="Column8" dataDxfId="55"/>
    <tableColumn id="9" xr3:uid="{7057E753-ED12-407E-950F-CC59E808A2BF}" name="Column9" dataDxfId="54"/>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6" totalsRowShown="0" dataDxfId="53">
  <autoFilter ref="B23:C106" xr:uid="{09147A22-E822-45D3-B3C2-ABDDF48EE5E6}"/>
  <tableColumns count="2">
    <tableColumn id="1" xr3:uid="{CDC0A0AC-3BED-4650-82CE-403A1BF28367}" name="Column1" dataDxfId="52"/>
    <tableColumn id="2" xr3:uid="{B6F8A3B9-3868-4A35-8F6E-BA3E60A1529E}" name="Column2" dataDxfId="5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50">
  <autoFilter ref="A12:R20" xr:uid="{B01EA81C-1645-4ED3-BEC5-6C5396237E43}"/>
  <tableColumns count="18">
    <tableColumn id="1" xr3:uid="{821EE498-6278-4E39-82EF-1F47FBA85A36}" name="Column1"/>
    <tableColumn id="2" xr3:uid="{E81954FF-60B7-4ABD-BC14-40676F73AA3E}" name="Column2" dataDxfId="49">
      <calculatedColumnFormula>IF(B2&lt;&gt;"","$/"&amp;B2, "")</calculatedColumnFormula>
    </tableColumn>
    <tableColumn id="3" xr3:uid="{A15329FC-BC0D-46AE-9A0E-F4CFE0FF184A}" name="Column3" dataDxfId="48">
      <calculatedColumnFormula>IF(C2&lt;&gt;"","$/"&amp;C2, "")</calculatedColumnFormula>
    </tableColumn>
    <tableColumn id="4" xr3:uid="{2197BCF8-40A1-4D22-B05E-D0E1CBFBA215}" name="Column4" dataDxfId="47">
      <calculatedColumnFormula>IF(D2&lt;&gt;"","$/"&amp;D2, "")</calculatedColumnFormula>
    </tableColumn>
    <tableColumn id="5" xr3:uid="{3DAF72F2-745A-4FCF-BD44-BDC825984018}" name="Column5" dataDxfId="46">
      <calculatedColumnFormula>IF(E2&lt;&gt;"","$/"&amp;E2, "")</calculatedColumnFormula>
    </tableColumn>
    <tableColumn id="6" xr3:uid="{820E7353-19C6-4D63-B444-F7CAC7BF01AA}" name="Column6" dataDxfId="45">
      <calculatedColumnFormula>IF(F2&lt;&gt;"","$/"&amp;F2, "")</calculatedColumnFormula>
    </tableColumn>
    <tableColumn id="7" xr3:uid="{91F510E8-B638-43EB-BA78-D4632DA66CD4}" name="Column7" dataDxfId="44">
      <calculatedColumnFormula>IF(G2&lt;&gt;"","$/"&amp;G2, "")</calculatedColumnFormula>
    </tableColumn>
    <tableColumn id="8" xr3:uid="{9CD4EFF6-953E-4257-A2B2-041DCDDBD0BB}" name="Column8" dataDxfId="43">
      <calculatedColumnFormula>IF(H2&lt;&gt;"","$/"&amp;H2, "")</calculatedColumnFormula>
    </tableColumn>
    <tableColumn id="9" xr3:uid="{E1D1E2ED-A567-4428-8C9E-5EE867B5D225}" name="Column9" dataDxfId="42">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9691D89-5223-46BE-B0E0-70629C913D44}" name="Table16" displayName="Table16" ref="A4:R100" totalsRowShown="0" headerRowDxfId="20" dataDxfId="19" tableBorderDxfId="18" dataCellStyle="Percent">
  <autoFilter ref="A4:R100" xr:uid="{1644AED8-49DE-4A1D-989C-1566C9A522B9}"/>
  <tableColumns count="18">
    <tableColumn id="1" xr3:uid="{D4F49698-DCBB-4A9E-8C79-AAF307720A02}" name="Type" dataDxfId="17"/>
    <tableColumn id="2" xr3:uid="{0D98C149-A149-4874-A453-D89751E7117E}" name="Category" dataDxfId="16"/>
    <tableColumn id="3" xr3:uid="{E34952D8-90C3-477C-9B89-B1F13F989DC9}" name="Resource" dataDxfId="15">
      <calculatedColumnFormula>_xlfn.XLOOKUP($B5,'SI - Resources'!$A$1:$J$1,'SI - Resources'!$A$2:$J$2, "")</calculatedColumnFormula>
    </tableColumn>
    <tableColumn id="4" xr3:uid="{46C83B36-BA73-4C0E-A480-08AB2FCB7D00}" name="End Use" dataDxfId="14">
      <calculatedColumnFormula>IF(_xlfn.XLOOKUP($C5,'SI - End Use'!$B$2:$B$82,'SI - End Use'!$C$2:$C$82, "")="", "", _xlfn.XLOOKUP($C5,'SI - End Use'!$B$2:$B$82,'SI - End Use'!$C$2:$C$82, ""))</calculatedColumnFormula>
    </tableColumn>
    <tableColumn id="5" xr3:uid="{6DF2C532-967A-4E62-8AE2-15BE7266CDA5}" name="Amount" dataDxfId="13" dataCellStyle="Comma"/>
    <tableColumn id="6" xr3:uid="{F70AEF86-8950-4913-B672-6E1CD2D82793}" name="Unit" dataDxfId="12">
      <calculatedColumnFormula array="1">IF($B5="Transportation",  'SI - Units'!$B$9:$B$9, _xlfn.XLOOKUP(_xlfn.XLOOKUP($C5,'SI - Units'!$B$24:$B$106,'SI - Units'!$C$24:$C$106, ""),'SI - Units'!$A$2:$A$8,'SI - Units'!$B$2:$B$8, ""))</calculatedColumnFormula>
    </tableColumn>
    <tableColumn id="7" xr3:uid="{A0B27078-96DB-427D-ADDF-D84C9BCA80B4}" name="Moisture" dataDxfId="11" dataCellStyle="Percent"/>
    <tableColumn id="8" xr3:uid="{3D9AF304-9A79-43A6-850D-87E39E948F1E}" name="Previous Stage" dataDxfId="10" dataCellStyle="Percent"/>
    <tableColumn id="9" xr3:uid="{27F99F5D-2F0E-45DD-93BA-5AB75876D96C}" name="Always Use Displacement Method for Co-Product?" dataDxfId="9" dataCellStyle="Percent">
      <calculatedColumnFormula>IF(Table16[[#This Row],[Type]]="Co-product", "No", "")</calculatedColumnFormula>
    </tableColumn>
    <tableColumn id="10" xr3:uid="{5B266E1F-FF28-43E9-8E68-508870ECB633}" name="Product Train" dataDxfId="8"/>
    <tableColumn id="14" xr3:uid="{1FE4E10F-ECF8-4E10-A490-6950112153C9}" name="Payload" dataDxfId="7">
      <calculatedColumnFormula>IF(Table16[[#This Row],[Category]]="Transportation", _xlfn.XLOOKUP(Table16[[#This Row],[Resource]], 'SI - Payload'!$A$10:$A$38,'SI - Payload'!$B$10:$B$38,"",0), "")</calculatedColumnFormula>
    </tableColumn>
    <tableColumn id="15" xr3:uid="{9F2CC3CC-00DC-42AB-A49B-D6C789718D77}" name="Payload Unit" dataDxfId="6">
      <calculatedColumnFormula>IF(Table16[[#This Row],[Category]]="Transportation", "ton", "")</calculatedColumnFormula>
    </tableColumn>
    <tableColumn id="16" xr3:uid="{B1F32143-6978-4817-8B74-66886FD70539}" name="Market Price" dataDxfId="5"/>
    <tableColumn id="17" xr3:uid="{DB9FE61E-43A4-4210-BCFF-B097E2AAA4AC}" name="Market Price Unit" dataDxfId="4"/>
    <tableColumn id="12" xr3:uid="{D063D071-5A54-4F7A-BA29-639670E9C6F0}" name="Incumbent Product" dataDxfId="3">
      <calculatedColumnFormula>IF(OR(Table16[[#This Row],[Type]]="Main Product", Table16[[#This Row],[Type]]="Co-Product"), Table16[[#This Row],[Resource]], "")</calculatedColumnFormula>
    </tableColumn>
    <tableColumn id="13" xr3:uid="{DC26BD47-C075-49FF-921D-0899904B5FFF}" name="End Use of Incumbent Product" dataDxfId="2">
      <calculatedColumnFormula>IF(_xlfn.XLOOKUP($O5,'SI - End Use'!$B$2:$B$82,'SI - End Use'!$C$2:$C$82, "")="", "", _xlfn.XLOOKUP($C5,'SI - End Use'!$B$2:$B$82,'SI - End Use'!$C$2:$C$82, ""))</calculatedColumnFormula>
    </tableColumn>
    <tableColumn id="18" xr3:uid="{C87E98B7-993E-4C74-B016-D2AE202E93F1}" name="Process" dataDxfId="1"/>
    <tableColumn id="11" xr3:uid="{084E705C-1437-4928-AC4D-D38232DE624E}" name="Note" dataDxfId="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11A7533-BFD7-400A-BE15-F16A4CB6B899}" name="Table13" displayName="Table13" ref="A4:R100" totalsRowShown="0" headerRowDxfId="41" dataDxfId="40" tableBorderDxfId="39" dataCellStyle="Percent">
  <autoFilter ref="A4:R100" xr:uid="{1644AED8-49DE-4A1D-989C-1566C9A522B9}"/>
  <tableColumns count="18">
    <tableColumn id="1" xr3:uid="{C9C69318-DEF4-4752-8254-A06C42202A11}" name="Type" dataDxfId="38"/>
    <tableColumn id="2" xr3:uid="{B89E52C9-CCDF-4407-84E9-84F4CB8AEC7A}" name="Category" dataDxfId="37"/>
    <tableColumn id="3" xr3:uid="{5C2A4783-0FB8-49D4-A5CC-ABF328557566}" name="Resource" dataDxfId="36">
      <calculatedColumnFormula>_xlfn.XLOOKUP($B5,'SI - Resources'!$A$1:$J$1,'SI - Resources'!$A$2:$J$2, "")</calculatedColumnFormula>
    </tableColumn>
    <tableColumn id="4" xr3:uid="{34E3642B-E993-42D6-A8A3-67B561E4D766}" name="End Use" dataDxfId="35">
      <calculatedColumnFormula>IF(_xlfn.XLOOKUP($C5,'SI - End Use'!$B$2:$B$82,'SI - End Use'!$C$2:$C$82, "")="", "", _xlfn.XLOOKUP($C5,'SI - End Use'!$B$2:$B$82,'SI - End Use'!$C$2:$C$82, ""))</calculatedColumnFormula>
    </tableColumn>
    <tableColumn id="5" xr3:uid="{6C35F699-A905-4676-8E86-E05906D8E6C1}" name="Amount" dataDxfId="34" dataCellStyle="Comma"/>
    <tableColumn id="6" xr3:uid="{01789D26-FA70-464B-BBE7-7294FA3A4C8D}" name="Unit" dataDxfId="33">
      <calculatedColumnFormula array="1">IF($B5="Transportation",  'SI - Units'!$B$9:$B$9, _xlfn.XLOOKUP(_xlfn.XLOOKUP($C5,'SI - Units'!$B$24:$B$106,'SI - Units'!$C$24:$C$106, ""),'SI - Units'!$A$2:$A$8,'SI - Units'!$B$2:$B$8, ""))</calculatedColumnFormula>
    </tableColumn>
    <tableColumn id="7" xr3:uid="{F3FEFC05-9F93-469F-B1CA-43B988B0E171}" name="Moisture" dataDxfId="32" dataCellStyle="Percent"/>
    <tableColumn id="8" xr3:uid="{246030FF-345F-46E5-9476-54CEE07560A6}" name="Previous Stage" dataDxfId="31" dataCellStyle="Percent"/>
    <tableColumn id="9" xr3:uid="{05685F6E-335E-41EA-8F4A-2AD127FA4405}" name="Always Use Displacement Method for Co-Product?" dataDxfId="30" dataCellStyle="Percent">
      <calculatedColumnFormula>IF(Table13[[#This Row],[Type]]="Co-product", "No", "")</calculatedColumnFormula>
    </tableColumn>
    <tableColumn id="10" xr3:uid="{42914DF1-7079-4DCE-A3A6-74E8D52267DE}" name="Product Train" dataDxfId="29"/>
    <tableColumn id="14" xr3:uid="{820AB657-A0EA-4DB1-A475-4C8EFDE95E78}" name="Payload" dataDxfId="28">
      <calculatedColumnFormula>IF(Table13[[#This Row],[Category]]="Transportation", _xlfn.XLOOKUP(Table13[[#This Row],[Resource]], 'SI - Payload'!$A$10:$A$38,'SI - Payload'!$B$10:$B$38,"",0), "")</calculatedColumnFormula>
    </tableColumn>
    <tableColumn id="15" xr3:uid="{93584D12-2372-410C-8458-9241AC9F19AC}" name="Payload Unit" dataDxfId="27">
      <calculatedColumnFormula>IF(Table13[[#This Row],[Category]]="Transportation", "ton", "")</calculatedColumnFormula>
    </tableColumn>
    <tableColumn id="16" xr3:uid="{C023DFE4-2A91-496D-AAF4-006C6BE247C1}" name="Market Price" dataDxfId="26"/>
    <tableColumn id="17" xr3:uid="{8DAB543A-9566-4A4E-A885-107C0F014AEF}" name="Market Price Unit" dataDxfId="25"/>
    <tableColumn id="12" xr3:uid="{ABD10C9B-210C-420C-8EDD-F6BB7C7B5A4D}" name="Incumbent Product" dataDxfId="24">
      <calculatedColumnFormula>IF(OR(Table13[[#This Row],[Type]]="Main Product", Table13[[#This Row],[Type]]="Co-Product"), Table13[[#This Row],[Resource]], "")</calculatedColumnFormula>
    </tableColumn>
    <tableColumn id="13" xr3:uid="{505D24C4-534A-46EF-8BAC-A437F31185EF}" name="End Use of Incumbent Product" dataDxfId="23">
      <calculatedColumnFormula>IF(_xlfn.XLOOKUP($O5,'SI - End Use'!$B$2:$B$82,'SI - End Use'!$C$2:$C$82, "")="", "", _xlfn.XLOOKUP($C5,'SI - End Use'!$B$2:$B$82,'SI - End Use'!$C$2:$C$82, ""))</calculatedColumnFormula>
    </tableColumn>
    <tableColumn id="18" xr3:uid="{0618299F-0824-40E5-8E08-31CE2687D18D}" name="Process" dataDxfId="22"/>
    <tableColumn id="11" xr3:uid="{B477F45E-7F8E-490D-B967-8949297A2C10}" name="Note" dataDxfId="2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69" t="s">
        <v>266</v>
      </c>
      <c r="B2" s="69"/>
    </row>
    <row r="3" spans="1:3" ht="29.15" customHeight="1" x14ac:dyDescent="0.35">
      <c r="A3" s="71" t="s">
        <v>279</v>
      </c>
      <c r="B3" s="71"/>
    </row>
    <row r="4" spans="1:3" ht="28" customHeight="1" x14ac:dyDescent="0.35">
      <c r="A4" s="21"/>
      <c r="B4" s="21"/>
    </row>
    <row r="5" spans="1:3" ht="28" customHeight="1" x14ac:dyDescent="0.35">
      <c r="A5" s="70" t="s">
        <v>265</v>
      </c>
      <c r="B5" s="70"/>
    </row>
    <row r="6" spans="1:3" ht="28" customHeight="1" x14ac:dyDescent="0.35">
      <c r="A6" s="23" t="s">
        <v>124</v>
      </c>
      <c r="B6" s="22"/>
    </row>
    <row r="7" spans="1:3" x14ac:dyDescent="0.35">
      <c r="A7" s="25" t="s">
        <v>130</v>
      </c>
      <c r="B7" s="17" t="s">
        <v>261</v>
      </c>
    </row>
    <row r="8" spans="1:3" x14ac:dyDescent="0.35">
      <c r="A8" s="25" t="s">
        <v>267</v>
      </c>
      <c r="B8" s="24" t="s">
        <v>268</v>
      </c>
      <c r="C8" s="15"/>
    </row>
    <row r="9" spans="1:3" ht="21" x14ac:dyDescent="0.35">
      <c r="A9" s="22"/>
      <c r="B9" s="22"/>
    </row>
    <row r="10" spans="1:3" ht="28" customHeight="1" x14ac:dyDescent="0.35">
      <c r="A10" s="23" t="s">
        <v>125</v>
      </c>
      <c r="B10" s="22"/>
    </row>
    <row r="11" spans="1:3" x14ac:dyDescent="0.35">
      <c r="A11" s="18" t="s">
        <v>6</v>
      </c>
      <c r="B11" s="17" t="s">
        <v>269</v>
      </c>
    </row>
    <row r="12" spans="1:3" x14ac:dyDescent="0.35">
      <c r="A12" s="20" t="s">
        <v>0</v>
      </c>
      <c r="B12" s="17" t="s">
        <v>120</v>
      </c>
    </row>
    <row r="13" spans="1:3" x14ac:dyDescent="0.35">
      <c r="A13" s="20" t="s">
        <v>270</v>
      </c>
      <c r="B13" s="17" t="s">
        <v>278</v>
      </c>
    </row>
    <row r="14" spans="1:3" ht="58" x14ac:dyDescent="0.35">
      <c r="A14" s="20" t="s">
        <v>118</v>
      </c>
      <c r="B14" s="17" t="s">
        <v>271</v>
      </c>
    </row>
    <row r="15" spans="1:3" ht="87" x14ac:dyDescent="0.35">
      <c r="A15" s="20" t="s">
        <v>89</v>
      </c>
      <c r="B15" s="17" t="s">
        <v>272</v>
      </c>
    </row>
    <row r="16" spans="1:3" ht="43.5" x14ac:dyDescent="0.35">
      <c r="A16" s="20" t="s">
        <v>245</v>
      </c>
      <c r="B16" s="17" t="s">
        <v>273</v>
      </c>
    </row>
    <row r="17" spans="1:2" x14ac:dyDescent="0.35">
      <c r="A17" s="19" t="s">
        <v>1</v>
      </c>
      <c r="B17" s="17" t="s">
        <v>252</v>
      </c>
    </row>
    <row r="18" spans="1:2" x14ac:dyDescent="0.35">
      <c r="A18" s="19" t="s">
        <v>36</v>
      </c>
      <c r="B18" s="17" t="s">
        <v>121</v>
      </c>
    </row>
    <row r="19" spans="1:2" ht="43.5" x14ac:dyDescent="0.35">
      <c r="A19" s="19" t="s">
        <v>5</v>
      </c>
      <c r="B19" s="17" t="s">
        <v>274</v>
      </c>
    </row>
    <row r="20" spans="1:2" x14ac:dyDescent="0.35">
      <c r="A20" s="19" t="s">
        <v>7</v>
      </c>
      <c r="B20" s="17" t="s">
        <v>123</v>
      </c>
    </row>
    <row r="21" spans="1:2" x14ac:dyDescent="0.35">
      <c r="A21" s="19" t="s">
        <v>8</v>
      </c>
      <c r="B21" s="17" t="s">
        <v>122</v>
      </c>
    </row>
    <row r="22" spans="1:2" ht="29" x14ac:dyDescent="0.35">
      <c r="A22" s="19" t="s">
        <v>116</v>
      </c>
      <c r="B22" s="17" t="s">
        <v>275</v>
      </c>
    </row>
    <row r="23" spans="1:2" ht="29" x14ac:dyDescent="0.35">
      <c r="A23" s="19" t="s">
        <v>263</v>
      </c>
      <c r="B23" s="17" t="s">
        <v>276</v>
      </c>
    </row>
    <row r="24" spans="1:2" ht="58" x14ac:dyDescent="0.35">
      <c r="A24" s="19" t="s">
        <v>127</v>
      </c>
      <c r="B24" s="17" t="s">
        <v>277</v>
      </c>
    </row>
    <row r="25" spans="1:2" ht="29" x14ac:dyDescent="0.35">
      <c r="A25" s="19" t="s">
        <v>88</v>
      </c>
      <c r="B25" s="17" t="s">
        <v>253</v>
      </c>
    </row>
    <row r="26" spans="1:2" x14ac:dyDescent="0.35">
      <c r="A26" s="19" t="s">
        <v>138</v>
      </c>
      <c r="B26" s="17" t="s">
        <v>254</v>
      </c>
    </row>
    <row r="27" spans="1:2" x14ac:dyDescent="0.35">
      <c r="A27" s="19" t="s">
        <v>139</v>
      </c>
      <c r="B27" t="s">
        <v>255</v>
      </c>
    </row>
    <row r="28" spans="1:2" x14ac:dyDescent="0.35">
      <c r="A28" s="19" t="s">
        <v>140</v>
      </c>
      <c r="B28" s="17" t="s">
        <v>257</v>
      </c>
    </row>
    <row r="29" spans="1:2" x14ac:dyDescent="0.35">
      <c r="A29" s="19" t="s">
        <v>141</v>
      </c>
      <c r="B29" t="s">
        <v>256</v>
      </c>
    </row>
    <row r="30" spans="1:2" ht="29" x14ac:dyDescent="0.35">
      <c r="A30" s="19" t="s">
        <v>142</v>
      </c>
      <c r="B30" s="17" t="s">
        <v>258</v>
      </c>
    </row>
    <row r="31" spans="1:2" x14ac:dyDescent="0.35">
      <c r="A31" s="19" t="s">
        <v>143</v>
      </c>
      <c r="B31" t="s">
        <v>259</v>
      </c>
    </row>
    <row r="32" spans="1:2" ht="58" x14ac:dyDescent="0.35">
      <c r="A32" s="19" t="s">
        <v>260</v>
      </c>
      <c r="B32" s="17" t="s">
        <v>280</v>
      </c>
    </row>
    <row r="33" spans="1:2" x14ac:dyDescent="0.35">
      <c r="A33" s="19" t="s">
        <v>4</v>
      </c>
      <c r="B33" s="17" t="s">
        <v>126</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1879600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Units'!$B$24:$B$106,'SI - Units'!$C$24:$C$106),'SI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R100"/>
  <sheetViews>
    <sheetView workbookViewId="0">
      <pane ySplit="4" topLeftCell="A5" activePane="bottomLeft" state="frozen"/>
      <selection activeCell="C19" sqref="C19"/>
      <selection pane="bottomLeft" activeCell="O5" sqref="O5"/>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14" t="s">
        <v>130</v>
      </c>
      <c r="B1" s="26"/>
      <c r="C1" s="15" t="s">
        <v>131</v>
      </c>
    </row>
    <row r="2" spans="1:18" x14ac:dyDescent="0.35">
      <c r="A2" s="14" t="s">
        <v>264</v>
      </c>
      <c r="B2" s="14"/>
      <c r="C2" s="15" t="s">
        <v>119</v>
      </c>
    </row>
    <row r="4" spans="1:18" x14ac:dyDescent="0.35">
      <c r="A4" s="7" t="s">
        <v>6</v>
      </c>
      <c r="B4" s="8" t="s">
        <v>1</v>
      </c>
      <c r="C4" s="8" t="s">
        <v>36</v>
      </c>
      <c r="D4" s="8" t="s">
        <v>5</v>
      </c>
      <c r="E4" s="8" t="s">
        <v>7</v>
      </c>
      <c r="F4" s="8" t="s">
        <v>8</v>
      </c>
      <c r="G4" s="8" t="s">
        <v>116</v>
      </c>
      <c r="H4" s="8" t="s">
        <v>263</v>
      </c>
      <c r="I4" s="8" t="s">
        <v>127</v>
      </c>
      <c r="J4" s="8" t="s">
        <v>117</v>
      </c>
      <c r="K4" s="8" t="s">
        <v>138</v>
      </c>
      <c r="L4" s="8" t="s">
        <v>139</v>
      </c>
      <c r="M4" s="8" t="s">
        <v>140</v>
      </c>
      <c r="N4" s="8" t="s">
        <v>141</v>
      </c>
      <c r="O4" s="8" t="s">
        <v>142</v>
      </c>
      <c r="P4" s="8" t="s">
        <v>143</v>
      </c>
      <c r="Q4" s="8" t="s">
        <v>260</v>
      </c>
      <c r="R4" s="8" t="s">
        <v>4</v>
      </c>
    </row>
    <row r="5" spans="1:18" x14ac:dyDescent="0.35">
      <c r="A5" s="6"/>
      <c r="B5" s="6"/>
      <c r="C5" s="6" t="str">
        <f>_xlfn.XLOOKUP($B5,'SI - Resources'!$A$1:$J$1,'SI - Resources'!$A$2:$J$2, "")</f>
        <v/>
      </c>
      <c r="D5" s="6" t="str">
        <f>IF(_xlfn.XLOOKUP($C5,'SI - End Use'!$B$2:$B$82,'SI - End Use'!$C$2:$C$82, "")="", "", _xlfn.XLOOKUP($C5,'SI - End Use'!$B$2:$B$82,'SI - End Use'!$C$2:$C$82, ""))</f>
        <v/>
      </c>
      <c r="E5" s="13"/>
      <c r="F5" s="6" t="str" cm="1">
        <f t="array" ref="F5">IF($B5="Transportation",  'SI - Units'!$B$9:$B$9, _xlfn.XLOOKUP(_xlfn.XLOOKUP($C5,'SI - Units'!$B$24:$B$106,'SI - Units'!$C$24:$C$106, ""),'SI - Units'!$A$2:$A$8,'SI - Units'!$B$2:$B$8, ""))</f>
        <v/>
      </c>
      <c r="G5" s="27"/>
      <c r="H5" s="27"/>
      <c r="I5" s="31" t="str">
        <f>IF(Table1[[#This Row],[Type]]="Co-product", "No", "")</f>
        <v/>
      </c>
      <c r="J5" s="6"/>
      <c r="K5" s="6" t="str">
        <f>IF(Table1[[#This Row],[Category]]="Transportation", _xlfn.XLOOKUP(Table1[[#This Row],[Resource]], 'SI - Payload'!$A$10:$A$38,'SI - Payload'!$B$10:$B$38,"",0), "")</f>
        <v/>
      </c>
      <c r="L5" s="6" t="str">
        <f>IF(Table1[[#This Row],[Category]]="Transportation", "ton", "")</f>
        <v/>
      </c>
      <c r="M5" s="6"/>
      <c r="N5" s="6"/>
      <c r="O5" s="6" t="str">
        <f>IF(OR(Table1[[#This Row],[Type]]="Main Product", Table1[[#This Row],[Type]]="Co-Product"), Table1[[#This Row],[Resource]], "")</f>
        <v/>
      </c>
      <c r="P5" s="6" t="str">
        <f>IF(_xlfn.XLOOKUP($O5,'SI - End Use'!$B$2:$B$82,'SI - End Use'!$C$2:$C$82, "")="", "", _xlfn.XLOOKUP($C5,'SI - End Use'!$B$2:$B$82,'SI - End Use'!$C$2:$C$82, ""))</f>
        <v/>
      </c>
      <c r="Q5" s="6"/>
      <c r="R5" s="6"/>
    </row>
    <row r="6" spans="1:18" x14ac:dyDescent="0.35">
      <c r="A6" s="6"/>
      <c r="B6" s="6"/>
      <c r="C6" s="6" t="str">
        <f>_xlfn.XLOOKUP($B6,'SI - Resources'!$A$1:$J$1,'SI - Resources'!$A$2:$J$2, "")</f>
        <v/>
      </c>
      <c r="D6" s="6" t="str">
        <f>IF(_xlfn.XLOOKUP($C6,'SI - End Use'!$B$2:$B$82,'SI - End Use'!$C$2:$C$82, "")="", "", _xlfn.XLOOKUP($C6,'SI - End Use'!$B$2:$B$82,'SI - End Use'!$C$2:$C$82, ""))</f>
        <v/>
      </c>
      <c r="E6" s="13"/>
      <c r="F6" s="6" t="str" cm="1">
        <f t="array" ref="F6">IF($B6="Transportation",  'SI - Units'!$B$9:$B$9, _xlfn.XLOOKUP(_xlfn.XLOOKUP($C6,'SI - Units'!$B$24:$B$106,'SI - Units'!$C$24:$C$106, ""),'SI - Units'!$A$2:$A$8,'SI - Units'!$B$2:$B$8, ""))</f>
        <v/>
      </c>
      <c r="G6" s="27"/>
      <c r="H6" s="27"/>
      <c r="I6" s="31" t="str">
        <f>IF(Table1[[#This Row],[Type]]="Co-product", "No", "")</f>
        <v/>
      </c>
      <c r="J6" s="6"/>
      <c r="K6" s="6" t="str">
        <f>IF(Table1[[#This Row],[Category]]="Transportation", _xlfn.XLOOKUP(Table1[[#This Row],[Resource]], 'SI - Payload'!$A$10:$A$38,'SI - Payload'!$B$10:$B$38,"",0), "")</f>
        <v/>
      </c>
      <c r="L6" s="6" t="str">
        <f>IF(Table1[[#This Row],[Category]]="Transportation", "ton", "")</f>
        <v/>
      </c>
      <c r="M6" s="6"/>
      <c r="N6" s="6"/>
      <c r="O6" s="6" t="str">
        <f>IF(OR(Table1[[#This Row],[Type]]="Main Product", Table1[[#This Row],[Type]]="Co-Product"), Table1[[#This Row],[Resource]], "")</f>
        <v/>
      </c>
      <c r="P6" s="6" t="str">
        <f>IF(_xlfn.XLOOKUP($O6,'SI - End Use'!$B$2:$B$82,'SI - End Use'!$C$2:$C$82, "")="", "", _xlfn.XLOOKUP($C6,'SI - End Use'!$B$2:$B$82,'SI - End Use'!$C$2:$C$82, ""))</f>
        <v/>
      </c>
      <c r="Q6" s="6"/>
      <c r="R6" s="6"/>
    </row>
    <row r="7" spans="1:18" x14ac:dyDescent="0.35">
      <c r="A7" s="6"/>
      <c r="B7" s="6"/>
      <c r="C7" s="6" t="str">
        <f>_xlfn.XLOOKUP($B7,'SI - Resources'!$A$1:$J$1,'SI - Resources'!$A$2:$J$2, "")</f>
        <v/>
      </c>
      <c r="D7" s="6" t="str">
        <f>IF(_xlfn.XLOOKUP($C7,'SI - End Use'!$B$2:$B$82,'SI - End Use'!$C$2:$C$82, "")="", "", _xlfn.XLOOKUP($C7,'SI - End Use'!$B$2:$B$82,'SI - End Use'!$C$2:$C$82, ""))</f>
        <v/>
      </c>
      <c r="E7" s="13"/>
      <c r="F7" s="6" t="str" cm="1">
        <f t="array" ref="F7">IF($B7="Transportation",  'SI - Units'!$B$9:$B$9, _xlfn.XLOOKUP(_xlfn.XLOOKUP($C7,'SI - Units'!$B$24:$B$106,'SI - Units'!$C$24:$C$106, ""),'SI - Units'!$A$2:$A$8,'SI - Units'!$B$2:$B$8, ""))</f>
        <v/>
      </c>
      <c r="G7" s="27"/>
      <c r="H7" s="27"/>
      <c r="I7" s="31" t="str">
        <f>IF(Table1[[#This Row],[Type]]="Co-product", "No", "")</f>
        <v/>
      </c>
      <c r="J7" s="6"/>
      <c r="K7" s="6" t="str">
        <f>IF(Table1[[#This Row],[Category]]="Transportation", _xlfn.XLOOKUP(Table1[[#This Row],[Resource]], 'SI - Payload'!$A$10:$A$38,'SI - Payload'!$B$10:$B$38,"",0), "")</f>
        <v/>
      </c>
      <c r="L7" s="6" t="str">
        <f>IF(Table1[[#This Row],[Category]]="Transportation", "ton", "")</f>
        <v/>
      </c>
      <c r="M7" s="6"/>
      <c r="N7" s="6"/>
      <c r="O7" s="6" t="str">
        <f>IF(OR(Table1[[#This Row],[Type]]="Main Product", Table1[[#This Row],[Type]]="Co-Product"), Table1[[#This Row],[Resource]], "")</f>
        <v/>
      </c>
      <c r="P7" s="6" t="str">
        <f>IF(_xlfn.XLOOKUP($O7,'SI - End Use'!$B$2:$B$82,'SI - End Use'!$C$2:$C$82, "")="", "", _xlfn.XLOOKUP($C7,'SI - End Use'!$B$2:$B$82,'SI - End Use'!$C$2:$C$82, ""))</f>
        <v/>
      </c>
      <c r="Q7" s="6"/>
      <c r="R7" s="6"/>
    </row>
    <row r="8" spans="1:18" x14ac:dyDescent="0.35">
      <c r="A8" s="6"/>
      <c r="B8" s="6"/>
      <c r="C8" s="6" t="str">
        <f>_xlfn.XLOOKUP($B8,'SI - Resources'!$A$1:$J$1,'SI - Resources'!$A$2:$J$2, "")</f>
        <v/>
      </c>
      <c r="D8" s="6" t="str">
        <f>IF(_xlfn.XLOOKUP($C8,'SI - End Use'!$B$2:$B$82,'SI - End Use'!$C$2:$C$82, "")="", "", _xlfn.XLOOKUP($C8,'SI - End Use'!$B$2:$B$82,'SI - End Use'!$C$2:$C$82, ""))</f>
        <v/>
      </c>
      <c r="E8" s="13"/>
      <c r="F8" s="6" t="str" cm="1">
        <f t="array" ref="F8">IF($B8="Transportation",  'SI - Units'!$B$9:$B$9, _xlfn.XLOOKUP(_xlfn.XLOOKUP($C8,'SI - Units'!$B$24:$B$106,'SI - Units'!$C$24:$C$106, ""),'SI - Units'!$A$2:$A$8,'SI - Units'!$B$2:$B$8, ""))</f>
        <v/>
      </c>
      <c r="G8" s="27"/>
      <c r="H8" s="27"/>
      <c r="I8" s="31" t="str">
        <f>IF(Table1[[#This Row],[Type]]="Co-product", "No", "")</f>
        <v/>
      </c>
      <c r="J8" s="6"/>
      <c r="K8" s="6" t="str">
        <f>IF(Table1[[#This Row],[Category]]="Transportation", _xlfn.XLOOKUP(Table1[[#This Row],[Resource]], 'SI - Payload'!$A$10:$A$38,'SI - Payload'!$B$10:$B$38,"",0), "")</f>
        <v/>
      </c>
      <c r="L8" s="6" t="str">
        <f>IF(Table1[[#This Row],[Category]]="Transportation", "ton", "")</f>
        <v/>
      </c>
      <c r="M8" s="6"/>
      <c r="N8" s="6"/>
      <c r="O8" s="6" t="str">
        <f>IF(OR(Table1[[#This Row],[Type]]="Main Product", Table1[[#This Row],[Type]]="Co-Product"), Table1[[#This Row],[Resource]], "")</f>
        <v/>
      </c>
      <c r="P8" s="6" t="str">
        <f>IF(_xlfn.XLOOKUP($O8,'SI - End Use'!$B$2:$B$82,'SI - End Use'!$C$2:$C$82, "")="", "", _xlfn.XLOOKUP($C8,'SI - End Use'!$B$2:$B$82,'SI - End Use'!$C$2:$C$82, ""))</f>
        <v/>
      </c>
      <c r="Q8" s="6"/>
      <c r="R8" s="6"/>
    </row>
    <row r="9" spans="1:18" x14ac:dyDescent="0.35">
      <c r="A9" s="6"/>
      <c r="B9" s="6"/>
      <c r="C9" s="6" t="str">
        <f>_xlfn.XLOOKUP($B9,'SI - Resources'!$A$1:$J$1,'SI - Resources'!$A$2:$J$2, "")</f>
        <v/>
      </c>
      <c r="D9" s="6" t="str">
        <f>IF(_xlfn.XLOOKUP($C9,'SI - End Use'!$B$2:$B$82,'SI - End Use'!$C$2:$C$82, "")="", "", _xlfn.XLOOKUP($C9,'SI - End Use'!$B$2:$B$82,'SI - End Use'!$C$2:$C$82, ""))</f>
        <v/>
      </c>
      <c r="E9" s="13"/>
      <c r="F9" s="6" t="str" cm="1">
        <f t="array" ref="F9">IF($B9="Transportation",  'SI - Units'!$B$9:$B$9, _xlfn.XLOOKUP(_xlfn.XLOOKUP($C9,'SI - Units'!$B$24:$B$106,'SI - Units'!$C$24:$C$106, ""),'SI - Units'!$A$2:$A$8,'SI - Units'!$B$2:$B$8, ""))</f>
        <v/>
      </c>
      <c r="G9" s="27"/>
      <c r="H9" s="27"/>
      <c r="I9" s="31" t="str">
        <f>IF(Table1[[#This Row],[Type]]="Co-product", "No", "")</f>
        <v/>
      </c>
      <c r="J9" s="6"/>
      <c r="K9" s="6" t="str">
        <f>IF(Table1[[#This Row],[Category]]="Transportation", _xlfn.XLOOKUP(Table1[[#This Row],[Resource]], 'SI - Payload'!$A$10:$A$38,'SI - Payload'!$B$10:$B$38,"",0), "")</f>
        <v/>
      </c>
      <c r="L9" s="6" t="str">
        <f>IF(Table1[[#This Row],[Category]]="Transportation", "ton", "")</f>
        <v/>
      </c>
      <c r="M9" s="6"/>
      <c r="N9" s="6"/>
      <c r="O9" s="6" t="str">
        <f>IF(OR(Table1[[#This Row],[Type]]="Main Product", Table1[[#This Row],[Type]]="Co-Product"), Table1[[#This Row],[Resource]], "")</f>
        <v/>
      </c>
      <c r="P9" s="6" t="str">
        <f>IF(_xlfn.XLOOKUP($O9,'SI - End Use'!$B$2:$B$82,'SI - End Use'!$C$2:$C$82, "")="", "", _xlfn.XLOOKUP($C9,'SI - End Use'!$B$2:$B$82,'SI - End Use'!$C$2:$C$82, ""))</f>
        <v/>
      </c>
      <c r="Q9" s="6"/>
      <c r="R9" s="6"/>
    </row>
    <row r="10" spans="1:18" x14ac:dyDescent="0.35">
      <c r="A10" s="6"/>
      <c r="B10" s="6"/>
      <c r="C10" s="6" t="str">
        <f>_xlfn.XLOOKUP($B10,'SI - Resources'!$A$1:$J$1,'SI - Resources'!$A$2:$J$2, "")</f>
        <v/>
      </c>
      <c r="D10" s="6" t="str">
        <f>IF(_xlfn.XLOOKUP($C10,'SI - End Use'!$B$2:$B$82,'SI - End Use'!$C$2:$C$82, "")="", "", _xlfn.XLOOKUP($C10,'SI - End Use'!$B$2:$B$82,'SI - End Use'!$C$2:$C$82, ""))</f>
        <v/>
      </c>
      <c r="E10" s="13"/>
      <c r="F10" s="6" t="str" cm="1">
        <f t="array" ref="F10">IF($B10="Transportation",  'SI - Units'!$B$9:$B$9, _xlfn.XLOOKUP(_xlfn.XLOOKUP($C10,'SI - Units'!$B$24:$B$106,'SI - Units'!$C$24:$C$106, ""),'SI - Units'!$A$2:$A$8,'SI - Units'!$B$2:$B$8, ""))</f>
        <v/>
      </c>
      <c r="G10" s="27"/>
      <c r="H10" s="27"/>
      <c r="I10" s="31" t="str">
        <f>IF(Table1[[#This Row],[Type]]="Co-product", "No", "")</f>
        <v/>
      </c>
      <c r="J10" s="6"/>
      <c r="K10" s="6" t="str">
        <f>IF(Table1[[#This Row],[Category]]="Transportation", _xlfn.XLOOKUP(Table1[[#This Row],[Resource]], 'SI - Payload'!$A$10:$A$38,'SI - Payload'!$B$10:$B$38,"",0), "")</f>
        <v/>
      </c>
      <c r="L10" s="6" t="str">
        <f>IF(Table1[[#This Row],[Category]]="Transportation", "ton", "")</f>
        <v/>
      </c>
      <c r="M10" s="6"/>
      <c r="N10" s="6"/>
      <c r="O10" s="6" t="str">
        <f>IF(OR(Table1[[#This Row],[Type]]="Main Product", Table1[[#This Row],[Type]]="Co-Product"), Table1[[#This Row],[Resource]], "")</f>
        <v/>
      </c>
      <c r="P10" s="6" t="str">
        <f>IF(_xlfn.XLOOKUP($O10,'SI - End Use'!$B$2:$B$82,'SI - End Use'!$C$2:$C$82, "")="", "", _xlfn.XLOOKUP($C10,'SI - End Use'!$B$2:$B$82,'SI - End Use'!$C$2:$C$82, ""))</f>
        <v/>
      </c>
      <c r="Q10" s="6"/>
      <c r="R10" s="6"/>
    </row>
    <row r="11" spans="1:18" x14ac:dyDescent="0.35">
      <c r="A11" s="6"/>
      <c r="B11" s="6"/>
      <c r="C11" s="6" t="str">
        <f>_xlfn.XLOOKUP($B11,'SI - Resources'!$A$1:$J$1,'SI - Resources'!$A$2:$J$2, "")</f>
        <v/>
      </c>
      <c r="D11" s="6" t="str">
        <f>IF(_xlfn.XLOOKUP($C11,'SI - End Use'!$B$2:$B$82,'SI - End Use'!$C$2:$C$82, "")="", "", _xlfn.XLOOKUP($C11,'SI - End Use'!$B$2:$B$82,'SI - End Use'!$C$2:$C$82, ""))</f>
        <v/>
      </c>
      <c r="E11" s="13"/>
      <c r="F11" s="6" t="str" cm="1">
        <f t="array" ref="F11">IF($B11="Transportation",  'SI - Units'!$B$9:$B$9, _xlfn.XLOOKUP(_xlfn.XLOOKUP($C11,'SI - Units'!$B$24:$B$106,'SI - Units'!$C$24:$C$106, ""),'SI - Units'!$A$2:$A$8,'SI - Units'!$B$2:$B$8, ""))</f>
        <v/>
      </c>
      <c r="G11" s="27"/>
      <c r="H11" s="27"/>
      <c r="I11" s="31" t="str">
        <f>IF(Table1[[#This Row],[Type]]="Co-product", "No", "")</f>
        <v/>
      </c>
      <c r="J11" s="6"/>
      <c r="K11" s="6" t="str">
        <f>IF(Table1[[#This Row],[Category]]="Transportation", _xlfn.XLOOKUP(Table1[[#This Row],[Resource]], 'SI - Payload'!$A$10:$A$38,'SI - Payload'!$B$10:$B$38,"",0), "")</f>
        <v/>
      </c>
      <c r="L11" s="6" t="str">
        <f>IF(Table1[[#This Row],[Category]]="Transportation", "ton", "")</f>
        <v/>
      </c>
      <c r="M11" s="6"/>
      <c r="N11" s="6"/>
      <c r="O11" s="6" t="str">
        <f>IF(OR(Table1[[#This Row],[Type]]="Main Product", Table1[[#This Row],[Type]]="Co-Product"), Table1[[#This Row],[Resource]], "")</f>
        <v/>
      </c>
      <c r="P11" s="6" t="str">
        <f>IF(_xlfn.XLOOKUP($O11,'SI - End Use'!$B$2:$B$82,'SI - End Use'!$C$2:$C$82, "")="", "", _xlfn.XLOOKUP($C11,'SI - End Use'!$B$2:$B$82,'SI - End Use'!$C$2:$C$82, ""))</f>
        <v/>
      </c>
      <c r="Q11" s="6"/>
      <c r="R11" s="6"/>
    </row>
    <row r="12" spans="1:18" x14ac:dyDescent="0.35">
      <c r="A12" s="6"/>
      <c r="B12" s="6"/>
      <c r="C12" s="6" t="str">
        <f>_xlfn.XLOOKUP($B12,'SI - Resources'!$A$1:$J$1,'SI - Resources'!$A$2:$J$2, "")</f>
        <v/>
      </c>
      <c r="D12" s="6" t="str">
        <f>IF(_xlfn.XLOOKUP($C12,'SI - End Use'!$B$2:$B$82,'SI - End Use'!$C$2:$C$82, "")="", "", _xlfn.XLOOKUP($C12,'SI - End Use'!$B$2:$B$82,'SI - End Use'!$C$2:$C$82, ""))</f>
        <v/>
      </c>
      <c r="E12" s="13"/>
      <c r="F12" s="6" t="str" cm="1">
        <f t="array" ref="F12">IF($B12="Transportation",  'SI - Units'!$B$9:$B$9, _xlfn.XLOOKUP(_xlfn.XLOOKUP($C12,'SI - Units'!$B$24:$B$106,'SI - Units'!$C$24:$C$106, ""),'SI - Units'!$A$2:$A$8,'SI - Units'!$B$2:$B$8, ""))</f>
        <v/>
      </c>
      <c r="G12" s="27"/>
      <c r="H12" s="27"/>
      <c r="I12" s="31" t="str">
        <f>IF(Table1[[#This Row],[Type]]="Co-product", "No", "")</f>
        <v/>
      </c>
      <c r="J12" s="6"/>
      <c r="K12" s="6" t="str">
        <f>IF(Table1[[#This Row],[Category]]="Transportation", _xlfn.XLOOKUP(Table1[[#This Row],[Resource]], 'SI - Payload'!$A$10:$A$38,'SI - Payload'!$B$10:$B$38,"",0), "")</f>
        <v/>
      </c>
      <c r="L12" s="6" t="str">
        <f>IF(Table1[[#This Row],[Category]]="Transportation", "ton", "")</f>
        <v/>
      </c>
      <c r="M12" s="6"/>
      <c r="N12" s="6"/>
      <c r="O12" s="6" t="str">
        <f>IF(OR(Table1[[#This Row],[Type]]="Main Product", Table1[[#This Row],[Type]]="Co-Product"), Table1[[#This Row],[Resource]], "")</f>
        <v/>
      </c>
      <c r="P12" s="6" t="str">
        <f>IF(_xlfn.XLOOKUP($O12,'SI - End Use'!$B$2:$B$82,'SI - End Use'!$C$2:$C$82, "")="", "", _xlfn.XLOOKUP($C12,'SI - End Use'!$B$2:$B$82,'SI - End Use'!$C$2:$C$82, ""))</f>
        <v/>
      </c>
      <c r="Q12" s="6"/>
      <c r="R12" s="6"/>
    </row>
    <row r="13" spans="1:18" x14ac:dyDescent="0.35">
      <c r="A13" s="6"/>
      <c r="B13" s="6"/>
      <c r="C13" s="6" t="str">
        <f>_xlfn.XLOOKUP($B13,'SI - Resources'!$A$1:$J$1,'SI - Resources'!$A$2:$J$2, "")</f>
        <v/>
      </c>
      <c r="D13" s="6" t="str">
        <f>IF(_xlfn.XLOOKUP($C13,'SI - End Use'!$B$2:$B$82,'SI - End Use'!$C$2:$C$82, "")="", "", _xlfn.XLOOKUP($C13,'SI - End Use'!$B$2:$B$82,'SI - End Use'!$C$2:$C$82, ""))</f>
        <v/>
      </c>
      <c r="E13" s="13"/>
      <c r="F13" s="6" t="str" cm="1">
        <f t="array" ref="F13">IF($B13="Transportation",  'SI - Units'!$B$9:$B$9, _xlfn.XLOOKUP(_xlfn.XLOOKUP($C13,'SI - Units'!$B$24:$B$106,'SI - Units'!$C$24:$C$106, ""),'SI - Units'!$A$2:$A$8,'SI - Units'!$B$2:$B$8, ""))</f>
        <v/>
      </c>
      <c r="G13" s="27"/>
      <c r="H13" s="27"/>
      <c r="I13" s="31" t="str">
        <f>IF(Table1[[#This Row],[Type]]="Co-product", "No", "")</f>
        <v/>
      </c>
      <c r="J13" s="6"/>
      <c r="K13" s="6" t="str">
        <f>IF(Table1[[#This Row],[Category]]="Transportation", _xlfn.XLOOKUP(Table1[[#This Row],[Resource]], 'SI - Payload'!$A$10:$A$38,'SI - Payload'!$B$10:$B$38,"",0), "")</f>
        <v/>
      </c>
      <c r="L13" s="6" t="str">
        <f>IF(Table1[[#This Row],[Category]]="Transportation", "ton", "")</f>
        <v/>
      </c>
      <c r="M13" s="6"/>
      <c r="N13" s="6"/>
      <c r="O13" s="6" t="str">
        <f>IF(OR(Table1[[#This Row],[Type]]="Main Product", Table1[[#This Row],[Type]]="Co-Product"), Table1[[#This Row],[Resource]], "")</f>
        <v/>
      </c>
      <c r="P13" s="6" t="str">
        <f>IF(_xlfn.XLOOKUP($O13,'SI - End Use'!$B$2:$B$82,'SI - End Use'!$C$2:$C$82, "")="", "", _xlfn.XLOOKUP($C13,'SI - End Use'!$B$2:$B$82,'SI - End Use'!$C$2:$C$82, ""))</f>
        <v/>
      </c>
      <c r="Q13" s="6"/>
      <c r="R13" s="6"/>
    </row>
    <row r="14" spans="1:18" x14ac:dyDescent="0.35">
      <c r="A14" s="6"/>
      <c r="B14" s="6"/>
      <c r="C14" s="6" t="str">
        <f>_xlfn.XLOOKUP($B14,'SI - Resources'!$A$1:$J$1,'SI - Resources'!$A$2:$J$2, "")</f>
        <v/>
      </c>
      <c r="D14" s="6" t="str">
        <f>IF(_xlfn.XLOOKUP($C14,'SI - End Use'!$B$2:$B$82,'SI - End Use'!$C$2:$C$82, "")="", "", _xlfn.XLOOKUP($C14,'SI - End Use'!$B$2:$B$82,'SI - End Use'!$C$2:$C$82, ""))</f>
        <v/>
      </c>
      <c r="E14" s="13"/>
      <c r="F14" s="6" t="str" cm="1">
        <f t="array" ref="F14">IF($B14="Transportation",  'SI - Units'!$B$9:$B$9, _xlfn.XLOOKUP(_xlfn.XLOOKUP($C14,'SI - Units'!$B$24:$B$106,'SI - Units'!$C$24:$C$106, ""),'SI - Units'!$A$2:$A$8,'SI - Units'!$B$2:$B$8, ""))</f>
        <v/>
      </c>
      <c r="G14" s="27"/>
      <c r="H14" s="27"/>
      <c r="I14" s="31" t="str">
        <f>IF(Table1[[#This Row],[Type]]="Co-product", "No", "")</f>
        <v/>
      </c>
      <c r="J14" s="6"/>
      <c r="K14" s="6" t="str">
        <f>IF(Table1[[#This Row],[Category]]="Transportation", _xlfn.XLOOKUP(Table1[[#This Row],[Resource]], 'SI - Payload'!$A$10:$A$38,'SI - Payload'!$B$10:$B$38,"",0), "")</f>
        <v/>
      </c>
      <c r="L14" s="6" t="str">
        <f>IF(Table1[[#This Row],[Category]]="Transportation", "ton", "")</f>
        <v/>
      </c>
      <c r="M14" s="6"/>
      <c r="N14" s="6"/>
      <c r="O14" s="6" t="str">
        <f>IF(OR(Table1[[#This Row],[Type]]="Main Product", Table1[[#This Row],[Type]]="Co-Product"), Table1[[#This Row],[Resource]], "")</f>
        <v/>
      </c>
      <c r="P14" s="6" t="str">
        <f>IF(_xlfn.XLOOKUP($O14,'SI - End Use'!$B$2:$B$82,'SI - End Use'!$C$2:$C$82, "")="", "", _xlfn.XLOOKUP($C14,'SI - End Use'!$B$2:$B$82,'SI - End Use'!$C$2:$C$82, ""))</f>
        <v/>
      </c>
      <c r="Q14" s="6"/>
      <c r="R14" s="6"/>
    </row>
    <row r="15" spans="1:18" x14ac:dyDescent="0.35">
      <c r="A15" s="6"/>
      <c r="B15" s="6"/>
      <c r="C15" s="6" t="str">
        <f>_xlfn.XLOOKUP($B15,'SI - Resources'!$A$1:$J$1,'SI - Resources'!$A$2:$J$2, "")</f>
        <v/>
      </c>
      <c r="D15" s="6" t="str">
        <f>IF(_xlfn.XLOOKUP($C15,'SI - End Use'!$B$2:$B$82,'SI - End Use'!$C$2:$C$82, "")="", "", _xlfn.XLOOKUP($C15,'SI - End Use'!$B$2:$B$82,'SI - End Use'!$C$2:$C$82, ""))</f>
        <v/>
      </c>
      <c r="E15" s="13"/>
      <c r="F15" s="6" t="str" cm="1">
        <f t="array" ref="F15">IF($B15="Transportation",  'SI - Units'!$B$9:$B$9, _xlfn.XLOOKUP(_xlfn.XLOOKUP($C15,'SI - Units'!$B$24:$B$106,'SI - Units'!$C$24:$C$106, ""),'SI - Units'!$A$2:$A$8,'SI - Units'!$B$2:$B$8, ""))</f>
        <v/>
      </c>
      <c r="G15" s="27"/>
      <c r="H15" s="27"/>
      <c r="I15" s="31" t="str">
        <f>IF(Table1[[#This Row],[Type]]="Co-product", "No", "")</f>
        <v/>
      </c>
      <c r="J15" s="6"/>
      <c r="K15" s="6" t="str">
        <f>IF(Table1[[#This Row],[Category]]="Transportation", _xlfn.XLOOKUP(Table1[[#This Row],[Resource]], 'SI - Payload'!$A$10:$A$38,'SI - Payload'!$B$10:$B$38,"",0), "")</f>
        <v/>
      </c>
      <c r="L15" s="6" t="str">
        <f>IF(Table1[[#This Row],[Category]]="Transportation", "ton", "")</f>
        <v/>
      </c>
      <c r="M15" s="6"/>
      <c r="N15" s="6"/>
      <c r="O15" s="6" t="str">
        <f>IF(OR(Table1[[#This Row],[Type]]="Main Product", Table1[[#This Row],[Type]]="Co-Product"), Table1[[#This Row],[Resource]], "")</f>
        <v/>
      </c>
      <c r="P15" s="6" t="str">
        <f>IF(_xlfn.XLOOKUP($O15,'SI - End Use'!$B$2:$B$82,'SI - End Use'!$C$2:$C$82, "")="", "", _xlfn.XLOOKUP($C15,'SI - End Use'!$B$2:$B$82,'SI - End Use'!$C$2:$C$82, ""))</f>
        <v/>
      </c>
      <c r="Q15" s="6"/>
      <c r="R15" s="6"/>
    </row>
    <row r="16" spans="1:18" x14ac:dyDescent="0.35">
      <c r="A16" s="6"/>
      <c r="B16" s="6"/>
      <c r="C16" s="6" t="str">
        <f>_xlfn.XLOOKUP($B16,'SI - Resources'!$A$1:$J$1,'SI - Resources'!$A$2:$J$2, "")</f>
        <v/>
      </c>
      <c r="D16" s="6" t="str">
        <f>IF(_xlfn.XLOOKUP($C16,'SI - End Use'!$B$2:$B$82,'SI - End Use'!$C$2:$C$82, "")="", "", _xlfn.XLOOKUP($C16,'SI - End Use'!$B$2:$B$82,'SI - End Use'!$C$2:$C$82, ""))</f>
        <v/>
      </c>
      <c r="E16" s="13"/>
      <c r="F16" s="6" t="str" cm="1">
        <f t="array" ref="F16">IF($B16="Transportation",  'SI - Units'!$B$9:$B$9, _xlfn.XLOOKUP(_xlfn.XLOOKUP($C16,'SI - Units'!$B$24:$B$106,'SI - Units'!$C$24:$C$106, ""),'SI - Units'!$A$2:$A$8,'SI - Units'!$B$2:$B$8, ""))</f>
        <v/>
      </c>
      <c r="G16" s="27"/>
      <c r="H16" s="27"/>
      <c r="I16" s="31" t="str">
        <f>IF(Table1[[#This Row],[Type]]="Co-product", "No", "")</f>
        <v/>
      </c>
      <c r="J16" s="6"/>
      <c r="K16" s="6" t="str">
        <f>IF(Table1[[#This Row],[Category]]="Transportation", _xlfn.XLOOKUP(Table1[[#This Row],[Resource]], 'SI - Payload'!$A$10:$A$38,'SI - Payload'!$B$10:$B$38,"",0), "")</f>
        <v/>
      </c>
      <c r="L16" s="6" t="str">
        <f>IF(Table1[[#This Row],[Category]]="Transportation", "ton", "")</f>
        <v/>
      </c>
      <c r="M16" s="6"/>
      <c r="N16" s="6"/>
      <c r="O16" s="6" t="str">
        <f>IF(OR(Table1[[#This Row],[Type]]="Main Product", Table1[[#This Row],[Type]]="Co-Product"), Table1[[#This Row],[Resource]], "")</f>
        <v/>
      </c>
      <c r="P16" s="6" t="str">
        <f>IF(_xlfn.XLOOKUP($O16,'SI - End Use'!$B$2:$B$82,'SI - End Use'!$C$2:$C$82, "")="", "", _xlfn.XLOOKUP($C16,'SI - End Use'!$B$2:$B$82,'SI - End Use'!$C$2:$C$82, ""))</f>
        <v/>
      </c>
      <c r="Q16" s="6"/>
      <c r="R16" s="6"/>
    </row>
    <row r="17" spans="1:18" x14ac:dyDescent="0.35">
      <c r="A17" s="6"/>
      <c r="B17" s="6"/>
      <c r="C17" s="6" t="str">
        <f>_xlfn.XLOOKUP($B17,'SI - Resources'!$A$1:$J$1,'SI - Resources'!$A$2:$J$2, "")</f>
        <v/>
      </c>
      <c r="D17" s="6" t="str">
        <f>IF(_xlfn.XLOOKUP($C17,'SI - End Use'!$B$2:$B$82,'SI - End Use'!$C$2:$C$82, "")="", "", _xlfn.XLOOKUP($C17,'SI - End Use'!$B$2:$B$82,'SI - End Use'!$C$2:$C$82, ""))</f>
        <v/>
      </c>
      <c r="E17" s="13"/>
      <c r="F17" s="6" t="str" cm="1">
        <f t="array" ref="F17">IF($B17="Transportation",  'SI - Units'!$B$9:$B$9, _xlfn.XLOOKUP(_xlfn.XLOOKUP($C17,'SI - Units'!$B$24:$B$106,'SI - Units'!$C$24:$C$106, ""),'SI - Units'!$A$2:$A$8,'SI - Units'!$B$2:$B$8, ""))</f>
        <v/>
      </c>
      <c r="G17" s="27"/>
      <c r="H17" s="27"/>
      <c r="I17" s="31" t="str">
        <f>IF(Table1[[#This Row],[Type]]="Co-product", "No", "")</f>
        <v/>
      </c>
      <c r="J17" s="6"/>
      <c r="K17" s="6" t="str">
        <f>IF(Table1[[#This Row],[Category]]="Transportation", _xlfn.XLOOKUP(Table1[[#This Row],[Resource]], 'SI - Payload'!$A$10:$A$38,'SI - Payload'!$B$10:$B$38,"",0), "")</f>
        <v/>
      </c>
      <c r="L17" s="6" t="str">
        <f>IF(Table1[[#This Row],[Category]]="Transportation", "ton", "")</f>
        <v/>
      </c>
      <c r="M17" s="6"/>
      <c r="N17" s="6"/>
      <c r="O17" s="6" t="str">
        <f>IF(OR(Table1[[#This Row],[Type]]="Main Product", Table1[[#This Row],[Type]]="Co-Product"), Table1[[#This Row],[Resource]], "")</f>
        <v/>
      </c>
      <c r="P17" s="6" t="str">
        <f>IF(_xlfn.XLOOKUP($O17,'SI - End Use'!$B$2:$B$82,'SI - End Use'!$C$2:$C$82, "")="", "", _xlfn.XLOOKUP($C17,'SI - End Use'!$B$2:$B$82,'SI - End Use'!$C$2:$C$82, ""))</f>
        <v/>
      </c>
      <c r="Q17" s="6"/>
      <c r="R17" s="6"/>
    </row>
    <row r="18" spans="1:18" x14ac:dyDescent="0.35">
      <c r="A18" s="6"/>
      <c r="B18" s="6"/>
      <c r="C18" s="6" t="str">
        <f>_xlfn.XLOOKUP($B18,'SI - Resources'!$A$1:$J$1,'SI - Resources'!$A$2:$J$2, "")</f>
        <v/>
      </c>
      <c r="D18" s="6" t="str">
        <f>IF(_xlfn.XLOOKUP($C18,'SI - End Use'!$B$2:$B$82,'SI - End Use'!$C$2:$C$82, "")="", "", _xlfn.XLOOKUP($C18,'SI - End Use'!$B$2:$B$82,'SI - End Use'!$C$2:$C$82, ""))</f>
        <v/>
      </c>
      <c r="E18" s="13"/>
      <c r="F18" s="6" t="str" cm="1">
        <f t="array" ref="F18">IF($B18="Transportation",  'SI - Units'!$B$9:$B$9, _xlfn.XLOOKUP(_xlfn.XLOOKUP($C18,'SI - Units'!$B$24:$B$106,'SI - Units'!$C$24:$C$106, ""),'SI - Units'!$A$2:$A$8,'SI - Units'!$B$2:$B$8, ""))</f>
        <v/>
      </c>
      <c r="G18" s="27"/>
      <c r="H18" s="27"/>
      <c r="I18" s="31" t="str">
        <f>IF(Table1[[#This Row],[Type]]="Co-product", "No", "")</f>
        <v/>
      </c>
      <c r="J18" s="6"/>
      <c r="K18" s="6" t="str">
        <f>IF(Table1[[#This Row],[Category]]="Transportation", _xlfn.XLOOKUP(Table1[[#This Row],[Resource]], 'SI - Payload'!$A$10:$A$38,'SI - Payload'!$B$10:$B$38,"",0), "")</f>
        <v/>
      </c>
      <c r="L18" s="6" t="str">
        <f>IF(Table1[[#This Row],[Category]]="Transportation", "ton", "")</f>
        <v/>
      </c>
      <c r="M18" s="6"/>
      <c r="N18" s="6"/>
      <c r="O18" s="6" t="str">
        <f>IF(OR(Table1[[#This Row],[Type]]="Main Product", Table1[[#This Row],[Type]]="Co-Product"), Table1[[#This Row],[Resource]], "")</f>
        <v/>
      </c>
      <c r="P18" s="6" t="str">
        <f>IF(_xlfn.XLOOKUP($O18,'SI - End Use'!$B$2:$B$82,'SI - End Use'!$C$2:$C$82, "")="", "", _xlfn.XLOOKUP($C18,'SI - End Use'!$B$2:$B$82,'SI - End Use'!$C$2:$C$82, ""))</f>
        <v/>
      </c>
      <c r="Q18" s="6"/>
      <c r="R18" s="6"/>
    </row>
    <row r="19" spans="1:18" x14ac:dyDescent="0.35">
      <c r="A19" s="6"/>
      <c r="B19" s="6"/>
      <c r="C19" s="6" t="str">
        <f>_xlfn.XLOOKUP($B19,'SI - Resources'!$A$1:$J$1,'SI - Resources'!$A$2:$J$2, "")</f>
        <v/>
      </c>
      <c r="D19" s="6" t="str">
        <f>IF(_xlfn.XLOOKUP($C19,'SI - End Use'!$B$2:$B$82,'SI - End Use'!$C$2:$C$82, "")="", "", _xlfn.XLOOKUP($C19,'SI - End Use'!$B$2:$B$82,'SI - End Use'!$C$2:$C$82, ""))</f>
        <v/>
      </c>
      <c r="E19" s="13"/>
      <c r="F19" s="6" t="str" cm="1">
        <f t="array" ref="F19">IF($B19="Transportation",  'SI - Units'!$B$9:$B$9, _xlfn.XLOOKUP(_xlfn.XLOOKUP($C19,'SI - Units'!$B$24:$B$106,'SI - Units'!$C$24:$C$106, ""),'SI - Units'!$A$2:$A$8,'SI - Units'!$B$2:$B$8, ""))</f>
        <v/>
      </c>
      <c r="G19" s="27"/>
      <c r="H19" s="27"/>
      <c r="I19" s="31" t="str">
        <f>IF(Table1[[#This Row],[Type]]="Co-product", "No", "")</f>
        <v/>
      </c>
      <c r="J19" s="6"/>
      <c r="K19" s="6" t="str">
        <f>IF(Table1[[#This Row],[Category]]="Transportation", _xlfn.XLOOKUP(Table1[[#This Row],[Resource]], 'SI - Payload'!$A$10:$A$38,'SI - Payload'!$B$10:$B$38,"",0), "")</f>
        <v/>
      </c>
      <c r="L19" s="6" t="str">
        <f>IF(Table1[[#This Row],[Category]]="Transportation", "ton", "")</f>
        <v/>
      </c>
      <c r="M19" s="6"/>
      <c r="N19" s="6"/>
      <c r="O19" s="6" t="str">
        <f>IF(OR(Table1[[#This Row],[Type]]="Main Product", Table1[[#This Row],[Type]]="Co-Product"), Table1[[#This Row],[Resource]], "")</f>
        <v/>
      </c>
      <c r="P19" s="6" t="str">
        <f>IF(_xlfn.XLOOKUP($O19,'SI - End Use'!$B$2:$B$82,'SI - End Use'!$C$2:$C$82, "")="", "", _xlfn.XLOOKUP($C19,'SI - End Use'!$B$2:$B$82,'SI - End Use'!$C$2:$C$82, ""))</f>
        <v/>
      </c>
      <c r="Q19" s="6"/>
      <c r="R19" s="6"/>
    </row>
    <row r="20" spans="1:18" x14ac:dyDescent="0.35">
      <c r="A20" s="6"/>
      <c r="B20" s="6"/>
      <c r="C20" s="6" t="str">
        <f>_xlfn.XLOOKUP($B20,'SI - Resources'!$A$1:$J$1,'SI - Resources'!$A$2:$J$2, "")</f>
        <v/>
      </c>
      <c r="D20" s="6" t="str">
        <f>IF(_xlfn.XLOOKUP($C20,'SI - End Use'!$B$2:$B$82,'SI - End Use'!$C$2:$C$82, "")="", "", _xlfn.XLOOKUP($C20,'SI - End Use'!$B$2:$B$82,'SI - End Use'!$C$2:$C$82, ""))</f>
        <v/>
      </c>
      <c r="E20" s="13"/>
      <c r="F20" s="6" t="str" cm="1">
        <f t="array" ref="F20">IF($B20="Transportation",  'SI - Units'!$B$9:$B$9, _xlfn.XLOOKUP(_xlfn.XLOOKUP($C20,'SI - Units'!$B$24:$B$106,'SI - Units'!$C$24:$C$106, ""),'SI - Units'!$A$2:$A$8,'SI - Units'!$B$2:$B$8, ""))</f>
        <v/>
      </c>
      <c r="G20" s="27"/>
      <c r="H20" s="27"/>
      <c r="I20" s="31" t="str">
        <f>IF(Table1[[#This Row],[Type]]="Co-product", "No", "")</f>
        <v/>
      </c>
      <c r="J20" s="6"/>
      <c r="K20" s="6" t="str">
        <f>IF(Table1[[#This Row],[Category]]="Transportation", _xlfn.XLOOKUP(Table1[[#This Row],[Resource]], 'SI - Payload'!$A$10:$A$38,'SI - Payload'!$B$10:$B$38,"",0), "")</f>
        <v/>
      </c>
      <c r="L20" s="6" t="str">
        <f>IF(Table1[[#This Row],[Category]]="Transportation", "ton", "")</f>
        <v/>
      </c>
      <c r="M20" s="6"/>
      <c r="N20" s="6"/>
      <c r="O20" s="6" t="str">
        <f>IF(OR(Table1[[#This Row],[Type]]="Main Product", Table1[[#This Row],[Type]]="Co-Product"), Table1[[#This Row],[Resource]], "")</f>
        <v/>
      </c>
      <c r="P20" s="6" t="str">
        <f>IF(_xlfn.XLOOKUP($O20,'SI - End Use'!$B$2:$B$82,'SI - End Use'!$C$2:$C$82, "")="", "", _xlfn.XLOOKUP($C20,'SI - End Use'!$B$2:$B$82,'SI - End Use'!$C$2:$C$82, ""))</f>
        <v/>
      </c>
      <c r="Q20" s="6"/>
      <c r="R20" s="6"/>
    </row>
    <row r="21" spans="1:18" x14ac:dyDescent="0.35">
      <c r="A21" s="6"/>
      <c r="B21" s="6"/>
      <c r="C21" s="6" t="str">
        <f>_xlfn.XLOOKUP($B21,'SI - Resources'!$A$1:$J$1,'SI - Resources'!$A$2:$J$2, "")</f>
        <v/>
      </c>
      <c r="D21" s="6" t="str">
        <f>IF(_xlfn.XLOOKUP($C21,'SI - End Use'!$B$2:$B$82,'SI - End Use'!$C$2:$C$82, "")="", "", _xlfn.XLOOKUP($C21,'SI - End Use'!$B$2:$B$82,'SI - End Use'!$C$2:$C$82, ""))</f>
        <v/>
      </c>
      <c r="E21" s="13"/>
      <c r="F21" s="6" t="str" cm="1">
        <f t="array" ref="F21">IF($B21="Transportation",  'SI - Units'!$B$9:$B$9, _xlfn.XLOOKUP(_xlfn.XLOOKUP($C21,'SI - Units'!$B$24:$B$106,'SI - Units'!$C$24:$C$106, ""),'SI - Units'!$A$2:$A$8,'SI - Units'!$B$2:$B$8, ""))</f>
        <v/>
      </c>
      <c r="G21" s="27"/>
      <c r="H21" s="27"/>
      <c r="I21" s="31" t="str">
        <f>IF(Table1[[#This Row],[Type]]="Co-product", "No", "")</f>
        <v/>
      </c>
      <c r="J21" s="6"/>
      <c r="K21" s="6" t="str">
        <f>IF(Table1[[#This Row],[Category]]="Transportation", _xlfn.XLOOKUP(Table1[[#This Row],[Resource]], 'SI - Payload'!$A$10:$A$38,'SI - Payload'!$B$10:$B$38,"",0), "")</f>
        <v/>
      </c>
      <c r="L21" s="6" t="str">
        <f>IF(Table1[[#This Row],[Category]]="Transportation", "ton", "")</f>
        <v/>
      </c>
      <c r="M21" s="6"/>
      <c r="N21" s="6"/>
      <c r="O21" s="6" t="str">
        <f>IF(OR(Table1[[#This Row],[Type]]="Main Product", Table1[[#This Row],[Type]]="Co-Product"), Table1[[#This Row],[Resource]], "")</f>
        <v/>
      </c>
      <c r="P21" s="6" t="str">
        <f>IF(_xlfn.XLOOKUP($O21,'SI - End Use'!$B$2:$B$82,'SI - End Use'!$C$2:$C$82, "")="", "", _xlfn.XLOOKUP($C21,'SI - End Use'!$B$2:$B$82,'SI - End Use'!$C$2:$C$82, ""))</f>
        <v/>
      </c>
      <c r="Q21" s="6"/>
      <c r="R21" s="6"/>
    </row>
    <row r="22" spans="1:18" x14ac:dyDescent="0.35">
      <c r="A22" s="6"/>
      <c r="B22" s="6"/>
      <c r="C22" s="6" t="str">
        <f>_xlfn.XLOOKUP($B22,'SI - Resources'!$A$1:$J$1,'SI - Resources'!$A$2:$J$2, "")</f>
        <v/>
      </c>
      <c r="D22" s="6" t="str">
        <f>IF(_xlfn.XLOOKUP($C22,'SI - End Use'!$B$2:$B$82,'SI - End Use'!$C$2:$C$82, "")="", "", _xlfn.XLOOKUP($C22,'SI - End Use'!$B$2:$B$82,'SI - End Use'!$C$2:$C$82, ""))</f>
        <v/>
      </c>
      <c r="E22" s="13"/>
      <c r="F22" s="6" t="str" cm="1">
        <f t="array" ref="F22">IF($B22="Transportation",  'SI - Units'!$B$9:$B$9, _xlfn.XLOOKUP(_xlfn.XLOOKUP($C22,'SI - Units'!$B$24:$B$106,'SI - Units'!$C$24:$C$106, ""),'SI - Units'!$A$2:$A$8,'SI - Units'!$B$2:$B$8, ""))</f>
        <v/>
      </c>
      <c r="G22" s="27"/>
      <c r="H22" s="27"/>
      <c r="I22" s="31" t="str">
        <f>IF(Table1[[#This Row],[Type]]="Co-product", "No", "")</f>
        <v/>
      </c>
      <c r="J22" s="6"/>
      <c r="K22" s="6" t="str">
        <f>IF(Table1[[#This Row],[Category]]="Transportation", _xlfn.XLOOKUP(Table1[[#This Row],[Resource]], 'SI - Payload'!$A$10:$A$38,'SI - Payload'!$B$10:$B$38,"",0), "")</f>
        <v/>
      </c>
      <c r="L22" s="6" t="str">
        <f>IF(Table1[[#This Row],[Category]]="Transportation", "ton", "")</f>
        <v/>
      </c>
      <c r="M22" s="6"/>
      <c r="N22" s="6"/>
      <c r="O22" s="6" t="str">
        <f>IF(OR(Table1[[#This Row],[Type]]="Main Product", Table1[[#This Row],[Type]]="Co-Product"), Table1[[#This Row],[Resource]], "")</f>
        <v/>
      </c>
      <c r="P22" s="6" t="str">
        <f>IF(_xlfn.XLOOKUP($O22,'SI - End Use'!$B$2:$B$82,'SI - End Use'!$C$2:$C$82, "")="", "", _xlfn.XLOOKUP($C22,'SI - End Use'!$B$2:$B$82,'SI - End Use'!$C$2:$C$82, ""))</f>
        <v/>
      </c>
      <c r="Q22" s="6"/>
      <c r="R22" s="6"/>
    </row>
    <row r="23" spans="1:18" x14ac:dyDescent="0.35">
      <c r="A23" s="6"/>
      <c r="B23" s="6"/>
      <c r="C23" s="6" t="str">
        <f>_xlfn.XLOOKUP($B23,'SI - Resources'!$A$1:$J$1,'SI - Resources'!$A$2:$J$2, "")</f>
        <v/>
      </c>
      <c r="D23" s="6" t="str">
        <f>IF(_xlfn.XLOOKUP($C23,'SI - End Use'!$B$2:$B$82,'SI - End Use'!$C$2:$C$82, "")="", "", _xlfn.XLOOKUP($C23,'SI - End Use'!$B$2:$B$82,'SI - End Use'!$C$2:$C$82, ""))</f>
        <v/>
      </c>
      <c r="E23" s="13"/>
      <c r="F23" s="6" t="str" cm="1">
        <f t="array" ref="F23">IF($B23="Transportation",  'SI - Units'!$B$9:$B$9, _xlfn.XLOOKUP(_xlfn.XLOOKUP($C23,'SI - Units'!$B$24:$B$106,'SI - Units'!$C$24:$C$106, ""),'SI - Units'!$A$2:$A$8,'SI - Units'!$B$2:$B$8, ""))</f>
        <v/>
      </c>
      <c r="G23" s="27"/>
      <c r="H23" s="27"/>
      <c r="I23" s="31" t="str">
        <f>IF(Table1[[#This Row],[Type]]="Co-product", "No", "")</f>
        <v/>
      </c>
      <c r="J23" s="6"/>
      <c r="K23" s="6" t="str">
        <f>IF(Table1[[#This Row],[Category]]="Transportation", _xlfn.XLOOKUP(Table1[[#This Row],[Resource]], 'SI - Payload'!$A$10:$A$38,'SI - Payload'!$B$10:$B$38,"",0), "")</f>
        <v/>
      </c>
      <c r="L23" s="6" t="str">
        <f>IF(Table1[[#This Row],[Category]]="Transportation", "ton", "")</f>
        <v/>
      </c>
      <c r="M23" s="6"/>
      <c r="N23" s="6"/>
      <c r="O23" s="6" t="str">
        <f>IF(OR(Table1[[#This Row],[Type]]="Main Product", Table1[[#This Row],[Type]]="Co-Product"), Table1[[#This Row],[Resource]], "")</f>
        <v/>
      </c>
      <c r="P23" s="6" t="str">
        <f>IF(_xlfn.XLOOKUP($O23,'SI - End Use'!$B$2:$B$82,'SI - End Use'!$C$2:$C$82, "")="", "", _xlfn.XLOOKUP($C23,'SI - End Use'!$B$2:$B$82,'SI - End Use'!$C$2:$C$82, ""))</f>
        <v/>
      </c>
      <c r="Q23" s="6"/>
      <c r="R23" s="6"/>
    </row>
    <row r="24" spans="1:18" x14ac:dyDescent="0.35">
      <c r="A24" s="6"/>
      <c r="B24" s="6"/>
      <c r="C24" s="6" t="str">
        <f>_xlfn.XLOOKUP($B24,'SI - Resources'!$A$1:$J$1,'SI - Resources'!$A$2:$J$2, "")</f>
        <v/>
      </c>
      <c r="D24" s="6" t="str">
        <f>IF(_xlfn.XLOOKUP($C24,'SI - End Use'!$B$2:$B$82,'SI - End Use'!$C$2:$C$82, "")="", "", _xlfn.XLOOKUP($C24,'SI - End Use'!$B$2:$B$82,'SI - End Use'!$C$2:$C$82, ""))</f>
        <v/>
      </c>
      <c r="E24" s="13"/>
      <c r="F24" s="6" t="str" cm="1">
        <f t="array" ref="F24">IF($B24="Transportation",  'SI - Units'!$B$9:$B$9, _xlfn.XLOOKUP(_xlfn.XLOOKUP($C24,'SI - Units'!$B$24:$B$106,'SI - Units'!$C$24:$C$106, ""),'SI - Units'!$A$2:$A$8,'SI - Units'!$B$2:$B$8, ""))</f>
        <v/>
      </c>
      <c r="G24" s="27"/>
      <c r="H24" s="27"/>
      <c r="I24" s="31" t="str">
        <f>IF(Table1[[#This Row],[Type]]="Co-product", "No", "")</f>
        <v/>
      </c>
      <c r="J24" s="6"/>
      <c r="K24" s="6" t="str">
        <f>IF(Table1[[#This Row],[Category]]="Transportation", _xlfn.XLOOKUP(Table1[[#This Row],[Resource]], 'SI - Payload'!$A$10:$A$38,'SI - Payload'!$B$10:$B$38,"",0), "")</f>
        <v/>
      </c>
      <c r="L24" s="6" t="str">
        <f>IF(Table1[[#This Row],[Category]]="Transportation", "ton", "")</f>
        <v/>
      </c>
      <c r="M24" s="6"/>
      <c r="N24" s="6"/>
      <c r="O24" s="6" t="str">
        <f>IF(OR(Table1[[#This Row],[Type]]="Main Product", Table1[[#This Row],[Type]]="Co-Product"), Table1[[#This Row],[Resource]], "")</f>
        <v/>
      </c>
      <c r="P24" s="6" t="str">
        <f>IF(_xlfn.XLOOKUP($O24,'SI - End Use'!$B$2:$B$82,'SI - End Use'!$C$2:$C$82, "")="", "", _xlfn.XLOOKUP($C24,'SI - End Use'!$B$2:$B$82,'SI - End Use'!$C$2:$C$82, ""))</f>
        <v/>
      </c>
      <c r="Q24" s="6"/>
      <c r="R24" s="6"/>
    </row>
    <row r="25" spans="1:18" x14ac:dyDescent="0.35">
      <c r="A25" s="6"/>
      <c r="B25" s="6"/>
      <c r="C25" s="6" t="str">
        <f>_xlfn.XLOOKUP($B25,'SI - Resources'!$A$1:$J$1,'SI - Resources'!$A$2:$J$2, "")</f>
        <v/>
      </c>
      <c r="D25" s="6" t="str">
        <f>IF(_xlfn.XLOOKUP($C25,'SI - End Use'!$B$2:$B$82,'SI - End Use'!$C$2:$C$82, "")="", "", _xlfn.XLOOKUP($C25,'SI - End Use'!$B$2:$B$82,'SI - End Use'!$C$2:$C$82, ""))</f>
        <v/>
      </c>
      <c r="E25" s="13"/>
      <c r="F25" s="6" t="str" cm="1">
        <f t="array" ref="F25">IF($B25="Transportation",  'SI - Units'!$B$9:$B$9, _xlfn.XLOOKUP(_xlfn.XLOOKUP($C25,'SI - Units'!$B$24:$B$106,'SI - Units'!$C$24:$C$106, ""),'SI - Units'!$A$2:$A$8,'SI - Units'!$B$2:$B$8, ""))</f>
        <v/>
      </c>
      <c r="G25" s="27"/>
      <c r="H25" s="27"/>
      <c r="I25" s="31" t="str">
        <f>IF(Table1[[#This Row],[Type]]="Co-product", "No", "")</f>
        <v/>
      </c>
      <c r="J25" s="6"/>
      <c r="K25" s="6" t="str">
        <f>IF(Table1[[#This Row],[Category]]="Transportation", _xlfn.XLOOKUP(Table1[[#This Row],[Resource]], 'SI - Payload'!$A$10:$A$38,'SI - Payload'!$B$10:$B$38,"",0), "")</f>
        <v/>
      </c>
      <c r="L25" s="6" t="str">
        <f>IF(Table1[[#This Row],[Category]]="Transportation", "ton", "")</f>
        <v/>
      </c>
      <c r="M25" s="6"/>
      <c r="N25" s="6"/>
      <c r="O25" s="6" t="str">
        <f>IF(OR(Table1[[#This Row],[Type]]="Main Product", Table1[[#This Row],[Type]]="Co-Product"), Table1[[#This Row],[Resource]], "")</f>
        <v/>
      </c>
      <c r="P25" s="6" t="str">
        <f>IF(_xlfn.XLOOKUP($O25,'SI - End Use'!$B$2:$B$82,'SI - End Use'!$C$2:$C$82, "")="", "", _xlfn.XLOOKUP($C25,'SI - End Use'!$B$2:$B$82,'SI - End Use'!$C$2:$C$82, ""))</f>
        <v/>
      </c>
      <c r="Q25" s="6"/>
      <c r="R25" s="6"/>
    </row>
    <row r="26" spans="1:18" x14ac:dyDescent="0.35">
      <c r="A26" s="6"/>
      <c r="B26" s="6"/>
      <c r="C26" s="6" t="str">
        <f>_xlfn.XLOOKUP($B26,'SI - Resources'!$A$1:$J$1,'SI - Resources'!$A$2:$J$2, "")</f>
        <v/>
      </c>
      <c r="D26" s="6" t="str">
        <f>IF(_xlfn.XLOOKUP($C26,'SI - End Use'!$B$2:$B$82,'SI - End Use'!$C$2:$C$82, "")="", "", _xlfn.XLOOKUP($C26,'SI - End Use'!$B$2:$B$82,'SI - End Use'!$C$2:$C$82, ""))</f>
        <v/>
      </c>
      <c r="E26" s="13"/>
      <c r="F26" s="6" t="str" cm="1">
        <f t="array" ref="F26">IF($B26="Transportation",  'SI - Units'!$B$9:$B$9, _xlfn.XLOOKUP(_xlfn.XLOOKUP($C26,'SI - Units'!$B$24:$B$106,'SI - Units'!$C$24:$C$106, ""),'SI - Units'!$A$2:$A$8,'SI - Units'!$B$2:$B$8, ""))</f>
        <v/>
      </c>
      <c r="G26" s="27"/>
      <c r="H26" s="27"/>
      <c r="I26" s="31" t="str">
        <f>IF(Table1[[#This Row],[Type]]="Co-product", "No", "")</f>
        <v/>
      </c>
      <c r="J26" s="6"/>
      <c r="K26" s="6" t="str">
        <f>IF(Table1[[#This Row],[Category]]="Transportation", _xlfn.XLOOKUP(Table1[[#This Row],[Resource]], 'SI - Payload'!$A$10:$A$38,'SI - Payload'!$B$10:$B$38,"",0), "")</f>
        <v/>
      </c>
      <c r="L26" s="6" t="str">
        <f>IF(Table1[[#This Row],[Category]]="Transportation", "ton", "")</f>
        <v/>
      </c>
      <c r="M26" s="6"/>
      <c r="N26" s="6"/>
      <c r="O26" s="6" t="str">
        <f>IF(OR(Table1[[#This Row],[Type]]="Main Product", Table1[[#This Row],[Type]]="Co-Product"), Table1[[#This Row],[Resource]], "")</f>
        <v/>
      </c>
      <c r="P26" s="6" t="str">
        <f>IF(_xlfn.XLOOKUP($O26,'SI - End Use'!$B$2:$B$82,'SI - End Use'!$C$2:$C$82, "")="", "", _xlfn.XLOOKUP($C26,'SI - End Use'!$B$2:$B$82,'SI - End Use'!$C$2:$C$82, ""))</f>
        <v/>
      </c>
      <c r="Q26" s="6"/>
      <c r="R26" s="6"/>
    </row>
    <row r="27" spans="1:18" x14ac:dyDescent="0.35">
      <c r="A27" s="6"/>
      <c r="B27" s="6"/>
      <c r="C27" s="6" t="str">
        <f>_xlfn.XLOOKUP($B27,'SI - Resources'!$A$1:$J$1,'SI - Resources'!$A$2:$J$2, "")</f>
        <v/>
      </c>
      <c r="D27" s="6" t="str">
        <f>IF(_xlfn.XLOOKUP($C27,'SI - End Use'!$B$2:$B$82,'SI - End Use'!$C$2:$C$82, "")="", "", _xlfn.XLOOKUP($C27,'SI - End Use'!$B$2:$B$82,'SI - End Use'!$C$2:$C$82, ""))</f>
        <v/>
      </c>
      <c r="E27" s="13"/>
      <c r="F27" s="6" t="str" cm="1">
        <f t="array" ref="F27">IF($B27="Transportation",  'SI - Units'!$B$9:$B$9, _xlfn.XLOOKUP(_xlfn.XLOOKUP($C27,'SI - Units'!$B$24:$B$106,'SI - Units'!$C$24:$C$106, ""),'SI - Units'!$A$2:$A$8,'SI - Units'!$B$2:$B$8, ""))</f>
        <v/>
      </c>
      <c r="G27" s="27"/>
      <c r="H27" s="27"/>
      <c r="I27" s="31" t="str">
        <f>IF(Table1[[#This Row],[Type]]="Co-product", "No", "")</f>
        <v/>
      </c>
      <c r="J27" s="6"/>
      <c r="K27" s="6" t="str">
        <f>IF(Table1[[#This Row],[Category]]="Transportation", _xlfn.XLOOKUP(Table1[[#This Row],[Resource]], 'SI - Payload'!$A$10:$A$38,'SI - Payload'!$B$10:$B$38,"",0), "")</f>
        <v/>
      </c>
      <c r="L27" s="6" t="str">
        <f>IF(Table1[[#This Row],[Category]]="Transportation", "ton", "")</f>
        <v/>
      </c>
      <c r="M27" s="6"/>
      <c r="N27" s="6"/>
      <c r="O27" s="6" t="str">
        <f>IF(OR(Table1[[#This Row],[Type]]="Main Product", Table1[[#This Row],[Type]]="Co-Product"), Table1[[#This Row],[Resource]], "")</f>
        <v/>
      </c>
      <c r="P27" s="6" t="str">
        <f>IF(_xlfn.XLOOKUP($O27,'SI - End Use'!$B$2:$B$82,'SI - End Use'!$C$2:$C$82, "")="", "", _xlfn.XLOOKUP($C27,'SI - End Use'!$B$2:$B$82,'SI - End Use'!$C$2:$C$82, ""))</f>
        <v/>
      </c>
      <c r="Q27" s="6"/>
      <c r="R27" s="6"/>
    </row>
    <row r="28" spans="1:18" x14ac:dyDescent="0.35">
      <c r="A28" s="6"/>
      <c r="B28" s="6"/>
      <c r="C28" s="6" t="str">
        <f>_xlfn.XLOOKUP($B28,'SI - Resources'!$A$1:$J$1,'SI - Resources'!$A$2:$J$2, "")</f>
        <v/>
      </c>
      <c r="D28" s="6" t="str">
        <f>IF(_xlfn.XLOOKUP($C28,'SI - End Use'!$B$2:$B$82,'SI - End Use'!$C$2:$C$82, "")="", "", _xlfn.XLOOKUP($C28,'SI - End Use'!$B$2:$B$82,'SI - End Use'!$C$2:$C$82, ""))</f>
        <v/>
      </c>
      <c r="E28" s="13"/>
      <c r="F28" s="6" t="str" cm="1">
        <f t="array" ref="F28">IF($B28="Transportation",  'SI - Units'!$B$9:$B$9, _xlfn.XLOOKUP(_xlfn.XLOOKUP($C28,'SI - Units'!$B$24:$B$106,'SI - Units'!$C$24:$C$106, ""),'SI - Units'!$A$2:$A$8,'SI - Units'!$B$2:$B$8, ""))</f>
        <v/>
      </c>
      <c r="G28" s="27"/>
      <c r="H28" s="27"/>
      <c r="I28" s="31" t="str">
        <f>IF(Table1[[#This Row],[Type]]="Co-product", "No", "")</f>
        <v/>
      </c>
      <c r="J28" s="6"/>
      <c r="K28" s="6" t="str">
        <f>IF(Table1[[#This Row],[Category]]="Transportation", _xlfn.XLOOKUP(Table1[[#This Row],[Resource]], 'SI - Payload'!$A$10:$A$38,'SI - Payload'!$B$10:$B$38,"",0), "")</f>
        <v/>
      </c>
      <c r="L28" s="6" t="str">
        <f>IF(Table1[[#This Row],[Category]]="Transportation", "ton", "")</f>
        <v/>
      </c>
      <c r="M28" s="6"/>
      <c r="N28" s="6"/>
      <c r="O28" s="6" t="str">
        <f>IF(OR(Table1[[#This Row],[Type]]="Main Product", Table1[[#This Row],[Type]]="Co-Product"), Table1[[#This Row],[Resource]], "")</f>
        <v/>
      </c>
      <c r="P28" s="6" t="str">
        <f>IF(_xlfn.XLOOKUP($O28,'SI - End Use'!$B$2:$B$82,'SI - End Use'!$C$2:$C$82, "")="", "", _xlfn.XLOOKUP($C28,'SI - End Use'!$B$2:$B$82,'SI - End Use'!$C$2:$C$82, ""))</f>
        <v/>
      </c>
      <c r="Q28" s="6"/>
      <c r="R28" s="6"/>
    </row>
    <row r="29" spans="1:18" x14ac:dyDescent="0.35">
      <c r="A29" s="6"/>
      <c r="B29" s="6"/>
      <c r="C29" s="6" t="str">
        <f>_xlfn.XLOOKUP($B29,'SI - Resources'!$A$1:$J$1,'SI - Resources'!$A$2:$J$2, "")</f>
        <v/>
      </c>
      <c r="D29" s="6" t="str">
        <f>IF(_xlfn.XLOOKUP($C29,'SI - End Use'!$B$2:$B$82,'SI - End Use'!$C$2:$C$82, "")="", "", _xlfn.XLOOKUP($C29,'SI - End Use'!$B$2:$B$82,'SI - End Use'!$C$2:$C$82, ""))</f>
        <v/>
      </c>
      <c r="E29" s="13"/>
      <c r="F29" s="6" t="str" cm="1">
        <f t="array" ref="F29">IF($B29="Transportation",  'SI - Units'!$B$9:$B$9, _xlfn.XLOOKUP(_xlfn.XLOOKUP($C29,'SI - Units'!$B$24:$B$106,'SI - Units'!$C$24:$C$106, ""),'SI - Units'!$A$2:$A$8,'SI - Units'!$B$2:$B$8, ""))</f>
        <v/>
      </c>
      <c r="G29" s="27"/>
      <c r="H29" s="27"/>
      <c r="I29" s="31" t="str">
        <f>IF(Table1[[#This Row],[Type]]="Co-product", "No", "")</f>
        <v/>
      </c>
      <c r="J29" s="6"/>
      <c r="K29" s="6" t="str">
        <f>IF(Table1[[#This Row],[Category]]="Transportation", _xlfn.XLOOKUP(Table1[[#This Row],[Resource]], 'SI - Payload'!$A$10:$A$38,'SI - Payload'!$B$10:$B$38,"",0), "")</f>
        <v/>
      </c>
      <c r="L29" s="6" t="str">
        <f>IF(Table1[[#This Row],[Category]]="Transportation", "ton", "")</f>
        <v/>
      </c>
      <c r="M29" s="6"/>
      <c r="N29" s="6"/>
      <c r="O29" s="6" t="str">
        <f>IF(OR(Table1[[#This Row],[Type]]="Main Product", Table1[[#This Row],[Type]]="Co-Product"), Table1[[#This Row],[Resource]], "")</f>
        <v/>
      </c>
      <c r="P29" s="6" t="str">
        <f>IF(_xlfn.XLOOKUP($O29,'SI - End Use'!$B$2:$B$82,'SI - End Use'!$C$2:$C$82, "")="", "", _xlfn.XLOOKUP($C29,'SI - End Use'!$B$2:$B$82,'SI - End Use'!$C$2:$C$82, ""))</f>
        <v/>
      </c>
      <c r="Q29" s="6"/>
      <c r="R29" s="6"/>
    </row>
    <row r="30" spans="1:18" x14ac:dyDescent="0.35">
      <c r="A30" s="6"/>
      <c r="B30" s="6"/>
      <c r="C30" s="6" t="str">
        <f>_xlfn.XLOOKUP($B30,'SI - Resources'!$A$1:$J$1,'SI - Resources'!$A$2:$J$2, "")</f>
        <v/>
      </c>
      <c r="D30" s="6" t="str">
        <f>IF(_xlfn.XLOOKUP($C30,'SI - End Use'!$B$2:$B$82,'SI - End Use'!$C$2:$C$82, "")="", "", _xlfn.XLOOKUP($C30,'SI - End Use'!$B$2:$B$82,'SI - End Use'!$C$2:$C$82, ""))</f>
        <v/>
      </c>
      <c r="E30" s="13"/>
      <c r="F30" s="6" t="str" cm="1">
        <f t="array" ref="F30">IF($B30="Transportation",  'SI - Units'!$B$9:$B$9, _xlfn.XLOOKUP(_xlfn.XLOOKUP($C30,'SI - Units'!$B$24:$B$106,'SI - Units'!$C$24:$C$106, ""),'SI - Units'!$A$2:$A$8,'SI - Units'!$B$2:$B$8, ""))</f>
        <v/>
      </c>
      <c r="G30" s="27"/>
      <c r="H30" s="27"/>
      <c r="I30" s="31" t="str">
        <f>IF(Table1[[#This Row],[Type]]="Co-product", "No", "")</f>
        <v/>
      </c>
      <c r="J30" s="6"/>
      <c r="K30" s="6" t="str">
        <f>IF(Table1[[#This Row],[Category]]="Transportation", _xlfn.XLOOKUP(Table1[[#This Row],[Resource]], 'SI - Payload'!$A$10:$A$38,'SI - Payload'!$B$10:$B$38,"",0), "")</f>
        <v/>
      </c>
      <c r="L30" s="6" t="str">
        <f>IF(Table1[[#This Row],[Category]]="Transportation", "ton", "")</f>
        <v/>
      </c>
      <c r="M30" s="6"/>
      <c r="N30" s="6"/>
      <c r="O30" s="6" t="str">
        <f>IF(OR(Table1[[#This Row],[Type]]="Main Product", Table1[[#This Row],[Type]]="Co-Product"), Table1[[#This Row],[Resource]], "")</f>
        <v/>
      </c>
      <c r="P30" s="6" t="str">
        <f>IF(_xlfn.XLOOKUP($O30,'SI - End Use'!$B$2:$B$82,'SI - End Use'!$C$2:$C$82, "")="", "", _xlfn.XLOOKUP($C30,'SI - End Use'!$B$2:$B$82,'SI - End Use'!$C$2:$C$82, ""))</f>
        <v/>
      </c>
      <c r="Q30" s="6"/>
      <c r="R30" s="6"/>
    </row>
    <row r="31" spans="1:18" x14ac:dyDescent="0.35">
      <c r="A31" s="6"/>
      <c r="B31" s="6"/>
      <c r="C31" s="6" t="str">
        <f>_xlfn.XLOOKUP($B31,'SI - Resources'!$A$1:$J$1,'SI - Resources'!$A$2:$J$2, "")</f>
        <v/>
      </c>
      <c r="D31" s="6" t="str">
        <f>IF(_xlfn.XLOOKUP($C31,'SI - End Use'!$B$2:$B$82,'SI - End Use'!$C$2:$C$82, "")="", "", _xlfn.XLOOKUP($C31,'SI - End Use'!$B$2:$B$82,'SI - End Use'!$C$2:$C$82, ""))</f>
        <v/>
      </c>
      <c r="E31" s="13"/>
      <c r="F31" s="6" t="str" cm="1">
        <f t="array" ref="F31">IF($B31="Transportation",  'SI - Units'!$B$9:$B$9, _xlfn.XLOOKUP(_xlfn.XLOOKUP($C31,'SI - Units'!$B$24:$B$106,'SI - Units'!$C$24:$C$106, ""),'SI - Units'!$A$2:$A$8,'SI - Units'!$B$2:$B$8, ""))</f>
        <v/>
      </c>
      <c r="G31" s="27"/>
      <c r="H31" s="27"/>
      <c r="I31" s="31" t="str">
        <f>IF(Table1[[#This Row],[Type]]="Co-product", "No", "")</f>
        <v/>
      </c>
      <c r="J31" s="6"/>
      <c r="K31" s="6" t="str">
        <f>IF(Table1[[#This Row],[Category]]="Transportation", _xlfn.XLOOKUP(Table1[[#This Row],[Resource]], 'SI - Payload'!$A$10:$A$38,'SI - Payload'!$B$10:$B$38,"",0), "")</f>
        <v/>
      </c>
      <c r="L31" s="6" t="str">
        <f>IF(Table1[[#This Row],[Category]]="Transportation", "ton", "")</f>
        <v/>
      </c>
      <c r="M31" s="6"/>
      <c r="N31" s="6"/>
      <c r="O31" s="6" t="str">
        <f>IF(OR(Table1[[#This Row],[Type]]="Main Product", Table1[[#This Row],[Type]]="Co-Product"), Table1[[#This Row],[Resource]], "")</f>
        <v/>
      </c>
      <c r="P31" s="6" t="str">
        <f>IF(_xlfn.XLOOKUP($O31,'SI - End Use'!$B$2:$B$82,'SI - End Use'!$C$2:$C$82, "")="", "", _xlfn.XLOOKUP($C31,'SI - End Use'!$B$2:$B$82,'SI - End Use'!$C$2:$C$82, ""))</f>
        <v/>
      </c>
      <c r="Q31" s="6"/>
      <c r="R31" s="6"/>
    </row>
    <row r="32" spans="1:18" x14ac:dyDescent="0.35">
      <c r="A32" s="6"/>
      <c r="B32" s="6"/>
      <c r="C32" s="6" t="str">
        <f>_xlfn.XLOOKUP($B32,'SI - Resources'!$A$1:$J$1,'SI - Resources'!$A$2:$J$2, "")</f>
        <v/>
      </c>
      <c r="D32" s="6" t="str">
        <f>IF(_xlfn.XLOOKUP($C32,'SI - End Use'!$B$2:$B$82,'SI - End Use'!$C$2:$C$82, "")="", "", _xlfn.XLOOKUP($C32,'SI - End Use'!$B$2:$B$82,'SI - End Use'!$C$2:$C$82, ""))</f>
        <v/>
      </c>
      <c r="E32" s="13"/>
      <c r="F32" s="6" t="str" cm="1">
        <f t="array" ref="F32">IF($B32="Transportation",  'SI - Units'!$B$9:$B$9, _xlfn.XLOOKUP(_xlfn.XLOOKUP($C32,'SI - Units'!$B$24:$B$106,'SI - Units'!$C$24:$C$106, ""),'SI - Units'!$A$2:$A$8,'SI - Units'!$B$2:$B$8, ""))</f>
        <v/>
      </c>
      <c r="G32" s="27"/>
      <c r="H32" s="27"/>
      <c r="I32" s="31" t="str">
        <f>IF(Table1[[#This Row],[Type]]="Co-product", "No", "")</f>
        <v/>
      </c>
      <c r="J32" s="6"/>
      <c r="K32" s="6" t="str">
        <f>IF(Table1[[#This Row],[Category]]="Transportation", _xlfn.XLOOKUP(Table1[[#This Row],[Resource]], 'SI - Payload'!$A$10:$A$38,'SI - Payload'!$B$10:$B$38,"",0), "")</f>
        <v/>
      </c>
      <c r="L32" s="6" t="str">
        <f>IF(Table1[[#This Row],[Category]]="Transportation", "ton", "")</f>
        <v/>
      </c>
      <c r="M32" s="6"/>
      <c r="N32" s="6"/>
      <c r="O32" s="6" t="str">
        <f>IF(OR(Table1[[#This Row],[Type]]="Main Product", Table1[[#This Row],[Type]]="Co-Product"), Table1[[#This Row],[Resource]], "")</f>
        <v/>
      </c>
      <c r="P32" s="6" t="str">
        <f>IF(_xlfn.XLOOKUP($O32,'SI - End Use'!$B$2:$B$82,'SI - End Use'!$C$2:$C$82, "")="", "", _xlfn.XLOOKUP($C32,'SI - End Use'!$B$2:$B$82,'SI - End Use'!$C$2:$C$82, ""))</f>
        <v/>
      </c>
      <c r="Q32" s="6"/>
      <c r="R32" s="6"/>
    </row>
    <row r="33" spans="1:18" x14ac:dyDescent="0.35">
      <c r="A33" s="6"/>
      <c r="B33" s="6"/>
      <c r="C33" s="6" t="str">
        <f>_xlfn.XLOOKUP($B33,'SI - Resources'!$A$1:$J$1,'SI - Resources'!$A$2:$J$2, "")</f>
        <v/>
      </c>
      <c r="D33" s="6" t="str">
        <f>IF(_xlfn.XLOOKUP($C33,'SI - End Use'!$B$2:$B$82,'SI - End Use'!$C$2:$C$82, "")="", "", _xlfn.XLOOKUP($C33,'SI - End Use'!$B$2:$B$82,'SI - End Use'!$C$2:$C$82, ""))</f>
        <v/>
      </c>
      <c r="E33" s="13"/>
      <c r="F33" s="6" t="str" cm="1">
        <f t="array" ref="F33">IF($B33="Transportation",  'SI - Units'!$B$9:$B$9, _xlfn.XLOOKUP(_xlfn.XLOOKUP($C33,'SI - Units'!$B$24:$B$106,'SI - Units'!$C$24:$C$106, ""),'SI - Units'!$A$2:$A$8,'SI - Units'!$B$2:$B$8, ""))</f>
        <v/>
      </c>
      <c r="G33" s="27"/>
      <c r="H33" s="27"/>
      <c r="I33" s="31" t="str">
        <f>IF(Table1[[#This Row],[Type]]="Co-product", "No", "")</f>
        <v/>
      </c>
      <c r="J33" s="6"/>
      <c r="K33" s="6" t="str">
        <f>IF(Table1[[#This Row],[Category]]="Transportation", _xlfn.XLOOKUP(Table1[[#This Row],[Resource]], 'SI - Payload'!$A$10:$A$38,'SI - Payload'!$B$10:$B$38,"",0), "")</f>
        <v/>
      </c>
      <c r="L33" s="6" t="str">
        <f>IF(Table1[[#This Row],[Category]]="Transportation", "ton", "")</f>
        <v/>
      </c>
      <c r="M33" s="6"/>
      <c r="N33" s="6"/>
      <c r="O33" s="6" t="str">
        <f>IF(OR(Table1[[#This Row],[Type]]="Main Product", Table1[[#This Row],[Type]]="Co-Product"), Table1[[#This Row],[Resource]], "")</f>
        <v/>
      </c>
      <c r="P33" s="6" t="str">
        <f>IF(_xlfn.XLOOKUP($O33,'SI - End Use'!$B$2:$B$82,'SI - End Use'!$C$2:$C$82, "")="", "", _xlfn.XLOOKUP($C33,'SI - End Use'!$B$2:$B$82,'SI - End Use'!$C$2:$C$82, ""))</f>
        <v/>
      </c>
      <c r="Q33" s="6"/>
      <c r="R33" s="6"/>
    </row>
    <row r="34" spans="1:18" x14ac:dyDescent="0.35">
      <c r="A34" s="6"/>
      <c r="B34" s="6"/>
      <c r="C34" s="6" t="str">
        <f>_xlfn.XLOOKUP($B34,'SI - Resources'!$A$1:$J$1,'SI - Resources'!$A$2:$J$2, "")</f>
        <v/>
      </c>
      <c r="D34" s="6" t="str">
        <f>IF(_xlfn.XLOOKUP($C34,'SI - End Use'!$B$2:$B$82,'SI - End Use'!$C$2:$C$82, "")="", "", _xlfn.XLOOKUP($C34,'SI - End Use'!$B$2:$B$82,'SI - End Use'!$C$2:$C$82, ""))</f>
        <v/>
      </c>
      <c r="E34" s="13"/>
      <c r="F34" s="6" t="str" cm="1">
        <f t="array" ref="F34">IF($B34="Transportation",  'SI - Units'!$B$9:$B$9, _xlfn.XLOOKUP(_xlfn.XLOOKUP($C34,'SI - Units'!$B$24:$B$106,'SI - Units'!$C$24:$C$106, ""),'SI - Units'!$A$2:$A$8,'SI - Units'!$B$2:$B$8, ""))</f>
        <v/>
      </c>
      <c r="G34" s="27"/>
      <c r="H34" s="27"/>
      <c r="I34" s="31" t="str">
        <f>IF(Table1[[#This Row],[Type]]="Co-product", "No", "")</f>
        <v/>
      </c>
      <c r="J34" s="6"/>
      <c r="K34" s="6" t="str">
        <f>IF(Table1[[#This Row],[Category]]="Transportation", _xlfn.XLOOKUP(Table1[[#This Row],[Resource]], 'SI - Payload'!$A$10:$A$38,'SI - Payload'!$B$10:$B$38,"",0), "")</f>
        <v/>
      </c>
      <c r="L34" s="6" t="str">
        <f>IF(Table1[[#This Row],[Category]]="Transportation", "ton", "")</f>
        <v/>
      </c>
      <c r="M34" s="6"/>
      <c r="N34" s="6"/>
      <c r="O34" s="6" t="str">
        <f>IF(OR(Table1[[#This Row],[Type]]="Main Product", Table1[[#This Row],[Type]]="Co-Product"), Table1[[#This Row],[Resource]], "")</f>
        <v/>
      </c>
      <c r="P34" s="6" t="str">
        <f>IF(_xlfn.XLOOKUP($O34,'SI - End Use'!$B$2:$B$82,'SI - End Use'!$C$2:$C$82, "")="", "", _xlfn.XLOOKUP($C34,'SI - End Use'!$B$2:$B$82,'SI - End Use'!$C$2:$C$82, ""))</f>
        <v/>
      </c>
      <c r="Q34" s="6"/>
      <c r="R34" s="6"/>
    </row>
    <row r="35" spans="1:18" x14ac:dyDescent="0.35">
      <c r="A35" s="6"/>
      <c r="B35" s="6"/>
      <c r="C35" s="6" t="str">
        <f>_xlfn.XLOOKUP($B35,'SI - Resources'!$A$1:$J$1,'SI - Resources'!$A$2:$J$2, "")</f>
        <v/>
      </c>
      <c r="D35" s="6" t="str">
        <f>IF(_xlfn.XLOOKUP($C35,'SI - End Use'!$B$2:$B$82,'SI - End Use'!$C$2:$C$82, "")="", "", _xlfn.XLOOKUP($C35,'SI - End Use'!$B$2:$B$82,'SI - End Use'!$C$2:$C$82, ""))</f>
        <v/>
      </c>
      <c r="E35" s="13"/>
      <c r="F35" s="6" t="str" cm="1">
        <f t="array" ref="F35">IF($B35="Transportation",  'SI - Units'!$B$9:$B$9, _xlfn.XLOOKUP(_xlfn.XLOOKUP($C35,'SI - Units'!$B$24:$B$106,'SI - Units'!$C$24:$C$106, ""),'SI - Units'!$A$2:$A$8,'SI - Units'!$B$2:$B$8, ""))</f>
        <v/>
      </c>
      <c r="G35" s="27"/>
      <c r="H35" s="27"/>
      <c r="I35" s="31" t="str">
        <f>IF(Table1[[#This Row],[Type]]="Co-product", "No", "")</f>
        <v/>
      </c>
      <c r="J35" s="6"/>
      <c r="K35" s="6" t="str">
        <f>IF(Table1[[#This Row],[Category]]="Transportation", _xlfn.XLOOKUP(Table1[[#This Row],[Resource]], 'SI - Payload'!$A$10:$A$38,'SI - Payload'!$B$10:$B$38,"",0), "")</f>
        <v/>
      </c>
      <c r="L35" s="6" t="str">
        <f>IF(Table1[[#This Row],[Category]]="Transportation", "ton", "")</f>
        <v/>
      </c>
      <c r="M35" s="6"/>
      <c r="N35" s="6"/>
      <c r="O35" s="6" t="str">
        <f>IF(OR(Table1[[#This Row],[Type]]="Main Product", Table1[[#This Row],[Type]]="Co-Product"), Table1[[#This Row],[Resource]], "")</f>
        <v/>
      </c>
      <c r="P35" s="6" t="str">
        <f>IF(_xlfn.XLOOKUP($O35,'SI - End Use'!$B$2:$B$82,'SI - End Use'!$C$2:$C$82, "")="", "", _xlfn.XLOOKUP($C35,'SI - End Use'!$B$2:$B$82,'SI - End Use'!$C$2:$C$82, ""))</f>
        <v/>
      </c>
      <c r="Q35" s="6"/>
      <c r="R35" s="6"/>
    </row>
    <row r="36" spans="1:18" x14ac:dyDescent="0.35">
      <c r="A36" s="6"/>
      <c r="B36" s="6"/>
      <c r="C36" s="6" t="str">
        <f>_xlfn.XLOOKUP($B36,'SI - Resources'!$A$1:$J$1,'SI - Resources'!$A$2:$J$2, "")</f>
        <v/>
      </c>
      <c r="D36" s="6" t="str">
        <f>IF(_xlfn.XLOOKUP($C36,'SI - End Use'!$B$2:$B$82,'SI - End Use'!$C$2:$C$82, "")="", "", _xlfn.XLOOKUP($C36,'SI - End Use'!$B$2:$B$82,'SI - End Use'!$C$2:$C$82, ""))</f>
        <v/>
      </c>
      <c r="E36" s="13"/>
      <c r="F36" s="6" t="str" cm="1">
        <f t="array" ref="F36">IF($B36="Transportation",  'SI - Units'!$B$9:$B$9, _xlfn.XLOOKUP(_xlfn.XLOOKUP($C36,'SI - Units'!$B$24:$B$106,'SI - Units'!$C$24:$C$106, ""),'SI - Units'!$A$2:$A$8,'SI - Units'!$B$2:$B$8, ""))</f>
        <v/>
      </c>
      <c r="G36" s="27"/>
      <c r="H36" s="27"/>
      <c r="I36" s="31" t="str">
        <f>IF(Table1[[#This Row],[Type]]="Co-product", "No", "")</f>
        <v/>
      </c>
      <c r="J36" s="6"/>
      <c r="K36" s="6" t="str">
        <f>IF(Table1[[#This Row],[Category]]="Transportation", _xlfn.XLOOKUP(Table1[[#This Row],[Resource]], 'SI - Payload'!$A$10:$A$38,'SI - Payload'!$B$10:$B$38,"",0), "")</f>
        <v/>
      </c>
      <c r="L36" s="6" t="str">
        <f>IF(Table1[[#This Row],[Category]]="Transportation", "ton", "")</f>
        <v/>
      </c>
      <c r="M36" s="6"/>
      <c r="N36" s="6"/>
      <c r="O36" s="6" t="str">
        <f>IF(OR(Table1[[#This Row],[Type]]="Main Product", Table1[[#This Row],[Type]]="Co-Product"), Table1[[#This Row],[Resource]], "")</f>
        <v/>
      </c>
      <c r="P36" s="6" t="str">
        <f>IF(_xlfn.XLOOKUP($O36,'SI - End Use'!$B$2:$B$82,'SI - End Use'!$C$2:$C$82, "")="", "", _xlfn.XLOOKUP($C36,'SI - End Use'!$B$2:$B$82,'SI - End Use'!$C$2:$C$82, ""))</f>
        <v/>
      </c>
      <c r="Q36" s="6"/>
      <c r="R36" s="6"/>
    </row>
    <row r="37" spans="1:18" x14ac:dyDescent="0.35">
      <c r="A37" s="6"/>
      <c r="B37" s="6"/>
      <c r="C37" s="6" t="str">
        <f>_xlfn.XLOOKUP($B37,'SI - Resources'!$A$1:$J$1,'SI - Resources'!$A$2:$J$2, "")</f>
        <v/>
      </c>
      <c r="D37" s="6" t="str">
        <f>IF(_xlfn.XLOOKUP($C37,'SI - End Use'!$B$2:$B$82,'SI - End Use'!$C$2:$C$82, "")="", "", _xlfn.XLOOKUP($C37,'SI - End Use'!$B$2:$B$82,'SI - End Use'!$C$2:$C$82, ""))</f>
        <v/>
      </c>
      <c r="E37" s="13"/>
      <c r="F37" s="6" t="str" cm="1">
        <f t="array" ref="F37">IF($B37="Transportation",  'SI - Units'!$B$9:$B$9, _xlfn.XLOOKUP(_xlfn.XLOOKUP($C37,'SI - Units'!$B$24:$B$106,'SI - Units'!$C$24:$C$106, ""),'SI - Units'!$A$2:$A$8,'SI - Units'!$B$2:$B$8, ""))</f>
        <v/>
      </c>
      <c r="G37" s="27"/>
      <c r="H37" s="27"/>
      <c r="I37" s="31" t="str">
        <f>IF(Table1[[#This Row],[Type]]="Co-product", "No", "")</f>
        <v/>
      </c>
      <c r="J37" s="6"/>
      <c r="K37" s="6" t="str">
        <f>IF(Table1[[#This Row],[Category]]="Transportation", _xlfn.XLOOKUP(Table1[[#This Row],[Resource]], 'SI - Payload'!$A$10:$A$38,'SI - Payload'!$B$10:$B$38,"",0), "")</f>
        <v/>
      </c>
      <c r="L37" s="6" t="str">
        <f>IF(Table1[[#This Row],[Category]]="Transportation", "ton", "")</f>
        <v/>
      </c>
      <c r="M37" s="6"/>
      <c r="N37" s="6"/>
      <c r="O37" s="6" t="str">
        <f>IF(OR(Table1[[#This Row],[Type]]="Main Product", Table1[[#This Row],[Type]]="Co-Product"), Table1[[#This Row],[Resource]], "")</f>
        <v/>
      </c>
      <c r="P37" s="6" t="str">
        <f>IF(_xlfn.XLOOKUP($O37,'SI - End Use'!$B$2:$B$82,'SI - End Use'!$C$2:$C$82, "")="", "", _xlfn.XLOOKUP($C37,'SI - End Use'!$B$2:$B$82,'SI - End Use'!$C$2:$C$82, ""))</f>
        <v/>
      </c>
      <c r="Q37" s="6"/>
      <c r="R37" s="6"/>
    </row>
    <row r="38" spans="1:18" x14ac:dyDescent="0.35">
      <c r="A38" s="6"/>
      <c r="B38" s="6"/>
      <c r="C38" s="6" t="str">
        <f>_xlfn.XLOOKUP($B38,'SI - Resources'!$A$1:$J$1,'SI - Resources'!$A$2:$J$2, "")</f>
        <v/>
      </c>
      <c r="D38" s="6" t="str">
        <f>IF(_xlfn.XLOOKUP($C38,'SI - End Use'!$B$2:$B$82,'SI - End Use'!$C$2:$C$82, "")="", "", _xlfn.XLOOKUP($C38,'SI - End Use'!$B$2:$B$82,'SI - End Use'!$C$2:$C$82, ""))</f>
        <v/>
      </c>
      <c r="E38" s="13"/>
      <c r="F38" s="6" t="str" cm="1">
        <f t="array" ref="F38">IF($B38="Transportation",  'SI - Units'!$B$9:$B$9, _xlfn.XLOOKUP(_xlfn.XLOOKUP($C38,'SI - Units'!$B$24:$B$106,'SI - Units'!$C$24:$C$106, ""),'SI - Units'!$A$2:$A$8,'SI - Units'!$B$2:$B$8, ""))</f>
        <v/>
      </c>
      <c r="G38" s="27"/>
      <c r="H38" s="27"/>
      <c r="I38" s="31" t="str">
        <f>IF(Table1[[#This Row],[Type]]="Co-product", "No", "")</f>
        <v/>
      </c>
      <c r="J38" s="6"/>
      <c r="K38" s="6" t="str">
        <f>IF(Table1[[#This Row],[Category]]="Transportation", _xlfn.XLOOKUP(Table1[[#This Row],[Resource]], 'SI - Payload'!$A$10:$A$38,'SI - Payload'!$B$10:$B$38,"",0), "")</f>
        <v/>
      </c>
      <c r="L38" s="6" t="str">
        <f>IF(Table1[[#This Row],[Category]]="Transportation", "ton", "")</f>
        <v/>
      </c>
      <c r="M38" s="6"/>
      <c r="N38" s="6"/>
      <c r="O38" s="6" t="str">
        <f>IF(OR(Table1[[#This Row],[Type]]="Main Product", Table1[[#This Row],[Type]]="Co-Product"), Table1[[#This Row],[Resource]], "")</f>
        <v/>
      </c>
      <c r="P38" s="6" t="str">
        <f>IF(_xlfn.XLOOKUP($O38,'SI - End Use'!$B$2:$B$82,'SI - End Use'!$C$2:$C$82, "")="", "", _xlfn.XLOOKUP($C38,'SI - End Use'!$B$2:$B$82,'SI - End Use'!$C$2:$C$82, ""))</f>
        <v/>
      </c>
      <c r="Q38" s="6"/>
      <c r="R38" s="6"/>
    </row>
    <row r="39" spans="1:18" x14ac:dyDescent="0.35">
      <c r="A39" s="6"/>
      <c r="B39" s="6"/>
      <c r="C39" s="6" t="str">
        <f>_xlfn.XLOOKUP($B39,'SI - Resources'!$A$1:$J$1,'SI - Resources'!$A$2:$J$2, "")</f>
        <v/>
      </c>
      <c r="D39" s="6" t="str">
        <f>IF(_xlfn.XLOOKUP($C39,'SI - End Use'!$B$2:$B$82,'SI - End Use'!$C$2:$C$82, "")="", "", _xlfn.XLOOKUP($C39,'SI - End Use'!$B$2:$B$82,'SI - End Use'!$C$2:$C$82, ""))</f>
        <v/>
      </c>
      <c r="E39" s="13"/>
      <c r="F39" s="6" t="str" cm="1">
        <f t="array" ref="F39">IF($B39="Transportation",  'SI - Units'!$B$9:$B$9, _xlfn.XLOOKUP(_xlfn.XLOOKUP($C39,'SI - Units'!$B$24:$B$106,'SI - Units'!$C$24:$C$106, ""),'SI - Units'!$A$2:$A$8,'SI - Units'!$B$2:$B$8, ""))</f>
        <v/>
      </c>
      <c r="G39" s="27"/>
      <c r="H39" s="27"/>
      <c r="I39" s="31" t="str">
        <f>IF(Table1[[#This Row],[Type]]="Co-product", "No", "")</f>
        <v/>
      </c>
      <c r="J39" s="6"/>
      <c r="K39" s="6" t="str">
        <f>IF(Table1[[#This Row],[Category]]="Transportation", _xlfn.XLOOKUP(Table1[[#This Row],[Resource]], 'SI - Payload'!$A$10:$A$38,'SI - Payload'!$B$10:$B$38,"",0), "")</f>
        <v/>
      </c>
      <c r="L39" s="6" t="str">
        <f>IF(Table1[[#This Row],[Category]]="Transportation", "ton", "")</f>
        <v/>
      </c>
      <c r="M39" s="6"/>
      <c r="N39" s="6"/>
      <c r="O39" s="6" t="str">
        <f>IF(OR(Table1[[#This Row],[Type]]="Main Product", Table1[[#This Row],[Type]]="Co-Product"), Table1[[#This Row],[Resource]], "")</f>
        <v/>
      </c>
      <c r="P39" s="6" t="str">
        <f>IF(_xlfn.XLOOKUP($O39,'SI - End Use'!$B$2:$B$82,'SI - End Use'!$C$2:$C$82, "")="", "", _xlfn.XLOOKUP($C39,'SI - End Use'!$B$2:$B$82,'SI - End Use'!$C$2:$C$82, ""))</f>
        <v/>
      </c>
      <c r="Q39" s="6"/>
      <c r="R39" s="6"/>
    </row>
    <row r="40" spans="1:18" x14ac:dyDescent="0.35">
      <c r="A40" s="6"/>
      <c r="B40" s="6"/>
      <c r="C40" s="6" t="str">
        <f>_xlfn.XLOOKUP($B40,'SI - Resources'!$A$1:$J$1,'SI - Resources'!$A$2:$J$2, "")</f>
        <v/>
      </c>
      <c r="D40" s="6" t="str">
        <f>IF(_xlfn.XLOOKUP($C40,'SI - End Use'!$B$2:$B$82,'SI - End Use'!$C$2:$C$82, "")="", "", _xlfn.XLOOKUP($C40,'SI - End Use'!$B$2:$B$82,'SI - End Use'!$C$2:$C$82, ""))</f>
        <v/>
      </c>
      <c r="E40" s="13"/>
      <c r="F40" s="6" t="str" cm="1">
        <f t="array" ref="F40">IF($B40="Transportation",  'SI - Units'!$B$9:$B$9, _xlfn.XLOOKUP(_xlfn.XLOOKUP($C40,'SI - Units'!$B$24:$B$106,'SI - Units'!$C$24:$C$106, ""),'SI - Units'!$A$2:$A$8,'SI - Units'!$B$2:$B$8, ""))</f>
        <v/>
      </c>
      <c r="G40" s="27"/>
      <c r="H40" s="27"/>
      <c r="I40" s="31" t="str">
        <f>IF(Table1[[#This Row],[Type]]="Co-product", "No", "")</f>
        <v/>
      </c>
      <c r="J40" s="6"/>
      <c r="K40" s="6" t="str">
        <f>IF(Table1[[#This Row],[Category]]="Transportation", _xlfn.XLOOKUP(Table1[[#This Row],[Resource]], 'SI - Payload'!$A$10:$A$38,'SI - Payload'!$B$10:$B$38,"",0), "")</f>
        <v/>
      </c>
      <c r="L40" s="6" t="str">
        <f>IF(Table1[[#This Row],[Category]]="Transportation", "ton", "")</f>
        <v/>
      </c>
      <c r="M40" s="6"/>
      <c r="N40" s="6"/>
      <c r="O40" s="6" t="str">
        <f>IF(OR(Table1[[#This Row],[Type]]="Main Product", Table1[[#This Row],[Type]]="Co-Product"), Table1[[#This Row],[Resource]], "")</f>
        <v/>
      </c>
      <c r="P40" s="6" t="str">
        <f>IF(_xlfn.XLOOKUP($O40,'SI - End Use'!$B$2:$B$82,'SI - End Use'!$C$2:$C$82, "")="", "", _xlfn.XLOOKUP($C40,'SI - End Use'!$B$2:$B$82,'SI - End Use'!$C$2:$C$82, ""))</f>
        <v/>
      </c>
      <c r="Q40" s="6"/>
      <c r="R40" s="6"/>
    </row>
    <row r="41" spans="1:18" x14ac:dyDescent="0.35">
      <c r="A41" s="6"/>
      <c r="B41" s="6"/>
      <c r="C41" s="6" t="str">
        <f>_xlfn.XLOOKUP($B41,'SI - Resources'!$A$1:$J$1,'SI - Resources'!$A$2:$J$2, "")</f>
        <v/>
      </c>
      <c r="D41" s="6" t="str">
        <f>IF(_xlfn.XLOOKUP($C41,'SI - End Use'!$B$2:$B$82,'SI - End Use'!$C$2:$C$82, "")="", "", _xlfn.XLOOKUP($C41,'SI - End Use'!$B$2:$B$82,'SI - End Use'!$C$2:$C$82, ""))</f>
        <v/>
      </c>
      <c r="E41" s="13"/>
      <c r="F41" s="6" t="str" cm="1">
        <f t="array" ref="F41">IF($B41="Transportation",  'SI - Units'!$B$9:$B$9, _xlfn.XLOOKUP(_xlfn.XLOOKUP($C41,'SI - Units'!$B$24:$B$106,'SI - Units'!$C$24:$C$106, ""),'SI - Units'!$A$2:$A$8,'SI - Units'!$B$2:$B$8, ""))</f>
        <v/>
      </c>
      <c r="G41" s="27"/>
      <c r="H41" s="27"/>
      <c r="I41" s="31" t="str">
        <f>IF(Table1[[#This Row],[Type]]="Co-product", "No", "")</f>
        <v/>
      </c>
      <c r="J41" s="6"/>
      <c r="K41" s="6" t="str">
        <f>IF(Table1[[#This Row],[Category]]="Transportation", _xlfn.XLOOKUP(Table1[[#This Row],[Resource]], 'SI - Payload'!$A$10:$A$38,'SI - Payload'!$B$10:$B$38,"",0), "")</f>
        <v/>
      </c>
      <c r="L41" s="6" t="str">
        <f>IF(Table1[[#This Row],[Category]]="Transportation", "ton", "")</f>
        <v/>
      </c>
      <c r="M41" s="6"/>
      <c r="N41" s="6"/>
      <c r="O41" s="6" t="str">
        <f>IF(OR(Table1[[#This Row],[Type]]="Main Product", Table1[[#This Row],[Type]]="Co-Product"), Table1[[#This Row],[Resource]], "")</f>
        <v/>
      </c>
      <c r="P41" s="6" t="str">
        <f>IF(_xlfn.XLOOKUP($O41,'SI - End Use'!$B$2:$B$82,'SI - End Use'!$C$2:$C$82, "")="", "", _xlfn.XLOOKUP($C41,'SI - End Use'!$B$2:$B$82,'SI - End Use'!$C$2:$C$82, ""))</f>
        <v/>
      </c>
      <c r="Q41" s="6"/>
      <c r="R41" s="6"/>
    </row>
    <row r="42" spans="1:18" x14ac:dyDescent="0.35">
      <c r="A42" s="6"/>
      <c r="B42" s="6"/>
      <c r="C42" s="6" t="str">
        <f>_xlfn.XLOOKUP($B42,'SI - Resources'!$A$1:$J$1,'SI - Resources'!$A$2:$J$2, "")</f>
        <v/>
      </c>
      <c r="D42" s="6" t="str">
        <f>IF(_xlfn.XLOOKUP($C42,'SI - End Use'!$B$2:$B$82,'SI - End Use'!$C$2:$C$82, "")="", "", _xlfn.XLOOKUP($C42,'SI - End Use'!$B$2:$B$82,'SI - End Use'!$C$2:$C$82, ""))</f>
        <v/>
      </c>
      <c r="E42" s="13"/>
      <c r="F42" s="6" t="str" cm="1">
        <f t="array" ref="F42">IF($B42="Transportation",  'SI - Units'!$B$9:$B$9, _xlfn.XLOOKUP(_xlfn.XLOOKUP($C42,'SI - Units'!$B$24:$B$106,'SI - Units'!$C$24:$C$106, ""),'SI - Units'!$A$2:$A$8,'SI - Units'!$B$2:$B$8, ""))</f>
        <v/>
      </c>
      <c r="G42" s="27"/>
      <c r="H42" s="27"/>
      <c r="I42" s="31" t="str">
        <f>IF(Table1[[#This Row],[Type]]="Co-product", "No", "")</f>
        <v/>
      </c>
      <c r="J42" s="6"/>
      <c r="K42" s="6" t="str">
        <f>IF(Table1[[#This Row],[Category]]="Transportation", _xlfn.XLOOKUP(Table1[[#This Row],[Resource]], 'SI - Payload'!$A$10:$A$38,'SI - Payload'!$B$10:$B$38,"",0), "")</f>
        <v/>
      </c>
      <c r="L42" s="6" t="str">
        <f>IF(Table1[[#This Row],[Category]]="Transportation", "ton", "")</f>
        <v/>
      </c>
      <c r="M42" s="6"/>
      <c r="N42" s="6"/>
      <c r="O42" s="6" t="str">
        <f>IF(OR(Table1[[#This Row],[Type]]="Main Product", Table1[[#This Row],[Type]]="Co-Product"), Table1[[#This Row],[Resource]], "")</f>
        <v/>
      </c>
      <c r="P42" s="6" t="str">
        <f>IF(_xlfn.XLOOKUP($O42,'SI - End Use'!$B$2:$B$82,'SI - End Use'!$C$2:$C$82, "")="", "", _xlfn.XLOOKUP($C42,'SI - End Use'!$B$2:$B$82,'SI - End Use'!$C$2:$C$82, ""))</f>
        <v/>
      </c>
      <c r="Q42" s="6"/>
      <c r="R42" s="6"/>
    </row>
    <row r="43" spans="1:18" x14ac:dyDescent="0.35">
      <c r="A43" s="6"/>
      <c r="B43" s="6"/>
      <c r="C43" s="6" t="str">
        <f>_xlfn.XLOOKUP($B43,'SI - Resources'!$A$1:$J$1,'SI - Resources'!$A$2:$J$2, "")</f>
        <v/>
      </c>
      <c r="D43" s="6" t="str">
        <f>IF(_xlfn.XLOOKUP($C43,'SI - End Use'!$B$2:$B$82,'SI - End Use'!$C$2:$C$82, "")="", "", _xlfn.XLOOKUP($C43,'SI - End Use'!$B$2:$B$82,'SI - End Use'!$C$2:$C$82, ""))</f>
        <v/>
      </c>
      <c r="E43" s="13"/>
      <c r="F43" s="6" t="str" cm="1">
        <f t="array" ref="F43">IF($B43="Transportation",  'SI - Units'!$B$9:$B$9, _xlfn.XLOOKUP(_xlfn.XLOOKUP($C43,'SI - Units'!$B$24:$B$106,'SI - Units'!$C$24:$C$106, ""),'SI - Units'!$A$2:$A$8,'SI - Units'!$B$2:$B$8, ""))</f>
        <v/>
      </c>
      <c r="G43" s="27"/>
      <c r="H43" s="27"/>
      <c r="I43" s="31" t="str">
        <f>IF(Table1[[#This Row],[Type]]="Co-product", "No", "")</f>
        <v/>
      </c>
      <c r="J43" s="6"/>
      <c r="K43" s="6" t="str">
        <f>IF(Table1[[#This Row],[Category]]="Transportation", _xlfn.XLOOKUP(Table1[[#This Row],[Resource]], 'SI - Payload'!$A$10:$A$38,'SI - Payload'!$B$10:$B$38,"",0), "")</f>
        <v/>
      </c>
      <c r="L43" s="6" t="str">
        <f>IF(Table1[[#This Row],[Category]]="Transportation", "ton", "")</f>
        <v/>
      </c>
      <c r="M43" s="6"/>
      <c r="N43" s="6"/>
      <c r="O43" s="6" t="str">
        <f>IF(OR(Table1[[#This Row],[Type]]="Main Product", Table1[[#This Row],[Type]]="Co-Product"), Table1[[#This Row],[Resource]], "")</f>
        <v/>
      </c>
      <c r="P43" s="6" t="str">
        <f>IF(_xlfn.XLOOKUP($O43,'SI - End Use'!$B$2:$B$82,'SI - End Use'!$C$2:$C$82, "")="", "", _xlfn.XLOOKUP($C43,'SI - End Use'!$B$2:$B$82,'SI - End Use'!$C$2:$C$82, ""))</f>
        <v/>
      </c>
      <c r="Q43" s="6"/>
      <c r="R43" s="6"/>
    </row>
    <row r="44" spans="1:18" x14ac:dyDescent="0.35">
      <c r="A44" s="6"/>
      <c r="B44" s="6"/>
      <c r="C44" s="6" t="str">
        <f>_xlfn.XLOOKUP($B44,'SI - Resources'!$A$1:$J$1,'SI - Resources'!$A$2:$J$2, "")</f>
        <v/>
      </c>
      <c r="D44" s="6" t="str">
        <f>IF(_xlfn.XLOOKUP($C44,'SI - End Use'!$B$2:$B$82,'SI - End Use'!$C$2:$C$82, "")="", "", _xlfn.XLOOKUP($C44,'SI - End Use'!$B$2:$B$82,'SI - End Use'!$C$2:$C$82, ""))</f>
        <v/>
      </c>
      <c r="E44" s="13"/>
      <c r="F44" s="6" t="str" cm="1">
        <f t="array" ref="F44">IF($B44="Transportation",  'SI - Units'!$B$9:$B$9, _xlfn.XLOOKUP(_xlfn.XLOOKUP($C44,'SI - Units'!$B$24:$B$106,'SI - Units'!$C$24:$C$106, ""),'SI - Units'!$A$2:$A$8,'SI - Units'!$B$2:$B$8, ""))</f>
        <v/>
      </c>
      <c r="G44" s="27"/>
      <c r="H44" s="27"/>
      <c r="I44" s="31" t="str">
        <f>IF(Table1[[#This Row],[Type]]="Co-product", "No", "")</f>
        <v/>
      </c>
      <c r="J44" s="6"/>
      <c r="K44" s="6" t="str">
        <f>IF(Table1[[#This Row],[Category]]="Transportation", _xlfn.XLOOKUP(Table1[[#This Row],[Resource]], 'SI - Payload'!$A$10:$A$38,'SI - Payload'!$B$10:$B$38,"",0), "")</f>
        <v/>
      </c>
      <c r="L44" s="6" t="str">
        <f>IF(Table1[[#This Row],[Category]]="Transportation", "ton", "")</f>
        <v/>
      </c>
      <c r="M44" s="6"/>
      <c r="N44" s="6"/>
      <c r="O44" s="6" t="str">
        <f>IF(OR(Table1[[#This Row],[Type]]="Main Product", Table1[[#This Row],[Type]]="Co-Product"), Table1[[#This Row],[Resource]], "")</f>
        <v/>
      </c>
      <c r="P44" s="6" t="str">
        <f>IF(_xlfn.XLOOKUP($O44,'SI - End Use'!$B$2:$B$82,'SI - End Use'!$C$2:$C$82, "")="", "", _xlfn.XLOOKUP($C44,'SI - End Use'!$B$2:$B$82,'SI - End Use'!$C$2:$C$82, ""))</f>
        <v/>
      </c>
      <c r="Q44" s="6"/>
      <c r="R44" s="6"/>
    </row>
    <row r="45" spans="1:18" x14ac:dyDescent="0.35">
      <c r="A45" s="6"/>
      <c r="B45" s="6"/>
      <c r="C45" s="6" t="str">
        <f>_xlfn.XLOOKUP($B45,'SI - Resources'!$A$1:$J$1,'SI - Resources'!$A$2:$J$2, "")</f>
        <v/>
      </c>
      <c r="D45" s="6" t="str">
        <f>IF(_xlfn.XLOOKUP($C45,'SI - End Use'!$B$2:$B$82,'SI - End Use'!$C$2:$C$82, "")="", "", _xlfn.XLOOKUP($C45,'SI - End Use'!$B$2:$B$82,'SI - End Use'!$C$2:$C$82, ""))</f>
        <v/>
      </c>
      <c r="E45" s="13"/>
      <c r="F45" s="6" t="str" cm="1">
        <f t="array" ref="F45">IF($B45="Transportation",  'SI - Units'!$B$9:$B$9, _xlfn.XLOOKUP(_xlfn.XLOOKUP($C45,'SI - Units'!$B$24:$B$106,'SI - Units'!$C$24:$C$106, ""),'SI - Units'!$A$2:$A$8,'SI - Units'!$B$2:$B$8, ""))</f>
        <v/>
      </c>
      <c r="G45" s="27"/>
      <c r="H45" s="27"/>
      <c r="I45" s="31" t="str">
        <f>IF(Table1[[#This Row],[Type]]="Co-product", "No", "")</f>
        <v/>
      </c>
      <c r="J45" s="6"/>
      <c r="K45" s="6" t="str">
        <f>IF(Table1[[#This Row],[Category]]="Transportation", _xlfn.XLOOKUP(Table1[[#This Row],[Resource]], 'SI - Payload'!$A$10:$A$38,'SI - Payload'!$B$10:$B$38,"",0), "")</f>
        <v/>
      </c>
      <c r="L45" s="6" t="str">
        <f>IF(Table1[[#This Row],[Category]]="Transportation", "ton", "")</f>
        <v/>
      </c>
      <c r="M45" s="6"/>
      <c r="N45" s="6"/>
      <c r="O45" s="6" t="str">
        <f>IF(OR(Table1[[#This Row],[Type]]="Main Product", Table1[[#This Row],[Type]]="Co-Product"), Table1[[#This Row],[Resource]], "")</f>
        <v/>
      </c>
      <c r="P45" s="6" t="str">
        <f>IF(_xlfn.XLOOKUP($O45,'SI - End Use'!$B$2:$B$82,'SI - End Use'!$C$2:$C$82, "")="", "", _xlfn.XLOOKUP($C45,'SI - End Use'!$B$2:$B$82,'SI - End Use'!$C$2:$C$82, ""))</f>
        <v/>
      </c>
      <c r="Q45" s="6"/>
      <c r="R45" s="6"/>
    </row>
    <row r="46" spans="1:18" x14ac:dyDescent="0.35">
      <c r="A46" s="6"/>
      <c r="B46" s="6"/>
      <c r="C46" s="6" t="str">
        <f>_xlfn.XLOOKUP($B46,'SI - Resources'!$A$1:$J$1,'SI - Resources'!$A$2:$J$2, "")</f>
        <v/>
      </c>
      <c r="D46" s="6" t="str">
        <f>IF(_xlfn.XLOOKUP($C46,'SI - End Use'!$B$2:$B$82,'SI - End Use'!$C$2:$C$82, "")="", "", _xlfn.XLOOKUP($C46,'SI - End Use'!$B$2:$B$82,'SI - End Use'!$C$2:$C$82, ""))</f>
        <v/>
      </c>
      <c r="E46" s="13"/>
      <c r="F46" s="6" t="str" cm="1">
        <f t="array" ref="F46">IF($B46="Transportation",  'SI - Units'!$B$9:$B$9, _xlfn.XLOOKUP(_xlfn.XLOOKUP($C46,'SI - Units'!$B$24:$B$106,'SI - Units'!$C$24:$C$106, ""),'SI - Units'!$A$2:$A$8,'SI - Units'!$B$2:$B$8, ""))</f>
        <v/>
      </c>
      <c r="G46" s="27"/>
      <c r="H46" s="27"/>
      <c r="I46" s="31" t="str">
        <f>IF(Table1[[#This Row],[Type]]="Co-product", "No", "")</f>
        <v/>
      </c>
      <c r="J46" s="6"/>
      <c r="K46" s="6" t="str">
        <f>IF(Table1[[#This Row],[Category]]="Transportation", _xlfn.XLOOKUP(Table1[[#This Row],[Resource]], 'SI - Payload'!$A$10:$A$38,'SI - Payload'!$B$10:$B$38,"",0), "")</f>
        <v/>
      </c>
      <c r="L46" s="6" t="str">
        <f>IF(Table1[[#This Row],[Category]]="Transportation", "ton", "")</f>
        <v/>
      </c>
      <c r="M46" s="6"/>
      <c r="N46" s="6"/>
      <c r="O46" s="6" t="str">
        <f>IF(OR(Table1[[#This Row],[Type]]="Main Product", Table1[[#This Row],[Type]]="Co-Product"), Table1[[#This Row],[Resource]], "")</f>
        <v/>
      </c>
      <c r="P46" s="6" t="str">
        <f>IF(_xlfn.XLOOKUP($O46,'SI - End Use'!$B$2:$B$82,'SI - End Use'!$C$2:$C$82, "")="", "", _xlfn.XLOOKUP($C46,'SI - End Use'!$B$2:$B$82,'SI - End Use'!$C$2:$C$82, ""))</f>
        <v/>
      </c>
      <c r="Q46" s="6"/>
      <c r="R46" s="6"/>
    </row>
    <row r="47" spans="1:18" x14ac:dyDescent="0.35">
      <c r="A47" s="6"/>
      <c r="B47" s="6"/>
      <c r="C47" s="6" t="str">
        <f>_xlfn.XLOOKUP($B47,'SI - Resources'!$A$1:$J$1,'SI - Resources'!$A$2:$J$2, "")</f>
        <v/>
      </c>
      <c r="D47" s="6" t="str">
        <f>IF(_xlfn.XLOOKUP($C47,'SI - End Use'!$B$2:$B$82,'SI - End Use'!$C$2:$C$82, "")="", "", _xlfn.XLOOKUP($C47,'SI - End Use'!$B$2:$B$82,'SI - End Use'!$C$2:$C$82, ""))</f>
        <v/>
      </c>
      <c r="E47" s="13"/>
      <c r="F47" s="6" t="str" cm="1">
        <f t="array" ref="F47">IF($B47="Transportation",  'SI - Units'!$B$9:$B$9, _xlfn.XLOOKUP(_xlfn.XLOOKUP($C47,'SI - Units'!$B$24:$B$106,'SI - Units'!$C$24:$C$106, ""),'SI - Units'!$A$2:$A$8,'SI - Units'!$B$2:$B$8, ""))</f>
        <v/>
      </c>
      <c r="G47" s="27"/>
      <c r="H47" s="27"/>
      <c r="I47" s="31" t="str">
        <f>IF(Table1[[#This Row],[Type]]="Co-product", "No", "")</f>
        <v/>
      </c>
      <c r="J47" s="6"/>
      <c r="K47" s="6" t="str">
        <f>IF(Table1[[#This Row],[Category]]="Transportation", _xlfn.XLOOKUP(Table1[[#This Row],[Resource]], 'SI - Payload'!$A$10:$A$38,'SI - Payload'!$B$10:$B$38,"",0), "")</f>
        <v/>
      </c>
      <c r="L47" s="6" t="str">
        <f>IF(Table1[[#This Row],[Category]]="Transportation", "ton", "")</f>
        <v/>
      </c>
      <c r="M47" s="6"/>
      <c r="N47" s="6"/>
      <c r="O47" s="6" t="str">
        <f>IF(OR(Table1[[#This Row],[Type]]="Main Product", Table1[[#This Row],[Type]]="Co-Product"), Table1[[#This Row],[Resource]], "")</f>
        <v/>
      </c>
      <c r="P47" s="6" t="str">
        <f>IF(_xlfn.XLOOKUP($O47,'SI - End Use'!$B$2:$B$82,'SI - End Use'!$C$2:$C$82, "")="", "", _xlfn.XLOOKUP($C47,'SI - End Use'!$B$2:$B$82,'SI - End Use'!$C$2:$C$82, ""))</f>
        <v/>
      </c>
      <c r="Q47" s="6"/>
      <c r="R47" s="6"/>
    </row>
    <row r="48" spans="1:18" x14ac:dyDescent="0.35">
      <c r="A48" s="6"/>
      <c r="B48" s="6"/>
      <c r="C48" s="6" t="str">
        <f>_xlfn.XLOOKUP($B48,'SI - Resources'!$A$1:$J$1,'SI - Resources'!$A$2:$J$2, "")</f>
        <v/>
      </c>
      <c r="D48" s="6" t="str">
        <f>IF(_xlfn.XLOOKUP($C48,'SI - End Use'!$B$2:$B$82,'SI - End Use'!$C$2:$C$82, "")="", "", _xlfn.XLOOKUP($C48,'SI - End Use'!$B$2:$B$82,'SI - End Use'!$C$2:$C$82, ""))</f>
        <v/>
      </c>
      <c r="E48" s="13"/>
      <c r="F48" s="6" t="str" cm="1">
        <f t="array" ref="F48">IF($B48="Transportation",  'SI - Units'!$B$9:$B$9, _xlfn.XLOOKUP(_xlfn.XLOOKUP($C48,'SI - Units'!$B$24:$B$106,'SI - Units'!$C$24:$C$106, ""),'SI - Units'!$A$2:$A$8,'SI - Units'!$B$2:$B$8, ""))</f>
        <v/>
      </c>
      <c r="G48" s="27"/>
      <c r="H48" s="27"/>
      <c r="I48" s="31" t="str">
        <f>IF(Table1[[#This Row],[Type]]="Co-product", "No", "")</f>
        <v/>
      </c>
      <c r="J48" s="6"/>
      <c r="K48" s="6" t="str">
        <f>IF(Table1[[#This Row],[Category]]="Transportation", _xlfn.XLOOKUP(Table1[[#This Row],[Resource]], 'SI - Payload'!$A$10:$A$38,'SI - Payload'!$B$10:$B$38,"",0), "")</f>
        <v/>
      </c>
      <c r="L48" s="6" t="str">
        <f>IF(Table1[[#This Row],[Category]]="Transportation", "ton", "")</f>
        <v/>
      </c>
      <c r="M48" s="6"/>
      <c r="N48" s="6"/>
      <c r="O48" s="6" t="str">
        <f>IF(OR(Table1[[#This Row],[Type]]="Main Product", Table1[[#This Row],[Type]]="Co-Product"), Table1[[#This Row],[Resource]], "")</f>
        <v/>
      </c>
      <c r="P48" s="6" t="str">
        <f>IF(_xlfn.XLOOKUP($O48,'SI - End Use'!$B$2:$B$82,'SI - End Use'!$C$2:$C$82, "")="", "", _xlfn.XLOOKUP($C48,'SI - End Use'!$B$2:$B$82,'SI - End Use'!$C$2:$C$82, ""))</f>
        <v/>
      </c>
      <c r="Q48" s="6"/>
      <c r="R48" s="6"/>
    </row>
    <row r="49" spans="1:18" x14ac:dyDescent="0.35">
      <c r="A49" s="6"/>
      <c r="B49" s="6"/>
      <c r="C49" s="6" t="str">
        <f>_xlfn.XLOOKUP($B49,'SI - Resources'!$A$1:$J$1,'SI - Resources'!$A$2:$J$2, "")</f>
        <v/>
      </c>
      <c r="D49" s="6" t="str">
        <f>IF(_xlfn.XLOOKUP($C49,'SI - End Use'!$B$2:$B$82,'SI - End Use'!$C$2:$C$82, "")="", "", _xlfn.XLOOKUP($C49,'SI - End Use'!$B$2:$B$82,'SI - End Use'!$C$2:$C$82, ""))</f>
        <v/>
      </c>
      <c r="E49" s="13"/>
      <c r="F49" s="6" t="str" cm="1">
        <f t="array" ref="F49">IF($B49="Transportation",  'SI - Units'!$B$9:$B$9, _xlfn.XLOOKUP(_xlfn.XLOOKUP($C49,'SI - Units'!$B$24:$B$106,'SI - Units'!$C$24:$C$106, ""),'SI - Units'!$A$2:$A$8,'SI - Units'!$B$2:$B$8, ""))</f>
        <v/>
      </c>
      <c r="G49" s="27"/>
      <c r="H49" s="27"/>
      <c r="I49" s="31" t="str">
        <f>IF(Table1[[#This Row],[Type]]="Co-product", "No", "")</f>
        <v/>
      </c>
      <c r="J49" s="6"/>
      <c r="K49" s="6" t="str">
        <f>IF(Table1[[#This Row],[Category]]="Transportation", _xlfn.XLOOKUP(Table1[[#This Row],[Resource]], 'SI - Payload'!$A$10:$A$38,'SI - Payload'!$B$10:$B$38,"",0), "")</f>
        <v/>
      </c>
      <c r="L49" s="6" t="str">
        <f>IF(Table1[[#This Row],[Category]]="Transportation", "ton", "")</f>
        <v/>
      </c>
      <c r="M49" s="6"/>
      <c r="N49" s="6"/>
      <c r="O49" s="6" t="str">
        <f>IF(OR(Table1[[#This Row],[Type]]="Main Product", Table1[[#This Row],[Type]]="Co-Product"), Table1[[#This Row],[Resource]], "")</f>
        <v/>
      </c>
      <c r="P49" s="6" t="str">
        <f>IF(_xlfn.XLOOKUP($O49,'SI - End Use'!$B$2:$B$82,'SI - End Use'!$C$2:$C$82, "")="", "", _xlfn.XLOOKUP($C49,'SI - End Use'!$B$2:$B$82,'SI - End Use'!$C$2:$C$82, ""))</f>
        <v/>
      </c>
      <c r="Q49" s="6"/>
      <c r="R49" s="6"/>
    </row>
    <row r="50" spans="1:18" x14ac:dyDescent="0.35">
      <c r="A50" s="6"/>
      <c r="B50" s="6"/>
      <c r="C50" s="6" t="str">
        <f>_xlfn.XLOOKUP($B50,'SI - Resources'!$A$1:$J$1,'SI - Resources'!$A$2:$J$2, "")</f>
        <v/>
      </c>
      <c r="D50" s="6" t="str">
        <f>IF(_xlfn.XLOOKUP($C50,'SI - End Use'!$B$2:$B$82,'SI - End Use'!$C$2:$C$82, "")="", "", _xlfn.XLOOKUP($C50,'SI - End Use'!$B$2:$B$82,'SI - End Use'!$C$2:$C$82, ""))</f>
        <v/>
      </c>
      <c r="E50" s="13"/>
      <c r="F50" s="6" t="str" cm="1">
        <f t="array" ref="F50">IF($B50="Transportation",  'SI - Units'!$B$9:$B$9, _xlfn.XLOOKUP(_xlfn.XLOOKUP($C50,'SI - Units'!$B$24:$B$106,'SI - Units'!$C$24:$C$106, ""),'SI - Units'!$A$2:$A$8,'SI - Units'!$B$2:$B$8, ""))</f>
        <v/>
      </c>
      <c r="G50" s="27"/>
      <c r="H50" s="27"/>
      <c r="I50" s="31" t="str">
        <f>IF(Table1[[#This Row],[Type]]="Co-product", "No", "")</f>
        <v/>
      </c>
      <c r="J50" s="6"/>
      <c r="K50" s="6" t="str">
        <f>IF(Table1[[#This Row],[Category]]="Transportation", _xlfn.XLOOKUP(Table1[[#This Row],[Resource]], 'SI - Payload'!$A$10:$A$38,'SI - Payload'!$B$10:$B$38,"",0), "")</f>
        <v/>
      </c>
      <c r="L50" s="6" t="str">
        <f>IF(Table1[[#This Row],[Category]]="Transportation", "ton", "")</f>
        <v/>
      </c>
      <c r="M50" s="6"/>
      <c r="N50" s="6"/>
      <c r="O50" s="6" t="str">
        <f>IF(OR(Table1[[#This Row],[Type]]="Main Product", Table1[[#This Row],[Type]]="Co-Product"), Table1[[#This Row],[Resource]], "")</f>
        <v/>
      </c>
      <c r="P50" s="6" t="str">
        <f>IF(_xlfn.XLOOKUP($O50,'SI - End Use'!$B$2:$B$82,'SI - End Use'!$C$2:$C$82, "")="", "", _xlfn.XLOOKUP($C50,'SI - End Use'!$B$2:$B$82,'SI - End Use'!$C$2:$C$82, ""))</f>
        <v/>
      </c>
      <c r="Q50" s="6"/>
      <c r="R50" s="6"/>
    </row>
    <row r="51" spans="1:18" x14ac:dyDescent="0.35">
      <c r="A51" s="6"/>
      <c r="B51" s="6"/>
      <c r="C51" s="6" t="str">
        <f>_xlfn.XLOOKUP($B51,'SI - Resources'!$A$1:$J$1,'SI - Resources'!$A$2:$J$2, "")</f>
        <v/>
      </c>
      <c r="D51" s="6" t="str">
        <f>IF(_xlfn.XLOOKUP($C51,'SI - End Use'!$B$2:$B$82,'SI - End Use'!$C$2:$C$82, "")="", "", _xlfn.XLOOKUP($C51,'SI - End Use'!$B$2:$B$82,'SI - End Use'!$C$2:$C$82, ""))</f>
        <v/>
      </c>
      <c r="E51" s="13"/>
      <c r="F51" s="6" t="str" cm="1">
        <f t="array" ref="F51">IF($B51="Transportation",  'SI - Units'!$B$9:$B$9, _xlfn.XLOOKUP(_xlfn.XLOOKUP($C51,'SI - Units'!$B$24:$B$106,'SI - Units'!$C$24:$C$106, ""),'SI - Units'!$A$2:$A$8,'SI - Units'!$B$2:$B$8, ""))</f>
        <v/>
      </c>
      <c r="G51" s="27"/>
      <c r="H51" s="27"/>
      <c r="I51" s="31" t="str">
        <f>IF(Table1[[#This Row],[Type]]="Co-product", "No", "")</f>
        <v/>
      </c>
      <c r="J51" s="6"/>
      <c r="K51" s="6" t="str">
        <f>IF(Table1[[#This Row],[Category]]="Transportation", _xlfn.XLOOKUP(Table1[[#This Row],[Resource]], 'SI - Payload'!$A$10:$A$38,'SI - Payload'!$B$10:$B$38,"",0), "")</f>
        <v/>
      </c>
      <c r="L51" s="6" t="str">
        <f>IF(Table1[[#This Row],[Category]]="Transportation", "ton", "")</f>
        <v/>
      </c>
      <c r="M51" s="6"/>
      <c r="N51" s="6"/>
      <c r="O51" s="6" t="str">
        <f>IF(OR(Table1[[#This Row],[Type]]="Main Product", Table1[[#This Row],[Type]]="Co-Product"), Table1[[#This Row],[Resource]], "")</f>
        <v/>
      </c>
      <c r="P51" s="6" t="str">
        <f>IF(_xlfn.XLOOKUP($O51,'SI - End Use'!$B$2:$B$82,'SI - End Use'!$C$2:$C$82, "")="", "", _xlfn.XLOOKUP($C51,'SI - End Use'!$B$2:$B$82,'SI - End Use'!$C$2:$C$82, ""))</f>
        <v/>
      </c>
      <c r="Q51" s="6"/>
      <c r="R51" s="6"/>
    </row>
    <row r="52" spans="1:18" x14ac:dyDescent="0.35">
      <c r="A52" s="6"/>
      <c r="B52" s="6"/>
      <c r="C52" s="6" t="str">
        <f>_xlfn.XLOOKUP($B52,'SI - Resources'!$A$1:$J$1,'SI - Resources'!$A$2:$J$2, "")</f>
        <v/>
      </c>
      <c r="D52" s="6" t="str">
        <f>IF(_xlfn.XLOOKUP($C52,'SI - End Use'!$B$2:$B$82,'SI - End Use'!$C$2:$C$82, "")="", "", _xlfn.XLOOKUP($C52,'SI - End Use'!$B$2:$B$82,'SI - End Use'!$C$2:$C$82, ""))</f>
        <v/>
      </c>
      <c r="E52" s="13"/>
      <c r="F52" s="6" t="str" cm="1">
        <f t="array" ref="F52">IF($B52="Transportation",  'SI - Units'!$B$9:$B$9, _xlfn.XLOOKUP(_xlfn.XLOOKUP($C52,'SI - Units'!$B$24:$B$106,'SI - Units'!$C$24:$C$106, ""),'SI - Units'!$A$2:$A$8,'SI - Units'!$B$2:$B$8, ""))</f>
        <v/>
      </c>
      <c r="G52" s="27"/>
      <c r="H52" s="27"/>
      <c r="I52" s="31" t="str">
        <f>IF(Table1[[#This Row],[Type]]="Co-product", "No", "")</f>
        <v/>
      </c>
      <c r="J52" s="6"/>
      <c r="K52" s="6" t="str">
        <f>IF(Table1[[#This Row],[Category]]="Transportation", _xlfn.XLOOKUP(Table1[[#This Row],[Resource]], 'SI - Payload'!$A$10:$A$38,'SI - Payload'!$B$10:$B$38,"",0), "")</f>
        <v/>
      </c>
      <c r="L52" s="6" t="str">
        <f>IF(Table1[[#This Row],[Category]]="Transportation", "ton", "")</f>
        <v/>
      </c>
      <c r="M52" s="6"/>
      <c r="N52" s="6"/>
      <c r="O52" s="6" t="str">
        <f>IF(OR(Table1[[#This Row],[Type]]="Main Product", Table1[[#This Row],[Type]]="Co-Product"), Table1[[#This Row],[Resource]], "")</f>
        <v/>
      </c>
      <c r="P52" s="6" t="str">
        <f>IF(_xlfn.XLOOKUP($O52,'SI - End Use'!$B$2:$B$82,'SI - End Use'!$C$2:$C$82, "")="", "", _xlfn.XLOOKUP($C52,'SI - End Use'!$B$2:$B$82,'SI - End Use'!$C$2:$C$82, ""))</f>
        <v/>
      </c>
      <c r="Q52" s="6"/>
      <c r="R52" s="6"/>
    </row>
    <row r="53" spans="1:18" x14ac:dyDescent="0.35">
      <c r="A53" s="6"/>
      <c r="B53" s="6"/>
      <c r="C53" s="6" t="str">
        <f>_xlfn.XLOOKUP($B53,'SI - Resources'!$A$1:$J$1,'SI - Resources'!$A$2:$J$2, "")</f>
        <v/>
      </c>
      <c r="D53" s="6" t="str">
        <f>IF(_xlfn.XLOOKUP($C53,'SI - End Use'!$B$2:$B$82,'SI - End Use'!$C$2:$C$82, "")="", "", _xlfn.XLOOKUP($C53,'SI - End Use'!$B$2:$B$82,'SI - End Use'!$C$2:$C$82, ""))</f>
        <v/>
      </c>
      <c r="E53" s="13"/>
      <c r="F53" s="6" t="str" cm="1">
        <f t="array" ref="F53">IF($B53="Transportation",  'SI - Units'!$B$9:$B$9, _xlfn.XLOOKUP(_xlfn.XLOOKUP($C53,'SI - Units'!$B$24:$B$106,'SI - Units'!$C$24:$C$106, ""),'SI - Units'!$A$2:$A$8,'SI - Units'!$B$2:$B$8, ""))</f>
        <v/>
      </c>
      <c r="G53" s="27"/>
      <c r="H53" s="27"/>
      <c r="I53" s="31" t="str">
        <f>IF(Table1[[#This Row],[Type]]="Co-product", "No", "")</f>
        <v/>
      </c>
      <c r="J53" s="6"/>
      <c r="K53" s="6" t="str">
        <f>IF(Table1[[#This Row],[Category]]="Transportation", _xlfn.XLOOKUP(Table1[[#This Row],[Resource]], 'SI - Payload'!$A$10:$A$38,'SI - Payload'!$B$10:$B$38,"",0), "")</f>
        <v/>
      </c>
      <c r="L53" s="6" t="str">
        <f>IF(Table1[[#This Row],[Category]]="Transportation", "ton", "")</f>
        <v/>
      </c>
      <c r="M53" s="6"/>
      <c r="N53" s="6"/>
      <c r="O53" s="6" t="str">
        <f>IF(OR(Table1[[#This Row],[Type]]="Main Product", Table1[[#This Row],[Type]]="Co-Product"), Table1[[#This Row],[Resource]], "")</f>
        <v/>
      </c>
      <c r="P53" s="6" t="str">
        <f>IF(_xlfn.XLOOKUP($O53,'SI - End Use'!$B$2:$B$82,'SI - End Use'!$C$2:$C$82, "")="", "", _xlfn.XLOOKUP($C53,'SI - End Use'!$B$2:$B$82,'SI - End Use'!$C$2:$C$82, ""))</f>
        <v/>
      </c>
      <c r="Q53" s="6"/>
      <c r="R53" s="6"/>
    </row>
    <row r="54" spans="1:18" x14ac:dyDescent="0.35">
      <c r="A54" s="6"/>
      <c r="B54" s="6"/>
      <c r="C54" s="6" t="str">
        <f>_xlfn.XLOOKUP($B54,'SI - Resources'!$A$1:$J$1,'SI - Resources'!$A$2:$J$2, "")</f>
        <v/>
      </c>
      <c r="D54" s="6" t="str">
        <f>IF(_xlfn.XLOOKUP($C54,'SI - End Use'!$B$2:$B$82,'SI - End Use'!$C$2:$C$82, "")="", "", _xlfn.XLOOKUP($C54,'SI - End Use'!$B$2:$B$82,'SI - End Use'!$C$2:$C$82, ""))</f>
        <v/>
      </c>
      <c r="E54" s="13"/>
      <c r="F54" s="6" t="str" cm="1">
        <f t="array" ref="F54">IF($B54="Transportation",  'SI - Units'!$B$9:$B$9, _xlfn.XLOOKUP(_xlfn.XLOOKUP($C54,'SI - Units'!$B$24:$B$106,'SI - Units'!$C$24:$C$106, ""),'SI - Units'!$A$2:$A$8,'SI - Units'!$B$2:$B$8, ""))</f>
        <v/>
      </c>
      <c r="G54" s="27"/>
      <c r="H54" s="27"/>
      <c r="I54" s="31" t="str">
        <f>IF(Table1[[#This Row],[Type]]="Co-product", "No", "")</f>
        <v/>
      </c>
      <c r="J54" s="6"/>
      <c r="K54" s="6" t="str">
        <f>IF(Table1[[#This Row],[Category]]="Transportation", _xlfn.XLOOKUP(Table1[[#This Row],[Resource]], 'SI - Payload'!$A$10:$A$38,'SI - Payload'!$B$10:$B$38,"",0), "")</f>
        <v/>
      </c>
      <c r="L54" s="6" t="str">
        <f>IF(Table1[[#This Row],[Category]]="Transportation", "ton", "")</f>
        <v/>
      </c>
      <c r="M54" s="6"/>
      <c r="N54" s="6"/>
      <c r="O54" s="6" t="str">
        <f>IF(OR(Table1[[#This Row],[Type]]="Main Product", Table1[[#This Row],[Type]]="Co-Product"), Table1[[#This Row],[Resource]], "")</f>
        <v/>
      </c>
      <c r="P54" s="6" t="str">
        <f>IF(_xlfn.XLOOKUP($O54,'SI - End Use'!$B$2:$B$82,'SI - End Use'!$C$2:$C$82, "")="", "", _xlfn.XLOOKUP($C54,'SI - End Use'!$B$2:$B$82,'SI - End Use'!$C$2:$C$82, ""))</f>
        <v/>
      </c>
      <c r="Q54" s="6"/>
      <c r="R54" s="6"/>
    </row>
    <row r="55" spans="1:18" x14ac:dyDescent="0.35">
      <c r="A55" s="6"/>
      <c r="B55" s="6"/>
      <c r="C55" s="6" t="str">
        <f>_xlfn.XLOOKUP($B55,'SI - Resources'!$A$1:$J$1,'SI - Resources'!$A$2:$J$2, "")</f>
        <v/>
      </c>
      <c r="D55" s="6" t="str">
        <f>IF(_xlfn.XLOOKUP($C55,'SI - End Use'!$B$2:$B$82,'SI - End Use'!$C$2:$C$82, "")="", "", _xlfn.XLOOKUP($C55,'SI - End Use'!$B$2:$B$82,'SI - End Use'!$C$2:$C$82, ""))</f>
        <v/>
      </c>
      <c r="E55" s="13"/>
      <c r="F55" s="6" t="str" cm="1">
        <f t="array" ref="F55">IF($B55="Transportation",  'SI - Units'!$B$9:$B$9, _xlfn.XLOOKUP(_xlfn.XLOOKUP($C55,'SI - Units'!$B$24:$B$106,'SI - Units'!$C$24:$C$106, ""),'SI - Units'!$A$2:$A$8,'SI - Units'!$B$2:$B$8, ""))</f>
        <v/>
      </c>
      <c r="G55" s="27"/>
      <c r="H55" s="27"/>
      <c r="I55" s="31" t="str">
        <f>IF(Table1[[#This Row],[Type]]="Co-product", "No", "")</f>
        <v/>
      </c>
      <c r="J55" s="6"/>
      <c r="K55" s="6" t="str">
        <f>IF(Table1[[#This Row],[Category]]="Transportation", _xlfn.XLOOKUP(Table1[[#This Row],[Resource]], 'SI - Payload'!$A$10:$A$38,'SI - Payload'!$B$10:$B$38,"",0), "")</f>
        <v/>
      </c>
      <c r="L55" s="6" t="str">
        <f>IF(Table1[[#This Row],[Category]]="Transportation", "ton", "")</f>
        <v/>
      </c>
      <c r="M55" s="6"/>
      <c r="N55" s="6"/>
      <c r="O55" s="6" t="str">
        <f>IF(OR(Table1[[#This Row],[Type]]="Main Product", Table1[[#This Row],[Type]]="Co-Product"), Table1[[#This Row],[Resource]], "")</f>
        <v/>
      </c>
      <c r="P55" s="6" t="str">
        <f>IF(_xlfn.XLOOKUP($O55,'SI - End Use'!$B$2:$B$82,'SI - End Use'!$C$2:$C$82, "")="", "", _xlfn.XLOOKUP($C55,'SI - End Use'!$B$2:$B$82,'SI - End Use'!$C$2:$C$82, ""))</f>
        <v/>
      </c>
      <c r="Q55" s="6"/>
      <c r="R55" s="6"/>
    </row>
    <row r="56" spans="1:18" x14ac:dyDescent="0.35">
      <c r="A56" s="6"/>
      <c r="B56" s="6"/>
      <c r="C56" s="6" t="str">
        <f>_xlfn.XLOOKUP($B56,'SI - Resources'!$A$1:$J$1,'SI - Resources'!$A$2:$J$2, "")</f>
        <v/>
      </c>
      <c r="D56" s="6" t="str">
        <f>IF(_xlfn.XLOOKUP($C56,'SI - End Use'!$B$2:$B$82,'SI - End Use'!$C$2:$C$82, "")="", "", _xlfn.XLOOKUP($C56,'SI - End Use'!$B$2:$B$82,'SI - End Use'!$C$2:$C$82, ""))</f>
        <v/>
      </c>
      <c r="E56" s="13"/>
      <c r="F56" s="6" t="str" cm="1">
        <f t="array" ref="F56">IF($B56="Transportation",  'SI - Units'!$B$9:$B$9, _xlfn.XLOOKUP(_xlfn.XLOOKUP($C56,'SI - Units'!$B$24:$B$106,'SI - Units'!$C$24:$C$106, ""),'SI - Units'!$A$2:$A$8,'SI - Units'!$B$2:$B$8, ""))</f>
        <v/>
      </c>
      <c r="G56" s="27"/>
      <c r="H56" s="27"/>
      <c r="I56" s="31" t="str">
        <f>IF(Table1[[#This Row],[Type]]="Co-product", "No", "")</f>
        <v/>
      </c>
      <c r="J56" s="6"/>
      <c r="K56" s="6" t="str">
        <f>IF(Table1[[#This Row],[Category]]="Transportation", _xlfn.XLOOKUP(Table1[[#This Row],[Resource]], 'SI - Payload'!$A$10:$A$38,'SI - Payload'!$B$10:$B$38,"",0), "")</f>
        <v/>
      </c>
      <c r="L56" s="6" t="str">
        <f>IF(Table1[[#This Row],[Category]]="Transportation", "ton", "")</f>
        <v/>
      </c>
      <c r="M56" s="6"/>
      <c r="N56" s="6"/>
      <c r="O56" s="6" t="str">
        <f>IF(OR(Table1[[#This Row],[Type]]="Main Product", Table1[[#This Row],[Type]]="Co-Product"), Table1[[#This Row],[Resource]], "")</f>
        <v/>
      </c>
      <c r="P56" s="6" t="str">
        <f>IF(_xlfn.XLOOKUP($O56,'SI - End Use'!$B$2:$B$82,'SI - End Use'!$C$2:$C$82, "")="", "", _xlfn.XLOOKUP($C56,'SI - End Use'!$B$2:$B$82,'SI - End Use'!$C$2:$C$82, ""))</f>
        <v/>
      </c>
      <c r="Q56" s="6"/>
      <c r="R56" s="6"/>
    </row>
    <row r="57" spans="1:18" x14ac:dyDescent="0.35">
      <c r="A57" s="6"/>
      <c r="B57" s="6"/>
      <c r="C57" s="6" t="str">
        <f>_xlfn.XLOOKUP($B57,'SI - Resources'!$A$1:$J$1,'SI - Resources'!$A$2:$J$2, "")</f>
        <v/>
      </c>
      <c r="D57" s="6" t="str">
        <f>IF(_xlfn.XLOOKUP($C57,'SI - End Use'!$B$2:$B$82,'SI - End Use'!$C$2:$C$82, "")="", "", _xlfn.XLOOKUP($C57,'SI - End Use'!$B$2:$B$82,'SI - End Use'!$C$2:$C$82, ""))</f>
        <v/>
      </c>
      <c r="E57" s="13"/>
      <c r="F57" s="6" t="str" cm="1">
        <f t="array" ref="F57">IF($B57="Transportation",  'SI - Units'!$B$9:$B$9, _xlfn.XLOOKUP(_xlfn.XLOOKUP($C57,'SI - Units'!$B$24:$B$106,'SI - Units'!$C$24:$C$106, ""),'SI - Units'!$A$2:$A$8,'SI - Units'!$B$2:$B$8, ""))</f>
        <v/>
      </c>
      <c r="G57" s="27"/>
      <c r="H57" s="27"/>
      <c r="I57" s="31" t="str">
        <f>IF(Table1[[#This Row],[Type]]="Co-product", "No", "")</f>
        <v/>
      </c>
      <c r="J57" s="6"/>
      <c r="K57" s="6" t="str">
        <f>IF(Table1[[#This Row],[Category]]="Transportation", _xlfn.XLOOKUP(Table1[[#This Row],[Resource]], 'SI - Payload'!$A$10:$A$38,'SI - Payload'!$B$10:$B$38,"",0), "")</f>
        <v/>
      </c>
      <c r="L57" s="6" t="str">
        <f>IF(Table1[[#This Row],[Category]]="Transportation", "ton", "")</f>
        <v/>
      </c>
      <c r="M57" s="6"/>
      <c r="N57" s="6"/>
      <c r="O57" s="6" t="str">
        <f>IF(OR(Table1[[#This Row],[Type]]="Main Product", Table1[[#This Row],[Type]]="Co-Product"), Table1[[#This Row],[Resource]], "")</f>
        <v/>
      </c>
      <c r="P57" s="6" t="str">
        <f>IF(_xlfn.XLOOKUP($O57,'SI - End Use'!$B$2:$B$82,'SI - End Use'!$C$2:$C$82, "")="", "", _xlfn.XLOOKUP($C57,'SI - End Use'!$B$2:$B$82,'SI - End Use'!$C$2:$C$82, ""))</f>
        <v/>
      </c>
      <c r="Q57" s="6"/>
      <c r="R57" s="6"/>
    </row>
    <row r="58" spans="1:18" x14ac:dyDescent="0.35">
      <c r="A58" s="6"/>
      <c r="B58" s="6"/>
      <c r="C58" s="6" t="str">
        <f>_xlfn.XLOOKUP($B58,'SI - Resources'!$A$1:$J$1,'SI - Resources'!$A$2:$J$2, "")</f>
        <v/>
      </c>
      <c r="D58" s="6" t="str">
        <f>IF(_xlfn.XLOOKUP($C58,'SI - End Use'!$B$2:$B$82,'SI - End Use'!$C$2:$C$82, "")="", "", _xlfn.XLOOKUP($C58,'SI - End Use'!$B$2:$B$82,'SI - End Use'!$C$2:$C$82, ""))</f>
        <v/>
      </c>
      <c r="E58" s="13"/>
      <c r="F58" s="6" t="str" cm="1">
        <f t="array" ref="F58">IF($B58="Transportation",  'SI - Units'!$B$9:$B$9, _xlfn.XLOOKUP(_xlfn.XLOOKUP($C58,'SI - Units'!$B$24:$B$106,'SI - Units'!$C$24:$C$106, ""),'SI - Units'!$A$2:$A$8,'SI - Units'!$B$2:$B$8, ""))</f>
        <v/>
      </c>
      <c r="G58" s="27"/>
      <c r="H58" s="27"/>
      <c r="I58" s="31" t="str">
        <f>IF(Table1[[#This Row],[Type]]="Co-product", "No", "")</f>
        <v/>
      </c>
      <c r="J58" s="6"/>
      <c r="K58" s="6" t="str">
        <f>IF(Table1[[#This Row],[Category]]="Transportation", _xlfn.XLOOKUP(Table1[[#This Row],[Resource]], 'SI - Payload'!$A$10:$A$38,'SI - Payload'!$B$10:$B$38,"",0), "")</f>
        <v/>
      </c>
      <c r="L58" s="6" t="str">
        <f>IF(Table1[[#This Row],[Category]]="Transportation", "ton", "")</f>
        <v/>
      </c>
      <c r="M58" s="6"/>
      <c r="N58" s="6"/>
      <c r="O58" s="6" t="str">
        <f>IF(OR(Table1[[#This Row],[Type]]="Main Product", Table1[[#This Row],[Type]]="Co-Product"), Table1[[#This Row],[Resource]], "")</f>
        <v/>
      </c>
      <c r="P58" s="6" t="str">
        <f>IF(_xlfn.XLOOKUP($O58,'SI - End Use'!$B$2:$B$82,'SI - End Use'!$C$2:$C$82, "")="", "", _xlfn.XLOOKUP($C58,'SI - End Use'!$B$2:$B$82,'SI - End Use'!$C$2:$C$82, ""))</f>
        <v/>
      </c>
      <c r="Q58" s="6"/>
      <c r="R58" s="6"/>
    </row>
    <row r="59" spans="1:18" x14ac:dyDescent="0.35">
      <c r="A59" s="6"/>
      <c r="B59" s="6"/>
      <c r="C59" s="6" t="str">
        <f>_xlfn.XLOOKUP($B59,'SI - Resources'!$A$1:$J$1,'SI - Resources'!$A$2:$J$2, "")</f>
        <v/>
      </c>
      <c r="D59" s="6" t="str">
        <f>IF(_xlfn.XLOOKUP($C59,'SI - End Use'!$B$2:$B$82,'SI - End Use'!$C$2:$C$82, "")="", "", _xlfn.XLOOKUP($C59,'SI - End Use'!$B$2:$B$82,'SI - End Use'!$C$2:$C$82, ""))</f>
        <v/>
      </c>
      <c r="E59" s="13"/>
      <c r="F59" s="6" t="str" cm="1">
        <f t="array" ref="F59">IF($B59="Transportation",  'SI - Units'!$B$9:$B$9, _xlfn.XLOOKUP(_xlfn.XLOOKUP($C59,'SI - Units'!$B$24:$B$106,'SI - Units'!$C$24:$C$106, ""),'SI - Units'!$A$2:$A$8,'SI - Units'!$B$2:$B$8, ""))</f>
        <v/>
      </c>
      <c r="G59" s="27"/>
      <c r="H59" s="27"/>
      <c r="I59" s="31" t="str">
        <f>IF(Table1[[#This Row],[Type]]="Co-product", "No", "")</f>
        <v/>
      </c>
      <c r="J59" s="6"/>
      <c r="K59" s="6" t="str">
        <f>IF(Table1[[#This Row],[Category]]="Transportation", _xlfn.XLOOKUP(Table1[[#This Row],[Resource]], 'SI - Payload'!$A$10:$A$38,'SI - Payload'!$B$10:$B$38,"",0), "")</f>
        <v/>
      </c>
      <c r="L59" s="6" t="str">
        <f>IF(Table1[[#This Row],[Category]]="Transportation", "ton", "")</f>
        <v/>
      </c>
      <c r="M59" s="6"/>
      <c r="N59" s="6"/>
      <c r="O59" s="6" t="str">
        <f>IF(OR(Table1[[#This Row],[Type]]="Main Product", Table1[[#This Row],[Type]]="Co-Product"), Table1[[#This Row],[Resource]], "")</f>
        <v/>
      </c>
      <c r="P59" s="6" t="str">
        <f>IF(_xlfn.XLOOKUP($O59,'SI - End Use'!$B$2:$B$82,'SI - End Use'!$C$2:$C$82, "")="", "", _xlfn.XLOOKUP($C59,'SI - End Use'!$B$2:$B$82,'SI - End Use'!$C$2:$C$82, ""))</f>
        <v/>
      </c>
      <c r="Q59" s="6"/>
      <c r="R59" s="6"/>
    </row>
    <row r="60" spans="1:18" x14ac:dyDescent="0.35">
      <c r="A60" s="6"/>
      <c r="B60" s="6"/>
      <c r="C60" s="6" t="str">
        <f>_xlfn.XLOOKUP($B60,'SI - Resources'!$A$1:$J$1,'SI - Resources'!$A$2:$J$2, "")</f>
        <v/>
      </c>
      <c r="D60" s="6" t="str">
        <f>IF(_xlfn.XLOOKUP($C60,'SI - End Use'!$B$2:$B$82,'SI - End Use'!$C$2:$C$82, "")="", "", _xlfn.XLOOKUP($C60,'SI - End Use'!$B$2:$B$82,'SI - End Use'!$C$2:$C$82, ""))</f>
        <v/>
      </c>
      <c r="E60" s="13"/>
      <c r="F60" s="6" t="str" cm="1">
        <f t="array" ref="F60">IF($B60="Transportation",  'SI - Units'!$B$9:$B$9, _xlfn.XLOOKUP(_xlfn.XLOOKUP($C60,'SI - Units'!$B$24:$B$106,'SI - Units'!$C$24:$C$106, ""),'SI - Units'!$A$2:$A$8,'SI - Units'!$B$2:$B$8, ""))</f>
        <v/>
      </c>
      <c r="G60" s="27"/>
      <c r="H60" s="27"/>
      <c r="I60" s="31" t="str">
        <f>IF(Table1[[#This Row],[Type]]="Co-product", "No", "")</f>
        <v/>
      </c>
      <c r="J60" s="6"/>
      <c r="K60" s="6" t="str">
        <f>IF(Table1[[#This Row],[Category]]="Transportation", _xlfn.XLOOKUP(Table1[[#This Row],[Resource]], 'SI - Payload'!$A$10:$A$38,'SI - Payload'!$B$10:$B$38,"",0), "")</f>
        <v/>
      </c>
      <c r="L60" s="6" t="str">
        <f>IF(Table1[[#This Row],[Category]]="Transportation", "ton", "")</f>
        <v/>
      </c>
      <c r="M60" s="6"/>
      <c r="N60" s="6"/>
      <c r="O60" s="6" t="str">
        <f>IF(OR(Table1[[#This Row],[Type]]="Main Product", Table1[[#This Row],[Type]]="Co-Product"), Table1[[#This Row],[Resource]], "")</f>
        <v/>
      </c>
      <c r="P60" s="6" t="str">
        <f>IF(_xlfn.XLOOKUP($O60,'SI - End Use'!$B$2:$B$82,'SI - End Use'!$C$2:$C$82, "")="", "", _xlfn.XLOOKUP($C60,'SI - End Use'!$B$2:$B$82,'SI - End Use'!$C$2:$C$82, ""))</f>
        <v/>
      </c>
      <c r="Q60" s="6"/>
      <c r="R60" s="6"/>
    </row>
    <row r="61" spans="1:18" x14ac:dyDescent="0.35">
      <c r="A61" s="6"/>
      <c r="B61" s="6"/>
      <c r="C61" s="6" t="str">
        <f>_xlfn.XLOOKUP($B61,'SI - Resources'!$A$1:$J$1,'SI - Resources'!$A$2:$J$2, "")</f>
        <v/>
      </c>
      <c r="D61" s="6" t="str">
        <f>IF(_xlfn.XLOOKUP($C61,'SI - End Use'!$B$2:$B$82,'SI - End Use'!$C$2:$C$82, "")="", "", _xlfn.XLOOKUP($C61,'SI - End Use'!$B$2:$B$82,'SI - End Use'!$C$2:$C$82, ""))</f>
        <v/>
      </c>
      <c r="E61" s="13"/>
      <c r="F61" s="6" t="str" cm="1">
        <f t="array" ref="F61">IF($B61="Transportation",  'SI - Units'!$B$9:$B$9, _xlfn.XLOOKUP(_xlfn.XLOOKUP($C61,'SI - Units'!$B$24:$B$106,'SI - Units'!$C$24:$C$106, ""),'SI - Units'!$A$2:$A$8,'SI - Units'!$B$2:$B$8, ""))</f>
        <v/>
      </c>
      <c r="G61" s="27"/>
      <c r="H61" s="27"/>
      <c r="I61" s="31" t="str">
        <f>IF(Table1[[#This Row],[Type]]="Co-product", "No", "")</f>
        <v/>
      </c>
      <c r="J61" s="6"/>
      <c r="K61" s="6" t="str">
        <f>IF(Table1[[#This Row],[Category]]="Transportation", _xlfn.XLOOKUP(Table1[[#This Row],[Resource]], 'SI - Payload'!$A$10:$A$38,'SI - Payload'!$B$10:$B$38,"",0), "")</f>
        <v/>
      </c>
      <c r="L61" s="6" t="str">
        <f>IF(Table1[[#This Row],[Category]]="Transportation", "ton", "")</f>
        <v/>
      </c>
      <c r="M61" s="6"/>
      <c r="N61" s="6"/>
      <c r="O61" s="6" t="str">
        <f>IF(OR(Table1[[#This Row],[Type]]="Main Product", Table1[[#This Row],[Type]]="Co-Product"), Table1[[#This Row],[Resource]], "")</f>
        <v/>
      </c>
      <c r="P61" s="6" t="str">
        <f>IF(_xlfn.XLOOKUP($O61,'SI - End Use'!$B$2:$B$82,'SI - End Use'!$C$2:$C$82, "")="", "", _xlfn.XLOOKUP($C61,'SI - End Use'!$B$2:$B$82,'SI - End Use'!$C$2:$C$82, ""))</f>
        <v/>
      </c>
      <c r="Q61" s="6"/>
      <c r="R61" s="6"/>
    </row>
    <row r="62" spans="1:18" x14ac:dyDescent="0.35">
      <c r="A62" s="6"/>
      <c r="B62" s="6"/>
      <c r="C62" s="6" t="str">
        <f>_xlfn.XLOOKUP($B62,'SI - Resources'!$A$1:$J$1,'SI - Resources'!$A$2:$J$2, "")</f>
        <v/>
      </c>
      <c r="D62" s="6" t="str">
        <f>IF(_xlfn.XLOOKUP($C62,'SI - End Use'!$B$2:$B$82,'SI - End Use'!$C$2:$C$82, "")="", "", _xlfn.XLOOKUP($C62,'SI - End Use'!$B$2:$B$82,'SI - End Use'!$C$2:$C$82, ""))</f>
        <v/>
      </c>
      <c r="E62" s="13"/>
      <c r="F62" s="6" t="str" cm="1">
        <f t="array" ref="F62">IF($B62="Transportation",  'SI - Units'!$B$9:$B$9, _xlfn.XLOOKUP(_xlfn.XLOOKUP($C62,'SI - Units'!$B$24:$B$106,'SI - Units'!$C$24:$C$106, ""),'SI - Units'!$A$2:$A$8,'SI - Units'!$B$2:$B$8, ""))</f>
        <v/>
      </c>
      <c r="G62" s="27"/>
      <c r="H62" s="27"/>
      <c r="I62" s="31" t="str">
        <f>IF(Table1[[#This Row],[Type]]="Co-product", "No", "")</f>
        <v/>
      </c>
      <c r="J62" s="6"/>
      <c r="K62" s="6" t="str">
        <f>IF(Table1[[#This Row],[Category]]="Transportation", _xlfn.XLOOKUP(Table1[[#This Row],[Resource]], 'SI - Payload'!$A$10:$A$38,'SI - Payload'!$B$10:$B$38,"",0), "")</f>
        <v/>
      </c>
      <c r="L62" s="6" t="str">
        <f>IF(Table1[[#This Row],[Category]]="Transportation", "ton", "")</f>
        <v/>
      </c>
      <c r="M62" s="6"/>
      <c r="N62" s="6"/>
      <c r="O62" s="6" t="str">
        <f>IF(OR(Table1[[#This Row],[Type]]="Main Product", Table1[[#This Row],[Type]]="Co-Product"), Table1[[#This Row],[Resource]], "")</f>
        <v/>
      </c>
      <c r="P62" s="6" t="str">
        <f>IF(_xlfn.XLOOKUP($O62,'SI - End Use'!$B$2:$B$82,'SI - End Use'!$C$2:$C$82, "")="", "", _xlfn.XLOOKUP($C62,'SI - End Use'!$B$2:$B$82,'SI - End Use'!$C$2:$C$82, ""))</f>
        <v/>
      </c>
      <c r="Q62" s="6"/>
      <c r="R62" s="6"/>
    </row>
    <row r="63" spans="1:18" x14ac:dyDescent="0.35">
      <c r="A63" s="6"/>
      <c r="B63" s="6"/>
      <c r="C63" s="6" t="str">
        <f>_xlfn.XLOOKUP($B63,'SI - Resources'!$A$1:$J$1,'SI - Resources'!$A$2:$J$2, "")</f>
        <v/>
      </c>
      <c r="D63" s="6" t="str">
        <f>IF(_xlfn.XLOOKUP($C63,'SI - End Use'!$B$2:$B$82,'SI - End Use'!$C$2:$C$82, "")="", "", _xlfn.XLOOKUP($C63,'SI - End Use'!$B$2:$B$82,'SI - End Use'!$C$2:$C$82, ""))</f>
        <v/>
      </c>
      <c r="E63" s="13"/>
      <c r="F63" s="6" t="str" cm="1">
        <f t="array" ref="F63">IF($B63="Transportation",  'SI - Units'!$B$9:$B$9, _xlfn.XLOOKUP(_xlfn.XLOOKUP($C63,'SI - Units'!$B$24:$B$106,'SI - Units'!$C$24:$C$106, ""),'SI - Units'!$A$2:$A$8,'SI - Units'!$B$2:$B$8, ""))</f>
        <v/>
      </c>
      <c r="G63" s="27"/>
      <c r="H63" s="27"/>
      <c r="I63" s="31" t="str">
        <f>IF(Table1[[#This Row],[Type]]="Co-product", "No", "")</f>
        <v/>
      </c>
      <c r="J63" s="6"/>
      <c r="K63" s="6" t="str">
        <f>IF(Table1[[#This Row],[Category]]="Transportation", _xlfn.XLOOKUP(Table1[[#This Row],[Resource]], 'SI - Payload'!$A$10:$A$38,'SI - Payload'!$B$10:$B$38,"",0), "")</f>
        <v/>
      </c>
      <c r="L63" s="6" t="str">
        <f>IF(Table1[[#This Row],[Category]]="Transportation", "ton", "")</f>
        <v/>
      </c>
      <c r="M63" s="6"/>
      <c r="N63" s="6"/>
      <c r="O63" s="6" t="str">
        <f>IF(OR(Table1[[#This Row],[Type]]="Main Product", Table1[[#This Row],[Type]]="Co-Product"), Table1[[#This Row],[Resource]], "")</f>
        <v/>
      </c>
      <c r="P63" s="6" t="str">
        <f>IF(_xlfn.XLOOKUP($O63,'SI - End Use'!$B$2:$B$82,'SI - End Use'!$C$2:$C$82, "")="", "", _xlfn.XLOOKUP($C63,'SI - End Use'!$B$2:$B$82,'SI - End Use'!$C$2:$C$82, ""))</f>
        <v/>
      </c>
      <c r="Q63" s="6"/>
      <c r="R63" s="6"/>
    </row>
    <row r="64" spans="1:18" x14ac:dyDescent="0.35">
      <c r="A64" s="6"/>
      <c r="B64" s="6"/>
      <c r="C64" s="6" t="str">
        <f>_xlfn.XLOOKUP($B64,'SI - Resources'!$A$1:$J$1,'SI - Resources'!$A$2:$J$2, "")</f>
        <v/>
      </c>
      <c r="D64" s="6" t="str">
        <f>IF(_xlfn.XLOOKUP($C64,'SI - End Use'!$B$2:$B$82,'SI - End Use'!$C$2:$C$82, "")="", "", _xlfn.XLOOKUP($C64,'SI - End Use'!$B$2:$B$82,'SI - End Use'!$C$2:$C$82, ""))</f>
        <v/>
      </c>
      <c r="E64" s="13"/>
      <c r="F64" s="6" t="str" cm="1">
        <f t="array" ref="F64">IF($B64="Transportation",  'SI - Units'!$B$9:$B$9, _xlfn.XLOOKUP(_xlfn.XLOOKUP($C64,'SI - Units'!$B$24:$B$106,'SI - Units'!$C$24:$C$106, ""),'SI - Units'!$A$2:$A$8,'SI - Units'!$B$2:$B$8, ""))</f>
        <v/>
      </c>
      <c r="G64" s="27"/>
      <c r="H64" s="27"/>
      <c r="I64" s="31" t="str">
        <f>IF(Table1[[#This Row],[Type]]="Co-product", "No", "")</f>
        <v/>
      </c>
      <c r="J64" s="6"/>
      <c r="K64" s="6" t="str">
        <f>IF(Table1[[#This Row],[Category]]="Transportation", _xlfn.XLOOKUP(Table1[[#This Row],[Resource]], 'SI - Payload'!$A$10:$A$38,'SI - Payload'!$B$10:$B$38,"",0), "")</f>
        <v/>
      </c>
      <c r="L64" s="6" t="str">
        <f>IF(Table1[[#This Row],[Category]]="Transportation", "ton", "")</f>
        <v/>
      </c>
      <c r="M64" s="6"/>
      <c r="N64" s="6"/>
      <c r="O64" s="6" t="str">
        <f>IF(OR(Table1[[#This Row],[Type]]="Main Product", Table1[[#This Row],[Type]]="Co-Product"), Table1[[#This Row],[Resource]], "")</f>
        <v/>
      </c>
      <c r="P64" s="6" t="str">
        <f>IF(_xlfn.XLOOKUP($O64,'SI - End Use'!$B$2:$B$82,'SI - End Use'!$C$2:$C$82, "")="", "", _xlfn.XLOOKUP($C64,'SI - End Use'!$B$2:$B$82,'SI - End Use'!$C$2:$C$82, ""))</f>
        <v/>
      </c>
      <c r="Q64" s="6"/>
      <c r="R64" s="6"/>
    </row>
    <row r="65" spans="1:18" x14ac:dyDescent="0.35">
      <c r="A65" s="6"/>
      <c r="B65" s="6"/>
      <c r="C65" s="6" t="str">
        <f>_xlfn.XLOOKUP($B65,'SI - Resources'!$A$1:$J$1,'SI - Resources'!$A$2:$J$2, "")</f>
        <v/>
      </c>
      <c r="D65" s="6" t="str">
        <f>IF(_xlfn.XLOOKUP($C65,'SI - End Use'!$B$2:$B$82,'SI - End Use'!$C$2:$C$82, "")="", "", _xlfn.XLOOKUP($C65,'SI - End Use'!$B$2:$B$82,'SI - End Use'!$C$2:$C$82, ""))</f>
        <v/>
      </c>
      <c r="E65" s="13"/>
      <c r="F65" s="6" t="str" cm="1">
        <f t="array" ref="F65">IF($B65="Transportation",  'SI - Units'!$B$9:$B$9, _xlfn.XLOOKUP(_xlfn.XLOOKUP($C65,'SI - Units'!$B$24:$B$106,'SI - Units'!$C$24:$C$106, ""),'SI - Units'!$A$2:$A$8,'SI - Units'!$B$2:$B$8, ""))</f>
        <v/>
      </c>
      <c r="G65" s="27"/>
      <c r="H65" s="27"/>
      <c r="I65" s="31" t="str">
        <f>IF(Table1[[#This Row],[Type]]="Co-product", "No", "")</f>
        <v/>
      </c>
      <c r="J65" s="6"/>
      <c r="K65" s="6" t="str">
        <f>IF(Table1[[#This Row],[Category]]="Transportation", _xlfn.XLOOKUP(Table1[[#This Row],[Resource]], 'SI - Payload'!$A$10:$A$38,'SI - Payload'!$B$10:$B$38,"",0), "")</f>
        <v/>
      </c>
      <c r="L65" s="6" t="str">
        <f>IF(Table1[[#This Row],[Category]]="Transportation", "ton", "")</f>
        <v/>
      </c>
      <c r="M65" s="6"/>
      <c r="N65" s="6"/>
      <c r="O65" s="6" t="str">
        <f>IF(OR(Table1[[#This Row],[Type]]="Main Product", Table1[[#This Row],[Type]]="Co-Product"), Table1[[#This Row],[Resource]], "")</f>
        <v/>
      </c>
      <c r="P65" s="6" t="str">
        <f>IF(_xlfn.XLOOKUP($O65,'SI - End Use'!$B$2:$B$82,'SI - End Use'!$C$2:$C$82, "")="", "", _xlfn.XLOOKUP($C65,'SI - End Use'!$B$2:$B$82,'SI - End Use'!$C$2:$C$82, ""))</f>
        <v/>
      </c>
      <c r="Q65" s="6"/>
      <c r="R65" s="6"/>
    </row>
    <row r="66" spans="1:18" x14ac:dyDescent="0.35">
      <c r="A66" s="6"/>
      <c r="B66" s="6"/>
      <c r="C66" s="6" t="str">
        <f>_xlfn.XLOOKUP($B66,'SI - Resources'!$A$1:$J$1,'SI - Resources'!$A$2:$J$2, "")</f>
        <v/>
      </c>
      <c r="D66" s="6" t="str">
        <f>IF(_xlfn.XLOOKUP($C66,'SI - End Use'!$B$2:$B$82,'SI - End Use'!$C$2:$C$82, "")="", "", _xlfn.XLOOKUP($C66,'SI - End Use'!$B$2:$B$82,'SI - End Use'!$C$2:$C$82, ""))</f>
        <v/>
      </c>
      <c r="E66" s="13"/>
      <c r="F66" s="6" t="str" cm="1">
        <f t="array" ref="F66">IF($B66="Transportation",  'SI - Units'!$B$9:$B$9, _xlfn.XLOOKUP(_xlfn.XLOOKUP($C66,'SI - Units'!$B$24:$B$106,'SI - Units'!$C$24:$C$106, ""),'SI - Units'!$A$2:$A$8,'SI - Units'!$B$2:$B$8, ""))</f>
        <v/>
      </c>
      <c r="G66" s="27"/>
      <c r="H66" s="27"/>
      <c r="I66" s="31" t="str">
        <f>IF(Table1[[#This Row],[Type]]="Co-product", "No", "")</f>
        <v/>
      </c>
      <c r="J66" s="6"/>
      <c r="K66" s="6" t="str">
        <f>IF(Table1[[#This Row],[Category]]="Transportation", _xlfn.XLOOKUP(Table1[[#This Row],[Resource]], 'SI - Payload'!$A$10:$A$38,'SI - Payload'!$B$10:$B$38,"",0), "")</f>
        <v/>
      </c>
      <c r="L66" s="6" t="str">
        <f>IF(Table1[[#This Row],[Category]]="Transportation", "ton", "")</f>
        <v/>
      </c>
      <c r="M66" s="6"/>
      <c r="N66" s="6"/>
      <c r="O66" s="6" t="str">
        <f>IF(OR(Table1[[#This Row],[Type]]="Main Product", Table1[[#This Row],[Type]]="Co-Product"), Table1[[#This Row],[Resource]], "")</f>
        <v/>
      </c>
      <c r="P66" s="6" t="str">
        <f>IF(_xlfn.XLOOKUP($O66,'SI - End Use'!$B$2:$B$82,'SI - End Use'!$C$2:$C$82, "")="", "", _xlfn.XLOOKUP($C66,'SI - End Use'!$B$2:$B$82,'SI - End Use'!$C$2:$C$82, ""))</f>
        <v/>
      </c>
      <c r="Q66" s="6"/>
      <c r="R66" s="6"/>
    </row>
    <row r="67" spans="1:18" x14ac:dyDescent="0.35">
      <c r="A67" s="6"/>
      <c r="B67" s="6"/>
      <c r="C67" s="6" t="str">
        <f>_xlfn.XLOOKUP($B67,'SI - Resources'!$A$1:$J$1,'SI - Resources'!$A$2:$J$2, "")</f>
        <v/>
      </c>
      <c r="D67" s="6" t="str">
        <f>IF(_xlfn.XLOOKUP($C67,'SI - End Use'!$B$2:$B$82,'SI - End Use'!$C$2:$C$82, "")="", "", _xlfn.XLOOKUP($C67,'SI - End Use'!$B$2:$B$82,'SI - End Use'!$C$2:$C$82, ""))</f>
        <v/>
      </c>
      <c r="E67" s="13"/>
      <c r="F67" s="6" t="str" cm="1">
        <f t="array" ref="F67">IF($B67="Transportation",  'SI - Units'!$B$9:$B$9, _xlfn.XLOOKUP(_xlfn.XLOOKUP($C67,'SI - Units'!$B$24:$B$106,'SI - Units'!$C$24:$C$106, ""),'SI - Units'!$A$2:$A$8,'SI - Units'!$B$2:$B$8, ""))</f>
        <v/>
      </c>
      <c r="G67" s="27"/>
      <c r="H67" s="27"/>
      <c r="I67" s="31" t="str">
        <f>IF(Table1[[#This Row],[Type]]="Co-product", "No", "")</f>
        <v/>
      </c>
      <c r="J67" s="6"/>
      <c r="K67" s="6" t="str">
        <f>IF(Table1[[#This Row],[Category]]="Transportation", _xlfn.XLOOKUP(Table1[[#This Row],[Resource]], 'SI - Payload'!$A$10:$A$38,'SI - Payload'!$B$10:$B$38,"",0), "")</f>
        <v/>
      </c>
      <c r="L67" s="6" t="str">
        <f>IF(Table1[[#This Row],[Category]]="Transportation", "ton", "")</f>
        <v/>
      </c>
      <c r="M67" s="6"/>
      <c r="N67" s="6"/>
      <c r="O67" s="6" t="str">
        <f>IF(OR(Table1[[#This Row],[Type]]="Main Product", Table1[[#This Row],[Type]]="Co-Product"), Table1[[#This Row],[Resource]], "")</f>
        <v/>
      </c>
      <c r="P67" s="6" t="str">
        <f>IF(_xlfn.XLOOKUP($O67,'SI - End Use'!$B$2:$B$82,'SI - End Use'!$C$2:$C$82, "")="", "", _xlfn.XLOOKUP($C67,'SI - End Use'!$B$2:$B$82,'SI - End Use'!$C$2:$C$82, ""))</f>
        <v/>
      </c>
      <c r="Q67" s="6"/>
      <c r="R67" s="6"/>
    </row>
    <row r="68" spans="1:18" x14ac:dyDescent="0.35">
      <c r="A68" s="6"/>
      <c r="B68" s="6"/>
      <c r="C68" s="6" t="str">
        <f>_xlfn.XLOOKUP($B68,'SI - Resources'!$A$1:$J$1,'SI - Resources'!$A$2:$J$2, "")</f>
        <v/>
      </c>
      <c r="D68" s="6" t="str">
        <f>IF(_xlfn.XLOOKUP($C68,'SI - End Use'!$B$2:$B$82,'SI - End Use'!$C$2:$C$82, "")="", "", _xlfn.XLOOKUP($C68,'SI - End Use'!$B$2:$B$82,'SI - End Use'!$C$2:$C$82, ""))</f>
        <v/>
      </c>
      <c r="E68" s="13"/>
      <c r="F68" s="6" t="str" cm="1">
        <f t="array" ref="F68">IF($B68="Transportation",  'SI - Units'!$B$9:$B$9, _xlfn.XLOOKUP(_xlfn.XLOOKUP($C68,'SI - Units'!$B$24:$B$106,'SI - Units'!$C$24:$C$106, ""),'SI - Units'!$A$2:$A$8,'SI - Units'!$B$2:$B$8, ""))</f>
        <v/>
      </c>
      <c r="G68" s="27"/>
      <c r="H68" s="27"/>
      <c r="I68" s="31" t="str">
        <f>IF(Table1[[#This Row],[Type]]="Co-product", "No", "")</f>
        <v/>
      </c>
      <c r="J68" s="6"/>
      <c r="K68" s="6" t="str">
        <f>IF(Table1[[#This Row],[Category]]="Transportation", _xlfn.XLOOKUP(Table1[[#This Row],[Resource]], 'SI - Payload'!$A$10:$A$38,'SI - Payload'!$B$10:$B$38,"",0), "")</f>
        <v/>
      </c>
      <c r="L68" s="6" t="str">
        <f>IF(Table1[[#This Row],[Category]]="Transportation", "ton", "")</f>
        <v/>
      </c>
      <c r="M68" s="6"/>
      <c r="N68" s="6"/>
      <c r="O68" s="6" t="str">
        <f>IF(OR(Table1[[#This Row],[Type]]="Main Product", Table1[[#This Row],[Type]]="Co-Product"), Table1[[#This Row],[Resource]], "")</f>
        <v/>
      </c>
      <c r="P68" s="6" t="str">
        <f>IF(_xlfn.XLOOKUP($O68,'SI - End Use'!$B$2:$B$82,'SI - End Use'!$C$2:$C$82, "")="", "", _xlfn.XLOOKUP($C68,'SI - End Use'!$B$2:$B$82,'SI - End Use'!$C$2:$C$82, ""))</f>
        <v/>
      </c>
      <c r="Q68" s="6"/>
      <c r="R68" s="6"/>
    </row>
    <row r="69" spans="1:18" x14ac:dyDescent="0.35">
      <c r="A69" s="6"/>
      <c r="B69" s="6"/>
      <c r="C69" s="6" t="str">
        <f>_xlfn.XLOOKUP($B69,'SI - Resources'!$A$1:$J$1,'SI - Resources'!$A$2:$J$2, "")</f>
        <v/>
      </c>
      <c r="D69" s="6" t="str">
        <f>IF(_xlfn.XLOOKUP($C69,'SI - End Use'!$B$2:$B$82,'SI - End Use'!$C$2:$C$82, "")="", "", _xlfn.XLOOKUP($C69,'SI - End Use'!$B$2:$B$82,'SI - End Use'!$C$2:$C$82, ""))</f>
        <v/>
      </c>
      <c r="E69" s="13"/>
      <c r="F69" s="6" t="str" cm="1">
        <f t="array" ref="F69">IF($B69="Transportation",  'SI - Units'!$B$9:$B$9, _xlfn.XLOOKUP(_xlfn.XLOOKUP($C69,'SI - Units'!$B$24:$B$106,'SI - Units'!$C$24:$C$106, ""),'SI - Units'!$A$2:$A$8,'SI - Units'!$B$2:$B$8, ""))</f>
        <v/>
      </c>
      <c r="G69" s="27"/>
      <c r="H69" s="27"/>
      <c r="I69" s="31" t="str">
        <f>IF(Table1[[#This Row],[Type]]="Co-product", "No", "")</f>
        <v/>
      </c>
      <c r="J69" s="6"/>
      <c r="K69" s="6" t="str">
        <f>IF(Table1[[#This Row],[Category]]="Transportation", _xlfn.XLOOKUP(Table1[[#This Row],[Resource]], 'SI - Payload'!$A$10:$A$38,'SI - Payload'!$B$10:$B$38,"",0), "")</f>
        <v/>
      </c>
      <c r="L69" s="6" t="str">
        <f>IF(Table1[[#This Row],[Category]]="Transportation", "ton", "")</f>
        <v/>
      </c>
      <c r="M69" s="6"/>
      <c r="N69" s="6"/>
      <c r="O69" s="6" t="str">
        <f>IF(OR(Table1[[#This Row],[Type]]="Main Product", Table1[[#This Row],[Type]]="Co-Product"), Table1[[#This Row],[Resource]], "")</f>
        <v/>
      </c>
      <c r="P69" s="6" t="str">
        <f>IF(_xlfn.XLOOKUP($O69,'SI - End Use'!$B$2:$B$82,'SI - End Use'!$C$2:$C$82, "")="", "", _xlfn.XLOOKUP($C69,'SI - End Use'!$B$2:$B$82,'SI - End Use'!$C$2:$C$82, ""))</f>
        <v/>
      </c>
      <c r="Q69" s="6"/>
      <c r="R69" s="6"/>
    </row>
    <row r="70" spans="1:18" x14ac:dyDescent="0.35">
      <c r="A70" s="6"/>
      <c r="B70" s="6"/>
      <c r="C70" s="6" t="str">
        <f>_xlfn.XLOOKUP($B70,'SI - Resources'!$A$1:$J$1,'SI - Resources'!$A$2:$J$2, "")</f>
        <v/>
      </c>
      <c r="D70" s="6" t="str">
        <f>IF(_xlfn.XLOOKUP($C70,'SI - End Use'!$B$2:$B$82,'SI - End Use'!$C$2:$C$82, "")="", "", _xlfn.XLOOKUP($C70,'SI - End Use'!$B$2:$B$82,'SI - End Use'!$C$2:$C$82, ""))</f>
        <v/>
      </c>
      <c r="E70" s="13"/>
      <c r="F70" s="6" t="str" cm="1">
        <f t="array" ref="F70">IF($B70="Transportation",  'SI - Units'!$B$9:$B$9, _xlfn.XLOOKUP(_xlfn.XLOOKUP($C70,'SI - Units'!$B$24:$B$106,'SI - Units'!$C$24:$C$106, ""),'SI - Units'!$A$2:$A$8,'SI - Units'!$B$2:$B$8, ""))</f>
        <v/>
      </c>
      <c r="G70" s="27"/>
      <c r="H70" s="27"/>
      <c r="I70" s="31" t="str">
        <f>IF(Table1[[#This Row],[Type]]="Co-product", "No", "")</f>
        <v/>
      </c>
      <c r="J70" s="6"/>
      <c r="K70" s="6" t="str">
        <f>IF(Table1[[#This Row],[Category]]="Transportation", _xlfn.XLOOKUP(Table1[[#This Row],[Resource]], 'SI - Payload'!$A$10:$A$38,'SI - Payload'!$B$10:$B$38,"",0), "")</f>
        <v/>
      </c>
      <c r="L70" s="6" t="str">
        <f>IF(Table1[[#This Row],[Category]]="Transportation", "ton", "")</f>
        <v/>
      </c>
      <c r="M70" s="6"/>
      <c r="N70" s="6"/>
      <c r="O70" s="6" t="str">
        <f>IF(OR(Table1[[#This Row],[Type]]="Main Product", Table1[[#This Row],[Type]]="Co-Product"), Table1[[#This Row],[Resource]], "")</f>
        <v/>
      </c>
      <c r="P70" s="6" t="str">
        <f>IF(_xlfn.XLOOKUP($O70,'SI - End Use'!$B$2:$B$82,'SI - End Use'!$C$2:$C$82, "")="", "", _xlfn.XLOOKUP($C70,'SI - End Use'!$B$2:$B$82,'SI - End Use'!$C$2:$C$82, ""))</f>
        <v/>
      </c>
      <c r="Q70" s="6"/>
      <c r="R70" s="6"/>
    </row>
    <row r="71" spans="1:18" x14ac:dyDescent="0.35">
      <c r="A71" s="6"/>
      <c r="B71" s="6"/>
      <c r="C71" s="6" t="str">
        <f>_xlfn.XLOOKUP($B71,'SI - Resources'!$A$1:$J$1,'SI - Resources'!$A$2:$J$2, "")</f>
        <v/>
      </c>
      <c r="D71" s="6" t="str">
        <f>IF(_xlfn.XLOOKUP($C71,'SI - End Use'!$B$2:$B$82,'SI - End Use'!$C$2:$C$82, "")="", "", _xlfn.XLOOKUP($C71,'SI - End Use'!$B$2:$B$82,'SI - End Use'!$C$2:$C$82, ""))</f>
        <v/>
      </c>
      <c r="E71" s="13"/>
      <c r="F71" s="6" t="str" cm="1">
        <f t="array" ref="F71">IF($B71="Transportation",  'SI - Units'!$B$9:$B$9, _xlfn.XLOOKUP(_xlfn.XLOOKUP($C71,'SI - Units'!$B$24:$B$106,'SI - Units'!$C$24:$C$106, ""),'SI - Units'!$A$2:$A$8,'SI - Units'!$B$2:$B$8, ""))</f>
        <v/>
      </c>
      <c r="G71" s="27"/>
      <c r="H71" s="27"/>
      <c r="I71" s="31" t="str">
        <f>IF(Table1[[#This Row],[Type]]="Co-product", "No", "")</f>
        <v/>
      </c>
      <c r="J71" s="6"/>
      <c r="K71" s="6" t="str">
        <f>IF(Table1[[#This Row],[Category]]="Transportation", _xlfn.XLOOKUP(Table1[[#This Row],[Resource]], 'SI - Payload'!$A$10:$A$38,'SI - Payload'!$B$10:$B$38,"",0), "")</f>
        <v/>
      </c>
      <c r="L71" s="6" t="str">
        <f>IF(Table1[[#This Row],[Category]]="Transportation", "ton", "")</f>
        <v/>
      </c>
      <c r="M71" s="6"/>
      <c r="N71" s="6"/>
      <c r="O71" s="6" t="str">
        <f>IF(OR(Table1[[#This Row],[Type]]="Main Product", Table1[[#This Row],[Type]]="Co-Product"), Table1[[#This Row],[Resource]], "")</f>
        <v/>
      </c>
      <c r="P71" s="6" t="str">
        <f>IF(_xlfn.XLOOKUP($O71,'SI - End Use'!$B$2:$B$82,'SI - End Use'!$C$2:$C$82, "")="", "", _xlfn.XLOOKUP($C71,'SI - End Use'!$B$2:$B$82,'SI - End Use'!$C$2:$C$82, ""))</f>
        <v/>
      </c>
      <c r="Q71" s="6"/>
      <c r="R71" s="6"/>
    </row>
    <row r="72" spans="1:18" x14ac:dyDescent="0.35">
      <c r="A72" s="6"/>
      <c r="B72" s="6"/>
      <c r="C72" s="6" t="str">
        <f>_xlfn.XLOOKUP($B72,'SI - Resources'!$A$1:$J$1,'SI - Resources'!$A$2:$J$2, "")</f>
        <v/>
      </c>
      <c r="D72" s="6" t="str">
        <f>IF(_xlfn.XLOOKUP($C72,'SI - End Use'!$B$2:$B$82,'SI - End Use'!$C$2:$C$82, "")="", "", _xlfn.XLOOKUP($C72,'SI - End Use'!$B$2:$B$82,'SI - End Use'!$C$2:$C$82, ""))</f>
        <v/>
      </c>
      <c r="E72" s="13"/>
      <c r="F72" s="6" t="str" cm="1">
        <f t="array" ref="F72">IF($B72="Transportation",  'SI - Units'!$B$9:$B$9, _xlfn.XLOOKUP(_xlfn.XLOOKUP($C72,'SI - Units'!$B$24:$B$106,'SI - Units'!$C$24:$C$106, ""),'SI - Units'!$A$2:$A$8,'SI - Units'!$B$2:$B$8, ""))</f>
        <v/>
      </c>
      <c r="G72" s="27"/>
      <c r="H72" s="27"/>
      <c r="I72" s="31" t="str">
        <f>IF(Table1[[#This Row],[Type]]="Co-product", "No", "")</f>
        <v/>
      </c>
      <c r="J72" s="6"/>
      <c r="K72" s="6" t="str">
        <f>IF(Table1[[#This Row],[Category]]="Transportation", _xlfn.XLOOKUP(Table1[[#This Row],[Resource]], 'SI - Payload'!$A$10:$A$38,'SI - Payload'!$B$10:$B$38,"",0), "")</f>
        <v/>
      </c>
      <c r="L72" s="6" t="str">
        <f>IF(Table1[[#This Row],[Category]]="Transportation", "ton", "")</f>
        <v/>
      </c>
      <c r="M72" s="6"/>
      <c r="N72" s="6"/>
      <c r="O72" s="6" t="str">
        <f>IF(OR(Table1[[#This Row],[Type]]="Main Product", Table1[[#This Row],[Type]]="Co-Product"), Table1[[#This Row],[Resource]], "")</f>
        <v/>
      </c>
      <c r="P72" s="6" t="str">
        <f>IF(_xlfn.XLOOKUP($O72,'SI - End Use'!$B$2:$B$82,'SI - End Use'!$C$2:$C$82, "")="", "", _xlfn.XLOOKUP($C72,'SI - End Use'!$B$2:$B$82,'SI - End Use'!$C$2:$C$82, ""))</f>
        <v/>
      </c>
      <c r="Q72" s="6"/>
      <c r="R72" s="6"/>
    </row>
    <row r="73" spans="1:18" x14ac:dyDescent="0.35">
      <c r="A73" s="6"/>
      <c r="B73" s="6"/>
      <c r="C73" s="6" t="str">
        <f>_xlfn.XLOOKUP($B73,'SI - Resources'!$A$1:$J$1,'SI - Resources'!$A$2:$J$2, "")</f>
        <v/>
      </c>
      <c r="D73" s="6" t="str">
        <f>IF(_xlfn.XLOOKUP($C73,'SI - End Use'!$B$2:$B$82,'SI - End Use'!$C$2:$C$82, "")="", "", _xlfn.XLOOKUP($C73,'SI - End Use'!$B$2:$B$82,'SI - End Use'!$C$2:$C$82, ""))</f>
        <v/>
      </c>
      <c r="E73" s="13"/>
      <c r="F73" s="6" t="str" cm="1">
        <f t="array" ref="F73">IF($B73="Transportation",  'SI - Units'!$B$9:$B$9, _xlfn.XLOOKUP(_xlfn.XLOOKUP($C73,'SI - Units'!$B$24:$B$106,'SI - Units'!$C$24:$C$106, ""),'SI - Units'!$A$2:$A$8,'SI - Units'!$B$2:$B$8, ""))</f>
        <v/>
      </c>
      <c r="G73" s="27"/>
      <c r="H73" s="27"/>
      <c r="I73" s="31" t="str">
        <f>IF(Table1[[#This Row],[Type]]="Co-product", "No", "")</f>
        <v/>
      </c>
      <c r="J73" s="6"/>
      <c r="K73" s="6" t="str">
        <f>IF(Table1[[#This Row],[Category]]="Transportation", _xlfn.XLOOKUP(Table1[[#This Row],[Resource]], 'SI - Payload'!$A$10:$A$38,'SI - Payload'!$B$10:$B$38,"",0), "")</f>
        <v/>
      </c>
      <c r="L73" s="6" t="str">
        <f>IF(Table1[[#This Row],[Category]]="Transportation", "ton", "")</f>
        <v/>
      </c>
      <c r="M73" s="6"/>
      <c r="N73" s="6"/>
      <c r="O73" s="6" t="str">
        <f>IF(OR(Table1[[#This Row],[Type]]="Main Product", Table1[[#This Row],[Type]]="Co-Product"), Table1[[#This Row],[Resource]], "")</f>
        <v/>
      </c>
      <c r="P73" s="6" t="str">
        <f>IF(_xlfn.XLOOKUP($O73,'SI - End Use'!$B$2:$B$82,'SI - End Use'!$C$2:$C$82, "")="", "", _xlfn.XLOOKUP($C73,'SI - End Use'!$B$2:$B$82,'SI - End Use'!$C$2:$C$82, ""))</f>
        <v/>
      </c>
      <c r="Q73" s="6"/>
      <c r="R73" s="6"/>
    </row>
    <row r="74" spans="1:18" x14ac:dyDescent="0.35">
      <c r="A74" s="6"/>
      <c r="B74" s="6"/>
      <c r="C74" s="6" t="str">
        <f>_xlfn.XLOOKUP($B74,'SI - Resources'!$A$1:$J$1,'SI - Resources'!$A$2:$J$2, "")</f>
        <v/>
      </c>
      <c r="D74" s="6" t="str">
        <f>IF(_xlfn.XLOOKUP($C74,'SI - End Use'!$B$2:$B$82,'SI - End Use'!$C$2:$C$82, "")="", "", _xlfn.XLOOKUP($C74,'SI - End Use'!$B$2:$B$82,'SI - End Use'!$C$2:$C$82, ""))</f>
        <v/>
      </c>
      <c r="E74" s="13"/>
      <c r="F74" s="6" t="str" cm="1">
        <f t="array" ref="F74">IF($B74="Transportation",  'SI - Units'!$B$9:$B$9, _xlfn.XLOOKUP(_xlfn.XLOOKUP($C74,'SI - Units'!$B$24:$B$106,'SI - Units'!$C$24:$C$106, ""),'SI - Units'!$A$2:$A$8,'SI - Units'!$B$2:$B$8, ""))</f>
        <v/>
      </c>
      <c r="G74" s="27"/>
      <c r="H74" s="27"/>
      <c r="I74" s="31" t="str">
        <f>IF(Table1[[#This Row],[Type]]="Co-product", "No", "")</f>
        <v/>
      </c>
      <c r="J74" s="6"/>
      <c r="K74" s="6" t="str">
        <f>IF(Table1[[#This Row],[Category]]="Transportation", _xlfn.XLOOKUP(Table1[[#This Row],[Resource]], 'SI - Payload'!$A$10:$A$38,'SI - Payload'!$B$10:$B$38,"",0), "")</f>
        <v/>
      </c>
      <c r="L74" s="6" t="str">
        <f>IF(Table1[[#This Row],[Category]]="Transportation", "ton", "")</f>
        <v/>
      </c>
      <c r="M74" s="6"/>
      <c r="N74" s="6"/>
      <c r="O74" s="6" t="str">
        <f>IF(OR(Table1[[#This Row],[Type]]="Main Product", Table1[[#This Row],[Type]]="Co-Product"), Table1[[#This Row],[Resource]], "")</f>
        <v/>
      </c>
      <c r="P74" s="6" t="str">
        <f>IF(_xlfn.XLOOKUP($O74,'SI - End Use'!$B$2:$B$82,'SI - End Use'!$C$2:$C$82, "")="", "", _xlfn.XLOOKUP($C74,'SI - End Use'!$B$2:$B$82,'SI - End Use'!$C$2:$C$82, ""))</f>
        <v/>
      </c>
      <c r="Q74" s="6"/>
      <c r="R74" s="6"/>
    </row>
    <row r="75" spans="1:18" x14ac:dyDescent="0.35">
      <c r="A75" s="6"/>
      <c r="B75" s="6"/>
      <c r="C75" s="6" t="str">
        <f>_xlfn.XLOOKUP($B75,'SI - Resources'!$A$1:$J$1,'SI - Resources'!$A$2:$J$2, "")</f>
        <v/>
      </c>
      <c r="D75" s="6" t="str">
        <f>IF(_xlfn.XLOOKUP($C75,'SI - End Use'!$B$2:$B$82,'SI - End Use'!$C$2:$C$82, "")="", "", _xlfn.XLOOKUP($C75,'SI - End Use'!$B$2:$B$82,'SI - End Use'!$C$2:$C$82, ""))</f>
        <v/>
      </c>
      <c r="E75" s="13"/>
      <c r="F75" s="6" t="str" cm="1">
        <f t="array" ref="F75">IF($B75="Transportation",  'SI - Units'!$B$9:$B$9, _xlfn.XLOOKUP(_xlfn.XLOOKUP($C75,'SI - Units'!$B$24:$B$106,'SI - Units'!$C$24:$C$106, ""),'SI - Units'!$A$2:$A$8,'SI - Units'!$B$2:$B$8, ""))</f>
        <v/>
      </c>
      <c r="G75" s="27"/>
      <c r="H75" s="27"/>
      <c r="I75" s="31" t="str">
        <f>IF(Table1[[#This Row],[Type]]="Co-product", "No", "")</f>
        <v/>
      </c>
      <c r="J75" s="6"/>
      <c r="K75" s="6" t="str">
        <f>IF(Table1[[#This Row],[Category]]="Transportation", _xlfn.XLOOKUP(Table1[[#This Row],[Resource]], 'SI - Payload'!$A$10:$A$38,'SI - Payload'!$B$10:$B$38,"",0), "")</f>
        <v/>
      </c>
      <c r="L75" s="6" t="str">
        <f>IF(Table1[[#This Row],[Category]]="Transportation", "ton", "")</f>
        <v/>
      </c>
      <c r="M75" s="6"/>
      <c r="N75" s="6"/>
      <c r="O75" s="6" t="str">
        <f>IF(OR(Table1[[#This Row],[Type]]="Main Product", Table1[[#This Row],[Type]]="Co-Product"), Table1[[#This Row],[Resource]], "")</f>
        <v/>
      </c>
      <c r="P75" s="6" t="str">
        <f>IF(_xlfn.XLOOKUP($O75,'SI - End Use'!$B$2:$B$82,'SI - End Use'!$C$2:$C$82, "")="", "", _xlfn.XLOOKUP($C75,'SI - End Use'!$B$2:$B$82,'SI - End Use'!$C$2:$C$82, ""))</f>
        <v/>
      </c>
      <c r="Q75" s="6"/>
      <c r="R75" s="6"/>
    </row>
    <row r="76" spans="1:18" x14ac:dyDescent="0.35">
      <c r="A76" s="6"/>
      <c r="B76" s="6"/>
      <c r="C76" s="6" t="str">
        <f>_xlfn.XLOOKUP($B76,'SI - Resources'!$A$1:$J$1,'SI - Resources'!$A$2:$J$2, "")</f>
        <v/>
      </c>
      <c r="D76" s="6" t="str">
        <f>IF(_xlfn.XLOOKUP($C76,'SI - End Use'!$B$2:$B$82,'SI - End Use'!$C$2:$C$82, "")="", "", _xlfn.XLOOKUP($C76,'SI - End Use'!$B$2:$B$82,'SI - End Use'!$C$2:$C$82, ""))</f>
        <v/>
      </c>
      <c r="E76" s="13"/>
      <c r="F76" s="6" t="str" cm="1">
        <f t="array" ref="F76">IF($B76="Transportation",  'SI - Units'!$B$9:$B$9, _xlfn.XLOOKUP(_xlfn.XLOOKUP($C76,'SI - Units'!$B$24:$B$106,'SI - Units'!$C$24:$C$106, ""),'SI - Units'!$A$2:$A$8,'SI - Units'!$B$2:$B$8, ""))</f>
        <v/>
      </c>
      <c r="G76" s="27"/>
      <c r="H76" s="27"/>
      <c r="I76" s="31" t="str">
        <f>IF(Table1[[#This Row],[Type]]="Co-product", "No", "")</f>
        <v/>
      </c>
      <c r="J76" s="6"/>
      <c r="K76" s="6" t="str">
        <f>IF(Table1[[#This Row],[Category]]="Transportation", _xlfn.XLOOKUP(Table1[[#This Row],[Resource]], 'SI - Payload'!$A$10:$A$38,'SI - Payload'!$B$10:$B$38,"",0), "")</f>
        <v/>
      </c>
      <c r="L76" s="6" t="str">
        <f>IF(Table1[[#This Row],[Category]]="Transportation", "ton", "")</f>
        <v/>
      </c>
      <c r="M76" s="6"/>
      <c r="N76" s="6"/>
      <c r="O76" s="6" t="str">
        <f>IF(OR(Table1[[#This Row],[Type]]="Main Product", Table1[[#This Row],[Type]]="Co-Product"), Table1[[#This Row],[Resource]], "")</f>
        <v/>
      </c>
      <c r="P76" s="6" t="str">
        <f>IF(_xlfn.XLOOKUP($O76,'SI - End Use'!$B$2:$B$82,'SI - End Use'!$C$2:$C$82, "")="", "", _xlfn.XLOOKUP($C76,'SI - End Use'!$B$2:$B$82,'SI - End Use'!$C$2:$C$82, ""))</f>
        <v/>
      </c>
      <c r="Q76" s="6"/>
      <c r="R76" s="6"/>
    </row>
    <row r="77" spans="1:18" x14ac:dyDescent="0.35">
      <c r="A77" s="6"/>
      <c r="B77" s="6"/>
      <c r="C77" s="6" t="str">
        <f>_xlfn.XLOOKUP($B77,'SI - Resources'!$A$1:$J$1,'SI - Resources'!$A$2:$J$2, "")</f>
        <v/>
      </c>
      <c r="D77" s="6" t="str">
        <f>IF(_xlfn.XLOOKUP($C77,'SI - End Use'!$B$2:$B$82,'SI - End Use'!$C$2:$C$82, "")="", "", _xlfn.XLOOKUP($C77,'SI - End Use'!$B$2:$B$82,'SI - End Use'!$C$2:$C$82, ""))</f>
        <v/>
      </c>
      <c r="E77" s="13"/>
      <c r="F77" s="6" t="str" cm="1">
        <f t="array" ref="F77">IF($B77="Transportation",  'SI - Units'!$B$9:$B$9, _xlfn.XLOOKUP(_xlfn.XLOOKUP($C77,'SI - Units'!$B$24:$B$106,'SI - Units'!$C$24:$C$106, ""),'SI - Units'!$A$2:$A$8,'SI - Units'!$B$2:$B$8, ""))</f>
        <v/>
      </c>
      <c r="G77" s="27"/>
      <c r="H77" s="27"/>
      <c r="I77" s="31" t="str">
        <f>IF(Table1[[#This Row],[Type]]="Co-product", "No", "")</f>
        <v/>
      </c>
      <c r="J77" s="6"/>
      <c r="K77" s="6" t="str">
        <f>IF(Table1[[#This Row],[Category]]="Transportation", _xlfn.XLOOKUP(Table1[[#This Row],[Resource]], 'SI - Payload'!$A$10:$A$38,'SI - Payload'!$B$10:$B$38,"",0), "")</f>
        <v/>
      </c>
      <c r="L77" s="6" t="str">
        <f>IF(Table1[[#This Row],[Category]]="Transportation", "ton", "")</f>
        <v/>
      </c>
      <c r="M77" s="6"/>
      <c r="N77" s="6"/>
      <c r="O77" s="6" t="str">
        <f>IF(OR(Table1[[#This Row],[Type]]="Main Product", Table1[[#This Row],[Type]]="Co-Product"), Table1[[#This Row],[Resource]], "")</f>
        <v/>
      </c>
      <c r="P77" s="6" t="str">
        <f>IF(_xlfn.XLOOKUP($O77,'SI - End Use'!$B$2:$B$82,'SI - End Use'!$C$2:$C$82, "")="", "", _xlfn.XLOOKUP($C77,'SI - End Use'!$B$2:$B$82,'SI - End Use'!$C$2:$C$82, ""))</f>
        <v/>
      </c>
      <c r="Q77" s="6"/>
      <c r="R77" s="6"/>
    </row>
    <row r="78" spans="1:18" x14ac:dyDescent="0.35">
      <c r="A78" s="6"/>
      <c r="B78" s="6"/>
      <c r="C78" s="6" t="str">
        <f>_xlfn.XLOOKUP($B78,'SI - Resources'!$A$1:$J$1,'SI - Resources'!$A$2:$J$2, "")</f>
        <v/>
      </c>
      <c r="D78" s="6" t="str">
        <f>IF(_xlfn.XLOOKUP($C78,'SI - End Use'!$B$2:$B$82,'SI - End Use'!$C$2:$C$82, "")="", "", _xlfn.XLOOKUP($C78,'SI - End Use'!$B$2:$B$82,'SI - End Use'!$C$2:$C$82, ""))</f>
        <v/>
      </c>
      <c r="E78" s="13"/>
      <c r="F78" s="6" t="str" cm="1">
        <f t="array" ref="F78">IF($B78="Transportation",  'SI - Units'!$B$9:$B$9, _xlfn.XLOOKUP(_xlfn.XLOOKUP($C78,'SI - Units'!$B$24:$B$106,'SI - Units'!$C$24:$C$106, ""),'SI - Units'!$A$2:$A$8,'SI - Units'!$B$2:$B$8, ""))</f>
        <v/>
      </c>
      <c r="G78" s="27"/>
      <c r="H78" s="27"/>
      <c r="I78" s="31" t="str">
        <f>IF(Table1[[#This Row],[Type]]="Co-product", "No", "")</f>
        <v/>
      </c>
      <c r="J78" s="6"/>
      <c r="K78" s="6" t="str">
        <f>IF(Table1[[#This Row],[Category]]="Transportation", _xlfn.XLOOKUP(Table1[[#This Row],[Resource]], 'SI - Payload'!$A$10:$A$38,'SI - Payload'!$B$10:$B$38,"",0), "")</f>
        <v/>
      </c>
      <c r="L78" s="6" t="str">
        <f>IF(Table1[[#This Row],[Category]]="Transportation", "ton", "")</f>
        <v/>
      </c>
      <c r="M78" s="6"/>
      <c r="N78" s="6"/>
      <c r="O78" s="6" t="str">
        <f>IF(OR(Table1[[#This Row],[Type]]="Main Product", Table1[[#This Row],[Type]]="Co-Product"), Table1[[#This Row],[Resource]], "")</f>
        <v/>
      </c>
      <c r="P78" s="6" t="str">
        <f>IF(_xlfn.XLOOKUP($O78,'SI - End Use'!$B$2:$B$82,'SI - End Use'!$C$2:$C$82, "")="", "", _xlfn.XLOOKUP($C78,'SI - End Use'!$B$2:$B$82,'SI - End Use'!$C$2:$C$82, ""))</f>
        <v/>
      </c>
      <c r="Q78" s="6"/>
      <c r="R78" s="6"/>
    </row>
    <row r="79" spans="1:18" x14ac:dyDescent="0.35">
      <c r="A79" s="6"/>
      <c r="B79" s="6"/>
      <c r="C79" s="6" t="str">
        <f>_xlfn.XLOOKUP($B79,'SI - Resources'!$A$1:$J$1,'SI - Resources'!$A$2:$J$2, "")</f>
        <v/>
      </c>
      <c r="D79" s="6" t="str">
        <f>IF(_xlfn.XLOOKUP($C79,'SI - End Use'!$B$2:$B$82,'SI - End Use'!$C$2:$C$82, "")="", "", _xlfn.XLOOKUP($C79,'SI - End Use'!$B$2:$B$82,'SI - End Use'!$C$2:$C$82, ""))</f>
        <v/>
      </c>
      <c r="E79" s="13"/>
      <c r="F79" s="6" t="str" cm="1">
        <f t="array" ref="F79">IF($B79="Transportation",  'SI - Units'!$B$9:$B$9, _xlfn.XLOOKUP(_xlfn.XLOOKUP($C79,'SI - Units'!$B$24:$B$106,'SI - Units'!$C$24:$C$106, ""),'SI - Units'!$A$2:$A$8,'SI - Units'!$B$2:$B$8, ""))</f>
        <v/>
      </c>
      <c r="G79" s="27"/>
      <c r="H79" s="27"/>
      <c r="I79" s="31" t="str">
        <f>IF(Table1[[#This Row],[Type]]="Co-product", "No", "")</f>
        <v/>
      </c>
      <c r="J79" s="6"/>
      <c r="K79" s="6" t="str">
        <f>IF(Table1[[#This Row],[Category]]="Transportation", _xlfn.XLOOKUP(Table1[[#This Row],[Resource]], 'SI - Payload'!$A$10:$A$38,'SI - Payload'!$B$10:$B$38,"",0), "")</f>
        <v/>
      </c>
      <c r="L79" s="6" t="str">
        <f>IF(Table1[[#This Row],[Category]]="Transportation", "ton", "")</f>
        <v/>
      </c>
      <c r="M79" s="6"/>
      <c r="N79" s="6"/>
      <c r="O79" s="6" t="str">
        <f>IF(OR(Table1[[#This Row],[Type]]="Main Product", Table1[[#This Row],[Type]]="Co-Product"), Table1[[#This Row],[Resource]], "")</f>
        <v/>
      </c>
      <c r="P79" s="6" t="str">
        <f>IF(_xlfn.XLOOKUP($O79,'SI - End Use'!$B$2:$B$82,'SI - End Use'!$C$2:$C$82, "")="", "", _xlfn.XLOOKUP($C79,'SI - End Use'!$B$2:$B$82,'SI - End Use'!$C$2:$C$82, ""))</f>
        <v/>
      </c>
      <c r="Q79" s="6"/>
      <c r="R79" s="6"/>
    </row>
    <row r="80" spans="1:18" x14ac:dyDescent="0.35">
      <c r="A80" s="6"/>
      <c r="B80" s="6"/>
      <c r="C80" s="6" t="str">
        <f>_xlfn.XLOOKUP($B80,'SI - Resources'!$A$1:$J$1,'SI - Resources'!$A$2:$J$2, "")</f>
        <v/>
      </c>
      <c r="D80" s="6" t="str">
        <f>IF(_xlfn.XLOOKUP($C80,'SI - End Use'!$B$2:$B$82,'SI - End Use'!$C$2:$C$82, "")="", "", _xlfn.XLOOKUP($C80,'SI - End Use'!$B$2:$B$82,'SI - End Use'!$C$2:$C$82, ""))</f>
        <v/>
      </c>
      <c r="E80" s="13"/>
      <c r="F80" s="6" t="str" cm="1">
        <f t="array" ref="F80">IF($B80="Transportation",  'SI - Units'!$B$9:$B$9, _xlfn.XLOOKUP(_xlfn.XLOOKUP($C80,'SI - Units'!$B$24:$B$106,'SI - Units'!$C$24:$C$106, ""),'SI - Units'!$A$2:$A$8,'SI - Units'!$B$2:$B$8, ""))</f>
        <v/>
      </c>
      <c r="G80" s="27"/>
      <c r="H80" s="27"/>
      <c r="I80" s="31" t="str">
        <f>IF(Table1[[#This Row],[Type]]="Co-product", "No", "")</f>
        <v/>
      </c>
      <c r="J80" s="6"/>
      <c r="K80" s="6" t="str">
        <f>IF(Table1[[#This Row],[Category]]="Transportation", _xlfn.XLOOKUP(Table1[[#This Row],[Resource]], 'SI - Payload'!$A$10:$A$38,'SI - Payload'!$B$10:$B$38,"",0), "")</f>
        <v/>
      </c>
      <c r="L80" s="6" t="str">
        <f>IF(Table1[[#This Row],[Category]]="Transportation", "ton", "")</f>
        <v/>
      </c>
      <c r="M80" s="6"/>
      <c r="N80" s="6"/>
      <c r="O80" s="6" t="str">
        <f>IF(OR(Table1[[#This Row],[Type]]="Main Product", Table1[[#This Row],[Type]]="Co-Product"), Table1[[#This Row],[Resource]], "")</f>
        <v/>
      </c>
      <c r="P80" s="6" t="str">
        <f>IF(_xlfn.XLOOKUP($O80,'SI - End Use'!$B$2:$B$82,'SI - End Use'!$C$2:$C$82, "")="", "", _xlfn.XLOOKUP($C80,'SI - End Use'!$B$2:$B$82,'SI - End Use'!$C$2:$C$82, ""))</f>
        <v/>
      </c>
      <c r="Q80" s="6"/>
      <c r="R80" s="6"/>
    </row>
    <row r="81" spans="1:18" x14ac:dyDescent="0.35">
      <c r="A81" s="6"/>
      <c r="B81" s="6"/>
      <c r="C81" s="6" t="str">
        <f>_xlfn.XLOOKUP($B81,'SI - Resources'!$A$1:$J$1,'SI - Resources'!$A$2:$J$2, "")</f>
        <v/>
      </c>
      <c r="D81" s="6" t="str">
        <f>IF(_xlfn.XLOOKUP($C81,'SI - End Use'!$B$2:$B$82,'SI - End Use'!$C$2:$C$82, "")="", "", _xlfn.XLOOKUP($C81,'SI - End Use'!$B$2:$B$82,'SI - End Use'!$C$2:$C$82, ""))</f>
        <v/>
      </c>
      <c r="E81" s="13"/>
      <c r="F81" s="6" t="str" cm="1">
        <f t="array" ref="F81">IF($B81="Transportation",  'SI - Units'!$B$9:$B$9, _xlfn.XLOOKUP(_xlfn.XLOOKUP($C81,'SI - Units'!$B$24:$B$106,'SI - Units'!$C$24:$C$106, ""),'SI - Units'!$A$2:$A$8,'SI - Units'!$B$2:$B$8, ""))</f>
        <v/>
      </c>
      <c r="G81" s="27"/>
      <c r="H81" s="27"/>
      <c r="I81" s="31" t="str">
        <f>IF(Table1[[#This Row],[Type]]="Co-product", "No", "")</f>
        <v/>
      </c>
      <c r="J81" s="6"/>
      <c r="K81" s="6" t="str">
        <f>IF(Table1[[#This Row],[Category]]="Transportation", _xlfn.XLOOKUP(Table1[[#This Row],[Resource]], 'SI - Payload'!$A$10:$A$38,'SI - Payload'!$B$10:$B$38,"",0), "")</f>
        <v/>
      </c>
      <c r="L81" s="6" t="str">
        <f>IF(Table1[[#This Row],[Category]]="Transportation", "ton", "")</f>
        <v/>
      </c>
      <c r="M81" s="6"/>
      <c r="N81" s="6"/>
      <c r="O81" s="6" t="str">
        <f>IF(OR(Table1[[#This Row],[Type]]="Main Product", Table1[[#This Row],[Type]]="Co-Product"), Table1[[#This Row],[Resource]], "")</f>
        <v/>
      </c>
      <c r="P81" s="6" t="str">
        <f>IF(_xlfn.XLOOKUP($O81,'SI - End Use'!$B$2:$B$82,'SI - End Use'!$C$2:$C$82, "")="", "", _xlfn.XLOOKUP($C81,'SI - End Use'!$B$2:$B$82,'SI - End Use'!$C$2:$C$82, ""))</f>
        <v/>
      </c>
      <c r="Q81" s="6"/>
      <c r="R81" s="6"/>
    </row>
    <row r="82" spans="1:18" x14ac:dyDescent="0.35">
      <c r="A82" s="6"/>
      <c r="B82" s="6"/>
      <c r="C82" s="6" t="str">
        <f>_xlfn.XLOOKUP($B82,'SI - Resources'!$A$1:$J$1,'SI - Resources'!$A$2:$J$2, "")</f>
        <v/>
      </c>
      <c r="D82" s="6" t="str">
        <f>IF(_xlfn.XLOOKUP($C82,'SI - End Use'!$B$2:$B$82,'SI - End Use'!$C$2:$C$82, "")="", "", _xlfn.XLOOKUP($C82,'SI - End Use'!$B$2:$B$82,'SI - End Use'!$C$2:$C$82, ""))</f>
        <v/>
      </c>
      <c r="E82" s="13"/>
      <c r="F82" s="6" t="str" cm="1">
        <f t="array" ref="F82">IF($B82="Transportation",  'SI - Units'!$B$9:$B$9, _xlfn.XLOOKUP(_xlfn.XLOOKUP($C82,'SI - Units'!$B$24:$B$106,'SI - Units'!$C$24:$C$106, ""),'SI - Units'!$A$2:$A$8,'SI - Units'!$B$2:$B$8, ""))</f>
        <v/>
      </c>
      <c r="G82" s="27"/>
      <c r="H82" s="27"/>
      <c r="I82" s="31" t="str">
        <f>IF(Table1[[#This Row],[Type]]="Co-product", "No", "")</f>
        <v/>
      </c>
      <c r="J82" s="6"/>
      <c r="K82" s="6" t="str">
        <f>IF(Table1[[#This Row],[Category]]="Transportation", _xlfn.XLOOKUP(Table1[[#This Row],[Resource]], 'SI - Payload'!$A$10:$A$38,'SI - Payload'!$B$10:$B$38,"",0), "")</f>
        <v/>
      </c>
      <c r="L82" s="6" t="str">
        <f>IF(Table1[[#This Row],[Category]]="Transportation", "ton", "")</f>
        <v/>
      </c>
      <c r="M82" s="6"/>
      <c r="N82" s="6"/>
      <c r="O82" s="6" t="str">
        <f>IF(OR(Table1[[#This Row],[Type]]="Main Product", Table1[[#This Row],[Type]]="Co-Product"), Table1[[#This Row],[Resource]], "")</f>
        <v/>
      </c>
      <c r="P82" s="6" t="str">
        <f>IF(_xlfn.XLOOKUP($O82,'SI - End Use'!$B$2:$B$82,'SI - End Use'!$C$2:$C$82, "")="", "", _xlfn.XLOOKUP($C82,'SI - End Use'!$B$2:$B$82,'SI - End Use'!$C$2:$C$82, ""))</f>
        <v/>
      </c>
      <c r="Q82" s="6"/>
      <c r="R82" s="6"/>
    </row>
    <row r="83" spans="1:18" x14ac:dyDescent="0.35">
      <c r="A83" s="6"/>
      <c r="B83" s="6"/>
      <c r="C83" s="6" t="str">
        <f>_xlfn.XLOOKUP($B83,'SI - Resources'!$A$1:$J$1,'SI - Resources'!$A$2:$J$2, "")</f>
        <v/>
      </c>
      <c r="D83" s="6" t="str">
        <f>IF(_xlfn.XLOOKUP($C83,'SI - End Use'!$B$2:$B$82,'SI - End Use'!$C$2:$C$82, "")="", "", _xlfn.XLOOKUP($C83,'SI - End Use'!$B$2:$B$82,'SI - End Use'!$C$2:$C$82, ""))</f>
        <v/>
      </c>
      <c r="E83" s="13"/>
      <c r="F83" s="6" t="str" cm="1">
        <f t="array" ref="F83">IF($B83="Transportation",  'SI - Units'!$B$9:$B$9, _xlfn.XLOOKUP(_xlfn.XLOOKUP($C83,'SI - Units'!$B$24:$B$106,'SI - Units'!$C$24:$C$106, ""),'SI - Units'!$A$2:$A$8,'SI - Units'!$B$2:$B$8, ""))</f>
        <v/>
      </c>
      <c r="G83" s="27"/>
      <c r="H83" s="27"/>
      <c r="I83" s="31" t="str">
        <f>IF(Table1[[#This Row],[Type]]="Co-product", "No", "")</f>
        <v/>
      </c>
      <c r="J83" s="6"/>
      <c r="K83" s="6" t="str">
        <f>IF(Table1[[#This Row],[Category]]="Transportation", _xlfn.XLOOKUP(Table1[[#This Row],[Resource]], 'SI - Payload'!$A$10:$A$38,'SI - Payload'!$B$10:$B$38,"",0), "")</f>
        <v/>
      </c>
      <c r="L83" s="6" t="str">
        <f>IF(Table1[[#This Row],[Category]]="Transportation", "ton", "")</f>
        <v/>
      </c>
      <c r="M83" s="6"/>
      <c r="N83" s="6"/>
      <c r="O83" s="6" t="str">
        <f>IF(OR(Table1[[#This Row],[Type]]="Main Product", Table1[[#This Row],[Type]]="Co-Product"), Table1[[#This Row],[Resource]], "")</f>
        <v/>
      </c>
      <c r="P83" s="6" t="str">
        <f>IF(_xlfn.XLOOKUP($O83,'SI - End Use'!$B$2:$B$82,'SI - End Use'!$C$2:$C$82, "")="", "", _xlfn.XLOOKUP($C83,'SI - End Use'!$B$2:$B$82,'SI - End Use'!$C$2:$C$82, ""))</f>
        <v/>
      </c>
      <c r="Q83" s="6"/>
      <c r="R83" s="6"/>
    </row>
    <row r="84" spans="1:18" x14ac:dyDescent="0.35">
      <c r="A84" s="6"/>
      <c r="B84" s="6"/>
      <c r="C84" s="6" t="str">
        <f>_xlfn.XLOOKUP($B84,'SI - Resources'!$A$1:$J$1,'SI - Resources'!$A$2:$J$2, "")</f>
        <v/>
      </c>
      <c r="D84" s="6" t="str">
        <f>IF(_xlfn.XLOOKUP($C84,'SI - End Use'!$B$2:$B$82,'SI - End Use'!$C$2:$C$82, "")="", "", _xlfn.XLOOKUP($C84,'SI - End Use'!$B$2:$B$82,'SI - End Use'!$C$2:$C$82, ""))</f>
        <v/>
      </c>
      <c r="E84" s="13"/>
      <c r="F84" s="6" t="str" cm="1">
        <f t="array" ref="F84">IF($B84="Transportation",  'SI - Units'!$B$9:$B$9, _xlfn.XLOOKUP(_xlfn.XLOOKUP($C84,'SI - Units'!$B$24:$B$106,'SI - Units'!$C$24:$C$106, ""),'SI - Units'!$A$2:$A$8,'SI - Units'!$B$2:$B$8, ""))</f>
        <v/>
      </c>
      <c r="G84" s="27"/>
      <c r="H84" s="27"/>
      <c r="I84" s="31" t="str">
        <f>IF(Table1[[#This Row],[Type]]="Co-product", "No", "")</f>
        <v/>
      </c>
      <c r="J84" s="6"/>
      <c r="K84" s="6" t="str">
        <f>IF(Table1[[#This Row],[Category]]="Transportation", _xlfn.XLOOKUP(Table1[[#This Row],[Resource]], 'SI - Payload'!$A$10:$A$38,'SI - Payload'!$B$10:$B$38,"",0), "")</f>
        <v/>
      </c>
      <c r="L84" s="6" t="str">
        <f>IF(Table1[[#This Row],[Category]]="Transportation", "ton", "")</f>
        <v/>
      </c>
      <c r="M84" s="6"/>
      <c r="N84" s="6"/>
      <c r="O84" s="6" t="str">
        <f>IF(OR(Table1[[#This Row],[Type]]="Main Product", Table1[[#This Row],[Type]]="Co-Product"), Table1[[#This Row],[Resource]], "")</f>
        <v/>
      </c>
      <c r="P84" s="6" t="str">
        <f>IF(_xlfn.XLOOKUP($O84,'SI - End Use'!$B$2:$B$82,'SI - End Use'!$C$2:$C$82, "")="", "", _xlfn.XLOOKUP($C84,'SI - End Use'!$B$2:$B$82,'SI - End Use'!$C$2:$C$82, ""))</f>
        <v/>
      </c>
      <c r="Q84" s="6"/>
      <c r="R84" s="6"/>
    </row>
    <row r="85" spans="1:18" x14ac:dyDescent="0.35">
      <c r="A85" s="6"/>
      <c r="B85" s="6"/>
      <c r="C85" s="6" t="str">
        <f>_xlfn.XLOOKUP($B85,'SI - Resources'!$A$1:$J$1,'SI - Resources'!$A$2:$J$2, "")</f>
        <v/>
      </c>
      <c r="D85" s="6" t="str">
        <f>IF(_xlfn.XLOOKUP($C85,'SI - End Use'!$B$2:$B$82,'SI - End Use'!$C$2:$C$82, "")="", "", _xlfn.XLOOKUP($C85,'SI - End Use'!$B$2:$B$82,'SI - End Use'!$C$2:$C$82, ""))</f>
        <v/>
      </c>
      <c r="E85" s="13"/>
      <c r="F85" s="6" t="str" cm="1">
        <f t="array" ref="F85">IF($B85="Transportation",  'SI - Units'!$B$9:$B$9, _xlfn.XLOOKUP(_xlfn.XLOOKUP($C85,'SI - Units'!$B$24:$B$106,'SI - Units'!$C$24:$C$106, ""),'SI - Units'!$A$2:$A$8,'SI - Units'!$B$2:$B$8, ""))</f>
        <v/>
      </c>
      <c r="G85" s="27"/>
      <c r="H85" s="27"/>
      <c r="I85" s="31" t="str">
        <f>IF(Table1[[#This Row],[Type]]="Co-product", "No", "")</f>
        <v/>
      </c>
      <c r="J85" s="6"/>
      <c r="K85" s="6" t="str">
        <f>IF(Table1[[#This Row],[Category]]="Transportation", _xlfn.XLOOKUP(Table1[[#This Row],[Resource]], 'SI - Payload'!$A$10:$A$38,'SI - Payload'!$B$10:$B$38,"",0), "")</f>
        <v/>
      </c>
      <c r="L85" s="6" t="str">
        <f>IF(Table1[[#This Row],[Category]]="Transportation", "ton", "")</f>
        <v/>
      </c>
      <c r="M85" s="6"/>
      <c r="N85" s="6"/>
      <c r="O85" s="6" t="str">
        <f>IF(OR(Table1[[#This Row],[Type]]="Main Product", Table1[[#This Row],[Type]]="Co-Product"), Table1[[#This Row],[Resource]], "")</f>
        <v/>
      </c>
      <c r="P85" s="6" t="str">
        <f>IF(_xlfn.XLOOKUP($O85,'SI - End Use'!$B$2:$B$82,'SI - End Use'!$C$2:$C$82, "")="", "", _xlfn.XLOOKUP($C85,'SI - End Use'!$B$2:$B$82,'SI - End Use'!$C$2:$C$82, ""))</f>
        <v/>
      </c>
      <c r="Q85" s="6"/>
      <c r="R85" s="6"/>
    </row>
    <row r="86" spans="1:18" x14ac:dyDescent="0.35">
      <c r="A86" s="6"/>
      <c r="B86" s="6"/>
      <c r="C86" s="6" t="str">
        <f>_xlfn.XLOOKUP($B86,'SI - Resources'!$A$1:$J$1,'SI - Resources'!$A$2:$J$2, "")</f>
        <v/>
      </c>
      <c r="D86" s="6" t="str">
        <f>IF(_xlfn.XLOOKUP($C86,'SI - End Use'!$B$2:$B$82,'SI - End Use'!$C$2:$C$82, "")="", "", _xlfn.XLOOKUP($C86,'SI - End Use'!$B$2:$B$82,'SI - End Use'!$C$2:$C$82, ""))</f>
        <v/>
      </c>
      <c r="E86" s="13"/>
      <c r="F86" s="6" t="str" cm="1">
        <f t="array" ref="F86">IF($B86="Transportation",  'SI - Units'!$B$9:$B$9, _xlfn.XLOOKUP(_xlfn.XLOOKUP($C86,'SI - Units'!$B$24:$B$106,'SI - Units'!$C$24:$C$106, ""),'SI - Units'!$A$2:$A$8,'SI - Units'!$B$2:$B$8, ""))</f>
        <v/>
      </c>
      <c r="G86" s="27"/>
      <c r="H86" s="27"/>
      <c r="I86" s="31" t="str">
        <f>IF(Table1[[#This Row],[Type]]="Co-product", "No", "")</f>
        <v/>
      </c>
      <c r="J86" s="6"/>
      <c r="K86" s="6" t="str">
        <f>IF(Table1[[#This Row],[Category]]="Transportation", _xlfn.XLOOKUP(Table1[[#This Row],[Resource]], 'SI - Payload'!$A$10:$A$38,'SI - Payload'!$B$10:$B$38,"",0), "")</f>
        <v/>
      </c>
      <c r="L86" s="6" t="str">
        <f>IF(Table1[[#This Row],[Category]]="Transportation", "ton", "")</f>
        <v/>
      </c>
      <c r="M86" s="6"/>
      <c r="N86" s="6"/>
      <c r="O86" s="6" t="str">
        <f>IF(OR(Table1[[#This Row],[Type]]="Main Product", Table1[[#This Row],[Type]]="Co-Product"), Table1[[#This Row],[Resource]], "")</f>
        <v/>
      </c>
      <c r="P86" s="6" t="str">
        <f>IF(_xlfn.XLOOKUP($O86,'SI - End Use'!$B$2:$B$82,'SI - End Use'!$C$2:$C$82, "")="", "", _xlfn.XLOOKUP($C86,'SI - End Use'!$B$2:$B$82,'SI - End Use'!$C$2:$C$82, ""))</f>
        <v/>
      </c>
      <c r="Q86" s="6"/>
      <c r="R86" s="6"/>
    </row>
    <row r="87" spans="1:18" x14ac:dyDescent="0.35">
      <c r="A87" s="6"/>
      <c r="B87" s="6"/>
      <c r="C87" s="6" t="str">
        <f>_xlfn.XLOOKUP($B87,'SI - Resources'!$A$1:$J$1,'SI - Resources'!$A$2:$J$2, "")</f>
        <v/>
      </c>
      <c r="D87" s="6" t="str">
        <f>IF(_xlfn.XLOOKUP($C87,'SI - End Use'!$B$2:$B$82,'SI - End Use'!$C$2:$C$82, "")="", "", _xlfn.XLOOKUP($C87,'SI - End Use'!$B$2:$B$82,'SI - End Use'!$C$2:$C$82, ""))</f>
        <v/>
      </c>
      <c r="E87" s="13"/>
      <c r="F87" s="6" t="str" cm="1">
        <f t="array" ref="F87">IF($B87="Transportation",  'SI - Units'!$B$9:$B$9, _xlfn.XLOOKUP(_xlfn.XLOOKUP($C87,'SI - Units'!$B$24:$B$106,'SI - Units'!$C$24:$C$106, ""),'SI - Units'!$A$2:$A$8,'SI - Units'!$B$2:$B$8, ""))</f>
        <v/>
      </c>
      <c r="G87" s="27"/>
      <c r="H87" s="27"/>
      <c r="I87" s="31" t="str">
        <f>IF(Table1[[#This Row],[Type]]="Co-product", "No", "")</f>
        <v/>
      </c>
      <c r="J87" s="6"/>
      <c r="K87" s="6" t="str">
        <f>IF(Table1[[#This Row],[Category]]="Transportation", _xlfn.XLOOKUP(Table1[[#This Row],[Resource]], 'SI - Payload'!$A$10:$A$38,'SI - Payload'!$B$10:$B$38,"",0), "")</f>
        <v/>
      </c>
      <c r="L87" s="6" t="str">
        <f>IF(Table1[[#This Row],[Category]]="Transportation", "ton", "")</f>
        <v/>
      </c>
      <c r="M87" s="6"/>
      <c r="N87" s="6"/>
      <c r="O87" s="6" t="str">
        <f>IF(OR(Table1[[#This Row],[Type]]="Main Product", Table1[[#This Row],[Type]]="Co-Product"), Table1[[#This Row],[Resource]], "")</f>
        <v/>
      </c>
      <c r="P87" s="6" t="str">
        <f>IF(_xlfn.XLOOKUP($O87,'SI - End Use'!$B$2:$B$82,'SI - End Use'!$C$2:$C$82, "")="", "", _xlfn.XLOOKUP($C87,'SI - End Use'!$B$2:$B$82,'SI - End Use'!$C$2:$C$82, ""))</f>
        <v/>
      </c>
      <c r="Q87" s="6"/>
      <c r="R87" s="6"/>
    </row>
    <row r="88" spans="1:18" x14ac:dyDescent="0.35">
      <c r="A88" s="6"/>
      <c r="B88" s="6"/>
      <c r="C88" s="6" t="str">
        <f>_xlfn.XLOOKUP($B88,'SI - Resources'!$A$1:$J$1,'SI - Resources'!$A$2:$J$2, "")</f>
        <v/>
      </c>
      <c r="D88" s="6" t="str">
        <f>IF(_xlfn.XLOOKUP($C88,'SI - End Use'!$B$2:$B$82,'SI - End Use'!$C$2:$C$82, "")="", "", _xlfn.XLOOKUP($C88,'SI - End Use'!$B$2:$B$82,'SI - End Use'!$C$2:$C$82, ""))</f>
        <v/>
      </c>
      <c r="E88" s="13"/>
      <c r="F88" s="6" t="str" cm="1">
        <f t="array" ref="F88">IF($B88="Transportation",  'SI - Units'!$B$9:$B$9, _xlfn.XLOOKUP(_xlfn.XLOOKUP($C88,'SI - Units'!$B$24:$B$106,'SI - Units'!$C$24:$C$106, ""),'SI - Units'!$A$2:$A$8,'SI - Units'!$B$2:$B$8, ""))</f>
        <v/>
      </c>
      <c r="G88" s="27"/>
      <c r="H88" s="27"/>
      <c r="I88" s="31" t="str">
        <f>IF(Table1[[#This Row],[Type]]="Co-product", "No", "")</f>
        <v/>
      </c>
      <c r="J88" s="6"/>
      <c r="K88" s="6" t="str">
        <f>IF(Table1[[#This Row],[Category]]="Transportation", _xlfn.XLOOKUP(Table1[[#This Row],[Resource]], 'SI - Payload'!$A$10:$A$38,'SI - Payload'!$B$10:$B$38,"",0), "")</f>
        <v/>
      </c>
      <c r="L88" s="6" t="str">
        <f>IF(Table1[[#This Row],[Category]]="Transportation", "ton", "")</f>
        <v/>
      </c>
      <c r="M88" s="6"/>
      <c r="N88" s="6"/>
      <c r="O88" s="6" t="str">
        <f>IF(OR(Table1[[#This Row],[Type]]="Main Product", Table1[[#This Row],[Type]]="Co-Product"), Table1[[#This Row],[Resource]], "")</f>
        <v/>
      </c>
      <c r="P88" s="6" t="str">
        <f>IF(_xlfn.XLOOKUP($O88,'SI - End Use'!$B$2:$B$82,'SI - End Use'!$C$2:$C$82, "")="", "", _xlfn.XLOOKUP($C88,'SI - End Use'!$B$2:$B$82,'SI - End Use'!$C$2:$C$82, ""))</f>
        <v/>
      </c>
      <c r="Q88" s="6"/>
      <c r="R88" s="6"/>
    </row>
    <row r="89" spans="1:18" x14ac:dyDescent="0.35">
      <c r="A89" s="6"/>
      <c r="B89" s="6"/>
      <c r="C89" s="6" t="str">
        <f>_xlfn.XLOOKUP($B89,'SI - Resources'!$A$1:$J$1,'SI - Resources'!$A$2:$J$2, "")</f>
        <v/>
      </c>
      <c r="D89" s="6" t="str">
        <f>IF(_xlfn.XLOOKUP($C89,'SI - End Use'!$B$2:$B$82,'SI - End Use'!$C$2:$C$82, "")="", "", _xlfn.XLOOKUP($C89,'SI - End Use'!$B$2:$B$82,'SI - End Use'!$C$2:$C$82, ""))</f>
        <v/>
      </c>
      <c r="E89" s="13"/>
      <c r="F89" s="6" t="str" cm="1">
        <f t="array" ref="F89">IF($B89="Transportation",  'SI - Units'!$B$9:$B$9, _xlfn.XLOOKUP(_xlfn.XLOOKUP($C89,'SI - Units'!$B$24:$B$106,'SI - Units'!$C$24:$C$106, ""),'SI - Units'!$A$2:$A$8,'SI - Units'!$B$2:$B$8, ""))</f>
        <v/>
      </c>
      <c r="G89" s="27"/>
      <c r="H89" s="27"/>
      <c r="I89" s="31" t="str">
        <f>IF(Table1[[#This Row],[Type]]="Co-product", "No", "")</f>
        <v/>
      </c>
      <c r="J89" s="6"/>
      <c r="K89" s="6" t="str">
        <f>IF(Table1[[#This Row],[Category]]="Transportation", _xlfn.XLOOKUP(Table1[[#This Row],[Resource]], 'SI - Payload'!$A$10:$A$38,'SI - Payload'!$B$10:$B$38,"",0), "")</f>
        <v/>
      </c>
      <c r="L89" s="6" t="str">
        <f>IF(Table1[[#This Row],[Category]]="Transportation", "ton", "")</f>
        <v/>
      </c>
      <c r="M89" s="6"/>
      <c r="N89" s="6"/>
      <c r="O89" s="6" t="str">
        <f>IF(OR(Table1[[#This Row],[Type]]="Main Product", Table1[[#This Row],[Type]]="Co-Product"), Table1[[#This Row],[Resource]], "")</f>
        <v/>
      </c>
      <c r="P89" s="6" t="str">
        <f>IF(_xlfn.XLOOKUP($O89,'SI - End Use'!$B$2:$B$82,'SI - End Use'!$C$2:$C$82, "")="", "", _xlfn.XLOOKUP($C89,'SI - End Use'!$B$2:$B$82,'SI - End Use'!$C$2:$C$82, ""))</f>
        <v/>
      </c>
      <c r="Q89" s="6"/>
      <c r="R89" s="6"/>
    </row>
    <row r="90" spans="1:18" x14ac:dyDescent="0.35">
      <c r="A90" s="6"/>
      <c r="B90" s="6"/>
      <c r="C90" s="6" t="str">
        <f>_xlfn.XLOOKUP($B90,'SI - Resources'!$A$1:$J$1,'SI - Resources'!$A$2:$J$2, "")</f>
        <v/>
      </c>
      <c r="D90" s="6" t="str">
        <f>IF(_xlfn.XLOOKUP($C90,'SI - End Use'!$B$2:$B$82,'SI - End Use'!$C$2:$C$82, "")="", "", _xlfn.XLOOKUP($C90,'SI - End Use'!$B$2:$B$82,'SI - End Use'!$C$2:$C$82, ""))</f>
        <v/>
      </c>
      <c r="E90" s="13"/>
      <c r="F90" s="6" t="str" cm="1">
        <f t="array" ref="F90">IF($B90="Transportation",  'SI - Units'!$B$9:$B$9, _xlfn.XLOOKUP(_xlfn.XLOOKUP($C90,'SI - Units'!$B$24:$B$106,'SI - Units'!$C$24:$C$106, ""),'SI - Units'!$A$2:$A$8,'SI - Units'!$B$2:$B$8, ""))</f>
        <v/>
      </c>
      <c r="G90" s="27"/>
      <c r="H90" s="27"/>
      <c r="I90" s="31" t="str">
        <f>IF(Table1[[#This Row],[Type]]="Co-product", "No", "")</f>
        <v/>
      </c>
      <c r="J90" s="6"/>
      <c r="K90" s="6" t="str">
        <f>IF(Table1[[#This Row],[Category]]="Transportation", _xlfn.XLOOKUP(Table1[[#This Row],[Resource]], 'SI - Payload'!$A$10:$A$38,'SI - Payload'!$B$10:$B$38,"",0), "")</f>
        <v/>
      </c>
      <c r="L90" s="6" t="str">
        <f>IF(Table1[[#This Row],[Category]]="Transportation", "ton", "")</f>
        <v/>
      </c>
      <c r="M90" s="6"/>
      <c r="N90" s="6"/>
      <c r="O90" s="6" t="str">
        <f>IF(OR(Table1[[#This Row],[Type]]="Main Product", Table1[[#This Row],[Type]]="Co-Product"), Table1[[#This Row],[Resource]], "")</f>
        <v/>
      </c>
      <c r="P90" s="6" t="str">
        <f>IF(_xlfn.XLOOKUP($O90,'SI - End Use'!$B$2:$B$82,'SI - End Use'!$C$2:$C$82, "")="", "", _xlfn.XLOOKUP($C90,'SI - End Use'!$B$2:$B$82,'SI - End Use'!$C$2:$C$82, ""))</f>
        <v/>
      </c>
      <c r="Q90" s="6"/>
      <c r="R90" s="6"/>
    </row>
    <row r="91" spans="1:18" x14ac:dyDescent="0.35">
      <c r="A91" s="6"/>
      <c r="B91" s="6"/>
      <c r="C91" s="6" t="str">
        <f>_xlfn.XLOOKUP($B91,'SI - Resources'!$A$1:$J$1,'SI - Resources'!$A$2:$J$2, "")</f>
        <v/>
      </c>
      <c r="D91" s="6" t="str">
        <f>IF(_xlfn.XLOOKUP($C91,'SI - End Use'!$B$2:$B$82,'SI - End Use'!$C$2:$C$82, "")="", "", _xlfn.XLOOKUP($C91,'SI - End Use'!$B$2:$B$82,'SI - End Use'!$C$2:$C$82, ""))</f>
        <v/>
      </c>
      <c r="E91" s="13"/>
      <c r="F91" s="6" t="str" cm="1">
        <f t="array" ref="F91">IF($B91="Transportation",  'SI - Units'!$B$9:$B$9, _xlfn.XLOOKUP(_xlfn.XLOOKUP($C91,'SI - Units'!$B$24:$B$106,'SI - Units'!$C$24:$C$106, ""),'SI - Units'!$A$2:$A$8,'SI - Units'!$B$2:$B$8, ""))</f>
        <v/>
      </c>
      <c r="G91" s="27"/>
      <c r="H91" s="27"/>
      <c r="I91" s="31" t="str">
        <f>IF(Table1[[#This Row],[Type]]="Co-product", "No", "")</f>
        <v/>
      </c>
      <c r="J91" s="6"/>
      <c r="K91" s="6" t="str">
        <f>IF(Table1[[#This Row],[Category]]="Transportation", _xlfn.XLOOKUP(Table1[[#This Row],[Resource]], 'SI - Payload'!$A$10:$A$38,'SI - Payload'!$B$10:$B$38,"",0), "")</f>
        <v/>
      </c>
      <c r="L91" s="6" t="str">
        <f>IF(Table1[[#This Row],[Category]]="Transportation", "ton", "")</f>
        <v/>
      </c>
      <c r="M91" s="6"/>
      <c r="N91" s="6"/>
      <c r="O91" s="6" t="str">
        <f>IF(OR(Table1[[#This Row],[Type]]="Main Product", Table1[[#This Row],[Type]]="Co-Product"), Table1[[#This Row],[Resource]], "")</f>
        <v/>
      </c>
      <c r="P91" s="6" t="str">
        <f>IF(_xlfn.XLOOKUP($O91,'SI - End Use'!$B$2:$B$82,'SI - End Use'!$C$2:$C$82, "")="", "", _xlfn.XLOOKUP($C91,'SI - End Use'!$B$2:$B$82,'SI - End Use'!$C$2:$C$82, ""))</f>
        <v/>
      </c>
      <c r="Q91" s="6"/>
      <c r="R91" s="6"/>
    </row>
    <row r="92" spans="1:18" x14ac:dyDescent="0.35">
      <c r="A92" s="6"/>
      <c r="B92" s="6"/>
      <c r="C92" s="6" t="str">
        <f>_xlfn.XLOOKUP($B92,'SI - Resources'!$A$1:$J$1,'SI - Resources'!$A$2:$J$2, "")</f>
        <v/>
      </c>
      <c r="D92" s="6" t="str">
        <f>IF(_xlfn.XLOOKUP($C92,'SI - End Use'!$B$2:$B$82,'SI - End Use'!$C$2:$C$82, "")="", "", _xlfn.XLOOKUP($C92,'SI - End Use'!$B$2:$B$82,'SI - End Use'!$C$2:$C$82, ""))</f>
        <v/>
      </c>
      <c r="E92" s="13"/>
      <c r="F92" s="6" t="str" cm="1">
        <f t="array" ref="F92">IF($B92="Transportation",  'SI - Units'!$B$9:$B$9, _xlfn.XLOOKUP(_xlfn.XLOOKUP($C92,'SI - Units'!$B$24:$B$106,'SI - Units'!$C$24:$C$106, ""),'SI - Units'!$A$2:$A$8,'SI - Units'!$B$2:$B$8, ""))</f>
        <v/>
      </c>
      <c r="G92" s="27"/>
      <c r="H92" s="27"/>
      <c r="I92" s="31" t="str">
        <f>IF(Table1[[#This Row],[Type]]="Co-product", "No", "")</f>
        <v/>
      </c>
      <c r="J92" s="6"/>
      <c r="K92" s="6" t="str">
        <f>IF(Table1[[#This Row],[Category]]="Transportation", _xlfn.XLOOKUP(Table1[[#This Row],[Resource]], 'SI - Payload'!$A$10:$A$38,'SI - Payload'!$B$10:$B$38,"",0), "")</f>
        <v/>
      </c>
      <c r="L92" s="6" t="str">
        <f>IF(Table1[[#This Row],[Category]]="Transportation", "ton", "")</f>
        <v/>
      </c>
      <c r="M92" s="6"/>
      <c r="N92" s="6"/>
      <c r="O92" s="6" t="str">
        <f>IF(OR(Table1[[#This Row],[Type]]="Main Product", Table1[[#This Row],[Type]]="Co-Product"), Table1[[#This Row],[Resource]], "")</f>
        <v/>
      </c>
      <c r="P92" s="6" t="str">
        <f>IF(_xlfn.XLOOKUP($O92,'SI - End Use'!$B$2:$B$82,'SI - End Use'!$C$2:$C$82, "")="", "", _xlfn.XLOOKUP($C92,'SI - End Use'!$B$2:$B$82,'SI - End Use'!$C$2:$C$82, ""))</f>
        <v/>
      </c>
      <c r="Q92" s="6"/>
      <c r="R92" s="6"/>
    </row>
    <row r="93" spans="1:18" x14ac:dyDescent="0.35">
      <c r="A93" s="6"/>
      <c r="B93" s="6"/>
      <c r="C93" s="6" t="str">
        <f>_xlfn.XLOOKUP($B93,'SI - Resources'!$A$1:$J$1,'SI - Resources'!$A$2:$J$2, "")</f>
        <v/>
      </c>
      <c r="D93" s="6" t="str">
        <f>IF(_xlfn.XLOOKUP($C93,'SI - End Use'!$B$2:$B$82,'SI - End Use'!$C$2:$C$82, "")="", "", _xlfn.XLOOKUP($C93,'SI - End Use'!$B$2:$B$82,'SI - End Use'!$C$2:$C$82, ""))</f>
        <v/>
      </c>
      <c r="E93" s="13"/>
      <c r="F93" s="6" t="str" cm="1">
        <f t="array" ref="F93">IF($B93="Transportation",  'SI - Units'!$B$9:$B$9, _xlfn.XLOOKUP(_xlfn.XLOOKUP($C93,'SI - Units'!$B$24:$B$106,'SI - Units'!$C$24:$C$106, ""),'SI - Units'!$A$2:$A$8,'SI - Units'!$B$2:$B$8, ""))</f>
        <v/>
      </c>
      <c r="G93" s="27"/>
      <c r="H93" s="27"/>
      <c r="I93" s="31" t="str">
        <f>IF(Table1[[#This Row],[Type]]="Co-product", "No", "")</f>
        <v/>
      </c>
      <c r="J93" s="6"/>
      <c r="K93" s="6" t="str">
        <f>IF(Table1[[#This Row],[Category]]="Transportation", _xlfn.XLOOKUP(Table1[[#This Row],[Resource]], 'SI - Payload'!$A$10:$A$38,'SI - Payload'!$B$10:$B$38,"",0), "")</f>
        <v/>
      </c>
      <c r="L93" s="6" t="str">
        <f>IF(Table1[[#This Row],[Category]]="Transportation", "ton", "")</f>
        <v/>
      </c>
      <c r="M93" s="6"/>
      <c r="N93" s="6"/>
      <c r="O93" s="6" t="str">
        <f>IF(OR(Table1[[#This Row],[Type]]="Main Product", Table1[[#This Row],[Type]]="Co-Product"), Table1[[#This Row],[Resource]], "")</f>
        <v/>
      </c>
      <c r="P93" s="6" t="str">
        <f>IF(_xlfn.XLOOKUP($O93,'SI - End Use'!$B$2:$B$82,'SI - End Use'!$C$2:$C$82, "")="", "", _xlfn.XLOOKUP($C93,'SI - End Use'!$B$2:$B$82,'SI - End Use'!$C$2:$C$82, ""))</f>
        <v/>
      </c>
      <c r="Q93" s="6"/>
      <c r="R93" s="6"/>
    </row>
    <row r="94" spans="1:18" x14ac:dyDescent="0.35">
      <c r="A94" s="6"/>
      <c r="B94" s="6"/>
      <c r="C94" s="6" t="str">
        <f>_xlfn.XLOOKUP($B94,'SI - Resources'!$A$1:$J$1,'SI - Resources'!$A$2:$J$2, "")</f>
        <v/>
      </c>
      <c r="D94" s="6" t="str">
        <f>IF(_xlfn.XLOOKUP($C94,'SI - End Use'!$B$2:$B$82,'SI - End Use'!$C$2:$C$82, "")="", "", _xlfn.XLOOKUP($C94,'SI - End Use'!$B$2:$B$82,'SI - End Use'!$C$2:$C$82, ""))</f>
        <v/>
      </c>
      <c r="E94" s="13"/>
      <c r="F94" s="6" t="str" cm="1">
        <f t="array" ref="F94">IF($B94="Transportation",  'SI - Units'!$B$9:$B$9, _xlfn.XLOOKUP(_xlfn.XLOOKUP($C94,'SI - Units'!$B$24:$B$106,'SI - Units'!$C$24:$C$106, ""),'SI - Units'!$A$2:$A$8,'SI - Units'!$B$2:$B$8, ""))</f>
        <v/>
      </c>
      <c r="G94" s="27"/>
      <c r="H94" s="27"/>
      <c r="I94" s="31" t="str">
        <f>IF(Table1[[#This Row],[Type]]="Co-product", "No", "")</f>
        <v/>
      </c>
      <c r="J94" s="6"/>
      <c r="K94" s="6" t="str">
        <f>IF(Table1[[#This Row],[Category]]="Transportation", _xlfn.XLOOKUP(Table1[[#This Row],[Resource]], 'SI - Payload'!$A$10:$A$38,'SI - Payload'!$B$10:$B$38,"",0), "")</f>
        <v/>
      </c>
      <c r="L94" s="6" t="str">
        <f>IF(Table1[[#This Row],[Category]]="Transportation", "ton", "")</f>
        <v/>
      </c>
      <c r="M94" s="6"/>
      <c r="N94" s="6"/>
      <c r="O94" s="6" t="str">
        <f>IF(OR(Table1[[#This Row],[Type]]="Main Product", Table1[[#This Row],[Type]]="Co-Product"), Table1[[#This Row],[Resource]], "")</f>
        <v/>
      </c>
      <c r="P94" s="6" t="str">
        <f>IF(_xlfn.XLOOKUP($O94,'SI - End Use'!$B$2:$B$82,'SI - End Use'!$C$2:$C$82, "")="", "", _xlfn.XLOOKUP($C94,'SI - End Use'!$B$2:$B$82,'SI - End Use'!$C$2:$C$82, ""))</f>
        <v/>
      </c>
      <c r="Q94" s="6"/>
      <c r="R94" s="6"/>
    </row>
    <row r="95" spans="1:18" x14ac:dyDescent="0.35">
      <c r="A95" s="6"/>
      <c r="B95" s="6"/>
      <c r="C95" s="6" t="str">
        <f>_xlfn.XLOOKUP($B95,'SI - Resources'!$A$1:$J$1,'SI - Resources'!$A$2:$J$2, "")</f>
        <v/>
      </c>
      <c r="D95" s="6" t="str">
        <f>IF(_xlfn.XLOOKUP($C95,'SI - End Use'!$B$2:$B$82,'SI - End Use'!$C$2:$C$82, "")="", "", _xlfn.XLOOKUP($C95,'SI - End Use'!$B$2:$B$82,'SI - End Use'!$C$2:$C$82, ""))</f>
        <v/>
      </c>
      <c r="E95" s="13"/>
      <c r="F95" s="6" t="str" cm="1">
        <f t="array" ref="F95">IF($B95="Transportation",  'SI - Units'!$B$9:$B$9, _xlfn.XLOOKUP(_xlfn.XLOOKUP($C95,'SI - Units'!$B$24:$B$106,'SI - Units'!$C$24:$C$106, ""),'SI - Units'!$A$2:$A$8,'SI - Units'!$B$2:$B$8, ""))</f>
        <v/>
      </c>
      <c r="G95" s="27"/>
      <c r="H95" s="27"/>
      <c r="I95" s="31" t="str">
        <f>IF(Table1[[#This Row],[Type]]="Co-product", "No", "")</f>
        <v/>
      </c>
      <c r="J95" s="6"/>
      <c r="K95" s="6" t="str">
        <f>IF(Table1[[#This Row],[Category]]="Transportation", _xlfn.XLOOKUP(Table1[[#This Row],[Resource]], 'SI - Payload'!$A$10:$A$38,'SI - Payload'!$B$10:$B$38,"",0), "")</f>
        <v/>
      </c>
      <c r="L95" s="6" t="str">
        <f>IF(Table1[[#This Row],[Category]]="Transportation", "ton", "")</f>
        <v/>
      </c>
      <c r="M95" s="6"/>
      <c r="N95" s="6"/>
      <c r="O95" s="6" t="str">
        <f>IF(OR(Table1[[#This Row],[Type]]="Main Product", Table1[[#This Row],[Type]]="Co-Product"), Table1[[#This Row],[Resource]], "")</f>
        <v/>
      </c>
      <c r="P95" s="6" t="str">
        <f>IF(_xlfn.XLOOKUP($O95,'SI - End Use'!$B$2:$B$82,'SI - End Use'!$C$2:$C$82, "")="", "", _xlfn.XLOOKUP($C95,'SI - End Use'!$B$2:$B$82,'SI - End Use'!$C$2:$C$82, ""))</f>
        <v/>
      </c>
      <c r="Q95" s="6"/>
      <c r="R95" s="6"/>
    </row>
    <row r="96" spans="1:18" x14ac:dyDescent="0.35">
      <c r="A96" s="6"/>
      <c r="B96" s="6"/>
      <c r="C96" s="6" t="str">
        <f>_xlfn.XLOOKUP($B96,'SI - Resources'!$A$1:$J$1,'SI - Resources'!$A$2:$J$2, "")</f>
        <v/>
      </c>
      <c r="D96" s="6" t="str">
        <f>IF(_xlfn.XLOOKUP($C96,'SI - End Use'!$B$2:$B$82,'SI - End Use'!$C$2:$C$82, "")="", "", _xlfn.XLOOKUP($C96,'SI - End Use'!$B$2:$B$82,'SI - End Use'!$C$2:$C$82, ""))</f>
        <v/>
      </c>
      <c r="E96" s="13"/>
      <c r="F96" s="6" t="str" cm="1">
        <f t="array" ref="F96">IF($B96="Transportation",  'SI - Units'!$B$9:$B$9, _xlfn.XLOOKUP(_xlfn.XLOOKUP($C96,'SI - Units'!$B$24:$B$106,'SI - Units'!$C$24:$C$106, ""),'SI - Units'!$A$2:$A$8,'SI - Units'!$B$2:$B$8, ""))</f>
        <v/>
      </c>
      <c r="G96" s="27"/>
      <c r="H96" s="27"/>
      <c r="I96" s="31" t="str">
        <f>IF(Table1[[#This Row],[Type]]="Co-product", "No", "")</f>
        <v/>
      </c>
      <c r="J96" s="6"/>
      <c r="K96" s="6" t="str">
        <f>IF(Table1[[#This Row],[Category]]="Transportation", _xlfn.XLOOKUP(Table1[[#This Row],[Resource]], 'SI - Payload'!$A$10:$A$38,'SI - Payload'!$B$10:$B$38,"",0), "")</f>
        <v/>
      </c>
      <c r="L96" s="6" t="str">
        <f>IF(Table1[[#This Row],[Category]]="Transportation", "ton", "")</f>
        <v/>
      </c>
      <c r="M96" s="6"/>
      <c r="N96" s="6"/>
      <c r="O96" s="6" t="str">
        <f>IF(OR(Table1[[#This Row],[Type]]="Main Product", Table1[[#This Row],[Type]]="Co-Product"), Table1[[#This Row],[Resource]], "")</f>
        <v/>
      </c>
      <c r="P96" s="6" t="str">
        <f>IF(_xlfn.XLOOKUP($O96,'SI - End Use'!$B$2:$B$82,'SI - End Use'!$C$2:$C$82, "")="", "", _xlfn.XLOOKUP($C96,'SI - End Use'!$B$2:$B$82,'SI - End Use'!$C$2:$C$82, ""))</f>
        <v/>
      </c>
      <c r="Q96" s="6"/>
      <c r="R96" s="6"/>
    </row>
    <row r="97" spans="1:18" x14ac:dyDescent="0.35">
      <c r="A97" s="6"/>
      <c r="B97" s="6"/>
      <c r="C97" s="6" t="str">
        <f>_xlfn.XLOOKUP($B97,'SI - Resources'!$A$1:$J$1,'SI - Resources'!$A$2:$J$2, "")</f>
        <v/>
      </c>
      <c r="D97" s="6" t="str">
        <f>IF(_xlfn.XLOOKUP($C97,'SI - End Use'!$B$2:$B$82,'SI - End Use'!$C$2:$C$82, "")="", "", _xlfn.XLOOKUP($C97,'SI - End Use'!$B$2:$B$82,'SI - End Use'!$C$2:$C$82, ""))</f>
        <v/>
      </c>
      <c r="E97" s="13"/>
      <c r="F97" s="6" t="str" cm="1">
        <f t="array" ref="F97">IF($B97="Transportation",  'SI - Units'!$B$9:$B$9, _xlfn.XLOOKUP(_xlfn.XLOOKUP($C97,'SI - Units'!$B$24:$B$106,'SI - Units'!$C$24:$C$106, ""),'SI - Units'!$A$2:$A$8,'SI - Units'!$B$2:$B$8, ""))</f>
        <v/>
      </c>
      <c r="G97" s="27"/>
      <c r="H97" s="27"/>
      <c r="I97" s="31" t="str">
        <f>IF(Table1[[#This Row],[Type]]="Co-product", "No", "")</f>
        <v/>
      </c>
      <c r="J97" s="6"/>
      <c r="K97" s="6" t="str">
        <f>IF(Table1[[#This Row],[Category]]="Transportation", _xlfn.XLOOKUP(Table1[[#This Row],[Resource]], 'SI - Payload'!$A$10:$A$38,'SI - Payload'!$B$10:$B$38,"",0), "")</f>
        <v/>
      </c>
      <c r="L97" s="6" t="str">
        <f>IF(Table1[[#This Row],[Category]]="Transportation", "ton", "")</f>
        <v/>
      </c>
      <c r="M97" s="6"/>
      <c r="N97" s="6"/>
      <c r="O97" s="6" t="str">
        <f>IF(OR(Table1[[#This Row],[Type]]="Main Product", Table1[[#This Row],[Type]]="Co-Product"), Table1[[#This Row],[Resource]], "")</f>
        <v/>
      </c>
      <c r="P97" s="6" t="str">
        <f>IF(_xlfn.XLOOKUP($O97,'SI - End Use'!$B$2:$B$82,'SI - End Use'!$C$2:$C$82, "")="", "", _xlfn.XLOOKUP($C97,'SI - End Use'!$B$2:$B$82,'SI - End Use'!$C$2:$C$82, ""))</f>
        <v/>
      </c>
      <c r="Q97" s="6"/>
      <c r="R97" s="6"/>
    </row>
    <row r="98" spans="1:18" x14ac:dyDescent="0.35">
      <c r="A98" s="6"/>
      <c r="B98" s="6"/>
      <c r="C98" s="6" t="str">
        <f>_xlfn.XLOOKUP($B98,'SI - Resources'!$A$1:$J$1,'SI - Resources'!$A$2:$J$2, "")</f>
        <v/>
      </c>
      <c r="D98" s="6" t="str">
        <f>IF(_xlfn.XLOOKUP($C98,'SI - End Use'!$B$2:$B$82,'SI - End Use'!$C$2:$C$82, "")="", "", _xlfn.XLOOKUP($C98,'SI - End Use'!$B$2:$B$82,'SI - End Use'!$C$2:$C$82, ""))</f>
        <v/>
      </c>
      <c r="E98" s="13"/>
      <c r="F98" s="6" t="str" cm="1">
        <f t="array" ref="F98">IF($B98="Transportation",  'SI - Units'!$B$9:$B$9, _xlfn.XLOOKUP(_xlfn.XLOOKUP($C98,'SI - Units'!$B$24:$B$106,'SI - Units'!$C$24:$C$106, ""),'SI - Units'!$A$2:$A$8,'SI - Units'!$B$2:$B$8, ""))</f>
        <v/>
      </c>
      <c r="G98" s="27"/>
      <c r="H98" s="27"/>
      <c r="I98" s="31" t="str">
        <f>IF(Table1[[#This Row],[Type]]="Co-product", "No", "")</f>
        <v/>
      </c>
      <c r="J98" s="6"/>
      <c r="K98" s="6" t="str">
        <f>IF(Table1[[#This Row],[Category]]="Transportation", _xlfn.XLOOKUP(Table1[[#This Row],[Resource]], 'SI - Payload'!$A$10:$A$38,'SI - Payload'!$B$10:$B$38,"",0), "")</f>
        <v/>
      </c>
      <c r="L98" s="6" t="str">
        <f>IF(Table1[[#This Row],[Category]]="Transportation", "ton", "")</f>
        <v/>
      </c>
      <c r="M98" s="6"/>
      <c r="N98" s="6"/>
      <c r="O98" s="6" t="str">
        <f>IF(OR(Table1[[#This Row],[Type]]="Main Product", Table1[[#This Row],[Type]]="Co-Product"), Table1[[#This Row],[Resource]], "")</f>
        <v/>
      </c>
      <c r="P98" s="6" t="str">
        <f>IF(_xlfn.XLOOKUP($O98,'SI - End Use'!$B$2:$B$82,'SI - End Use'!$C$2:$C$82, "")="", "", _xlfn.XLOOKUP($C98,'SI - End Use'!$B$2:$B$82,'SI - End Use'!$C$2:$C$82, ""))</f>
        <v/>
      </c>
      <c r="Q98" s="6"/>
      <c r="R98" s="6"/>
    </row>
    <row r="99" spans="1:18" x14ac:dyDescent="0.35">
      <c r="A99" s="6"/>
      <c r="B99" s="6"/>
      <c r="C99" s="6" t="str">
        <f>_xlfn.XLOOKUP($B99,'SI - Resources'!$A$1:$J$1,'SI - Resources'!$A$2:$J$2, "")</f>
        <v/>
      </c>
      <c r="D99" s="6" t="str">
        <f>IF(_xlfn.XLOOKUP($C99,'SI - End Use'!$B$2:$B$82,'SI - End Use'!$C$2:$C$82, "")="", "", _xlfn.XLOOKUP($C99,'SI - End Use'!$B$2:$B$82,'SI - End Use'!$C$2:$C$82, ""))</f>
        <v/>
      </c>
      <c r="E99" s="13"/>
      <c r="F99" s="6" t="str" cm="1">
        <f t="array" ref="F99">IF($B99="Transportation",  'SI - Units'!$B$9:$B$9, _xlfn.XLOOKUP(_xlfn.XLOOKUP($C99,'SI - Units'!$B$24:$B$106,'SI - Units'!$C$24:$C$106, ""),'SI - Units'!$A$2:$A$8,'SI - Units'!$B$2:$B$8, ""))</f>
        <v/>
      </c>
      <c r="G99" s="27"/>
      <c r="H99" s="27"/>
      <c r="I99" s="31" t="str">
        <f>IF(Table1[[#This Row],[Type]]="Co-product", "No", "")</f>
        <v/>
      </c>
      <c r="J99" s="6"/>
      <c r="K99" s="6" t="str">
        <f>IF(Table1[[#This Row],[Category]]="Transportation", _xlfn.XLOOKUP(Table1[[#This Row],[Resource]], 'SI - Payload'!$A$10:$A$38,'SI - Payload'!$B$10:$B$38,"",0), "")</f>
        <v/>
      </c>
      <c r="L99" s="6" t="str">
        <f>IF(Table1[[#This Row],[Category]]="Transportation", "ton", "")</f>
        <v/>
      </c>
      <c r="M99" s="6"/>
      <c r="N99" s="6"/>
      <c r="O99" s="6" t="str">
        <f>IF(OR(Table1[[#This Row],[Type]]="Main Product", Table1[[#This Row],[Type]]="Co-Product"), Table1[[#This Row],[Resource]], "")</f>
        <v/>
      </c>
      <c r="P99" s="6" t="str">
        <f>IF(_xlfn.XLOOKUP($O99,'SI - End Use'!$B$2:$B$82,'SI - End Use'!$C$2:$C$82, "")="", "", _xlfn.XLOOKUP($C99,'SI - End Use'!$B$2:$B$82,'SI - End Use'!$C$2:$C$82, ""))</f>
        <v/>
      </c>
      <c r="Q99" s="6"/>
      <c r="R99" s="6"/>
    </row>
    <row r="100" spans="1:18" x14ac:dyDescent="0.35">
      <c r="A100" s="30"/>
      <c r="B100" s="16"/>
      <c r="C100" s="16" t="str">
        <f>_xlfn.XLOOKUP($B100,'SI - Resources'!$A$1:$J$1,'SI - Resources'!$A$2:$J$2, "")</f>
        <v/>
      </c>
      <c r="D100" s="16" t="str">
        <f>IF(_xlfn.XLOOKUP($C100,'SI - End Use'!$B$2:$B$82,'SI - End Use'!$C$2:$C$82, "")="", "", _xlfn.XLOOKUP($C100,'SI - End Use'!$B$2:$B$82,'SI - End Use'!$C$2:$C$82, ""))</f>
        <v/>
      </c>
      <c r="E100" s="28"/>
      <c r="F100" s="16" t="str" cm="1">
        <f t="array" ref="F100">IF($B100="Transportation",  'SI - Units'!$B$9:$B$9, _xlfn.XLOOKUP(_xlfn.XLOOKUP($C100,'SI - Units'!$B$24:$B$106,'SI - Units'!$C$24:$C$106, ""),'SI - Units'!$A$2:$A$8,'SI - Units'!$B$2:$B$8, ""))</f>
        <v/>
      </c>
      <c r="G100" s="29"/>
      <c r="H100" s="29"/>
      <c r="I100" s="32" t="str">
        <f>IF(Table1[[#This Row],[Type]]="Co-product", "No", "")</f>
        <v/>
      </c>
      <c r="J100" s="16"/>
      <c r="K100" s="16" t="str">
        <f>IF(Table1[[#This Row],[Category]]="Transportation", _xlfn.XLOOKUP(Table1[[#This Row],[Resource]], 'SI - Payload'!$A$10:$A$38,'SI - Payload'!$B$10:$B$38,"",0), "")</f>
        <v/>
      </c>
      <c r="L100" s="16" t="str">
        <f>IF(Table1[[#This Row],[Category]]="Transportation", "ton", "")</f>
        <v/>
      </c>
      <c r="M100" s="16"/>
      <c r="N100" s="16"/>
      <c r="O100" s="16" t="str">
        <f>IF(OR(Table1[[#This Row],[Type]]="Main Product", Table1[[#This Row],[Type]]="Co-Product"), Table1[[#This Row],[Resource]], "")</f>
        <v/>
      </c>
      <c r="P100" s="16" t="str">
        <f>IF(_xlfn.XLOOKUP($O100,'SI - End Use'!$B$2:$B$82,'SI - End Use'!$C$2:$C$82, "")="", "", _xlfn.XLOOKUP($C100,'SI - End Use'!$B$2:$B$82,'SI - End Use'!$C$2:$C$82, ""))</f>
        <v/>
      </c>
      <c r="Q100" s="16"/>
      <c r="R100" s="16"/>
    </row>
  </sheetData>
  <phoneticPr fontId="15" type="noConversion"/>
  <dataValidations count="6">
    <dataValidation type="list" allowBlank="1" showInputMessage="1" showErrorMessage="1" sqref="C2" xr:uid="{73449F48-79DC-469F-BA4A-33C89F8E76C2}">
      <formula1>"Yes, No"</formula1>
    </dataValidation>
    <dataValidation type="custom" allowBlank="1" showInputMessage="1" showErrorMessage="1" sqref="E5:E100" xr:uid="{0628AE1A-88FC-4B0C-B79D-862BD1EDF44B}">
      <formula1>ISNUMBER(E5)</formula1>
    </dataValidation>
    <dataValidation type="decimal" allowBlank="1" showInputMessage="1" showErrorMessage="1" error="Please type a number between 0 and 1." sqref="G5:G100" xr:uid="{77F9124D-1D0E-4379-AF61-9A752A5D05DC}">
      <formula1>0</formula1>
      <formula2>1</formula2>
    </dataValidation>
    <dataValidation type="decimal" operator="greaterThan" allowBlank="1" showInputMessage="1" showErrorMessage="1" error="Please type a positive price." sqref="M5:M100" xr:uid="{2F05DDD3-7CC2-4F6E-8CEB-5225CE706D4E}">
      <formula1>0</formula1>
    </dataValidation>
    <dataValidation type="decimal" operator="greaterThan" allowBlank="1" showInputMessage="1" showErrorMessage="1" error="Please type a positive number." sqref="K5:K100" xr:uid="{751FB50C-1C6A-47E6-B503-A56F763BA60D}">
      <formula1>0</formula1>
    </dataValidation>
    <dataValidation type="list" allowBlank="1" showInputMessage="1" showErrorMessage="1" sqref="O5:O100" xr:uid="{CB2C94B2-2061-419A-98FA-978462E1885E}">
      <formula1>" =XLOOKUP($B5,'SI - Resources'!$A$1:$I$1,INDIRECT(""Resource""))"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Units'!$B$24:$B$106,'SI - Units'!$C$24:$C$106),'SI - Units'!$A$2:$A$8,'SI - Units'!$B$2:$R$8)</xm:f>
          </x14:formula1>
          <xm:sqref>F4</xm:sqref>
        </x14:dataValidation>
        <x14:dataValidation type="list" allowBlank="1" showInputMessage="1" showErrorMessage="1" xr:uid="{98C737DB-05DE-4B55-BC21-D443B4AFD73C}">
          <x14:formula1>
            <xm:f>'SI - Co-products'!$A$2:$A$5</xm:f>
          </x14:formula1>
          <xm:sqref>J5:J100</xm:sqref>
        </x14:dataValidation>
        <x14:dataValidation type="list" allowBlank="1" showInputMessage="1" showErrorMessage="1" xr:uid="{CE4F3BE5-4A30-4B88-911F-8304175FD33C}">
          <x14:formula1>
            <xm:f>IF($B5="Transportation",  'SI - Units'!$B$9:$E$9, _xlfn.XLOOKUP(_xlfn.XLOOKUP($C5,'SI - Units'!$B$24:$B$106,'SI - Units'!$C$24:$C$106),'SI - Units'!$A$2:$A$8,'SI - Units'!$B$2:$R$8))</xm:f>
          </x14:formula1>
          <xm:sqref>F5:F100</xm:sqref>
        </x14:dataValidation>
        <x14:dataValidation type="list" allowBlank="1" showInputMessage="1" showErrorMessage="1" xr:uid="{A661F3EB-4472-4021-BF1D-5407F0EC0D4D}">
          <x14:formula1>
            <xm:f>'SI - Co-products'!$C$2:$C$4</xm:f>
          </x14:formula1>
          <xm:sqref>I5:I100</xm:sqref>
        </x14:dataValidation>
        <x14:dataValidation type="list" allowBlank="1" showInputMessage="1" showErrorMessage="1" xr:uid="{05496563-CC83-4996-B1CE-3FED2D55798A}">
          <x14:formula1>
            <xm:f>IF($B5="Transportation",  'SI - Units'!$B$20:$E$20, _xlfn.XLOOKUP(_xlfn.XLOOKUP($C5,'SI - Units'!$B$24:$B$106,'SI - Units'!$C$24:$C$106),'SI - Units'!$A$13:$A$19,'SI - Units'!$B$13:$R$19))</xm:f>
          </x14:formula1>
          <xm:sqref>N5:N100</xm:sqref>
        </x14:dataValidation>
        <x14:dataValidation type="list" allowBlank="1" showInputMessage="1" showErrorMessage="1" xr:uid="{2D00DD87-99F7-4095-AC51-B3DA0B074971}">
          <x14:formula1>
            <xm:f>'SI - Units'!$B$10:$F$10</xm:f>
          </x14:formula1>
          <xm:sqref>L5:L100</xm:sqref>
        </x14:dataValidation>
        <x14:dataValidation type="list" allowBlank="1" showInputMessage="1" showErrorMessage="1" xr:uid="{8A3E68E7-60EC-4BD9-8B2B-6DBC01684E36}">
          <x14:formula1>
            <xm:f>'SI - Resources'!$A$1:$J$1</xm:f>
          </x14:formula1>
          <xm:sqref>B5:B100</xm:sqref>
        </x14:dataValidation>
        <x14:dataValidation type="list" allowBlank="1" showInputMessage="1" showErrorMessage="1" xr:uid="{DFA65AA2-143E-45D6-800D-4F4D60300930}">
          <x14:formula1>
            <xm:f>_xlfn.XLOOKUP($B5,'SI - Resources'!$A$1:$J$1,INDIRECT("Resource"))</xm:f>
          </x14:formula1>
          <xm:sqref>C5:C100</xm:sqref>
        </x14:dataValidation>
        <x14:dataValidation type="list" allowBlank="1" showInputMessage="1" showErrorMessage="1" xr:uid="{7278667E-A56C-4614-A6ED-00C2D0D6E674}">
          <x14:formula1>
            <xm:f>'SI - Co-products'!$B$2:$B$6</xm:f>
          </x14:formula1>
          <xm:sqref>A5:A100</xm:sqref>
        </x14:dataValidation>
        <x14:dataValidation type="list" allowBlank="1" showInputMessage="1" xr:uid="{E72F2434-6FC6-48BC-A1D3-F7F1254C28A5}">
          <x14:formula1>
            <xm:f>_xlfn.XLOOKUP($C5,'SI - End Use'!$B$2:$B$82,'SI - End Use'!$C$2:$O$82)</xm:f>
          </x14:formula1>
          <xm:sqref>D5:D100</xm:sqref>
        </x14:dataValidation>
        <x14:dataValidation type="list" allowBlank="1" showInputMessage="1" showErrorMessage="1" xr:uid="{DC2C16C8-CE07-4FE6-9DEE-2F41BAAE693C}">
          <x14:formula1>
            <xm:f>_xlfn.XLOOKUP($O5,'SI - End Use'!$B$2:$B$82,'SI - End Use'!$C$2:$O$82)</xm:f>
          </x14:formula1>
          <xm:sqref>P5:P100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tabColor theme="5"/>
  </sheetPr>
  <dimension ref="A1:BZ38"/>
  <sheetViews>
    <sheetView workbookViewId="0">
      <selection activeCell="F38" sqref="F38"/>
    </sheetView>
  </sheetViews>
  <sheetFormatPr defaultRowHeight="14.5" x14ac:dyDescent="0.35"/>
  <cols>
    <col min="1" max="1" width="25" bestFit="1" customWidth="1"/>
  </cols>
  <sheetData>
    <row r="1" spans="1:78" ht="65.5" x14ac:dyDescent="0.35">
      <c r="A1" s="33" t="s">
        <v>144</v>
      </c>
      <c r="B1" s="34" t="s">
        <v>145</v>
      </c>
      <c r="C1" s="34" t="s">
        <v>146</v>
      </c>
      <c r="D1" s="34" t="s">
        <v>2</v>
      </c>
      <c r="E1" s="34" t="s">
        <v>147</v>
      </c>
      <c r="F1" s="34" t="s">
        <v>148</v>
      </c>
      <c r="G1" s="34" t="s">
        <v>149</v>
      </c>
      <c r="H1" s="34" t="s">
        <v>150</v>
      </c>
      <c r="I1" s="34" t="s">
        <v>151</v>
      </c>
      <c r="J1" s="34" t="s">
        <v>152</v>
      </c>
      <c r="K1" s="34" t="s">
        <v>153</v>
      </c>
      <c r="L1" s="34" t="s">
        <v>154</v>
      </c>
      <c r="M1" s="34" t="s">
        <v>155</v>
      </c>
      <c r="N1" s="34" t="s">
        <v>156</v>
      </c>
      <c r="O1" s="34" t="s">
        <v>157</v>
      </c>
      <c r="P1" s="34" t="s">
        <v>158</v>
      </c>
      <c r="Q1" s="34" t="s">
        <v>159</v>
      </c>
      <c r="R1" s="34" t="s">
        <v>160</v>
      </c>
      <c r="S1" s="34" t="s">
        <v>161</v>
      </c>
      <c r="T1" s="34" t="s">
        <v>162</v>
      </c>
      <c r="U1" s="34" t="s">
        <v>163</v>
      </c>
      <c r="V1" s="34" t="s">
        <v>164</v>
      </c>
      <c r="W1" s="34" t="s">
        <v>75</v>
      </c>
      <c r="X1" s="34" t="s">
        <v>165</v>
      </c>
      <c r="Y1" s="34" t="s">
        <v>166</v>
      </c>
      <c r="Z1" s="34" t="s">
        <v>167</v>
      </c>
      <c r="AA1" s="34" t="s">
        <v>168</v>
      </c>
      <c r="AB1" s="34" t="s">
        <v>169</v>
      </c>
      <c r="AC1" s="34" t="s">
        <v>170</v>
      </c>
      <c r="AD1" s="34" t="s">
        <v>171</v>
      </c>
      <c r="AE1" s="34" t="s">
        <v>172</v>
      </c>
      <c r="AF1" s="34" t="s">
        <v>173</v>
      </c>
      <c r="AG1" s="34" t="s">
        <v>174</v>
      </c>
      <c r="AH1" s="34" t="s">
        <v>175</v>
      </c>
      <c r="AI1" s="34" t="s">
        <v>176</v>
      </c>
      <c r="AJ1" s="34" t="s">
        <v>177</v>
      </c>
      <c r="AK1" s="34" t="s">
        <v>178</v>
      </c>
      <c r="AL1" s="34" t="s">
        <v>179</v>
      </c>
      <c r="AM1" s="34" t="s">
        <v>180</v>
      </c>
      <c r="AN1" s="34" t="s">
        <v>181</v>
      </c>
      <c r="AO1" s="34" t="s">
        <v>182</v>
      </c>
      <c r="AP1" s="34" t="s">
        <v>183</v>
      </c>
      <c r="AQ1" s="34" t="s">
        <v>184</v>
      </c>
      <c r="AR1" s="34" t="s">
        <v>185</v>
      </c>
      <c r="AS1" s="34" t="s">
        <v>186</v>
      </c>
      <c r="AT1" s="34" t="s">
        <v>187</v>
      </c>
      <c r="AU1" s="34" t="s">
        <v>188</v>
      </c>
      <c r="AV1" s="34" t="s">
        <v>189</v>
      </c>
      <c r="AW1" s="34" t="s">
        <v>190</v>
      </c>
      <c r="AX1" s="34" t="s">
        <v>191</v>
      </c>
      <c r="AY1" s="34" t="s">
        <v>192</v>
      </c>
      <c r="AZ1" s="34" t="s">
        <v>193</v>
      </c>
      <c r="BA1" s="34" t="s">
        <v>194</v>
      </c>
      <c r="BB1" s="34" t="s">
        <v>195</v>
      </c>
      <c r="BC1" s="34" t="s">
        <v>15</v>
      </c>
      <c r="BD1" s="34" t="s">
        <v>196</v>
      </c>
      <c r="BE1" s="34" t="s">
        <v>197</v>
      </c>
      <c r="BF1" s="34" t="s">
        <v>19</v>
      </c>
      <c r="BG1" s="34" t="s">
        <v>198</v>
      </c>
      <c r="BH1" s="34" t="s">
        <v>199</v>
      </c>
      <c r="BI1" s="34" t="s">
        <v>200</v>
      </c>
      <c r="BJ1" s="34" t="s">
        <v>201</v>
      </c>
      <c r="BK1" s="34" t="s">
        <v>202</v>
      </c>
      <c r="BL1" s="34" t="s">
        <v>203</v>
      </c>
      <c r="BM1" s="34" t="s">
        <v>204</v>
      </c>
      <c r="BN1" s="34" t="s">
        <v>205</v>
      </c>
      <c r="BO1" s="34" t="s">
        <v>206</v>
      </c>
      <c r="BP1" s="34" t="s">
        <v>207</v>
      </c>
      <c r="BQ1" s="34" t="s">
        <v>208</v>
      </c>
      <c r="BR1" s="34" t="s">
        <v>209</v>
      </c>
      <c r="BS1" s="34" t="s">
        <v>210</v>
      </c>
      <c r="BT1" s="34" t="s">
        <v>211</v>
      </c>
      <c r="BU1" s="34" t="s">
        <v>212</v>
      </c>
      <c r="BV1" s="34" t="s">
        <v>213</v>
      </c>
      <c r="BW1" s="34" t="s">
        <v>214</v>
      </c>
      <c r="BX1" s="34" t="s">
        <v>215</v>
      </c>
      <c r="BY1" s="34" t="s">
        <v>216</v>
      </c>
      <c r="BZ1" s="35" t="s">
        <v>217</v>
      </c>
    </row>
    <row r="2" spans="1:78" x14ac:dyDescent="0.35">
      <c r="A2" s="36" t="s">
        <v>218</v>
      </c>
      <c r="B2" s="37">
        <v>133526.27602620388</v>
      </c>
      <c r="C2" s="37">
        <v>90000</v>
      </c>
      <c r="D2" s="37">
        <v>100000</v>
      </c>
      <c r="E2" s="38">
        <v>80000</v>
      </c>
      <c r="F2" s="37">
        <v>90000</v>
      </c>
      <c r="G2" s="38">
        <v>100000</v>
      </c>
      <c r="H2" s="38">
        <v>100000</v>
      </c>
      <c r="I2" s="38">
        <v>100000</v>
      </c>
      <c r="J2" s="38">
        <v>100000</v>
      </c>
      <c r="K2" s="39"/>
      <c r="L2" s="37">
        <v>65000</v>
      </c>
      <c r="M2" s="37">
        <v>90000</v>
      </c>
      <c r="N2" s="38">
        <v>80000</v>
      </c>
      <c r="O2" s="37">
        <v>100000</v>
      </c>
      <c r="P2" s="37">
        <v>90000</v>
      </c>
      <c r="Q2" s="39"/>
      <c r="R2" s="37">
        <v>15000</v>
      </c>
      <c r="S2" s="38">
        <v>22000</v>
      </c>
      <c r="T2" s="39"/>
      <c r="U2" s="39"/>
      <c r="V2" s="39"/>
      <c r="W2" s="39"/>
      <c r="X2" s="39"/>
      <c r="Y2" s="38">
        <v>65000</v>
      </c>
      <c r="Z2" s="39"/>
      <c r="AA2" s="39"/>
      <c r="AB2" s="39"/>
      <c r="AC2" s="39"/>
      <c r="AD2" s="39"/>
      <c r="AE2" s="39"/>
      <c r="AF2" s="39"/>
      <c r="AG2" s="39"/>
      <c r="AH2" s="39"/>
      <c r="AI2" s="39"/>
      <c r="AJ2" s="39"/>
      <c r="AK2" s="38">
        <v>150000</v>
      </c>
      <c r="AL2" s="39"/>
      <c r="AM2" s="40"/>
      <c r="AN2" s="39"/>
      <c r="AO2" s="39"/>
      <c r="AP2" s="39"/>
      <c r="AQ2" s="39"/>
      <c r="AR2" s="41">
        <v>100000</v>
      </c>
      <c r="AS2" s="41">
        <v>100000</v>
      </c>
      <c r="AT2" s="42"/>
      <c r="AU2" s="39"/>
      <c r="AV2" s="39"/>
      <c r="AW2" s="39"/>
      <c r="AX2" s="39"/>
      <c r="AY2" s="39"/>
      <c r="AZ2" s="39"/>
      <c r="BA2" s="39"/>
      <c r="BB2" s="39"/>
      <c r="BC2" s="39"/>
      <c r="BD2" s="39"/>
      <c r="BE2" s="39"/>
      <c r="BF2" s="39"/>
      <c r="BG2" s="39"/>
      <c r="BH2" s="39"/>
      <c r="BI2" s="39"/>
      <c r="BJ2" s="39"/>
      <c r="BK2" s="39"/>
      <c r="BL2" s="40"/>
      <c r="BM2" s="39"/>
      <c r="BN2" s="43">
        <v>100000</v>
      </c>
      <c r="BO2" s="40"/>
      <c r="BP2" s="44">
        <v>90000</v>
      </c>
      <c r="BQ2" s="39"/>
      <c r="BR2" s="40"/>
      <c r="BS2" s="44">
        <v>80000</v>
      </c>
      <c r="BT2" s="39"/>
      <c r="BU2" s="39"/>
      <c r="BV2" s="39"/>
      <c r="BW2" s="39"/>
      <c r="BX2" s="39"/>
      <c r="BY2" s="39"/>
      <c r="BZ2" s="45"/>
    </row>
    <row r="3" spans="1:78" x14ac:dyDescent="0.35">
      <c r="A3" s="36" t="s">
        <v>219</v>
      </c>
      <c r="B3" s="38">
        <v>22500</v>
      </c>
      <c r="C3" s="38">
        <v>20000</v>
      </c>
      <c r="D3" s="38">
        <v>22500</v>
      </c>
      <c r="E3" s="38">
        <v>18000</v>
      </c>
      <c r="F3" s="38">
        <v>19000</v>
      </c>
      <c r="G3" s="38">
        <v>22500</v>
      </c>
      <c r="H3" s="38">
        <v>20000</v>
      </c>
      <c r="I3" s="38">
        <v>20000</v>
      </c>
      <c r="J3" s="38">
        <v>20000</v>
      </c>
      <c r="K3" s="39"/>
      <c r="L3" s="38">
        <v>15000</v>
      </c>
      <c r="M3" s="38">
        <v>20000</v>
      </c>
      <c r="N3" s="38">
        <v>18000</v>
      </c>
      <c r="O3" s="38">
        <v>20000</v>
      </c>
      <c r="P3" s="38">
        <v>19000</v>
      </c>
      <c r="Q3" s="39"/>
      <c r="R3" s="38">
        <v>3000</v>
      </c>
      <c r="S3" s="38">
        <v>20000</v>
      </c>
      <c r="T3" s="38">
        <v>20000</v>
      </c>
      <c r="U3" s="39">
        <v>20000</v>
      </c>
      <c r="V3" s="38">
        <v>22500</v>
      </c>
      <c r="W3" s="39">
        <v>20000</v>
      </c>
      <c r="X3" s="39">
        <v>20000</v>
      </c>
      <c r="Y3" s="38">
        <v>22500</v>
      </c>
      <c r="Z3" s="38">
        <v>20000</v>
      </c>
      <c r="AA3" s="38">
        <v>20000</v>
      </c>
      <c r="AB3" s="38">
        <v>20000</v>
      </c>
      <c r="AC3" s="38">
        <v>20000</v>
      </c>
      <c r="AD3" s="38">
        <v>20000</v>
      </c>
      <c r="AE3" s="38">
        <v>20000</v>
      </c>
      <c r="AF3" s="38">
        <v>20000</v>
      </c>
      <c r="AG3" s="39"/>
      <c r="AH3" s="39"/>
      <c r="AI3" s="39"/>
      <c r="AJ3" s="38">
        <v>20000</v>
      </c>
      <c r="AK3" s="39"/>
      <c r="AL3" s="38">
        <v>20000</v>
      </c>
      <c r="AM3" s="38">
        <v>20000</v>
      </c>
      <c r="AN3" s="38">
        <v>20000</v>
      </c>
      <c r="AO3" s="38">
        <v>30000</v>
      </c>
      <c r="AP3" s="39"/>
      <c r="AQ3" s="38">
        <v>30000</v>
      </c>
      <c r="AR3" s="38">
        <v>22500</v>
      </c>
      <c r="AS3" s="38">
        <v>20000</v>
      </c>
      <c r="AT3" s="38">
        <v>20000</v>
      </c>
      <c r="AU3" s="38">
        <v>20000</v>
      </c>
      <c r="AV3" s="39"/>
      <c r="AW3" s="38">
        <v>22500</v>
      </c>
      <c r="AX3" s="39"/>
      <c r="AY3" s="39"/>
      <c r="AZ3" s="39"/>
      <c r="BA3" s="39"/>
      <c r="BB3" s="39"/>
      <c r="BC3" s="39"/>
      <c r="BD3" s="39"/>
      <c r="BE3" s="39"/>
      <c r="BF3" s="39"/>
      <c r="BG3" s="39"/>
      <c r="BH3" s="39"/>
      <c r="BI3" s="38">
        <v>20000</v>
      </c>
      <c r="BJ3" s="39"/>
      <c r="BK3" s="38">
        <v>20000</v>
      </c>
      <c r="BL3" s="39"/>
      <c r="BM3" s="38"/>
      <c r="BN3" s="39"/>
      <c r="BO3" s="40"/>
      <c r="BP3" s="38">
        <v>19000</v>
      </c>
      <c r="BQ3" s="38">
        <v>20000</v>
      </c>
      <c r="BR3" s="40"/>
      <c r="BS3" s="38">
        <v>18000</v>
      </c>
      <c r="BT3" s="38">
        <v>20000</v>
      </c>
      <c r="BU3" s="39"/>
      <c r="BV3" s="39"/>
      <c r="BW3" s="39"/>
      <c r="BX3" s="39"/>
      <c r="BY3" s="39"/>
      <c r="BZ3" s="45"/>
    </row>
    <row r="4" spans="1:78" x14ac:dyDescent="0.35">
      <c r="A4" s="36" t="s">
        <v>220</v>
      </c>
      <c r="B4" s="38">
        <v>25</v>
      </c>
      <c r="C4" s="38">
        <v>25</v>
      </c>
      <c r="D4" s="38">
        <v>25</v>
      </c>
      <c r="E4" s="38">
        <v>20</v>
      </c>
      <c r="F4" s="38">
        <v>22</v>
      </c>
      <c r="G4" s="38">
        <v>25</v>
      </c>
      <c r="H4" s="38">
        <v>25</v>
      </c>
      <c r="I4" s="38">
        <v>25</v>
      </c>
      <c r="J4" s="38">
        <v>25</v>
      </c>
      <c r="K4" s="38">
        <v>25</v>
      </c>
      <c r="L4" s="38">
        <v>15</v>
      </c>
      <c r="M4" s="38">
        <v>25</v>
      </c>
      <c r="N4" s="38">
        <v>20</v>
      </c>
      <c r="O4" s="38">
        <v>25</v>
      </c>
      <c r="P4" s="38">
        <v>22</v>
      </c>
      <c r="Q4" s="38">
        <v>0.4</v>
      </c>
      <c r="R4" s="38">
        <v>4</v>
      </c>
      <c r="S4" s="38">
        <v>33</v>
      </c>
      <c r="T4" s="38">
        <v>25</v>
      </c>
      <c r="U4" s="39">
        <v>25</v>
      </c>
      <c r="V4" s="38">
        <v>25</v>
      </c>
      <c r="W4" s="39">
        <v>25</v>
      </c>
      <c r="X4" s="39">
        <v>25</v>
      </c>
      <c r="Y4" s="38">
        <v>22.5</v>
      </c>
      <c r="Z4" s="38">
        <v>17.5</v>
      </c>
      <c r="AA4" s="38">
        <v>17.5</v>
      </c>
      <c r="AB4" s="38">
        <v>25</v>
      </c>
      <c r="AC4" s="38">
        <v>15</v>
      </c>
      <c r="AD4" s="46">
        <v>17.684999999999999</v>
      </c>
      <c r="AE4" s="46">
        <v>20.889521999999999</v>
      </c>
      <c r="AF4" s="38">
        <v>17.5</v>
      </c>
      <c r="AG4" s="38">
        <v>25</v>
      </c>
      <c r="AH4" s="38">
        <v>17</v>
      </c>
      <c r="AI4" s="38">
        <v>17</v>
      </c>
      <c r="AJ4" s="38">
        <v>15</v>
      </c>
      <c r="AK4" s="38">
        <v>25</v>
      </c>
      <c r="AL4" s="38">
        <v>15</v>
      </c>
      <c r="AM4" s="38">
        <v>15</v>
      </c>
      <c r="AN4" s="38">
        <v>15</v>
      </c>
      <c r="AO4" s="38">
        <v>25</v>
      </c>
      <c r="AP4" s="38">
        <v>25</v>
      </c>
      <c r="AQ4" s="38">
        <v>25</v>
      </c>
      <c r="AR4" s="38">
        <v>25</v>
      </c>
      <c r="AS4" s="38">
        <v>25</v>
      </c>
      <c r="AT4" s="38">
        <v>25</v>
      </c>
      <c r="AU4" s="38">
        <v>24</v>
      </c>
      <c r="AV4" s="38">
        <v>25</v>
      </c>
      <c r="AW4" s="38">
        <v>25</v>
      </c>
      <c r="AX4" s="38">
        <v>25</v>
      </c>
      <c r="AY4" s="38">
        <v>25</v>
      </c>
      <c r="AZ4" s="38">
        <v>25</v>
      </c>
      <c r="BA4" s="38">
        <v>25</v>
      </c>
      <c r="BB4" s="38">
        <v>23</v>
      </c>
      <c r="BC4" s="38">
        <v>23</v>
      </c>
      <c r="BD4" s="38">
        <v>23</v>
      </c>
      <c r="BE4" s="38">
        <v>23</v>
      </c>
      <c r="BF4" s="38">
        <v>23</v>
      </c>
      <c r="BG4" s="38">
        <v>23</v>
      </c>
      <c r="BH4" s="38">
        <v>23</v>
      </c>
      <c r="BI4" s="38">
        <v>25</v>
      </c>
      <c r="BJ4" s="38">
        <v>25</v>
      </c>
      <c r="BK4" s="38">
        <v>20</v>
      </c>
      <c r="BL4" s="47">
        <v>23</v>
      </c>
      <c r="BM4" s="38">
        <v>21.75</v>
      </c>
      <c r="BN4" s="40"/>
      <c r="BO4" s="48">
        <v>23</v>
      </c>
      <c r="BP4" s="38">
        <v>22</v>
      </c>
      <c r="BQ4" s="43">
        <v>17.62</v>
      </c>
      <c r="BR4" s="48">
        <v>17.68</v>
      </c>
      <c r="BS4" s="38">
        <v>20</v>
      </c>
      <c r="BT4" s="38">
        <v>17.62</v>
      </c>
      <c r="BU4" s="38">
        <v>24</v>
      </c>
      <c r="BV4" s="38">
        <v>15</v>
      </c>
      <c r="BW4" s="38">
        <v>15</v>
      </c>
      <c r="BX4" s="38">
        <v>21</v>
      </c>
      <c r="BY4" s="38">
        <v>24</v>
      </c>
      <c r="BZ4" s="49">
        <v>17.5</v>
      </c>
    </row>
    <row r="5" spans="1:78" x14ac:dyDescent="0.35">
      <c r="A5" s="50" t="s">
        <v>221</v>
      </c>
      <c r="B5" s="51"/>
      <c r="C5" s="51"/>
      <c r="D5" s="51"/>
      <c r="E5" s="51"/>
      <c r="F5" s="51"/>
      <c r="G5" s="51"/>
      <c r="H5" s="51"/>
      <c r="I5" s="51"/>
      <c r="J5" s="51"/>
      <c r="K5" s="52">
        <v>8</v>
      </c>
      <c r="L5" s="51"/>
      <c r="M5" s="51"/>
      <c r="N5" s="51"/>
      <c r="O5" s="51"/>
      <c r="P5" s="51"/>
      <c r="Q5" s="52">
        <v>0.4</v>
      </c>
      <c r="R5" s="52">
        <v>1.28</v>
      </c>
      <c r="S5" s="52"/>
      <c r="T5" s="51"/>
      <c r="U5" s="51"/>
      <c r="V5" s="51"/>
      <c r="W5" s="51"/>
      <c r="X5" s="51"/>
      <c r="Y5" s="52">
        <v>8</v>
      </c>
      <c r="Z5" s="51"/>
      <c r="AA5" s="51"/>
      <c r="AB5" s="51"/>
      <c r="AC5" s="52">
        <v>8</v>
      </c>
      <c r="AD5" s="51"/>
      <c r="AE5" s="51"/>
      <c r="AF5" s="51"/>
      <c r="AG5" s="51"/>
      <c r="AH5" s="51"/>
      <c r="AI5" s="51"/>
      <c r="AJ5" s="52">
        <v>8</v>
      </c>
      <c r="AK5" s="52">
        <v>8</v>
      </c>
      <c r="AL5" s="52">
        <v>8</v>
      </c>
      <c r="AM5" s="52">
        <v>8</v>
      </c>
      <c r="AN5" s="52">
        <v>8</v>
      </c>
      <c r="AO5" s="51"/>
      <c r="AP5" s="51"/>
      <c r="AQ5" s="51"/>
      <c r="AR5" s="53"/>
      <c r="AS5" s="53"/>
      <c r="AT5" s="53"/>
      <c r="AU5" s="51"/>
      <c r="AV5" s="52">
        <v>8</v>
      </c>
      <c r="AW5" s="51"/>
      <c r="AX5" s="51"/>
      <c r="AY5" s="51"/>
      <c r="AZ5" s="52">
        <v>8</v>
      </c>
      <c r="BA5" s="52">
        <v>8</v>
      </c>
      <c r="BB5" s="52">
        <v>8</v>
      </c>
      <c r="BC5" s="52">
        <v>8</v>
      </c>
      <c r="BD5" s="52">
        <v>8</v>
      </c>
      <c r="BE5" s="52">
        <v>8</v>
      </c>
      <c r="BF5" s="52">
        <v>8</v>
      </c>
      <c r="BG5" s="52">
        <v>8</v>
      </c>
      <c r="BH5" s="52">
        <v>8</v>
      </c>
      <c r="BI5" s="51"/>
      <c r="BJ5" s="51"/>
      <c r="BK5" s="51">
        <v>5</v>
      </c>
      <c r="BL5" s="54">
        <v>8</v>
      </c>
      <c r="BM5" s="51"/>
      <c r="BN5" s="53"/>
      <c r="BO5" s="53"/>
      <c r="BP5" s="51"/>
      <c r="BQ5" s="51"/>
      <c r="BR5" s="53"/>
      <c r="BS5" s="51"/>
      <c r="BT5" s="51"/>
      <c r="BU5" s="51"/>
      <c r="BV5" s="51">
        <v>8</v>
      </c>
      <c r="BW5" s="51"/>
      <c r="BX5" s="51"/>
      <c r="BY5" s="51"/>
      <c r="BZ5" s="55"/>
    </row>
    <row r="10" spans="1:78" x14ac:dyDescent="0.35">
      <c r="A10" t="s">
        <v>33</v>
      </c>
      <c r="B10" s="56">
        <f>AC4</f>
        <v>15</v>
      </c>
    </row>
    <row r="11" spans="1:78" x14ac:dyDescent="0.35">
      <c r="A11" s="67" t="s">
        <v>293</v>
      </c>
      <c r="B11" s="68">
        <f>AV4</f>
        <v>25</v>
      </c>
    </row>
    <row r="12" spans="1:78" x14ac:dyDescent="0.35">
      <c r="A12" t="s">
        <v>2</v>
      </c>
      <c r="B12" s="56">
        <f>D4</f>
        <v>25</v>
      </c>
    </row>
    <row r="13" spans="1:78" x14ac:dyDescent="0.35">
      <c r="A13" t="s">
        <v>22</v>
      </c>
      <c r="B13" s="57">
        <f>Q4</f>
        <v>0.4</v>
      </c>
    </row>
    <row r="14" spans="1:78" x14ac:dyDescent="0.35">
      <c r="A14" t="s">
        <v>75</v>
      </c>
      <c r="B14" s="56">
        <f>W4</f>
        <v>25</v>
      </c>
    </row>
    <row r="15" spans="1:78" x14ac:dyDescent="0.35">
      <c r="A15" t="s">
        <v>281</v>
      </c>
      <c r="B15" s="56">
        <f>W4</f>
        <v>25</v>
      </c>
    </row>
    <row r="16" spans="1:78" x14ac:dyDescent="0.35">
      <c r="A16" t="s">
        <v>282</v>
      </c>
      <c r="B16" s="56">
        <f>W4</f>
        <v>25</v>
      </c>
    </row>
    <row r="17" spans="1:2" x14ac:dyDescent="0.35">
      <c r="A17" t="s">
        <v>13</v>
      </c>
      <c r="B17" s="56">
        <f>$Y$4</f>
        <v>22.5</v>
      </c>
    </row>
    <row r="18" spans="1:2" x14ac:dyDescent="0.35">
      <c r="A18" t="s">
        <v>14</v>
      </c>
      <c r="B18" s="56">
        <f t="shared" ref="B18:B38" si="0">$Y$4</f>
        <v>22.5</v>
      </c>
    </row>
    <row r="19" spans="1:2" x14ac:dyDescent="0.35">
      <c r="A19" t="s">
        <v>15</v>
      </c>
      <c r="B19" s="56">
        <f t="shared" si="0"/>
        <v>22.5</v>
      </c>
    </row>
    <row r="20" spans="1:2" x14ac:dyDescent="0.35">
      <c r="A20" t="s">
        <v>16</v>
      </c>
      <c r="B20" s="56">
        <f t="shared" si="0"/>
        <v>22.5</v>
      </c>
    </row>
    <row r="21" spans="1:2" x14ac:dyDescent="0.35">
      <c r="A21" t="s">
        <v>17</v>
      </c>
      <c r="B21" s="56">
        <f t="shared" si="0"/>
        <v>22.5</v>
      </c>
    </row>
    <row r="22" spans="1:2" x14ac:dyDescent="0.35">
      <c r="A22" t="s">
        <v>18</v>
      </c>
      <c r="B22" s="56">
        <f t="shared" si="0"/>
        <v>22.5</v>
      </c>
    </row>
    <row r="23" spans="1:2" x14ac:dyDescent="0.35">
      <c r="A23" t="s">
        <v>19</v>
      </c>
      <c r="B23" s="56">
        <f t="shared" si="0"/>
        <v>22.5</v>
      </c>
    </row>
    <row r="24" spans="1:2" x14ac:dyDescent="0.35">
      <c r="A24" t="s">
        <v>112</v>
      </c>
      <c r="B24" s="56">
        <f t="shared" si="0"/>
        <v>22.5</v>
      </c>
    </row>
    <row r="25" spans="1:2" x14ac:dyDescent="0.35">
      <c r="A25" t="s">
        <v>111</v>
      </c>
      <c r="B25" s="56">
        <f t="shared" si="0"/>
        <v>22.5</v>
      </c>
    </row>
    <row r="26" spans="1:2" x14ac:dyDescent="0.35">
      <c r="A26" t="s">
        <v>21</v>
      </c>
      <c r="B26" s="56">
        <f t="shared" si="0"/>
        <v>22.5</v>
      </c>
    </row>
    <row r="27" spans="1:2" x14ac:dyDescent="0.35">
      <c r="A27" t="s">
        <v>37</v>
      </c>
      <c r="B27" s="56">
        <f t="shared" si="0"/>
        <v>22.5</v>
      </c>
    </row>
    <row r="28" spans="1:2" x14ac:dyDescent="0.35">
      <c r="A28" t="s">
        <v>23</v>
      </c>
      <c r="B28" s="56">
        <f t="shared" si="0"/>
        <v>22.5</v>
      </c>
    </row>
    <row r="29" spans="1:2" x14ac:dyDescent="0.35">
      <c r="A29" t="s">
        <v>25</v>
      </c>
      <c r="B29" s="56">
        <f t="shared" si="0"/>
        <v>22.5</v>
      </c>
    </row>
    <row r="30" spans="1:2" x14ac:dyDescent="0.35">
      <c r="A30" t="s">
        <v>26</v>
      </c>
      <c r="B30" s="56">
        <f t="shared" si="0"/>
        <v>22.5</v>
      </c>
    </row>
    <row r="31" spans="1:2" x14ac:dyDescent="0.35">
      <c r="A31" t="s">
        <v>30</v>
      </c>
      <c r="B31" s="56">
        <f t="shared" si="0"/>
        <v>22.5</v>
      </c>
    </row>
    <row r="32" spans="1:2" x14ac:dyDescent="0.35">
      <c r="A32" t="s">
        <v>21</v>
      </c>
      <c r="B32" s="56">
        <f t="shared" si="0"/>
        <v>22.5</v>
      </c>
    </row>
    <row r="33" spans="1:2" x14ac:dyDescent="0.35">
      <c r="A33" t="s">
        <v>20</v>
      </c>
      <c r="B33" s="56">
        <f t="shared" si="0"/>
        <v>22.5</v>
      </c>
    </row>
    <row r="34" spans="1:2" x14ac:dyDescent="0.35">
      <c r="A34" t="s">
        <v>37</v>
      </c>
      <c r="B34" s="56">
        <f t="shared" si="0"/>
        <v>22.5</v>
      </c>
    </row>
    <row r="35" spans="1:2" x14ac:dyDescent="0.35">
      <c r="A35" t="s">
        <v>25</v>
      </c>
      <c r="B35" s="56">
        <f t="shared" si="0"/>
        <v>22.5</v>
      </c>
    </row>
    <row r="36" spans="1:2" x14ac:dyDescent="0.35">
      <c r="A36" t="s">
        <v>244</v>
      </c>
      <c r="B36" s="56">
        <v>23</v>
      </c>
    </row>
    <row r="37" spans="1:2" x14ac:dyDescent="0.35">
      <c r="A37" t="s">
        <v>248</v>
      </c>
      <c r="B37" s="56">
        <v>23</v>
      </c>
    </row>
    <row r="38" spans="1:2" x14ac:dyDescent="0.35">
      <c r="A38" t="s">
        <v>53</v>
      </c>
      <c r="B38" s="56">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tabColor theme="5"/>
  </sheetPr>
  <dimension ref="A1:P50"/>
  <sheetViews>
    <sheetView workbookViewId="0">
      <selection activeCell="H5" sqref="H5"/>
    </sheetView>
  </sheetViews>
  <sheetFormatPr defaultRowHeight="14.5" x14ac:dyDescent="0.35"/>
  <cols>
    <col min="1" max="2" width="9.81640625" customWidth="1"/>
    <col min="3" max="3" width="10.54296875" bestFit="1" customWidth="1"/>
    <col min="4" max="4" width="10.54296875" customWidth="1"/>
    <col min="5" max="5" width="22.54296875" customWidth="1"/>
    <col min="7" max="7" width="8.7265625" style="58"/>
    <col min="10" max="10" width="15.81640625" bestFit="1" customWidth="1"/>
  </cols>
  <sheetData>
    <row r="1" spans="1:16" x14ac:dyDescent="0.35">
      <c r="A1" s="2" t="s">
        <v>39</v>
      </c>
      <c r="B1" s="2" t="s">
        <v>235</v>
      </c>
      <c r="C1" s="2" t="s">
        <v>249</v>
      </c>
      <c r="D1" s="2" t="s">
        <v>3</v>
      </c>
      <c r="E1" s="2" t="s">
        <v>38</v>
      </c>
      <c r="F1" s="2" t="s">
        <v>29</v>
      </c>
      <c r="G1" s="61" t="s">
        <v>287</v>
      </c>
      <c r="H1" s="2" t="s">
        <v>34</v>
      </c>
      <c r="I1" s="2" t="s">
        <v>222</v>
      </c>
      <c r="J1" s="2" t="s">
        <v>250</v>
      </c>
    </row>
    <row r="2" spans="1:16" x14ac:dyDescent="0.35">
      <c r="A2" t="s">
        <v>33</v>
      </c>
      <c r="B2" t="s">
        <v>236</v>
      </c>
      <c r="C2" t="s">
        <v>2</v>
      </c>
      <c r="D2" t="s">
        <v>3</v>
      </c>
      <c r="E2" t="s">
        <v>283</v>
      </c>
      <c r="F2" t="s">
        <v>29</v>
      </c>
      <c r="G2" s="58" t="s">
        <v>288</v>
      </c>
      <c r="H2" t="s">
        <v>33</v>
      </c>
      <c r="I2" t="s">
        <v>244</v>
      </c>
      <c r="J2" t="s">
        <v>223</v>
      </c>
    </row>
    <row r="3" spans="1:16" x14ac:dyDescent="0.35">
      <c r="A3" s="58" t="s">
        <v>293</v>
      </c>
      <c r="C3" s="1" t="s">
        <v>24</v>
      </c>
      <c r="E3" s="1" t="s">
        <v>14</v>
      </c>
      <c r="G3" s="58" t="s">
        <v>289</v>
      </c>
      <c r="H3" t="s">
        <v>244</v>
      </c>
      <c r="I3" t="s">
        <v>248</v>
      </c>
      <c r="J3" t="s">
        <v>224</v>
      </c>
    </row>
    <row r="4" spans="1:16" x14ac:dyDescent="0.35">
      <c r="C4" s="1" t="s">
        <v>22</v>
      </c>
      <c r="D4" s="1"/>
      <c r="E4" s="1" t="s">
        <v>53</v>
      </c>
      <c r="G4" s="58" t="s">
        <v>290</v>
      </c>
      <c r="H4" t="s">
        <v>248</v>
      </c>
      <c r="J4" t="s">
        <v>225</v>
      </c>
    </row>
    <row r="5" spans="1:16" x14ac:dyDescent="0.35">
      <c r="C5" s="62" t="s">
        <v>314</v>
      </c>
      <c r="D5" s="1"/>
      <c r="E5" s="1" t="s">
        <v>37</v>
      </c>
      <c r="G5" s="58" t="s">
        <v>291</v>
      </c>
      <c r="H5" s="58" t="s">
        <v>293</v>
      </c>
      <c r="J5" t="s">
        <v>226</v>
      </c>
    </row>
    <row r="6" spans="1:16" x14ac:dyDescent="0.35">
      <c r="C6" t="s">
        <v>75</v>
      </c>
      <c r="E6" s="1" t="s">
        <v>13</v>
      </c>
      <c r="J6" t="s">
        <v>227</v>
      </c>
    </row>
    <row r="7" spans="1:16" x14ac:dyDescent="0.35">
      <c r="C7" t="s">
        <v>281</v>
      </c>
      <c r="E7" s="1" t="s">
        <v>240</v>
      </c>
      <c r="J7" t="s">
        <v>228</v>
      </c>
    </row>
    <row r="8" spans="1:16" x14ac:dyDescent="0.35">
      <c r="C8" t="s">
        <v>282</v>
      </c>
      <c r="E8" s="1" t="s">
        <v>25</v>
      </c>
      <c r="J8" t="s">
        <v>229</v>
      </c>
    </row>
    <row r="9" spans="1:16" x14ac:dyDescent="0.35">
      <c r="C9" s="65" t="s">
        <v>317</v>
      </c>
      <c r="E9" s="1" t="s">
        <v>284</v>
      </c>
      <c r="J9" t="s">
        <v>230</v>
      </c>
    </row>
    <row r="10" spans="1:16" x14ac:dyDescent="0.35">
      <c r="C10" s="65" t="s">
        <v>318</v>
      </c>
      <c r="E10" s="1" t="s">
        <v>15</v>
      </c>
      <c r="J10" t="s">
        <v>231</v>
      </c>
    </row>
    <row r="11" spans="1:16" x14ac:dyDescent="0.35">
      <c r="E11" s="1" t="s">
        <v>16</v>
      </c>
      <c r="J11" t="s">
        <v>232</v>
      </c>
    </row>
    <row r="12" spans="1:16" x14ac:dyDescent="0.35">
      <c r="E12" s="1" t="s">
        <v>23</v>
      </c>
      <c r="J12" t="s">
        <v>233</v>
      </c>
      <c r="P12" s="40"/>
    </row>
    <row r="13" spans="1:16" x14ac:dyDescent="0.35">
      <c r="E13" t="s">
        <v>18</v>
      </c>
      <c r="J13" t="s">
        <v>234</v>
      </c>
      <c r="P13" s="40"/>
    </row>
    <row r="14" spans="1:16" x14ac:dyDescent="0.35">
      <c r="E14" t="s">
        <v>19</v>
      </c>
      <c r="P14" s="40"/>
    </row>
    <row r="15" spans="1:16" x14ac:dyDescent="0.35">
      <c r="E15" s="1" t="s">
        <v>112</v>
      </c>
    </row>
    <row r="16" spans="1:16" x14ac:dyDescent="0.35">
      <c r="E16" s="1" t="s">
        <v>239</v>
      </c>
    </row>
    <row r="17" spans="5:5" x14ac:dyDescent="0.35">
      <c r="E17" s="1" t="s">
        <v>243</v>
      </c>
    </row>
    <row r="18" spans="5:5" x14ac:dyDescent="0.35">
      <c r="E18" s="1" t="s">
        <v>241</v>
      </c>
    </row>
    <row r="19" spans="5:5" x14ac:dyDescent="0.35">
      <c r="E19" s="1" t="s">
        <v>238</v>
      </c>
    </row>
    <row r="20" spans="5:5" x14ac:dyDescent="0.35">
      <c r="E20" s="1" t="s">
        <v>242</v>
      </c>
    </row>
    <row r="21" spans="5:5" x14ac:dyDescent="0.35">
      <c r="E21" s="1" t="s">
        <v>50</v>
      </c>
    </row>
    <row r="22" spans="5:5" x14ac:dyDescent="0.35">
      <c r="E22" s="1" t="s">
        <v>285</v>
      </c>
    </row>
    <row r="23" spans="5:5" x14ac:dyDescent="0.35">
      <c r="E23" s="1" t="s">
        <v>21</v>
      </c>
    </row>
    <row r="24" spans="5:5" x14ac:dyDescent="0.35">
      <c r="E24" s="1" t="s">
        <v>111</v>
      </c>
    </row>
    <row r="25" spans="5:5" x14ac:dyDescent="0.35">
      <c r="E25" s="58" t="s">
        <v>292</v>
      </c>
    </row>
    <row r="26" spans="5:5" x14ac:dyDescent="0.35">
      <c r="E26" s="62" t="s">
        <v>294</v>
      </c>
    </row>
    <row r="27" spans="5:5" x14ac:dyDescent="0.35">
      <c r="E27" s="62" t="s">
        <v>91</v>
      </c>
    </row>
    <row r="28" spans="5:5" x14ac:dyDescent="0.35">
      <c r="E28" s="62" t="s">
        <v>15</v>
      </c>
    </row>
    <row r="29" spans="5:5" x14ac:dyDescent="0.35">
      <c r="E29" s="62" t="s">
        <v>295</v>
      </c>
    </row>
    <row r="30" spans="5:5" x14ac:dyDescent="0.35">
      <c r="E30" s="63" t="s">
        <v>296</v>
      </c>
    </row>
    <row r="31" spans="5:5" x14ac:dyDescent="0.35">
      <c r="E31" s="63" t="s">
        <v>297</v>
      </c>
    </row>
    <row r="32" spans="5:5" x14ac:dyDescent="0.35">
      <c r="E32" s="64" t="s">
        <v>298</v>
      </c>
    </row>
    <row r="33" spans="5:5" x14ac:dyDescent="0.35">
      <c r="E33" s="64" t="s">
        <v>299</v>
      </c>
    </row>
    <row r="34" spans="5:5" x14ac:dyDescent="0.35">
      <c r="E34" s="64" t="s">
        <v>300</v>
      </c>
    </row>
    <row r="35" spans="5:5" x14ac:dyDescent="0.35">
      <c r="E35" s="64" t="s">
        <v>301</v>
      </c>
    </row>
    <row r="36" spans="5:5" x14ac:dyDescent="0.35">
      <c r="E36" s="64" t="s">
        <v>302</v>
      </c>
    </row>
    <row r="37" spans="5:5" x14ac:dyDescent="0.35">
      <c r="E37" s="64" t="s">
        <v>303</v>
      </c>
    </row>
    <row r="38" spans="5:5" x14ac:dyDescent="0.35">
      <c r="E38" s="64" t="s">
        <v>304</v>
      </c>
    </row>
    <row r="39" spans="5:5" x14ac:dyDescent="0.35">
      <c r="E39" s="64" t="s">
        <v>305</v>
      </c>
    </row>
    <row r="40" spans="5:5" x14ac:dyDescent="0.35">
      <c r="E40" s="64" t="s">
        <v>306</v>
      </c>
    </row>
    <row r="41" spans="5:5" x14ac:dyDescent="0.35">
      <c r="E41" s="64" t="s">
        <v>307</v>
      </c>
    </row>
    <row r="42" spans="5:5" x14ac:dyDescent="0.35">
      <c r="E42" s="64" t="s">
        <v>308</v>
      </c>
    </row>
    <row r="43" spans="5:5" x14ac:dyDescent="0.35">
      <c r="E43" s="64" t="s">
        <v>309</v>
      </c>
    </row>
    <row r="44" spans="5:5" x14ac:dyDescent="0.35">
      <c r="E44" s="64" t="s">
        <v>310</v>
      </c>
    </row>
    <row r="45" spans="5:5" x14ac:dyDescent="0.35">
      <c r="E45" s="64" t="s">
        <v>311</v>
      </c>
    </row>
    <row r="46" spans="5:5" x14ac:dyDescent="0.35">
      <c r="E46" s="64" t="s">
        <v>312</v>
      </c>
    </row>
    <row r="47" spans="5:5" x14ac:dyDescent="0.35">
      <c r="E47" s="64" t="s">
        <v>313</v>
      </c>
    </row>
    <row r="48" spans="5:5" x14ac:dyDescent="0.35">
      <c r="E48" s="64" t="s">
        <v>315</v>
      </c>
    </row>
    <row r="49" spans="5:5" x14ac:dyDescent="0.35">
      <c r="E49" s="64" t="s">
        <v>316</v>
      </c>
    </row>
    <row r="50" spans="5:5" x14ac:dyDescent="0.35">
      <c r="E50" s="1" t="s">
        <v>51</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tabColor theme="5"/>
  </sheetPr>
  <dimension ref="A1:O82"/>
  <sheetViews>
    <sheetView workbookViewId="0">
      <selection activeCell="B11" sqref="B11:E12"/>
    </sheetView>
  </sheetViews>
  <sheetFormatPr defaultRowHeight="14.5" x14ac:dyDescent="0.35"/>
  <cols>
    <col min="1" max="1" width="21.1796875" bestFit="1" customWidth="1"/>
    <col min="2" max="2" width="26.1796875" style="3" customWidth="1"/>
    <col min="3" max="3" width="38.7265625" style="3" bestFit="1" customWidth="1"/>
    <col min="4" max="4" width="38.7265625" style="3" customWidth="1"/>
    <col min="5" max="5" width="16.7265625" bestFit="1" customWidth="1"/>
    <col min="6" max="6" width="11.1796875" bestFit="1" customWidth="1"/>
    <col min="7" max="7" width="12.81640625" bestFit="1" customWidth="1"/>
    <col min="8" max="8" width="15.1796875" bestFit="1" customWidth="1"/>
    <col min="9" max="9" width="10.453125" customWidth="1"/>
    <col min="10" max="15" width="11.453125" customWidth="1"/>
  </cols>
  <sheetData>
    <row r="1" spans="1:15" x14ac:dyDescent="0.35">
      <c r="A1" t="s">
        <v>93</v>
      </c>
      <c r="B1" s="3" t="s">
        <v>94</v>
      </c>
      <c r="C1" s="3" t="s">
        <v>95</v>
      </c>
      <c r="D1" s="3" t="s">
        <v>96</v>
      </c>
      <c r="E1" t="s">
        <v>97</v>
      </c>
      <c r="F1" t="s">
        <v>98</v>
      </c>
      <c r="G1" t="s">
        <v>99</v>
      </c>
      <c r="H1" t="s">
        <v>100</v>
      </c>
      <c r="I1" t="s">
        <v>101</v>
      </c>
      <c r="J1" t="s">
        <v>102</v>
      </c>
      <c r="K1" t="s">
        <v>103</v>
      </c>
      <c r="L1" t="s">
        <v>104</v>
      </c>
      <c r="M1" t="s">
        <v>105</v>
      </c>
      <c r="N1" t="s">
        <v>286</v>
      </c>
      <c r="O1" t="s">
        <v>106</v>
      </c>
    </row>
    <row r="2" spans="1:15" x14ac:dyDescent="0.35">
      <c r="A2" t="s">
        <v>39</v>
      </c>
      <c r="B2" s="3" t="s">
        <v>92</v>
      </c>
    </row>
    <row r="3" spans="1:15" x14ac:dyDescent="0.35">
      <c r="B3" s="3" t="s">
        <v>293</v>
      </c>
    </row>
    <row r="4" spans="1:15" ht="38.5" x14ac:dyDescent="0.35">
      <c r="A4" t="s">
        <v>249</v>
      </c>
      <c r="B4" s="3" t="s">
        <v>2</v>
      </c>
      <c r="C4" s="4" t="s">
        <v>40</v>
      </c>
      <c r="D4" s="4" t="s">
        <v>41</v>
      </c>
      <c r="E4" s="4" t="s">
        <v>9</v>
      </c>
      <c r="F4" s="4" t="s">
        <v>42</v>
      </c>
      <c r="G4" s="4" t="s">
        <v>12</v>
      </c>
      <c r="H4" s="3" t="s">
        <v>87</v>
      </c>
      <c r="I4" s="3"/>
      <c r="J4" s="3"/>
      <c r="K4" s="3"/>
      <c r="L4" s="3"/>
      <c r="M4" s="3"/>
      <c r="N4" s="3"/>
      <c r="O4" s="3"/>
    </row>
    <row r="5" spans="1:15" x14ac:dyDescent="0.35">
      <c r="B5" s="3" t="s">
        <v>24</v>
      </c>
      <c r="C5" s="5" t="s">
        <v>31</v>
      </c>
      <c r="D5" s="5" t="s">
        <v>43</v>
      </c>
      <c r="E5" s="5" t="s">
        <v>44</v>
      </c>
      <c r="F5" s="5" t="s">
        <v>45</v>
      </c>
      <c r="G5" s="5" t="s">
        <v>46</v>
      </c>
      <c r="H5" s="5" t="s">
        <v>9</v>
      </c>
      <c r="I5" s="5" t="s">
        <v>47</v>
      </c>
      <c r="J5" s="5" t="s">
        <v>48</v>
      </c>
      <c r="K5" s="5" t="s">
        <v>49</v>
      </c>
      <c r="L5" s="3" t="s">
        <v>237</v>
      </c>
      <c r="M5" s="3"/>
      <c r="N5" s="3"/>
      <c r="O5" s="3"/>
    </row>
    <row r="6" spans="1:15" x14ac:dyDescent="0.35">
      <c r="B6" s="3" t="s">
        <v>22</v>
      </c>
      <c r="C6" s="5"/>
      <c r="D6" s="5"/>
      <c r="E6" s="5"/>
      <c r="F6" s="5"/>
      <c r="G6" s="5"/>
      <c r="H6" s="5"/>
      <c r="I6" s="5"/>
      <c r="J6" s="5"/>
      <c r="K6" s="5"/>
      <c r="L6" s="3"/>
      <c r="M6" s="3"/>
      <c r="N6" s="3"/>
      <c r="O6" s="3"/>
    </row>
    <row r="7" spans="1:15" x14ac:dyDescent="0.35">
      <c r="B7" s="59" t="s">
        <v>314</v>
      </c>
      <c r="E7" s="3"/>
      <c r="F7" s="5"/>
      <c r="G7" s="5"/>
      <c r="H7" s="5"/>
      <c r="I7" s="5"/>
      <c r="J7" s="5"/>
      <c r="K7" s="5"/>
      <c r="L7" s="3"/>
      <c r="M7" s="3"/>
      <c r="N7" s="3"/>
      <c r="O7" s="3"/>
    </row>
    <row r="8" spans="1:15" x14ac:dyDescent="0.35">
      <c r="B8" s="3" t="s">
        <v>75</v>
      </c>
      <c r="C8" s="5" t="s">
        <v>246</v>
      </c>
      <c r="D8" s="5" t="s">
        <v>87</v>
      </c>
      <c r="E8" s="5" t="s">
        <v>247</v>
      </c>
      <c r="F8" s="5"/>
      <c r="G8" s="5"/>
      <c r="H8" s="5"/>
      <c r="I8" s="5"/>
      <c r="J8" s="5"/>
      <c r="K8" s="5"/>
      <c r="L8" s="3"/>
      <c r="M8" s="3"/>
      <c r="N8" s="3"/>
      <c r="O8" s="3"/>
    </row>
    <row r="9" spans="1:15" x14ac:dyDescent="0.35">
      <c r="B9" s="3" t="s">
        <v>281</v>
      </c>
      <c r="C9" s="5" t="s">
        <v>246</v>
      </c>
      <c r="D9" s="5" t="s">
        <v>87</v>
      </c>
      <c r="E9" s="5" t="s">
        <v>247</v>
      </c>
      <c r="F9" s="5"/>
      <c r="G9" s="5"/>
      <c r="H9" s="5"/>
      <c r="I9" s="5"/>
      <c r="J9" s="5"/>
      <c r="K9" s="5"/>
      <c r="L9" s="3"/>
      <c r="M9" s="3"/>
      <c r="N9" s="3"/>
      <c r="O9" s="3"/>
    </row>
    <row r="10" spans="1:15" x14ac:dyDescent="0.35">
      <c r="B10" s="3" t="s">
        <v>282</v>
      </c>
      <c r="C10" s="5" t="s">
        <v>246</v>
      </c>
      <c r="D10" s="5" t="s">
        <v>87</v>
      </c>
      <c r="E10" s="5" t="s">
        <v>247</v>
      </c>
      <c r="F10" s="5"/>
      <c r="G10" s="5"/>
      <c r="H10" s="5"/>
      <c r="I10" s="5"/>
      <c r="J10" s="5"/>
      <c r="K10" s="5"/>
      <c r="L10" s="3"/>
      <c r="M10" s="3"/>
      <c r="N10" s="3"/>
      <c r="O10" s="3"/>
    </row>
    <row r="11" spans="1:15" x14ac:dyDescent="0.35">
      <c r="B11" s="65" t="s">
        <v>317</v>
      </c>
      <c r="C11" s="66" t="s">
        <v>246</v>
      </c>
      <c r="D11" s="66" t="s">
        <v>87</v>
      </c>
      <c r="E11" s="66" t="s">
        <v>247</v>
      </c>
      <c r="F11" s="5"/>
      <c r="G11" s="5"/>
      <c r="H11" s="5"/>
      <c r="I11" s="5"/>
      <c r="J11" s="5"/>
      <c r="K11" s="5"/>
      <c r="L11" s="3"/>
      <c r="M11" s="3"/>
      <c r="N11" s="3"/>
      <c r="O11" s="3"/>
    </row>
    <row r="12" spans="1:15" x14ac:dyDescent="0.35">
      <c r="B12" s="65" t="s">
        <v>318</v>
      </c>
      <c r="C12" s="66" t="s">
        <v>246</v>
      </c>
      <c r="D12" s="66" t="s">
        <v>87</v>
      </c>
      <c r="E12" s="66" t="s">
        <v>247</v>
      </c>
      <c r="F12" s="5"/>
      <c r="G12" s="5"/>
      <c r="H12" s="5"/>
      <c r="I12" s="5"/>
      <c r="J12" s="5"/>
      <c r="K12" s="5"/>
      <c r="L12" s="3"/>
      <c r="M12" s="3"/>
      <c r="N12" s="3"/>
      <c r="O12" s="3"/>
    </row>
    <row r="13" spans="1:15" s="58" customFormat="1" x14ac:dyDescent="0.35">
      <c r="A13" s="58" t="s">
        <v>3</v>
      </c>
      <c r="B13" s="59" t="s">
        <v>3</v>
      </c>
      <c r="C13" s="60" t="s">
        <v>10</v>
      </c>
      <c r="D13" s="60" t="s">
        <v>182</v>
      </c>
      <c r="E13" s="60" t="s">
        <v>76</v>
      </c>
      <c r="F13" s="60" t="s">
        <v>77</v>
      </c>
      <c r="G13" s="60" t="s">
        <v>78</v>
      </c>
      <c r="H13" s="60" t="s">
        <v>79</v>
      </c>
      <c r="I13" s="60" t="s">
        <v>80</v>
      </c>
      <c r="J13" s="60" t="s">
        <v>81</v>
      </c>
      <c r="K13" s="60" t="s">
        <v>82</v>
      </c>
      <c r="L13" s="60" t="s">
        <v>83</v>
      </c>
      <c r="M13" s="59" t="s">
        <v>84</v>
      </c>
      <c r="N13" s="59" t="s">
        <v>85</v>
      </c>
      <c r="O13" s="59" t="s">
        <v>86</v>
      </c>
    </row>
    <row r="14" spans="1:15" x14ac:dyDescent="0.35">
      <c r="A14" t="s">
        <v>38</v>
      </c>
      <c r="B14" t="s">
        <v>50</v>
      </c>
      <c r="C14" t="s">
        <v>32</v>
      </c>
      <c r="D14"/>
    </row>
    <row r="15" spans="1:15" x14ac:dyDescent="0.35">
      <c r="B15" t="s">
        <v>51</v>
      </c>
      <c r="C15" t="s">
        <v>54</v>
      </c>
      <c r="D15"/>
    </row>
    <row r="16" spans="1:15" x14ac:dyDescent="0.35">
      <c r="B16" t="s">
        <v>52</v>
      </c>
      <c r="C16" t="s">
        <v>55</v>
      </c>
      <c r="D16"/>
    </row>
    <row r="17" spans="2:2" x14ac:dyDescent="0.35">
      <c r="B17" s="3" t="s">
        <v>13</v>
      </c>
    </row>
    <row r="18" spans="2:2" x14ac:dyDescent="0.35">
      <c r="B18" s="3" t="s">
        <v>14</v>
      </c>
    </row>
    <row r="19" spans="2:2" x14ac:dyDescent="0.35">
      <c r="B19" s="3" t="s">
        <v>15</v>
      </c>
    </row>
    <row r="20" spans="2:2" x14ac:dyDescent="0.35">
      <c r="B20" s="3" t="s">
        <v>16</v>
      </c>
    </row>
    <row r="21" spans="2:2" x14ac:dyDescent="0.35">
      <c r="B21" s="3" t="s">
        <v>17</v>
      </c>
    </row>
    <row r="22" spans="2:2" x14ac:dyDescent="0.35">
      <c r="B22" s="3" t="s">
        <v>18</v>
      </c>
    </row>
    <row r="23" spans="2:2" x14ac:dyDescent="0.35">
      <c r="B23" s="3" t="s">
        <v>19</v>
      </c>
    </row>
    <row r="24" spans="2:2" x14ac:dyDescent="0.35">
      <c r="B24" s="3" t="s">
        <v>20</v>
      </c>
    </row>
    <row r="25" spans="2:2" x14ac:dyDescent="0.35">
      <c r="B25" s="3" t="s">
        <v>21</v>
      </c>
    </row>
    <row r="26" spans="2:2" x14ac:dyDescent="0.35">
      <c r="B26" s="3" t="s">
        <v>111</v>
      </c>
    </row>
    <row r="27" spans="2:2" x14ac:dyDescent="0.35">
      <c r="B27" s="3" t="s">
        <v>37</v>
      </c>
    </row>
    <row r="28" spans="2:2" x14ac:dyDescent="0.35">
      <c r="B28" s="3" t="s">
        <v>23</v>
      </c>
    </row>
    <row r="29" spans="2:2" x14ac:dyDescent="0.35">
      <c r="B29" s="3" t="s">
        <v>25</v>
      </c>
    </row>
    <row r="30" spans="2:2" x14ac:dyDescent="0.35">
      <c r="B30" s="3" t="s">
        <v>30</v>
      </c>
    </row>
    <row r="31" spans="2:2" x14ac:dyDescent="0.35">
      <c r="B31" t="s">
        <v>21</v>
      </c>
    </row>
    <row r="32" spans="2:2" x14ac:dyDescent="0.35">
      <c r="B32" t="s">
        <v>20</v>
      </c>
    </row>
    <row r="33" spans="2:3" x14ac:dyDescent="0.35">
      <c r="B33" t="s">
        <v>37</v>
      </c>
    </row>
    <row r="34" spans="2:3" x14ac:dyDescent="0.35">
      <c r="B34" t="s">
        <v>25</v>
      </c>
    </row>
    <row r="35" spans="2:3" x14ac:dyDescent="0.35">
      <c r="B35" t="s">
        <v>53</v>
      </c>
      <c r="C35" t="s">
        <v>55</v>
      </c>
    </row>
    <row r="36" spans="2:3" x14ac:dyDescent="0.35">
      <c r="B36" t="s">
        <v>238</v>
      </c>
    </row>
    <row r="37" spans="2:3" x14ac:dyDescent="0.35">
      <c r="B37" t="s">
        <v>239</v>
      </c>
    </row>
    <row r="38" spans="2:3" x14ac:dyDescent="0.35">
      <c r="B38" t="s">
        <v>240</v>
      </c>
    </row>
    <row r="39" spans="2:3" x14ac:dyDescent="0.35">
      <c r="B39" t="s">
        <v>241</v>
      </c>
    </row>
    <row r="40" spans="2:3" x14ac:dyDescent="0.35">
      <c r="B40" t="s">
        <v>242</v>
      </c>
    </row>
    <row r="41" spans="2:3" x14ac:dyDescent="0.35">
      <c r="B41" s="58" t="s">
        <v>292</v>
      </c>
    </row>
    <row r="42" spans="2:3" x14ac:dyDescent="0.35">
      <c r="B42" s="62" t="s">
        <v>294</v>
      </c>
    </row>
    <row r="43" spans="2:3" x14ac:dyDescent="0.35">
      <c r="B43" s="62" t="s">
        <v>91</v>
      </c>
    </row>
    <row r="44" spans="2:3" x14ac:dyDescent="0.35">
      <c r="B44" s="62" t="s">
        <v>15</v>
      </c>
    </row>
    <row r="45" spans="2:3" x14ac:dyDescent="0.35">
      <c r="B45" s="62" t="s">
        <v>295</v>
      </c>
    </row>
    <row r="46" spans="2:3" x14ac:dyDescent="0.35">
      <c r="B46" s="63" t="s">
        <v>296</v>
      </c>
    </row>
    <row r="47" spans="2:3" x14ac:dyDescent="0.35">
      <c r="B47" s="63" t="s">
        <v>297</v>
      </c>
    </row>
    <row r="48" spans="2:3" x14ac:dyDescent="0.35">
      <c r="B48" s="64" t="s">
        <v>298</v>
      </c>
    </row>
    <row r="49" spans="2:2" x14ac:dyDescent="0.35">
      <c r="B49" s="64" t="s">
        <v>299</v>
      </c>
    </row>
    <row r="50" spans="2:2" x14ac:dyDescent="0.35">
      <c r="B50" s="64" t="s">
        <v>300</v>
      </c>
    </row>
    <row r="51" spans="2:2" x14ac:dyDescent="0.35">
      <c r="B51" s="64" t="s">
        <v>301</v>
      </c>
    </row>
    <row r="52" spans="2:2" x14ac:dyDescent="0.35">
      <c r="B52" s="64" t="s">
        <v>302</v>
      </c>
    </row>
    <row r="53" spans="2:2" x14ac:dyDescent="0.35">
      <c r="B53" s="64" t="s">
        <v>303</v>
      </c>
    </row>
    <row r="54" spans="2:2" x14ac:dyDescent="0.35">
      <c r="B54" s="64" t="s">
        <v>304</v>
      </c>
    </row>
    <row r="55" spans="2:2" x14ac:dyDescent="0.35">
      <c r="B55" s="64" t="s">
        <v>305</v>
      </c>
    </row>
    <row r="56" spans="2:2" x14ac:dyDescent="0.35">
      <c r="B56" s="64" t="s">
        <v>306</v>
      </c>
    </row>
    <row r="57" spans="2:2" x14ac:dyDescent="0.35">
      <c r="B57" s="64" t="s">
        <v>307</v>
      </c>
    </row>
    <row r="58" spans="2:2" x14ac:dyDescent="0.35">
      <c r="B58" s="64" t="s">
        <v>308</v>
      </c>
    </row>
    <row r="59" spans="2:2" x14ac:dyDescent="0.35">
      <c r="B59" s="64" t="s">
        <v>309</v>
      </c>
    </row>
    <row r="60" spans="2:2" x14ac:dyDescent="0.35">
      <c r="B60" s="64" t="s">
        <v>310</v>
      </c>
    </row>
    <row r="61" spans="2:2" x14ac:dyDescent="0.35">
      <c r="B61" s="64" t="s">
        <v>311</v>
      </c>
    </row>
    <row r="62" spans="2:2" x14ac:dyDescent="0.35">
      <c r="B62" s="64" t="s">
        <v>312</v>
      </c>
    </row>
    <row r="63" spans="2:2" x14ac:dyDescent="0.35">
      <c r="B63" s="58" t="s">
        <v>313</v>
      </c>
    </row>
    <row r="64" spans="2:2" x14ac:dyDescent="0.35">
      <c r="B64" s="58" t="s">
        <v>315</v>
      </c>
    </row>
    <row r="65" spans="1:2" x14ac:dyDescent="0.35">
      <c r="B65" s="58" t="s">
        <v>316</v>
      </c>
    </row>
    <row r="66" spans="1:2" x14ac:dyDescent="0.35">
      <c r="B66" t="s">
        <v>243</v>
      </c>
    </row>
    <row r="67" spans="1:2" x14ac:dyDescent="0.35">
      <c r="A67" s="2" t="s">
        <v>235</v>
      </c>
      <c r="B67" t="s">
        <v>236</v>
      </c>
    </row>
    <row r="68" spans="1:2" x14ac:dyDescent="0.35">
      <c r="A68" s="2" t="s">
        <v>250</v>
      </c>
      <c r="B68" t="s">
        <v>223</v>
      </c>
    </row>
    <row r="69" spans="1:2" x14ac:dyDescent="0.35">
      <c r="B69" t="s">
        <v>224</v>
      </c>
    </row>
    <row r="70" spans="1:2" x14ac:dyDescent="0.35">
      <c r="B70" t="s">
        <v>225</v>
      </c>
    </row>
    <row r="71" spans="1:2" x14ac:dyDescent="0.35">
      <c r="B71" t="s">
        <v>226</v>
      </c>
    </row>
    <row r="72" spans="1:2" x14ac:dyDescent="0.35">
      <c r="B72" t="s">
        <v>227</v>
      </c>
    </row>
    <row r="73" spans="1:2" x14ac:dyDescent="0.35">
      <c r="B73" t="s">
        <v>228</v>
      </c>
    </row>
    <row r="74" spans="1:2" x14ac:dyDescent="0.35">
      <c r="B74" t="s">
        <v>229</v>
      </c>
    </row>
    <row r="75" spans="1:2" x14ac:dyDescent="0.35">
      <c r="B75" t="s">
        <v>230</v>
      </c>
    </row>
    <row r="76" spans="1:2" x14ac:dyDescent="0.35">
      <c r="B76" t="s">
        <v>231</v>
      </c>
    </row>
    <row r="77" spans="1:2" x14ac:dyDescent="0.35">
      <c r="B77" t="s">
        <v>232</v>
      </c>
    </row>
    <row r="78" spans="1:2" x14ac:dyDescent="0.35">
      <c r="B78" t="s">
        <v>233</v>
      </c>
    </row>
    <row r="79" spans="1:2" x14ac:dyDescent="0.35">
      <c r="B79" t="s">
        <v>234</v>
      </c>
    </row>
    <row r="80" spans="1:2" x14ac:dyDescent="0.35">
      <c r="A80" s="2" t="s">
        <v>222</v>
      </c>
      <c r="B80" t="s">
        <v>244</v>
      </c>
    </row>
    <row r="81" spans="1:2" x14ac:dyDescent="0.35">
      <c r="A81" s="2"/>
      <c r="B81" t="s">
        <v>248</v>
      </c>
    </row>
    <row r="82" spans="1:2" x14ac:dyDescent="0.35">
      <c r="A82" s="2" t="s">
        <v>29</v>
      </c>
      <c r="B82" t="s">
        <v>29</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tabColor theme="5"/>
  </sheetPr>
  <dimension ref="A1:W106"/>
  <sheetViews>
    <sheetView topLeftCell="A21" workbookViewId="0">
      <selection activeCell="F46" sqref="F46"/>
    </sheetView>
  </sheetViews>
  <sheetFormatPr defaultRowHeight="14.5" x14ac:dyDescent="0.35"/>
  <cols>
    <col min="1" max="1" width="21.1796875" bestFit="1" customWidth="1"/>
    <col min="2" max="2" width="35.7265625" customWidth="1"/>
    <col min="3" max="9" width="10.453125" customWidth="1"/>
    <col min="10" max="18" width="11.453125" customWidth="1"/>
  </cols>
  <sheetData>
    <row r="1" spans="1:19" x14ac:dyDescent="0.35">
      <c r="A1" t="s">
        <v>93</v>
      </c>
      <c r="B1" s="3" t="s">
        <v>94</v>
      </c>
      <c r="C1" s="3" t="s">
        <v>95</v>
      </c>
      <c r="D1" s="3" t="s">
        <v>96</v>
      </c>
      <c r="E1" s="3" t="s">
        <v>97</v>
      </c>
      <c r="F1" s="3" t="s">
        <v>98</v>
      </c>
      <c r="G1" s="3" t="s">
        <v>99</v>
      </c>
      <c r="H1" s="3" t="s">
        <v>100</v>
      </c>
      <c r="I1" s="3" t="s">
        <v>101</v>
      </c>
      <c r="J1" s="3" t="s">
        <v>102</v>
      </c>
      <c r="K1" s="3" t="s">
        <v>103</v>
      </c>
      <c r="L1" s="3" t="s">
        <v>104</v>
      </c>
      <c r="M1" s="3" t="s">
        <v>105</v>
      </c>
      <c r="N1" s="3" t="s">
        <v>106</v>
      </c>
      <c r="O1" s="3" t="s">
        <v>107</v>
      </c>
      <c r="P1" s="3" t="s">
        <v>108</v>
      </c>
      <c r="Q1" s="3" t="s">
        <v>109</v>
      </c>
      <c r="R1" s="3" t="s">
        <v>110</v>
      </c>
      <c r="S1" s="3"/>
    </row>
    <row r="2" spans="1:19" x14ac:dyDescent="0.35">
      <c r="A2" t="s">
        <v>56</v>
      </c>
      <c r="B2" s="3" t="s">
        <v>73</v>
      </c>
      <c r="C2" s="3" t="s">
        <v>74</v>
      </c>
      <c r="D2" s="3" t="s">
        <v>72</v>
      </c>
      <c r="E2" s="3" t="s">
        <v>68</v>
      </c>
      <c r="F2" s="3" t="s">
        <v>69</v>
      </c>
      <c r="G2" s="3" t="s">
        <v>70</v>
      </c>
      <c r="H2" s="3" t="s">
        <v>71</v>
      </c>
      <c r="I2" s="11" t="s">
        <v>62</v>
      </c>
      <c r="J2" s="11" t="s">
        <v>63</v>
      </c>
      <c r="K2" s="11" t="s">
        <v>27</v>
      </c>
      <c r="L2" s="11" t="s">
        <v>11</v>
      </c>
      <c r="M2" s="3" t="s">
        <v>251</v>
      </c>
      <c r="N2" s="3" t="s">
        <v>28</v>
      </c>
      <c r="O2" s="3" t="s">
        <v>67</v>
      </c>
      <c r="P2" s="3" t="s">
        <v>66</v>
      </c>
      <c r="Q2" s="3" t="s">
        <v>65</v>
      </c>
      <c r="R2" s="3" t="s">
        <v>64</v>
      </c>
    </row>
    <row r="3" spans="1:19" x14ac:dyDescent="0.35">
      <c r="A3" t="s">
        <v>57</v>
      </c>
      <c r="B3" s="11" t="s">
        <v>62</v>
      </c>
      <c r="C3" s="11" t="s">
        <v>63</v>
      </c>
      <c r="D3" s="11" t="s">
        <v>27</v>
      </c>
      <c r="E3" s="11" t="s">
        <v>11</v>
      </c>
      <c r="F3" s="3" t="s">
        <v>251</v>
      </c>
      <c r="G3" s="3" t="s">
        <v>28</v>
      </c>
      <c r="H3" s="3" t="s">
        <v>67</v>
      </c>
      <c r="I3" s="3" t="s">
        <v>66</v>
      </c>
      <c r="J3" s="3" t="s">
        <v>65</v>
      </c>
      <c r="K3" s="3" t="s">
        <v>64</v>
      </c>
      <c r="L3" s="3"/>
    </row>
    <row r="4" spans="1:19" x14ac:dyDescent="0.35">
      <c r="A4" t="s">
        <v>58</v>
      </c>
      <c r="B4" s="3" t="s">
        <v>73</v>
      </c>
      <c r="C4" s="3" t="s">
        <v>74</v>
      </c>
      <c r="D4" s="3" t="s">
        <v>72</v>
      </c>
      <c r="E4" s="3" t="s">
        <v>68</v>
      </c>
      <c r="F4" s="3" t="s">
        <v>69</v>
      </c>
      <c r="G4" s="3" t="s">
        <v>70</v>
      </c>
      <c r="H4" s="3" t="s">
        <v>71</v>
      </c>
      <c r="I4" s="11" t="s">
        <v>62</v>
      </c>
      <c r="J4" s="11" t="s">
        <v>63</v>
      </c>
      <c r="K4" s="11" t="s">
        <v>27</v>
      </c>
      <c r="L4" s="11" t="s">
        <v>11</v>
      </c>
      <c r="M4" s="3" t="s">
        <v>251</v>
      </c>
      <c r="N4" s="3"/>
    </row>
    <row r="5" spans="1:19" x14ac:dyDescent="0.35">
      <c r="A5" t="s">
        <v>59</v>
      </c>
      <c r="B5" s="3" t="s">
        <v>73</v>
      </c>
      <c r="C5" s="3" t="s">
        <v>74</v>
      </c>
      <c r="D5" s="3" t="s">
        <v>72</v>
      </c>
      <c r="E5" s="3" t="s">
        <v>68</v>
      </c>
      <c r="F5" s="3" t="s">
        <v>69</v>
      </c>
      <c r="G5" s="3" t="s">
        <v>70</v>
      </c>
      <c r="H5" s="3" t="s">
        <v>71</v>
      </c>
      <c r="I5" s="3" t="s">
        <v>28</v>
      </c>
      <c r="J5" s="3" t="s">
        <v>67</v>
      </c>
      <c r="K5" s="3" t="s">
        <v>66</v>
      </c>
      <c r="L5" s="3" t="s">
        <v>65</v>
      </c>
      <c r="M5" s="3" t="s">
        <v>64</v>
      </c>
      <c r="N5" s="3"/>
    </row>
    <row r="6" spans="1:19" x14ac:dyDescent="0.35">
      <c r="A6" t="s">
        <v>60</v>
      </c>
      <c r="B6" s="11" t="s">
        <v>62</v>
      </c>
      <c r="C6" s="11" t="s">
        <v>63</v>
      </c>
      <c r="D6" s="11" t="s">
        <v>27</v>
      </c>
      <c r="E6" s="11" t="s">
        <v>11</v>
      </c>
      <c r="F6" s="3" t="s">
        <v>251</v>
      </c>
    </row>
    <row r="7" spans="1:19" x14ac:dyDescent="0.35">
      <c r="A7" t="s">
        <v>61</v>
      </c>
      <c r="B7" s="3" t="s">
        <v>28</v>
      </c>
      <c r="C7" s="3" t="s">
        <v>67</v>
      </c>
      <c r="D7" s="3" t="s">
        <v>66</v>
      </c>
      <c r="E7" s="3" t="s">
        <v>65</v>
      </c>
      <c r="F7" s="3" t="s">
        <v>64</v>
      </c>
    </row>
    <row r="8" spans="1:19" x14ac:dyDescent="0.35">
      <c r="A8" t="s">
        <v>3</v>
      </c>
      <c r="B8" s="3" t="s">
        <v>72</v>
      </c>
      <c r="C8" s="3" t="s">
        <v>73</v>
      </c>
      <c r="D8" s="3" t="s">
        <v>74</v>
      </c>
      <c r="E8" s="3" t="s">
        <v>71</v>
      </c>
      <c r="F8" s="3" t="s">
        <v>68</v>
      </c>
      <c r="G8" s="3" t="s">
        <v>69</v>
      </c>
      <c r="H8" s="3" t="s">
        <v>70</v>
      </c>
      <c r="I8" s="3"/>
      <c r="J8" s="3"/>
      <c r="K8" s="3"/>
    </row>
    <row r="9" spans="1:19" x14ac:dyDescent="0.35">
      <c r="A9" t="s">
        <v>34</v>
      </c>
      <c r="B9" s="3" t="s">
        <v>35</v>
      </c>
      <c r="C9" s="3" t="s">
        <v>114</v>
      </c>
      <c r="D9" s="3" t="s">
        <v>113</v>
      </c>
      <c r="E9" s="3" t="s">
        <v>115</v>
      </c>
      <c r="F9" s="3"/>
      <c r="G9" s="3"/>
      <c r="H9" s="3"/>
      <c r="I9" s="3"/>
    </row>
    <row r="10" spans="1:19" x14ac:dyDescent="0.35">
      <c r="A10" t="s">
        <v>138</v>
      </c>
      <c r="B10" s="3" t="s">
        <v>11</v>
      </c>
      <c r="C10" s="3" t="s">
        <v>251</v>
      </c>
      <c r="D10" s="3" t="s">
        <v>63</v>
      </c>
      <c r="E10" s="3" t="s">
        <v>62</v>
      </c>
      <c r="F10" s="3" t="s">
        <v>27</v>
      </c>
      <c r="G10" s="3"/>
      <c r="H10" s="3"/>
      <c r="I10" s="3"/>
    </row>
    <row r="11" spans="1:19" x14ac:dyDescent="0.35">
      <c r="B11" s="3"/>
      <c r="C11" s="3"/>
      <c r="D11" s="3"/>
      <c r="E11" s="3"/>
      <c r="F11" s="3"/>
      <c r="G11" s="3"/>
      <c r="H11" s="3"/>
      <c r="I11" s="3"/>
    </row>
    <row r="12" spans="1:19" x14ac:dyDescent="0.35">
      <c r="A12" t="s">
        <v>93</v>
      </c>
      <c r="B12" s="3" t="s">
        <v>94</v>
      </c>
      <c r="C12" s="3" t="s">
        <v>95</v>
      </c>
      <c r="D12" s="3" t="s">
        <v>96</v>
      </c>
      <c r="E12" s="3" t="s">
        <v>97</v>
      </c>
      <c r="F12" s="3" t="s">
        <v>98</v>
      </c>
      <c r="G12" s="3" t="s">
        <v>99</v>
      </c>
      <c r="H12" s="3" t="s">
        <v>100</v>
      </c>
      <c r="I12" s="3" t="s">
        <v>101</v>
      </c>
      <c r="J12" s="3" t="s">
        <v>102</v>
      </c>
      <c r="K12" s="3" t="s">
        <v>103</v>
      </c>
      <c r="L12" s="3" t="s">
        <v>104</v>
      </c>
      <c r="M12" s="3" t="s">
        <v>105</v>
      </c>
      <c r="N12" s="3" t="s">
        <v>106</v>
      </c>
      <c r="O12" s="3" t="s">
        <v>107</v>
      </c>
      <c r="P12" s="3" t="s">
        <v>108</v>
      </c>
      <c r="Q12" s="3" t="s">
        <v>109</v>
      </c>
      <c r="R12" s="3" t="s">
        <v>110</v>
      </c>
    </row>
    <row r="13" spans="1:19" x14ac:dyDescent="0.35">
      <c r="A13" t="s">
        <v>56</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35">
      <c r="A14" t="s">
        <v>57</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35">
      <c r="A15" t="s">
        <v>58</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35">
      <c r="A16" t="s">
        <v>59</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35">
      <c r="A17" t="s">
        <v>60</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35">
      <c r="A18" t="s">
        <v>61</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3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35">
      <c r="A20" t="s">
        <v>34</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35">
      <c r="B21" s="3"/>
      <c r="C21" s="3"/>
      <c r="D21" s="3"/>
      <c r="E21" s="3"/>
      <c r="F21" s="3"/>
      <c r="G21" s="3"/>
      <c r="H21" s="3"/>
      <c r="I21" s="3"/>
    </row>
    <row r="22" spans="1:23" x14ac:dyDescent="0.35">
      <c r="A22" s="9" t="s">
        <v>93</v>
      </c>
      <c r="B22" s="9" t="s">
        <v>94</v>
      </c>
      <c r="C22" s="10" t="s">
        <v>95</v>
      </c>
    </row>
    <row r="23" spans="1:23" x14ac:dyDescent="0.35">
      <c r="B23" t="s">
        <v>93</v>
      </c>
      <c r="C23" s="3" t="s">
        <v>94</v>
      </c>
      <c r="G23" s="3"/>
      <c r="H23" s="3"/>
      <c r="I23" s="3"/>
      <c r="J23" s="3"/>
      <c r="K23" s="3"/>
      <c r="L23" s="3"/>
      <c r="M23" s="3"/>
      <c r="N23" s="3"/>
      <c r="O23" s="3"/>
      <c r="P23" s="3"/>
      <c r="Q23" s="3"/>
      <c r="R23" s="3"/>
      <c r="S23" s="3"/>
      <c r="T23" s="3"/>
      <c r="U23" s="3"/>
      <c r="V23" s="3"/>
      <c r="W23" s="3"/>
    </row>
    <row r="24" spans="1:23" x14ac:dyDescent="0.35">
      <c r="A24" s="2" t="s">
        <v>39</v>
      </c>
      <c r="B24" t="s">
        <v>33</v>
      </c>
      <c r="C24" s="3" t="s">
        <v>60</v>
      </c>
      <c r="G24" s="12"/>
      <c r="H24" s="12"/>
      <c r="I24" s="12"/>
      <c r="J24" s="12"/>
    </row>
    <row r="25" spans="1:23" x14ac:dyDescent="0.35">
      <c r="A25" s="2"/>
      <c r="B25" s="58" t="s">
        <v>293</v>
      </c>
      <c r="C25" s="59" t="s">
        <v>60</v>
      </c>
      <c r="G25" s="3"/>
      <c r="H25" s="3"/>
      <c r="I25" s="3"/>
      <c r="J25" s="3"/>
    </row>
    <row r="26" spans="1:23" x14ac:dyDescent="0.35">
      <c r="A26" s="2" t="s">
        <v>235</v>
      </c>
      <c r="B26" t="s">
        <v>236</v>
      </c>
      <c r="C26" s="3" t="s">
        <v>60</v>
      </c>
      <c r="G26" s="3"/>
      <c r="H26" s="3"/>
      <c r="I26" s="3"/>
      <c r="J26" s="3"/>
    </row>
    <row r="27" spans="1:23" x14ac:dyDescent="0.35">
      <c r="A27" s="2" t="s">
        <v>249</v>
      </c>
      <c r="B27" t="s">
        <v>2</v>
      </c>
      <c r="C27" t="s">
        <v>56</v>
      </c>
    </row>
    <row r="28" spans="1:23" x14ac:dyDescent="0.35">
      <c r="A28" s="2"/>
      <c r="B28" t="s">
        <v>3</v>
      </c>
      <c r="C28" t="s">
        <v>3</v>
      </c>
    </row>
    <row r="29" spans="1:23" x14ac:dyDescent="0.35">
      <c r="A29" s="2"/>
      <c r="B29" s="1" t="s">
        <v>24</v>
      </c>
      <c r="C29" t="s">
        <v>56</v>
      </c>
      <c r="H29" s="3"/>
      <c r="I29" s="3"/>
      <c r="J29" s="3"/>
      <c r="K29" s="3"/>
      <c r="L29" s="3"/>
    </row>
    <row r="30" spans="1:23" x14ac:dyDescent="0.35">
      <c r="A30" s="2"/>
      <c r="B30" s="1" t="s">
        <v>22</v>
      </c>
      <c r="C30" t="s">
        <v>56</v>
      </c>
      <c r="H30" s="3"/>
      <c r="I30" s="3"/>
      <c r="J30" s="3"/>
      <c r="K30" s="3"/>
      <c r="L30" s="3"/>
    </row>
    <row r="31" spans="1:23" x14ac:dyDescent="0.35">
      <c r="A31" s="2"/>
      <c r="B31" s="62" t="s">
        <v>314</v>
      </c>
      <c r="C31" s="58" t="s">
        <v>56</v>
      </c>
      <c r="H31" s="3"/>
      <c r="I31" s="3"/>
      <c r="J31" s="3"/>
      <c r="K31" s="3"/>
      <c r="L31" s="3"/>
    </row>
    <row r="32" spans="1:23" x14ac:dyDescent="0.35">
      <c r="A32" s="2"/>
      <c r="B32" s="1" t="s">
        <v>75</v>
      </c>
      <c r="C32" t="s">
        <v>56</v>
      </c>
      <c r="H32" s="3"/>
      <c r="I32" s="3"/>
      <c r="J32" s="3"/>
      <c r="K32" s="3"/>
      <c r="L32" s="3"/>
    </row>
    <row r="33" spans="1:3" x14ac:dyDescent="0.35">
      <c r="A33" s="2"/>
      <c r="B33" s="1" t="s">
        <v>281</v>
      </c>
      <c r="C33" t="s">
        <v>56</v>
      </c>
    </row>
    <row r="34" spans="1:3" x14ac:dyDescent="0.35">
      <c r="A34" s="2"/>
      <c r="B34" s="1" t="s">
        <v>282</v>
      </c>
      <c r="C34" t="s">
        <v>56</v>
      </c>
    </row>
    <row r="35" spans="1:3" x14ac:dyDescent="0.35">
      <c r="A35" s="2"/>
      <c r="B35" s="65" t="s">
        <v>317</v>
      </c>
      <c r="C35" s="65" t="s">
        <v>56</v>
      </c>
    </row>
    <row r="36" spans="1:3" x14ac:dyDescent="0.35">
      <c r="A36" s="2"/>
      <c r="B36" s="65" t="s">
        <v>318</v>
      </c>
      <c r="C36" s="65" t="s">
        <v>56</v>
      </c>
    </row>
    <row r="37" spans="1:3" x14ac:dyDescent="0.35">
      <c r="A37" s="2"/>
      <c r="B37" s="1" t="s">
        <v>91</v>
      </c>
      <c r="C37" t="s">
        <v>56</v>
      </c>
    </row>
    <row r="38" spans="1:3" x14ac:dyDescent="0.35">
      <c r="A38" s="2" t="s">
        <v>38</v>
      </c>
      <c r="B38" t="s">
        <v>13</v>
      </c>
      <c r="C38" t="s">
        <v>60</v>
      </c>
    </row>
    <row r="39" spans="1:3" x14ac:dyDescent="0.35">
      <c r="A39" s="2"/>
      <c r="B39" s="1" t="s">
        <v>14</v>
      </c>
      <c r="C39" t="s">
        <v>60</v>
      </c>
    </row>
    <row r="40" spans="1:3" x14ac:dyDescent="0.35">
      <c r="A40" s="2"/>
      <c r="B40" s="1" t="s">
        <v>15</v>
      </c>
      <c r="C40" t="s">
        <v>60</v>
      </c>
    </row>
    <row r="41" spans="1:3" x14ac:dyDescent="0.35">
      <c r="A41" s="2"/>
      <c r="B41" s="1" t="s">
        <v>16</v>
      </c>
      <c r="C41" t="s">
        <v>60</v>
      </c>
    </row>
    <row r="42" spans="1:3" x14ac:dyDescent="0.35">
      <c r="A42" s="2"/>
      <c r="B42" s="1" t="s">
        <v>17</v>
      </c>
      <c r="C42" t="s">
        <v>60</v>
      </c>
    </row>
    <row r="43" spans="1:3" x14ac:dyDescent="0.35">
      <c r="A43" s="2"/>
      <c r="B43" s="1" t="s">
        <v>18</v>
      </c>
      <c r="C43" t="s">
        <v>60</v>
      </c>
    </row>
    <row r="44" spans="1:3" x14ac:dyDescent="0.35">
      <c r="A44" s="2"/>
      <c r="B44" s="1" t="s">
        <v>19</v>
      </c>
      <c r="C44" t="s">
        <v>60</v>
      </c>
    </row>
    <row r="45" spans="1:3" x14ac:dyDescent="0.35">
      <c r="A45" s="2"/>
      <c r="B45" s="1" t="s">
        <v>20</v>
      </c>
      <c r="C45" t="s">
        <v>60</v>
      </c>
    </row>
    <row r="46" spans="1:3" x14ac:dyDescent="0.35">
      <c r="A46" s="2"/>
      <c r="B46" s="1" t="s">
        <v>21</v>
      </c>
      <c r="C46" t="s">
        <v>60</v>
      </c>
    </row>
    <row r="47" spans="1:3" x14ac:dyDescent="0.35">
      <c r="A47" s="2"/>
      <c r="B47" s="1" t="s">
        <v>111</v>
      </c>
      <c r="C47" t="s">
        <v>60</v>
      </c>
    </row>
    <row r="48" spans="1:3" x14ac:dyDescent="0.35">
      <c r="A48" s="2"/>
      <c r="B48" s="1" t="s">
        <v>37</v>
      </c>
      <c r="C48" t="s">
        <v>60</v>
      </c>
    </row>
    <row r="49" spans="1:3" x14ac:dyDescent="0.35">
      <c r="A49" s="2"/>
      <c r="B49" s="1" t="s">
        <v>23</v>
      </c>
      <c r="C49" t="s">
        <v>60</v>
      </c>
    </row>
    <row r="50" spans="1:3" x14ac:dyDescent="0.35">
      <c r="A50" s="2"/>
      <c r="B50" s="1" t="s">
        <v>25</v>
      </c>
      <c r="C50" t="s">
        <v>60</v>
      </c>
    </row>
    <row r="51" spans="1:3" x14ac:dyDescent="0.35">
      <c r="A51" s="2"/>
      <c r="B51" t="s">
        <v>26</v>
      </c>
      <c r="C51" t="s">
        <v>60</v>
      </c>
    </row>
    <row r="52" spans="1:3" x14ac:dyDescent="0.35">
      <c r="A52" s="2"/>
      <c r="B52" t="s">
        <v>30</v>
      </c>
      <c r="C52" t="s">
        <v>60</v>
      </c>
    </row>
    <row r="53" spans="1:3" x14ac:dyDescent="0.35">
      <c r="B53" t="s">
        <v>21</v>
      </c>
      <c r="C53" t="s">
        <v>60</v>
      </c>
    </row>
    <row r="54" spans="1:3" x14ac:dyDescent="0.35">
      <c r="B54" t="s">
        <v>20</v>
      </c>
      <c r="C54" t="s">
        <v>60</v>
      </c>
    </row>
    <row r="55" spans="1:3" x14ac:dyDescent="0.35">
      <c r="B55" t="s">
        <v>37</v>
      </c>
      <c r="C55" t="s">
        <v>60</v>
      </c>
    </row>
    <row r="56" spans="1:3" x14ac:dyDescent="0.35">
      <c r="B56" t="s">
        <v>25</v>
      </c>
      <c r="C56" t="s">
        <v>60</v>
      </c>
    </row>
    <row r="57" spans="1:3" x14ac:dyDescent="0.35">
      <c r="B57" t="s">
        <v>53</v>
      </c>
      <c r="C57" t="s">
        <v>60</v>
      </c>
    </row>
    <row r="58" spans="1:3" x14ac:dyDescent="0.35">
      <c r="B58" t="s">
        <v>238</v>
      </c>
      <c r="C58" t="s">
        <v>60</v>
      </c>
    </row>
    <row r="59" spans="1:3" x14ac:dyDescent="0.35">
      <c r="B59" t="s">
        <v>239</v>
      </c>
      <c r="C59" t="s">
        <v>60</v>
      </c>
    </row>
    <row r="60" spans="1:3" x14ac:dyDescent="0.35">
      <c r="B60" t="s">
        <v>51</v>
      </c>
      <c r="C60" t="s">
        <v>60</v>
      </c>
    </row>
    <row r="61" spans="1:3" x14ac:dyDescent="0.35">
      <c r="B61" t="s">
        <v>240</v>
      </c>
      <c r="C61" t="s">
        <v>60</v>
      </c>
    </row>
    <row r="62" spans="1:3" x14ac:dyDescent="0.35">
      <c r="B62" t="s">
        <v>241</v>
      </c>
      <c r="C62" t="s">
        <v>60</v>
      </c>
    </row>
    <row r="63" spans="1:3" x14ac:dyDescent="0.35">
      <c r="B63" t="s">
        <v>242</v>
      </c>
      <c r="C63" t="s">
        <v>60</v>
      </c>
    </row>
    <row r="64" spans="1:3" x14ac:dyDescent="0.35">
      <c r="B64" s="58" t="s">
        <v>292</v>
      </c>
      <c r="C64" s="58" t="s">
        <v>60</v>
      </c>
    </row>
    <row r="65" spans="2:3" x14ac:dyDescent="0.35">
      <c r="B65" s="62" t="s">
        <v>15</v>
      </c>
      <c r="C65" s="58" t="s">
        <v>60</v>
      </c>
    </row>
    <row r="66" spans="2:3" x14ac:dyDescent="0.35">
      <c r="B66" s="62" t="s">
        <v>295</v>
      </c>
      <c r="C66" s="58" t="s">
        <v>60</v>
      </c>
    </row>
    <row r="67" spans="2:3" x14ac:dyDescent="0.35">
      <c r="B67" s="63" t="s">
        <v>296</v>
      </c>
      <c r="C67" s="58" t="s">
        <v>60</v>
      </c>
    </row>
    <row r="68" spans="2:3" x14ac:dyDescent="0.35">
      <c r="B68" s="63" t="s">
        <v>297</v>
      </c>
      <c r="C68" s="58" t="s">
        <v>60</v>
      </c>
    </row>
    <row r="69" spans="2:3" x14ac:dyDescent="0.35">
      <c r="B69" s="64" t="s">
        <v>298</v>
      </c>
      <c r="C69" s="58" t="s">
        <v>60</v>
      </c>
    </row>
    <row r="70" spans="2:3" x14ac:dyDescent="0.35">
      <c r="B70" s="64" t="s">
        <v>299</v>
      </c>
      <c r="C70" s="58" t="s">
        <v>60</v>
      </c>
    </row>
    <row r="71" spans="2:3" x14ac:dyDescent="0.35">
      <c r="B71" s="64" t="s">
        <v>300</v>
      </c>
      <c r="C71" s="58" t="s">
        <v>60</v>
      </c>
    </row>
    <row r="72" spans="2:3" x14ac:dyDescent="0.35">
      <c r="B72" s="64" t="s">
        <v>301</v>
      </c>
      <c r="C72" s="58" t="s">
        <v>60</v>
      </c>
    </row>
    <row r="73" spans="2:3" x14ac:dyDescent="0.35">
      <c r="B73" s="64" t="s">
        <v>302</v>
      </c>
      <c r="C73" s="58" t="s">
        <v>60</v>
      </c>
    </row>
    <row r="74" spans="2:3" x14ac:dyDescent="0.35">
      <c r="B74" s="64" t="s">
        <v>303</v>
      </c>
      <c r="C74" s="58" t="s">
        <v>60</v>
      </c>
    </row>
    <row r="75" spans="2:3" x14ac:dyDescent="0.35">
      <c r="B75" s="64" t="s">
        <v>304</v>
      </c>
      <c r="C75" s="58" t="s">
        <v>60</v>
      </c>
    </row>
    <row r="76" spans="2:3" x14ac:dyDescent="0.35">
      <c r="B76" s="64" t="s">
        <v>305</v>
      </c>
      <c r="C76" s="58" t="s">
        <v>60</v>
      </c>
    </row>
    <row r="77" spans="2:3" x14ac:dyDescent="0.35">
      <c r="B77" s="64" t="s">
        <v>306</v>
      </c>
      <c r="C77" s="58" t="s">
        <v>60</v>
      </c>
    </row>
    <row r="78" spans="2:3" x14ac:dyDescent="0.35">
      <c r="B78" s="64" t="s">
        <v>307</v>
      </c>
      <c r="C78" s="58" t="s">
        <v>60</v>
      </c>
    </row>
    <row r="79" spans="2:3" x14ac:dyDescent="0.35">
      <c r="B79" s="64" t="s">
        <v>308</v>
      </c>
      <c r="C79" s="58" t="s">
        <v>60</v>
      </c>
    </row>
    <row r="80" spans="2:3" x14ac:dyDescent="0.35">
      <c r="B80" s="64" t="s">
        <v>309</v>
      </c>
      <c r="C80" s="58" t="s">
        <v>60</v>
      </c>
    </row>
    <row r="81" spans="1:3" x14ac:dyDescent="0.35">
      <c r="B81" s="64" t="s">
        <v>310</v>
      </c>
      <c r="C81" s="58" t="s">
        <v>60</v>
      </c>
    </row>
    <row r="82" spans="1:3" x14ac:dyDescent="0.35">
      <c r="B82" s="64" t="s">
        <v>311</v>
      </c>
      <c r="C82" s="58" t="s">
        <v>60</v>
      </c>
    </row>
    <row r="83" spans="1:3" x14ac:dyDescent="0.35">
      <c r="B83" s="64" t="s">
        <v>312</v>
      </c>
      <c r="C83" s="58" t="s">
        <v>60</v>
      </c>
    </row>
    <row r="84" spans="1:3" x14ac:dyDescent="0.35">
      <c r="B84" s="64" t="s">
        <v>313</v>
      </c>
      <c r="C84" s="58" t="s">
        <v>60</v>
      </c>
    </row>
    <row r="85" spans="1:3" x14ac:dyDescent="0.35">
      <c r="B85" s="58" t="s">
        <v>315</v>
      </c>
      <c r="C85" s="58" t="s">
        <v>60</v>
      </c>
    </row>
    <row r="86" spans="1:3" x14ac:dyDescent="0.35">
      <c r="B86" s="58" t="s">
        <v>316</v>
      </c>
      <c r="C86" s="58" t="s">
        <v>60</v>
      </c>
    </row>
    <row r="87" spans="1:3" x14ac:dyDescent="0.35">
      <c r="B87" t="s">
        <v>243</v>
      </c>
      <c r="C87" t="s">
        <v>60</v>
      </c>
    </row>
    <row r="88" spans="1:3" s="58" customFormat="1" x14ac:dyDescent="0.35">
      <c r="A88" s="61" t="s">
        <v>287</v>
      </c>
      <c r="B88" s="58" t="s">
        <v>288</v>
      </c>
      <c r="C88" s="58" t="s">
        <v>60</v>
      </c>
    </row>
    <row r="89" spans="1:3" s="58" customFormat="1" x14ac:dyDescent="0.35">
      <c r="B89" s="58" t="s">
        <v>289</v>
      </c>
      <c r="C89" s="58" t="s">
        <v>60</v>
      </c>
    </row>
    <row r="90" spans="1:3" s="58" customFormat="1" x14ac:dyDescent="0.35">
      <c r="B90" s="58" t="s">
        <v>290</v>
      </c>
      <c r="C90" s="58" t="s">
        <v>60</v>
      </c>
    </row>
    <row r="91" spans="1:3" s="58" customFormat="1" x14ac:dyDescent="0.35">
      <c r="B91" s="58" t="s">
        <v>291</v>
      </c>
      <c r="C91" s="58" t="s">
        <v>60</v>
      </c>
    </row>
    <row r="92" spans="1:3" x14ac:dyDescent="0.35">
      <c r="A92" s="2" t="s">
        <v>250</v>
      </c>
      <c r="B92" t="s">
        <v>223</v>
      </c>
      <c r="C92" t="s">
        <v>60</v>
      </c>
    </row>
    <row r="93" spans="1:3" x14ac:dyDescent="0.35">
      <c r="B93" t="s">
        <v>224</v>
      </c>
      <c r="C93" t="s">
        <v>60</v>
      </c>
    </row>
    <row r="94" spans="1:3" x14ac:dyDescent="0.35">
      <c r="B94" t="s">
        <v>225</v>
      </c>
      <c r="C94" t="s">
        <v>60</v>
      </c>
    </row>
    <row r="95" spans="1:3" x14ac:dyDescent="0.35">
      <c r="B95" t="s">
        <v>226</v>
      </c>
      <c r="C95" t="s">
        <v>60</v>
      </c>
    </row>
    <row r="96" spans="1:3" x14ac:dyDescent="0.35">
      <c r="B96" t="s">
        <v>227</v>
      </c>
      <c r="C96" t="s">
        <v>60</v>
      </c>
    </row>
    <row r="97" spans="1:3" x14ac:dyDescent="0.35">
      <c r="B97" t="s">
        <v>228</v>
      </c>
      <c r="C97" t="s">
        <v>60</v>
      </c>
    </row>
    <row r="98" spans="1:3" x14ac:dyDescent="0.35">
      <c r="B98" t="s">
        <v>229</v>
      </c>
      <c r="C98" t="s">
        <v>60</v>
      </c>
    </row>
    <row r="99" spans="1:3" x14ac:dyDescent="0.35">
      <c r="B99" t="s">
        <v>230</v>
      </c>
      <c r="C99" t="s">
        <v>60</v>
      </c>
    </row>
    <row r="100" spans="1:3" x14ac:dyDescent="0.35">
      <c r="B100" t="s">
        <v>231</v>
      </c>
      <c r="C100" t="s">
        <v>60</v>
      </c>
    </row>
    <row r="101" spans="1:3" x14ac:dyDescent="0.35">
      <c r="B101" t="s">
        <v>232</v>
      </c>
      <c r="C101" t="s">
        <v>60</v>
      </c>
    </row>
    <row r="102" spans="1:3" x14ac:dyDescent="0.35">
      <c r="B102" t="s">
        <v>233</v>
      </c>
      <c r="C102" t="s">
        <v>60</v>
      </c>
    </row>
    <row r="103" spans="1:3" x14ac:dyDescent="0.35">
      <c r="B103" t="s">
        <v>234</v>
      </c>
      <c r="C103" t="s">
        <v>60</v>
      </c>
    </row>
    <row r="104" spans="1:3" x14ac:dyDescent="0.35">
      <c r="A104" s="2" t="s">
        <v>222</v>
      </c>
      <c r="B104" t="s">
        <v>244</v>
      </c>
      <c r="C104" t="s">
        <v>60</v>
      </c>
    </row>
    <row r="105" spans="1:3" x14ac:dyDescent="0.35">
      <c r="A105" s="2"/>
      <c r="B105" t="s">
        <v>248</v>
      </c>
      <c r="C105" t="s">
        <v>60</v>
      </c>
    </row>
    <row r="106" spans="1:3" x14ac:dyDescent="0.35">
      <c r="A106" s="2" t="s">
        <v>29</v>
      </c>
      <c r="B106" t="s">
        <v>29</v>
      </c>
      <c r="C106" t="s">
        <v>57</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C19" sqref="C19"/>
    </sheetView>
  </sheetViews>
  <sheetFormatPr defaultRowHeight="14.5" x14ac:dyDescent="0.35"/>
  <cols>
    <col min="1" max="1" width="12.1796875" bestFit="1" customWidth="1"/>
    <col min="2" max="2" width="26.453125" bestFit="1" customWidth="1"/>
  </cols>
  <sheetData>
    <row r="1" spans="1:4" x14ac:dyDescent="0.35">
      <c r="A1" s="2" t="s">
        <v>117</v>
      </c>
      <c r="B1" s="2" t="s">
        <v>6</v>
      </c>
      <c r="C1" s="2" t="s">
        <v>128</v>
      </c>
      <c r="D1" s="2" t="s">
        <v>130</v>
      </c>
    </row>
    <row r="2" spans="1:4" x14ac:dyDescent="0.35">
      <c r="B2" t="s">
        <v>0</v>
      </c>
      <c r="D2" t="s">
        <v>131</v>
      </c>
    </row>
    <row r="3" spans="1:4" x14ac:dyDescent="0.35">
      <c r="A3" t="s">
        <v>90</v>
      </c>
      <c r="B3" t="s">
        <v>262</v>
      </c>
      <c r="C3" t="s">
        <v>129</v>
      </c>
      <c r="D3" t="s">
        <v>135</v>
      </c>
    </row>
    <row r="4" spans="1:4" x14ac:dyDescent="0.35">
      <c r="A4" t="s">
        <v>118</v>
      </c>
      <c r="B4" t="s">
        <v>118</v>
      </c>
      <c r="C4" t="s">
        <v>119</v>
      </c>
      <c r="D4" t="s">
        <v>136</v>
      </c>
    </row>
    <row r="5" spans="1:4" x14ac:dyDescent="0.35">
      <c r="A5" t="s">
        <v>89</v>
      </c>
      <c r="B5" t="s">
        <v>89</v>
      </c>
      <c r="D5" t="s">
        <v>137</v>
      </c>
    </row>
    <row r="6" spans="1:4" x14ac:dyDescent="0.35">
      <c r="B6" t="s">
        <v>245</v>
      </c>
      <c r="D6" t="s">
        <v>132</v>
      </c>
    </row>
    <row r="7" spans="1:4" x14ac:dyDescent="0.35">
      <c r="D7" t="s">
        <v>133</v>
      </c>
    </row>
    <row r="8" spans="1:4" x14ac:dyDescent="0.35">
      <c r="D8" t="s">
        <v>134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9A3DE0-722F-41A5-99D3-D82D924690D5}">
  <sheetPr codeName="Sheet11"/>
  <dimension ref="A1:R100"/>
  <sheetViews>
    <sheetView workbookViewId="0">
      <pane ySplit="4" topLeftCell="A5" activePane="bottomLeft" state="frozen"/>
      <selection activeCell="C19" sqref="C19"/>
      <selection pane="bottomLeft" activeCell="I15" sqref="I15"/>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14" t="s">
        <v>130</v>
      </c>
      <c r="B1" s="26"/>
      <c r="C1" s="15" t="s">
        <v>131</v>
      </c>
    </row>
    <row r="2" spans="1:18" x14ac:dyDescent="0.35">
      <c r="A2" s="14" t="s">
        <v>264</v>
      </c>
      <c r="B2" s="14"/>
      <c r="C2" s="15" t="s">
        <v>119</v>
      </c>
    </row>
    <row r="4" spans="1:18" x14ac:dyDescent="0.35">
      <c r="A4" s="7" t="s">
        <v>6</v>
      </c>
      <c r="B4" s="8" t="s">
        <v>1</v>
      </c>
      <c r="C4" s="8" t="s">
        <v>36</v>
      </c>
      <c r="D4" s="8" t="s">
        <v>5</v>
      </c>
      <c r="E4" s="8" t="s">
        <v>7</v>
      </c>
      <c r="F4" s="8" t="s">
        <v>8</v>
      </c>
      <c r="G4" s="8" t="s">
        <v>116</v>
      </c>
      <c r="H4" s="8" t="s">
        <v>263</v>
      </c>
      <c r="I4" s="8" t="s">
        <v>127</v>
      </c>
      <c r="J4" s="8" t="s">
        <v>117</v>
      </c>
      <c r="K4" s="8" t="s">
        <v>138</v>
      </c>
      <c r="L4" s="8" t="s">
        <v>139</v>
      </c>
      <c r="M4" s="8" t="s">
        <v>140</v>
      </c>
      <c r="N4" s="8" t="s">
        <v>141</v>
      </c>
      <c r="O4" s="8" t="s">
        <v>142</v>
      </c>
      <c r="P4" s="8" t="s">
        <v>143</v>
      </c>
      <c r="Q4" s="8" t="s">
        <v>260</v>
      </c>
      <c r="R4" s="8" t="s">
        <v>4</v>
      </c>
    </row>
    <row r="5" spans="1:18" x14ac:dyDescent="0.35">
      <c r="A5" s="6" t="s">
        <v>0</v>
      </c>
      <c r="B5" s="6" t="s">
        <v>3</v>
      </c>
      <c r="C5" s="6" t="str">
        <f>_xlfn.XLOOKUP($B5,'SI - Resources'!$A$1:$J$1,'SI - Resources'!$A$2:$J$2, "")</f>
        <v>Electricity</v>
      </c>
      <c r="D5" s="6" t="str">
        <f>IF(_xlfn.XLOOKUP($C5,'SI - End Use'!$B$2:$B$82,'SI - End Use'!$C$2:$C$82, "")="", "", _xlfn.XLOOKUP($C5,'SI - End Use'!$B$2:$B$82,'SI - End Use'!$C$2:$C$82, ""))</f>
        <v>U.S. Mix</v>
      </c>
      <c r="E5" s="13">
        <v>0</v>
      </c>
      <c r="F5" s="6" t="str" cm="1">
        <f t="array" ref="F5">IF($B5="Transportation",  'SI - Units'!$B$9:$B$9, _xlfn.XLOOKUP(_xlfn.XLOOKUP($C5,'SI - Units'!$B$24:$B$106,'SI - Units'!$C$24:$C$106, ""),'SI - Units'!$A$2:$A$8,'SI - Units'!$B$2:$B$8, ""))</f>
        <v>kWh</v>
      </c>
      <c r="G5" s="27"/>
      <c r="H5" s="27"/>
      <c r="I5" s="31" t="str">
        <f>IF(Table16[[#This Row],[Type]]="Co-product", "No", "")</f>
        <v/>
      </c>
      <c r="J5" s="6"/>
      <c r="K5" s="6" t="str">
        <f>IF(Table16[[#This Row],[Category]]="Transportation", _xlfn.XLOOKUP(Table16[[#This Row],[Resource]], 'SI - Payload'!$A$10:$A$38,'SI - Payload'!$B$10:$B$38,"",0), "")</f>
        <v/>
      </c>
      <c r="L5" s="6" t="str">
        <f>IF(Table16[[#This Row],[Category]]="Transportation", "ton", "")</f>
        <v/>
      </c>
      <c r="M5" s="6"/>
      <c r="N5" s="6"/>
      <c r="O5" s="6" t="str">
        <f>IF(OR(Table16[[#This Row],[Type]]="Main Product", Table16[[#This Row],[Type]]="Co-Product"), Table16[[#This Row],[Resource]], "")</f>
        <v/>
      </c>
      <c r="P5" s="6" t="str">
        <f>IF(_xlfn.XLOOKUP($O5,'SI - End Use'!$B$2:$B$82,'SI - End Use'!$C$2:$C$82, "")="", "", _xlfn.XLOOKUP($C5,'SI - End Use'!$B$2:$B$82,'SI - End Use'!$C$2:$C$82, ""))</f>
        <v/>
      </c>
      <c r="Q5" s="6"/>
      <c r="R5" s="6" t="s">
        <v>319</v>
      </c>
    </row>
    <row r="6" spans="1:18" x14ac:dyDescent="0.35">
      <c r="A6" s="6" t="s">
        <v>118</v>
      </c>
      <c r="B6" s="6" t="s">
        <v>39</v>
      </c>
      <c r="C6" s="6" t="s">
        <v>293</v>
      </c>
      <c r="D6" s="6" t="str">
        <f>IF(_xlfn.XLOOKUP($C6,'SI - End Use'!$B$2:$B$82,'SI - End Use'!$C$2:$C$82, "")="", "", _xlfn.XLOOKUP($C6,'SI - End Use'!$B$2:$B$82,'SI - End Use'!$C$2:$C$82, ""))</f>
        <v/>
      </c>
      <c r="E6" s="13">
        <v>1</v>
      </c>
      <c r="F6" s="6" t="str" cm="1">
        <f t="array" ref="F6">IF($B6="Transportation",  'SI - Units'!$B$9:$B$9, _xlfn.XLOOKUP(_xlfn.XLOOKUP($C6,'SI - Units'!$B$24:$B$106,'SI - Units'!$C$24:$C$106, ""),'SI - Units'!$A$2:$A$8,'SI - Units'!$B$2:$B$8, ""))</f>
        <v>kg</v>
      </c>
      <c r="G6" s="27"/>
      <c r="H6" s="27"/>
      <c r="I6" s="31" t="str">
        <f>IF(Table16[[#This Row],[Type]]="Co-product", "No", "")</f>
        <v/>
      </c>
      <c r="J6" s="6"/>
      <c r="K6" s="6" t="str">
        <f>IF(Table16[[#This Row],[Category]]="Transportation", _xlfn.XLOOKUP(Table16[[#This Row],[Resource]], 'SI - Payload'!$A$10:$A$38,'SI - Payload'!$B$10:$B$38,"",0), "")</f>
        <v/>
      </c>
      <c r="L6" s="6" t="str">
        <f>IF(Table16[[#This Row],[Category]]="Transportation", "ton", "")</f>
        <v/>
      </c>
      <c r="M6" s="6"/>
      <c r="N6" s="6"/>
      <c r="O6" s="6" t="str">
        <f>IF(OR(Table16[[#This Row],[Type]]="Main Product", Table16[[#This Row],[Type]]="Co-Product"), Table16[[#This Row],[Resource]], "")</f>
        <v>Algae</v>
      </c>
      <c r="P6" s="6" t="str">
        <f>IF(_xlfn.XLOOKUP($O6,'SI - End Use'!$B$2:$B$82,'SI - End Use'!$C$2:$C$82, "")="", "", _xlfn.XLOOKUP($C6,'SI - End Use'!$B$2:$B$82,'SI - End Use'!$C$2:$C$82, ""))</f>
        <v/>
      </c>
      <c r="Q6" s="6"/>
      <c r="R6" s="6"/>
    </row>
    <row r="7" spans="1:18" x14ac:dyDescent="0.35">
      <c r="A7" s="6"/>
      <c r="B7" s="6"/>
      <c r="C7" s="6" t="str">
        <f>_xlfn.XLOOKUP($B7,'SI - Resources'!$A$1:$J$1,'SI - Resources'!$A$2:$J$2, "")</f>
        <v/>
      </c>
      <c r="D7" s="6" t="str">
        <f>IF(_xlfn.XLOOKUP($C7,'SI - End Use'!$B$2:$B$82,'SI - End Use'!$C$2:$C$82, "")="", "", _xlfn.XLOOKUP($C7,'SI - End Use'!$B$2:$B$82,'SI - End Use'!$C$2:$C$82, ""))</f>
        <v/>
      </c>
      <c r="E7" s="13"/>
      <c r="F7" s="6" t="str" cm="1">
        <f t="array" ref="F7">IF($B7="Transportation",  'SI - Units'!$B$9:$B$9, _xlfn.XLOOKUP(_xlfn.XLOOKUP($C7,'SI - Units'!$B$24:$B$106,'SI - Units'!$C$24:$C$106, ""),'SI - Units'!$A$2:$A$8,'SI - Units'!$B$2:$B$8, ""))</f>
        <v/>
      </c>
      <c r="G7" s="27"/>
      <c r="H7" s="27"/>
      <c r="I7" s="31" t="str">
        <f>IF(Table16[[#This Row],[Type]]="Co-product", "No", "")</f>
        <v/>
      </c>
      <c r="J7" s="6"/>
      <c r="K7" s="6" t="str">
        <f>IF(Table16[[#This Row],[Category]]="Transportation", _xlfn.XLOOKUP(Table16[[#This Row],[Resource]], 'SI - Payload'!$A$10:$A$38,'SI - Payload'!$B$10:$B$38,"",0), "")</f>
        <v/>
      </c>
      <c r="L7" s="6" t="str">
        <f>IF(Table16[[#This Row],[Category]]="Transportation", "ton", "")</f>
        <v/>
      </c>
      <c r="M7" s="6"/>
      <c r="N7" s="6"/>
      <c r="O7" s="6" t="str">
        <f>IF(OR(Table16[[#This Row],[Type]]="Main Product", Table16[[#This Row],[Type]]="Co-Product"), Table16[[#This Row],[Resource]], "")</f>
        <v/>
      </c>
      <c r="P7" s="6" t="str">
        <f>IF(_xlfn.XLOOKUP($O7,'SI - End Use'!$B$2:$B$82,'SI - End Use'!$C$2:$C$82, "")="", "", _xlfn.XLOOKUP($C7,'SI - End Use'!$B$2:$B$82,'SI - End Use'!$C$2:$C$82, ""))</f>
        <v/>
      </c>
      <c r="Q7" s="6"/>
      <c r="R7" s="6"/>
    </row>
    <row r="8" spans="1:18" x14ac:dyDescent="0.35">
      <c r="A8" s="6"/>
      <c r="B8" s="6"/>
      <c r="C8" s="6" t="str">
        <f>_xlfn.XLOOKUP($B8,'SI - Resources'!$A$1:$J$1,'SI - Resources'!$A$2:$J$2, "")</f>
        <v/>
      </c>
      <c r="D8" s="6" t="str">
        <f>IF(_xlfn.XLOOKUP($C8,'SI - End Use'!$B$2:$B$82,'SI - End Use'!$C$2:$C$82, "")="", "", _xlfn.XLOOKUP($C8,'SI - End Use'!$B$2:$B$82,'SI - End Use'!$C$2:$C$82, ""))</f>
        <v/>
      </c>
      <c r="E8" s="13"/>
      <c r="F8" s="6" t="str" cm="1">
        <f t="array" ref="F8">IF($B8="Transportation",  'SI - Units'!$B$9:$B$9, _xlfn.XLOOKUP(_xlfn.XLOOKUP($C8,'SI - Units'!$B$24:$B$106,'SI - Units'!$C$24:$C$106, ""),'SI - Units'!$A$2:$A$8,'SI - Units'!$B$2:$B$8, ""))</f>
        <v/>
      </c>
      <c r="G8" s="27"/>
      <c r="H8" s="27"/>
      <c r="I8" s="31" t="str">
        <f>IF(Table16[[#This Row],[Type]]="Co-product", "No", "")</f>
        <v/>
      </c>
      <c r="J8" s="6"/>
      <c r="K8" s="6" t="str">
        <f>IF(Table16[[#This Row],[Category]]="Transportation", _xlfn.XLOOKUP(Table16[[#This Row],[Resource]], 'SI - Payload'!$A$10:$A$38,'SI - Payload'!$B$10:$B$38,"",0), "")</f>
        <v/>
      </c>
      <c r="L8" s="6" t="str">
        <f>IF(Table16[[#This Row],[Category]]="Transportation", "ton", "")</f>
        <v/>
      </c>
      <c r="M8" s="6"/>
      <c r="N8" s="6"/>
      <c r="O8" s="6" t="str">
        <f>IF(OR(Table16[[#This Row],[Type]]="Main Product", Table16[[#This Row],[Type]]="Co-Product"), Table16[[#This Row],[Resource]], "")</f>
        <v/>
      </c>
      <c r="P8" s="6" t="str">
        <f>IF(_xlfn.XLOOKUP($O8,'SI - End Use'!$B$2:$B$82,'SI - End Use'!$C$2:$C$82, "")="", "", _xlfn.XLOOKUP($C8,'SI - End Use'!$B$2:$B$82,'SI - End Use'!$C$2:$C$82, ""))</f>
        <v/>
      </c>
      <c r="Q8" s="6"/>
      <c r="R8" s="6"/>
    </row>
    <row r="9" spans="1:18" x14ac:dyDescent="0.35">
      <c r="A9" s="6"/>
      <c r="B9" s="6"/>
      <c r="C9" s="6" t="str">
        <f>_xlfn.XLOOKUP($B9,'SI - Resources'!$A$1:$J$1,'SI - Resources'!$A$2:$J$2, "")</f>
        <v/>
      </c>
      <c r="D9" s="6" t="str">
        <f>IF(_xlfn.XLOOKUP($C9,'SI - End Use'!$B$2:$B$82,'SI - End Use'!$C$2:$C$82, "")="", "", _xlfn.XLOOKUP($C9,'SI - End Use'!$B$2:$B$82,'SI - End Use'!$C$2:$C$82, ""))</f>
        <v/>
      </c>
      <c r="E9" s="13"/>
      <c r="F9" s="6" t="str" cm="1">
        <f t="array" ref="F9">IF($B9="Transportation",  'SI - Units'!$B$9:$B$9, _xlfn.XLOOKUP(_xlfn.XLOOKUP($C9,'SI - Units'!$B$24:$B$106,'SI - Units'!$C$24:$C$106, ""),'SI - Units'!$A$2:$A$8,'SI - Units'!$B$2:$B$8, ""))</f>
        <v/>
      </c>
      <c r="G9" s="27"/>
      <c r="H9" s="27"/>
      <c r="I9" s="31" t="str">
        <f>IF(Table16[[#This Row],[Type]]="Co-product", "No", "")</f>
        <v/>
      </c>
      <c r="J9" s="6"/>
      <c r="K9" s="6" t="str">
        <f>IF(Table16[[#This Row],[Category]]="Transportation", _xlfn.XLOOKUP(Table16[[#This Row],[Resource]], 'SI - Payload'!$A$10:$A$38,'SI - Payload'!$B$10:$B$38,"",0), "")</f>
        <v/>
      </c>
      <c r="L9" s="6" t="str">
        <f>IF(Table16[[#This Row],[Category]]="Transportation", "ton", "")</f>
        <v/>
      </c>
      <c r="M9" s="6"/>
      <c r="N9" s="6"/>
      <c r="O9" s="6" t="str">
        <f>IF(OR(Table16[[#This Row],[Type]]="Main Product", Table16[[#This Row],[Type]]="Co-Product"), Table16[[#This Row],[Resource]], "")</f>
        <v/>
      </c>
      <c r="P9" s="6" t="str">
        <f>IF(_xlfn.XLOOKUP($O9,'SI - End Use'!$B$2:$B$82,'SI - End Use'!$C$2:$C$82, "")="", "", _xlfn.XLOOKUP($C9,'SI - End Use'!$B$2:$B$82,'SI - End Use'!$C$2:$C$82, ""))</f>
        <v/>
      </c>
      <c r="Q9" s="6"/>
      <c r="R9" s="6"/>
    </row>
    <row r="10" spans="1:18" x14ac:dyDescent="0.35">
      <c r="A10" s="6"/>
      <c r="B10" s="6"/>
      <c r="C10" s="6" t="str">
        <f>_xlfn.XLOOKUP($B10,'SI - Resources'!$A$1:$J$1,'SI - Resources'!$A$2:$J$2, "")</f>
        <v/>
      </c>
      <c r="D10" s="6" t="str">
        <f>IF(_xlfn.XLOOKUP($C10,'SI - End Use'!$B$2:$B$82,'SI - End Use'!$C$2:$C$82, "")="", "", _xlfn.XLOOKUP($C10,'SI - End Use'!$B$2:$B$82,'SI - End Use'!$C$2:$C$82, ""))</f>
        <v/>
      </c>
      <c r="E10" s="13"/>
      <c r="F10" s="6" t="str" cm="1">
        <f t="array" ref="F10">IF($B10="Transportation",  'SI - Units'!$B$9:$B$9, _xlfn.XLOOKUP(_xlfn.XLOOKUP($C10,'SI - Units'!$B$24:$B$106,'SI - Units'!$C$24:$C$106, ""),'SI - Units'!$A$2:$A$8,'SI - Units'!$B$2:$B$8, ""))</f>
        <v/>
      </c>
      <c r="G10" s="27"/>
      <c r="H10" s="27"/>
      <c r="I10" s="31" t="str">
        <f>IF(Table16[[#This Row],[Type]]="Co-product", "No", "")</f>
        <v/>
      </c>
      <c r="J10" s="6"/>
      <c r="K10" s="6" t="str">
        <f>IF(Table16[[#This Row],[Category]]="Transportation", _xlfn.XLOOKUP(Table16[[#This Row],[Resource]], 'SI - Payload'!$A$10:$A$38,'SI - Payload'!$B$10:$B$38,"",0), "")</f>
        <v/>
      </c>
      <c r="L10" s="6" t="str">
        <f>IF(Table16[[#This Row],[Category]]="Transportation", "ton", "")</f>
        <v/>
      </c>
      <c r="M10" s="6"/>
      <c r="N10" s="6"/>
      <c r="O10" s="6" t="str">
        <f>IF(OR(Table16[[#This Row],[Type]]="Main Product", Table16[[#This Row],[Type]]="Co-Product"), Table16[[#This Row],[Resource]], "")</f>
        <v/>
      </c>
      <c r="P10" s="6" t="str">
        <f>IF(_xlfn.XLOOKUP($O10,'SI - End Use'!$B$2:$B$82,'SI - End Use'!$C$2:$C$82, "")="", "", _xlfn.XLOOKUP($C10,'SI - End Use'!$B$2:$B$82,'SI - End Use'!$C$2:$C$82, ""))</f>
        <v/>
      </c>
      <c r="Q10" s="6"/>
      <c r="R10" s="6"/>
    </row>
    <row r="11" spans="1:18" x14ac:dyDescent="0.35">
      <c r="A11" s="6"/>
      <c r="B11" s="6"/>
      <c r="C11" s="6" t="str">
        <f>_xlfn.XLOOKUP($B11,'SI - Resources'!$A$1:$J$1,'SI - Resources'!$A$2:$J$2, "")</f>
        <v/>
      </c>
      <c r="D11" s="6" t="str">
        <f>IF(_xlfn.XLOOKUP($C11,'SI - End Use'!$B$2:$B$82,'SI - End Use'!$C$2:$C$82, "")="", "", _xlfn.XLOOKUP($C11,'SI - End Use'!$B$2:$B$82,'SI - End Use'!$C$2:$C$82, ""))</f>
        <v/>
      </c>
      <c r="E11" s="13"/>
      <c r="F11" s="6" t="str" cm="1">
        <f t="array" ref="F11">IF($B11="Transportation",  'SI - Units'!$B$9:$B$9, _xlfn.XLOOKUP(_xlfn.XLOOKUP($C11,'SI - Units'!$B$24:$B$106,'SI - Units'!$C$24:$C$106, ""),'SI - Units'!$A$2:$A$8,'SI - Units'!$B$2:$B$8, ""))</f>
        <v/>
      </c>
      <c r="G11" s="27"/>
      <c r="H11" s="27"/>
      <c r="I11" s="31" t="str">
        <f>IF(Table16[[#This Row],[Type]]="Co-product", "No", "")</f>
        <v/>
      </c>
      <c r="J11" s="6"/>
      <c r="K11" s="6" t="str">
        <f>IF(Table16[[#This Row],[Category]]="Transportation", _xlfn.XLOOKUP(Table16[[#This Row],[Resource]], 'SI - Payload'!$A$10:$A$38,'SI - Payload'!$B$10:$B$38,"",0), "")</f>
        <v/>
      </c>
      <c r="L11" s="6" t="str">
        <f>IF(Table16[[#This Row],[Category]]="Transportation", "ton", "")</f>
        <v/>
      </c>
      <c r="M11" s="6"/>
      <c r="N11" s="6"/>
      <c r="O11" s="6" t="str">
        <f>IF(OR(Table16[[#This Row],[Type]]="Main Product", Table16[[#This Row],[Type]]="Co-Product"), Table16[[#This Row],[Resource]], "")</f>
        <v/>
      </c>
      <c r="P11" s="6" t="str">
        <f>IF(_xlfn.XLOOKUP($O11,'SI - End Use'!$B$2:$B$82,'SI - End Use'!$C$2:$C$82, "")="", "", _xlfn.XLOOKUP($C11,'SI - End Use'!$B$2:$B$82,'SI - End Use'!$C$2:$C$82, ""))</f>
        <v/>
      </c>
      <c r="Q11" s="6"/>
      <c r="R11" s="6"/>
    </row>
    <row r="12" spans="1:18" x14ac:dyDescent="0.35">
      <c r="A12" s="6"/>
      <c r="B12" s="6"/>
      <c r="C12" s="6" t="str">
        <f>_xlfn.XLOOKUP($B12,'SI - Resources'!$A$1:$J$1,'SI - Resources'!$A$2:$J$2, "")</f>
        <v/>
      </c>
      <c r="D12" s="6" t="str">
        <f>IF(_xlfn.XLOOKUP($C12,'SI - End Use'!$B$2:$B$82,'SI - End Use'!$C$2:$C$82, "")="", "", _xlfn.XLOOKUP($C12,'SI - End Use'!$B$2:$B$82,'SI - End Use'!$C$2:$C$82, ""))</f>
        <v/>
      </c>
      <c r="E12" s="13"/>
      <c r="F12" s="6" t="str" cm="1">
        <f t="array" ref="F12">IF($B12="Transportation",  'SI - Units'!$B$9:$B$9, _xlfn.XLOOKUP(_xlfn.XLOOKUP($C12,'SI - Units'!$B$24:$B$106,'SI - Units'!$C$24:$C$106, ""),'SI - Units'!$A$2:$A$8,'SI - Units'!$B$2:$B$8, ""))</f>
        <v/>
      </c>
      <c r="G12" s="27"/>
      <c r="H12" s="27"/>
      <c r="I12" s="31" t="str">
        <f>IF(Table16[[#This Row],[Type]]="Co-product", "No", "")</f>
        <v/>
      </c>
      <c r="J12" s="6"/>
      <c r="K12" s="6" t="str">
        <f>IF(Table16[[#This Row],[Category]]="Transportation", _xlfn.XLOOKUP(Table16[[#This Row],[Resource]], 'SI - Payload'!$A$10:$A$38,'SI - Payload'!$B$10:$B$38,"",0), "")</f>
        <v/>
      </c>
      <c r="L12" s="6" t="str">
        <f>IF(Table16[[#This Row],[Category]]="Transportation", "ton", "")</f>
        <v/>
      </c>
      <c r="M12" s="6"/>
      <c r="N12" s="6"/>
      <c r="O12" s="6" t="str">
        <f>IF(OR(Table16[[#This Row],[Type]]="Main Product", Table16[[#This Row],[Type]]="Co-Product"), Table16[[#This Row],[Resource]], "")</f>
        <v/>
      </c>
      <c r="P12" s="6" t="str">
        <f>IF(_xlfn.XLOOKUP($O12,'SI - End Use'!$B$2:$B$82,'SI - End Use'!$C$2:$C$82, "")="", "", _xlfn.XLOOKUP($C12,'SI - End Use'!$B$2:$B$82,'SI - End Use'!$C$2:$C$82, ""))</f>
        <v/>
      </c>
      <c r="Q12" s="6"/>
      <c r="R12" s="6"/>
    </row>
    <row r="13" spans="1:18" x14ac:dyDescent="0.35">
      <c r="A13" s="6"/>
      <c r="B13" s="6"/>
      <c r="C13" s="6" t="str">
        <f>_xlfn.XLOOKUP($B13,'SI - Resources'!$A$1:$J$1,'SI - Resources'!$A$2:$J$2, "")</f>
        <v/>
      </c>
      <c r="D13" s="6" t="str">
        <f>IF(_xlfn.XLOOKUP($C13,'SI - End Use'!$B$2:$B$82,'SI - End Use'!$C$2:$C$82, "")="", "", _xlfn.XLOOKUP($C13,'SI - End Use'!$B$2:$B$82,'SI - End Use'!$C$2:$C$82, ""))</f>
        <v/>
      </c>
      <c r="E13" s="13"/>
      <c r="F13" s="6" t="str" cm="1">
        <f t="array" ref="F13">IF($B13="Transportation",  'SI - Units'!$B$9:$B$9, _xlfn.XLOOKUP(_xlfn.XLOOKUP($C13,'SI - Units'!$B$24:$B$106,'SI - Units'!$C$24:$C$106, ""),'SI - Units'!$A$2:$A$8,'SI - Units'!$B$2:$B$8, ""))</f>
        <v/>
      </c>
      <c r="G13" s="27"/>
      <c r="H13" s="27"/>
      <c r="I13" s="31" t="str">
        <f>IF(Table16[[#This Row],[Type]]="Co-product", "No", "")</f>
        <v/>
      </c>
      <c r="J13" s="6"/>
      <c r="K13" s="6" t="str">
        <f>IF(Table16[[#This Row],[Category]]="Transportation", _xlfn.XLOOKUP(Table16[[#This Row],[Resource]], 'SI - Payload'!$A$10:$A$38,'SI - Payload'!$B$10:$B$38,"",0), "")</f>
        <v/>
      </c>
      <c r="L13" s="6" t="str">
        <f>IF(Table16[[#This Row],[Category]]="Transportation", "ton", "")</f>
        <v/>
      </c>
      <c r="M13" s="6"/>
      <c r="N13" s="6"/>
      <c r="O13" s="6" t="str">
        <f>IF(OR(Table16[[#This Row],[Type]]="Main Product", Table16[[#This Row],[Type]]="Co-Product"), Table16[[#This Row],[Resource]], "")</f>
        <v/>
      </c>
      <c r="P13" s="6" t="str">
        <f>IF(_xlfn.XLOOKUP($O13,'SI - End Use'!$B$2:$B$82,'SI - End Use'!$C$2:$C$82, "")="", "", _xlfn.XLOOKUP($C13,'SI - End Use'!$B$2:$B$82,'SI - End Use'!$C$2:$C$82, ""))</f>
        <v/>
      </c>
      <c r="Q13" s="6"/>
      <c r="R13" s="6"/>
    </row>
    <row r="14" spans="1:18" x14ac:dyDescent="0.35">
      <c r="A14" s="6"/>
      <c r="B14" s="6"/>
      <c r="C14" s="6" t="str">
        <f>_xlfn.XLOOKUP($B14,'SI - Resources'!$A$1:$J$1,'SI - Resources'!$A$2:$J$2, "")</f>
        <v/>
      </c>
      <c r="D14" s="6" t="str">
        <f>IF(_xlfn.XLOOKUP($C14,'SI - End Use'!$B$2:$B$82,'SI - End Use'!$C$2:$C$82, "")="", "", _xlfn.XLOOKUP($C14,'SI - End Use'!$B$2:$B$82,'SI - End Use'!$C$2:$C$82, ""))</f>
        <v/>
      </c>
      <c r="E14" s="13"/>
      <c r="F14" s="6" t="str" cm="1">
        <f t="array" ref="F14">IF($B14="Transportation",  'SI - Units'!$B$9:$B$9, _xlfn.XLOOKUP(_xlfn.XLOOKUP($C14,'SI - Units'!$B$24:$B$106,'SI - Units'!$C$24:$C$106, ""),'SI - Units'!$A$2:$A$8,'SI - Units'!$B$2:$B$8, ""))</f>
        <v/>
      </c>
      <c r="G14" s="27"/>
      <c r="H14" s="27"/>
      <c r="I14" s="31" t="str">
        <f>IF(Table16[[#This Row],[Type]]="Co-product", "No", "")</f>
        <v/>
      </c>
      <c r="J14" s="6"/>
      <c r="K14" s="6" t="str">
        <f>IF(Table16[[#This Row],[Category]]="Transportation", _xlfn.XLOOKUP(Table16[[#This Row],[Resource]], 'SI - Payload'!$A$10:$A$38,'SI - Payload'!$B$10:$B$38,"",0), "")</f>
        <v/>
      </c>
      <c r="L14" s="6" t="str">
        <f>IF(Table16[[#This Row],[Category]]="Transportation", "ton", "")</f>
        <v/>
      </c>
      <c r="M14" s="6"/>
      <c r="N14" s="6"/>
      <c r="O14" s="6" t="str">
        <f>IF(OR(Table16[[#This Row],[Type]]="Main Product", Table16[[#This Row],[Type]]="Co-Product"), Table16[[#This Row],[Resource]], "")</f>
        <v/>
      </c>
      <c r="P14" s="6" t="str">
        <f>IF(_xlfn.XLOOKUP($O14,'SI - End Use'!$B$2:$B$82,'SI - End Use'!$C$2:$C$82, "")="", "", _xlfn.XLOOKUP($C14,'SI - End Use'!$B$2:$B$82,'SI - End Use'!$C$2:$C$82, ""))</f>
        <v/>
      </c>
      <c r="Q14" s="6"/>
      <c r="R14" s="6"/>
    </row>
    <row r="15" spans="1:18" x14ac:dyDescent="0.35">
      <c r="A15" s="6"/>
      <c r="B15" s="6"/>
      <c r="C15" s="6" t="str">
        <f>_xlfn.XLOOKUP($B15,'SI - Resources'!$A$1:$J$1,'SI - Resources'!$A$2:$J$2, "")</f>
        <v/>
      </c>
      <c r="D15" s="6" t="str">
        <f>IF(_xlfn.XLOOKUP($C15,'SI - End Use'!$B$2:$B$82,'SI - End Use'!$C$2:$C$82, "")="", "", _xlfn.XLOOKUP($C15,'SI - End Use'!$B$2:$B$82,'SI - End Use'!$C$2:$C$82, ""))</f>
        <v/>
      </c>
      <c r="E15" s="13"/>
      <c r="F15" s="6" t="str" cm="1">
        <f t="array" ref="F15">IF($B15="Transportation",  'SI - Units'!$B$9:$B$9, _xlfn.XLOOKUP(_xlfn.XLOOKUP($C15,'SI - Units'!$B$24:$B$106,'SI - Units'!$C$24:$C$106, ""),'SI - Units'!$A$2:$A$8,'SI - Units'!$B$2:$B$8, ""))</f>
        <v/>
      </c>
      <c r="G15" s="27"/>
      <c r="H15" s="27"/>
      <c r="I15" s="31" t="str">
        <f>IF(Table16[[#This Row],[Type]]="Co-product", "No", "")</f>
        <v/>
      </c>
      <c r="J15" s="6"/>
      <c r="K15" s="6" t="str">
        <f>IF(Table16[[#This Row],[Category]]="Transportation", _xlfn.XLOOKUP(Table16[[#This Row],[Resource]], 'SI - Payload'!$A$10:$A$38,'SI - Payload'!$B$10:$B$38,"",0), "")</f>
        <v/>
      </c>
      <c r="L15" s="6" t="str">
        <f>IF(Table16[[#This Row],[Category]]="Transportation", "ton", "")</f>
        <v/>
      </c>
      <c r="M15" s="6"/>
      <c r="N15" s="6"/>
      <c r="O15" s="6" t="str">
        <f>IF(OR(Table16[[#This Row],[Type]]="Main Product", Table16[[#This Row],[Type]]="Co-Product"), Table16[[#This Row],[Resource]], "")</f>
        <v/>
      </c>
      <c r="P15" s="6" t="str">
        <f>IF(_xlfn.XLOOKUP($O15,'SI - End Use'!$B$2:$B$82,'SI - End Use'!$C$2:$C$82, "")="", "", _xlfn.XLOOKUP($C15,'SI - End Use'!$B$2:$B$82,'SI - End Use'!$C$2:$C$82, ""))</f>
        <v/>
      </c>
      <c r="Q15" s="6"/>
      <c r="R15" s="6"/>
    </row>
    <row r="16" spans="1:18" x14ac:dyDescent="0.35">
      <c r="A16" s="6"/>
      <c r="B16" s="6"/>
      <c r="C16" s="6" t="str">
        <f>_xlfn.XLOOKUP($B16,'SI - Resources'!$A$1:$J$1,'SI - Resources'!$A$2:$J$2, "")</f>
        <v/>
      </c>
      <c r="D16" s="6" t="str">
        <f>IF(_xlfn.XLOOKUP($C16,'SI - End Use'!$B$2:$B$82,'SI - End Use'!$C$2:$C$82, "")="", "", _xlfn.XLOOKUP($C16,'SI - End Use'!$B$2:$B$82,'SI - End Use'!$C$2:$C$82, ""))</f>
        <v/>
      </c>
      <c r="E16" s="13"/>
      <c r="F16" s="6" t="str" cm="1">
        <f t="array" ref="F16">IF($B16="Transportation",  'SI - Units'!$B$9:$B$9, _xlfn.XLOOKUP(_xlfn.XLOOKUP($C16,'SI - Units'!$B$24:$B$106,'SI - Units'!$C$24:$C$106, ""),'SI - Units'!$A$2:$A$8,'SI - Units'!$B$2:$B$8, ""))</f>
        <v/>
      </c>
      <c r="G16" s="27"/>
      <c r="H16" s="27"/>
      <c r="I16" s="31" t="str">
        <f>IF(Table16[[#This Row],[Type]]="Co-product", "No", "")</f>
        <v/>
      </c>
      <c r="J16" s="6"/>
      <c r="K16" s="6" t="str">
        <f>IF(Table16[[#This Row],[Category]]="Transportation", _xlfn.XLOOKUP(Table16[[#This Row],[Resource]], 'SI - Payload'!$A$10:$A$38,'SI - Payload'!$B$10:$B$38,"",0), "")</f>
        <v/>
      </c>
      <c r="L16" s="6" t="str">
        <f>IF(Table16[[#This Row],[Category]]="Transportation", "ton", "")</f>
        <v/>
      </c>
      <c r="M16" s="6"/>
      <c r="N16" s="6"/>
      <c r="O16" s="6" t="str">
        <f>IF(OR(Table16[[#This Row],[Type]]="Main Product", Table16[[#This Row],[Type]]="Co-Product"), Table16[[#This Row],[Resource]], "")</f>
        <v/>
      </c>
      <c r="P16" s="6" t="str">
        <f>IF(_xlfn.XLOOKUP($O16,'SI - End Use'!$B$2:$B$82,'SI - End Use'!$C$2:$C$82, "")="", "", _xlfn.XLOOKUP($C16,'SI - End Use'!$B$2:$B$82,'SI - End Use'!$C$2:$C$82, ""))</f>
        <v/>
      </c>
      <c r="Q16" s="6"/>
      <c r="R16" s="6"/>
    </row>
    <row r="17" spans="1:18" x14ac:dyDescent="0.35">
      <c r="A17" s="6"/>
      <c r="B17" s="6"/>
      <c r="C17" s="6" t="str">
        <f>_xlfn.XLOOKUP($B17,'SI - Resources'!$A$1:$J$1,'SI - Resources'!$A$2:$J$2, "")</f>
        <v/>
      </c>
      <c r="D17" s="6" t="str">
        <f>IF(_xlfn.XLOOKUP($C17,'SI - End Use'!$B$2:$B$82,'SI - End Use'!$C$2:$C$82, "")="", "", _xlfn.XLOOKUP($C17,'SI - End Use'!$B$2:$B$82,'SI - End Use'!$C$2:$C$82, ""))</f>
        <v/>
      </c>
      <c r="E17" s="13"/>
      <c r="F17" s="6" t="str" cm="1">
        <f t="array" ref="F17">IF($B17="Transportation",  'SI - Units'!$B$9:$B$9, _xlfn.XLOOKUP(_xlfn.XLOOKUP($C17,'SI - Units'!$B$24:$B$106,'SI - Units'!$C$24:$C$106, ""),'SI - Units'!$A$2:$A$8,'SI - Units'!$B$2:$B$8, ""))</f>
        <v/>
      </c>
      <c r="G17" s="27"/>
      <c r="H17" s="27"/>
      <c r="I17" s="31" t="str">
        <f>IF(Table16[[#This Row],[Type]]="Co-product", "No", "")</f>
        <v/>
      </c>
      <c r="J17" s="6"/>
      <c r="K17" s="6" t="str">
        <f>IF(Table16[[#This Row],[Category]]="Transportation", _xlfn.XLOOKUP(Table16[[#This Row],[Resource]], 'SI - Payload'!$A$10:$A$38,'SI - Payload'!$B$10:$B$38,"",0), "")</f>
        <v/>
      </c>
      <c r="L17" s="6" t="str">
        <f>IF(Table16[[#This Row],[Category]]="Transportation", "ton", "")</f>
        <v/>
      </c>
      <c r="M17" s="6"/>
      <c r="N17" s="6"/>
      <c r="O17" s="6" t="str">
        <f>IF(OR(Table16[[#This Row],[Type]]="Main Product", Table16[[#This Row],[Type]]="Co-Product"), Table16[[#This Row],[Resource]], "")</f>
        <v/>
      </c>
      <c r="P17" s="6" t="str">
        <f>IF(_xlfn.XLOOKUP($O17,'SI - End Use'!$B$2:$B$82,'SI - End Use'!$C$2:$C$82, "")="", "", _xlfn.XLOOKUP($C17,'SI - End Use'!$B$2:$B$82,'SI - End Use'!$C$2:$C$82, ""))</f>
        <v/>
      </c>
      <c r="Q17" s="6"/>
      <c r="R17" s="6"/>
    </row>
    <row r="18" spans="1:18" x14ac:dyDescent="0.35">
      <c r="A18" s="6"/>
      <c r="B18" s="6"/>
      <c r="C18" s="6" t="str">
        <f>_xlfn.XLOOKUP($B18,'SI - Resources'!$A$1:$J$1,'SI - Resources'!$A$2:$J$2, "")</f>
        <v/>
      </c>
      <c r="D18" s="6" t="str">
        <f>IF(_xlfn.XLOOKUP($C18,'SI - End Use'!$B$2:$B$82,'SI - End Use'!$C$2:$C$82, "")="", "", _xlfn.XLOOKUP($C18,'SI - End Use'!$B$2:$B$82,'SI - End Use'!$C$2:$C$82, ""))</f>
        <v/>
      </c>
      <c r="E18" s="13"/>
      <c r="F18" s="6" t="str" cm="1">
        <f t="array" ref="F18">IF($B18="Transportation",  'SI - Units'!$B$9:$B$9, _xlfn.XLOOKUP(_xlfn.XLOOKUP($C18,'SI - Units'!$B$24:$B$106,'SI - Units'!$C$24:$C$106, ""),'SI - Units'!$A$2:$A$8,'SI - Units'!$B$2:$B$8, ""))</f>
        <v/>
      </c>
      <c r="G18" s="27"/>
      <c r="H18" s="27"/>
      <c r="I18" s="31" t="str">
        <f>IF(Table16[[#This Row],[Type]]="Co-product", "No", "")</f>
        <v/>
      </c>
      <c r="J18" s="6"/>
      <c r="K18" s="6" t="str">
        <f>IF(Table16[[#This Row],[Category]]="Transportation", _xlfn.XLOOKUP(Table16[[#This Row],[Resource]], 'SI - Payload'!$A$10:$A$38,'SI - Payload'!$B$10:$B$38,"",0), "")</f>
        <v/>
      </c>
      <c r="L18" s="6" t="str">
        <f>IF(Table16[[#This Row],[Category]]="Transportation", "ton", "")</f>
        <v/>
      </c>
      <c r="M18" s="6"/>
      <c r="N18" s="6"/>
      <c r="O18" s="6" t="str">
        <f>IF(OR(Table16[[#This Row],[Type]]="Main Product", Table16[[#This Row],[Type]]="Co-Product"), Table16[[#This Row],[Resource]], "")</f>
        <v/>
      </c>
      <c r="P18" s="6" t="str">
        <f>IF(_xlfn.XLOOKUP($O18,'SI - End Use'!$B$2:$B$82,'SI - End Use'!$C$2:$C$82, "")="", "", _xlfn.XLOOKUP($C18,'SI - End Use'!$B$2:$B$82,'SI - End Use'!$C$2:$C$82, ""))</f>
        <v/>
      </c>
      <c r="Q18" s="6"/>
      <c r="R18" s="6"/>
    </row>
    <row r="19" spans="1:18" x14ac:dyDescent="0.35">
      <c r="A19" s="6"/>
      <c r="B19" s="6"/>
      <c r="C19" s="6" t="str">
        <f>_xlfn.XLOOKUP($B19,'SI - Resources'!$A$1:$J$1,'SI - Resources'!$A$2:$J$2, "")</f>
        <v/>
      </c>
      <c r="D19" s="6" t="str">
        <f>IF(_xlfn.XLOOKUP($C19,'SI - End Use'!$B$2:$B$82,'SI - End Use'!$C$2:$C$82, "")="", "", _xlfn.XLOOKUP($C19,'SI - End Use'!$B$2:$B$82,'SI - End Use'!$C$2:$C$82, ""))</f>
        <v/>
      </c>
      <c r="E19" s="13"/>
      <c r="F19" s="6" t="str" cm="1">
        <f t="array" ref="F19">IF($B19="Transportation",  'SI - Units'!$B$9:$B$9, _xlfn.XLOOKUP(_xlfn.XLOOKUP($C19,'SI - Units'!$B$24:$B$106,'SI - Units'!$C$24:$C$106, ""),'SI - Units'!$A$2:$A$8,'SI - Units'!$B$2:$B$8, ""))</f>
        <v/>
      </c>
      <c r="G19" s="27"/>
      <c r="H19" s="27"/>
      <c r="I19" s="31" t="str">
        <f>IF(Table16[[#This Row],[Type]]="Co-product", "No", "")</f>
        <v/>
      </c>
      <c r="J19" s="6"/>
      <c r="K19" s="6" t="str">
        <f>IF(Table16[[#This Row],[Category]]="Transportation", _xlfn.XLOOKUP(Table16[[#This Row],[Resource]], 'SI - Payload'!$A$10:$A$38,'SI - Payload'!$B$10:$B$38,"",0), "")</f>
        <v/>
      </c>
      <c r="L19" s="6" t="str">
        <f>IF(Table16[[#This Row],[Category]]="Transportation", "ton", "")</f>
        <v/>
      </c>
      <c r="M19" s="6"/>
      <c r="N19" s="6"/>
      <c r="O19" s="6" t="str">
        <f>IF(OR(Table16[[#This Row],[Type]]="Main Product", Table16[[#This Row],[Type]]="Co-Product"), Table16[[#This Row],[Resource]], "")</f>
        <v/>
      </c>
      <c r="P19" s="6" t="str">
        <f>IF(_xlfn.XLOOKUP($O19,'SI - End Use'!$B$2:$B$82,'SI - End Use'!$C$2:$C$82, "")="", "", _xlfn.XLOOKUP($C19,'SI - End Use'!$B$2:$B$82,'SI - End Use'!$C$2:$C$82, ""))</f>
        <v/>
      </c>
      <c r="Q19" s="6"/>
      <c r="R19" s="6"/>
    </row>
    <row r="20" spans="1:18" x14ac:dyDescent="0.35">
      <c r="A20" s="6"/>
      <c r="B20" s="6"/>
      <c r="C20" s="6" t="str">
        <f>_xlfn.XLOOKUP($B20,'SI - Resources'!$A$1:$J$1,'SI - Resources'!$A$2:$J$2, "")</f>
        <v/>
      </c>
      <c r="D20" s="6" t="str">
        <f>IF(_xlfn.XLOOKUP($C20,'SI - End Use'!$B$2:$B$82,'SI - End Use'!$C$2:$C$82, "")="", "", _xlfn.XLOOKUP($C20,'SI - End Use'!$B$2:$B$82,'SI - End Use'!$C$2:$C$82, ""))</f>
        <v/>
      </c>
      <c r="E20" s="13"/>
      <c r="F20" s="6" t="str" cm="1">
        <f t="array" ref="F20">IF($B20="Transportation",  'SI - Units'!$B$9:$B$9, _xlfn.XLOOKUP(_xlfn.XLOOKUP($C20,'SI - Units'!$B$24:$B$106,'SI - Units'!$C$24:$C$106, ""),'SI - Units'!$A$2:$A$8,'SI - Units'!$B$2:$B$8, ""))</f>
        <v/>
      </c>
      <c r="G20" s="27"/>
      <c r="H20" s="27"/>
      <c r="I20" s="31" t="str">
        <f>IF(Table16[[#This Row],[Type]]="Co-product", "No", "")</f>
        <v/>
      </c>
      <c r="J20" s="6"/>
      <c r="K20" s="6" t="str">
        <f>IF(Table16[[#This Row],[Category]]="Transportation", _xlfn.XLOOKUP(Table16[[#This Row],[Resource]], 'SI - Payload'!$A$10:$A$38,'SI - Payload'!$B$10:$B$38,"",0), "")</f>
        <v/>
      </c>
      <c r="L20" s="6" t="str">
        <f>IF(Table16[[#This Row],[Category]]="Transportation", "ton", "")</f>
        <v/>
      </c>
      <c r="M20" s="6"/>
      <c r="N20" s="6"/>
      <c r="O20" s="6" t="str">
        <f>IF(OR(Table16[[#This Row],[Type]]="Main Product", Table16[[#This Row],[Type]]="Co-Product"), Table16[[#This Row],[Resource]], "")</f>
        <v/>
      </c>
      <c r="P20" s="6" t="str">
        <f>IF(_xlfn.XLOOKUP($O20,'SI - End Use'!$B$2:$B$82,'SI - End Use'!$C$2:$C$82, "")="", "", _xlfn.XLOOKUP($C20,'SI - End Use'!$B$2:$B$82,'SI - End Use'!$C$2:$C$82, ""))</f>
        <v/>
      </c>
      <c r="Q20" s="6"/>
      <c r="R20" s="6"/>
    </row>
    <row r="21" spans="1:18" x14ac:dyDescent="0.35">
      <c r="A21" s="6"/>
      <c r="B21" s="6"/>
      <c r="C21" s="6" t="str">
        <f>_xlfn.XLOOKUP($B21,'SI - Resources'!$A$1:$J$1,'SI - Resources'!$A$2:$J$2, "")</f>
        <v/>
      </c>
      <c r="D21" s="6" t="str">
        <f>IF(_xlfn.XLOOKUP($C21,'SI - End Use'!$B$2:$B$82,'SI - End Use'!$C$2:$C$82, "")="", "", _xlfn.XLOOKUP($C21,'SI - End Use'!$B$2:$B$82,'SI - End Use'!$C$2:$C$82, ""))</f>
        <v/>
      </c>
      <c r="E21" s="13"/>
      <c r="F21" s="6" t="str" cm="1">
        <f t="array" ref="F21">IF($B21="Transportation",  'SI - Units'!$B$9:$B$9, _xlfn.XLOOKUP(_xlfn.XLOOKUP($C21,'SI - Units'!$B$24:$B$106,'SI - Units'!$C$24:$C$106, ""),'SI - Units'!$A$2:$A$8,'SI - Units'!$B$2:$B$8, ""))</f>
        <v/>
      </c>
      <c r="G21" s="27"/>
      <c r="H21" s="27"/>
      <c r="I21" s="31" t="str">
        <f>IF(Table16[[#This Row],[Type]]="Co-product", "No", "")</f>
        <v/>
      </c>
      <c r="J21" s="6"/>
      <c r="K21" s="6" t="str">
        <f>IF(Table16[[#This Row],[Category]]="Transportation", _xlfn.XLOOKUP(Table16[[#This Row],[Resource]], 'SI - Payload'!$A$10:$A$38,'SI - Payload'!$B$10:$B$38,"",0), "")</f>
        <v/>
      </c>
      <c r="L21" s="6" t="str">
        <f>IF(Table16[[#This Row],[Category]]="Transportation", "ton", "")</f>
        <v/>
      </c>
      <c r="M21" s="6"/>
      <c r="N21" s="6"/>
      <c r="O21" s="6" t="str">
        <f>IF(OR(Table16[[#This Row],[Type]]="Main Product", Table16[[#This Row],[Type]]="Co-Product"), Table16[[#This Row],[Resource]], "")</f>
        <v/>
      </c>
      <c r="P21" s="6" t="str">
        <f>IF(_xlfn.XLOOKUP($O21,'SI - End Use'!$B$2:$B$82,'SI - End Use'!$C$2:$C$82, "")="", "", _xlfn.XLOOKUP($C21,'SI - End Use'!$B$2:$B$82,'SI - End Use'!$C$2:$C$82, ""))</f>
        <v/>
      </c>
      <c r="Q21" s="6"/>
      <c r="R21" s="6"/>
    </row>
    <row r="22" spans="1:18" x14ac:dyDescent="0.35">
      <c r="A22" s="6"/>
      <c r="B22" s="6"/>
      <c r="C22" s="6" t="str">
        <f>_xlfn.XLOOKUP($B22,'SI - Resources'!$A$1:$J$1,'SI - Resources'!$A$2:$J$2, "")</f>
        <v/>
      </c>
      <c r="D22" s="6" t="str">
        <f>IF(_xlfn.XLOOKUP($C22,'SI - End Use'!$B$2:$B$82,'SI - End Use'!$C$2:$C$82, "")="", "", _xlfn.XLOOKUP($C22,'SI - End Use'!$B$2:$B$82,'SI - End Use'!$C$2:$C$82, ""))</f>
        <v/>
      </c>
      <c r="E22" s="13"/>
      <c r="F22" s="6" t="str" cm="1">
        <f t="array" ref="F22">IF($B22="Transportation",  'SI - Units'!$B$9:$B$9, _xlfn.XLOOKUP(_xlfn.XLOOKUP($C22,'SI - Units'!$B$24:$B$106,'SI - Units'!$C$24:$C$106, ""),'SI - Units'!$A$2:$A$8,'SI - Units'!$B$2:$B$8, ""))</f>
        <v/>
      </c>
      <c r="G22" s="27"/>
      <c r="H22" s="27"/>
      <c r="I22" s="31" t="str">
        <f>IF(Table16[[#This Row],[Type]]="Co-product", "No", "")</f>
        <v/>
      </c>
      <c r="J22" s="6"/>
      <c r="K22" s="6" t="str">
        <f>IF(Table16[[#This Row],[Category]]="Transportation", _xlfn.XLOOKUP(Table16[[#This Row],[Resource]], 'SI - Payload'!$A$10:$A$38,'SI - Payload'!$B$10:$B$38,"",0), "")</f>
        <v/>
      </c>
      <c r="L22" s="6" t="str">
        <f>IF(Table16[[#This Row],[Category]]="Transportation", "ton", "")</f>
        <v/>
      </c>
      <c r="M22" s="6"/>
      <c r="N22" s="6"/>
      <c r="O22" s="6" t="str">
        <f>IF(OR(Table16[[#This Row],[Type]]="Main Product", Table16[[#This Row],[Type]]="Co-Product"), Table16[[#This Row],[Resource]], "")</f>
        <v/>
      </c>
      <c r="P22" s="6" t="str">
        <f>IF(_xlfn.XLOOKUP($O22,'SI - End Use'!$B$2:$B$82,'SI - End Use'!$C$2:$C$82, "")="", "", _xlfn.XLOOKUP($C22,'SI - End Use'!$B$2:$B$82,'SI - End Use'!$C$2:$C$82, ""))</f>
        <v/>
      </c>
      <c r="Q22" s="6"/>
      <c r="R22" s="6"/>
    </row>
    <row r="23" spans="1:18" x14ac:dyDescent="0.35">
      <c r="A23" s="6"/>
      <c r="B23" s="6"/>
      <c r="C23" s="6" t="str">
        <f>_xlfn.XLOOKUP($B23,'SI - Resources'!$A$1:$J$1,'SI - Resources'!$A$2:$J$2, "")</f>
        <v/>
      </c>
      <c r="D23" s="6" t="str">
        <f>IF(_xlfn.XLOOKUP($C23,'SI - End Use'!$B$2:$B$82,'SI - End Use'!$C$2:$C$82, "")="", "", _xlfn.XLOOKUP($C23,'SI - End Use'!$B$2:$B$82,'SI - End Use'!$C$2:$C$82, ""))</f>
        <v/>
      </c>
      <c r="E23" s="13"/>
      <c r="F23" s="6" t="str" cm="1">
        <f t="array" ref="F23">IF($B23="Transportation",  'SI - Units'!$B$9:$B$9, _xlfn.XLOOKUP(_xlfn.XLOOKUP($C23,'SI - Units'!$B$24:$B$106,'SI - Units'!$C$24:$C$106, ""),'SI - Units'!$A$2:$A$8,'SI - Units'!$B$2:$B$8, ""))</f>
        <v/>
      </c>
      <c r="G23" s="27"/>
      <c r="H23" s="27"/>
      <c r="I23" s="31" t="str">
        <f>IF(Table16[[#This Row],[Type]]="Co-product", "No", "")</f>
        <v/>
      </c>
      <c r="J23" s="6"/>
      <c r="K23" s="6" t="str">
        <f>IF(Table16[[#This Row],[Category]]="Transportation", _xlfn.XLOOKUP(Table16[[#This Row],[Resource]], 'SI - Payload'!$A$10:$A$38,'SI - Payload'!$B$10:$B$38,"",0), "")</f>
        <v/>
      </c>
      <c r="L23" s="6" t="str">
        <f>IF(Table16[[#This Row],[Category]]="Transportation", "ton", "")</f>
        <v/>
      </c>
      <c r="M23" s="6"/>
      <c r="N23" s="6"/>
      <c r="O23" s="6" t="str">
        <f>IF(OR(Table16[[#This Row],[Type]]="Main Product", Table16[[#This Row],[Type]]="Co-Product"), Table16[[#This Row],[Resource]], "")</f>
        <v/>
      </c>
      <c r="P23" s="6" t="str">
        <f>IF(_xlfn.XLOOKUP($O23,'SI - End Use'!$B$2:$B$82,'SI - End Use'!$C$2:$C$82, "")="", "", _xlfn.XLOOKUP($C23,'SI - End Use'!$B$2:$B$82,'SI - End Use'!$C$2:$C$82, ""))</f>
        <v/>
      </c>
      <c r="Q23" s="6"/>
      <c r="R23" s="6"/>
    </row>
    <row r="24" spans="1:18" x14ac:dyDescent="0.35">
      <c r="A24" s="6"/>
      <c r="B24" s="6"/>
      <c r="C24" s="6" t="str">
        <f>_xlfn.XLOOKUP($B24,'SI - Resources'!$A$1:$J$1,'SI - Resources'!$A$2:$J$2, "")</f>
        <v/>
      </c>
      <c r="D24" s="6" t="str">
        <f>IF(_xlfn.XLOOKUP($C24,'SI - End Use'!$B$2:$B$82,'SI - End Use'!$C$2:$C$82, "")="", "", _xlfn.XLOOKUP($C24,'SI - End Use'!$B$2:$B$82,'SI - End Use'!$C$2:$C$82, ""))</f>
        <v/>
      </c>
      <c r="E24" s="13"/>
      <c r="F24" s="6" t="str" cm="1">
        <f t="array" ref="F24">IF($B24="Transportation",  'SI - Units'!$B$9:$B$9, _xlfn.XLOOKUP(_xlfn.XLOOKUP($C24,'SI - Units'!$B$24:$B$106,'SI - Units'!$C$24:$C$106, ""),'SI - Units'!$A$2:$A$8,'SI - Units'!$B$2:$B$8, ""))</f>
        <v/>
      </c>
      <c r="G24" s="27"/>
      <c r="H24" s="27"/>
      <c r="I24" s="31" t="str">
        <f>IF(Table16[[#This Row],[Type]]="Co-product", "No", "")</f>
        <v/>
      </c>
      <c r="J24" s="6"/>
      <c r="K24" s="6" t="str">
        <f>IF(Table16[[#This Row],[Category]]="Transportation", _xlfn.XLOOKUP(Table16[[#This Row],[Resource]], 'SI - Payload'!$A$10:$A$38,'SI - Payload'!$B$10:$B$38,"",0), "")</f>
        <v/>
      </c>
      <c r="L24" s="6" t="str">
        <f>IF(Table16[[#This Row],[Category]]="Transportation", "ton", "")</f>
        <v/>
      </c>
      <c r="M24" s="6"/>
      <c r="N24" s="6"/>
      <c r="O24" s="6" t="str">
        <f>IF(OR(Table16[[#This Row],[Type]]="Main Product", Table16[[#This Row],[Type]]="Co-Product"), Table16[[#This Row],[Resource]], "")</f>
        <v/>
      </c>
      <c r="P24" s="6" t="str">
        <f>IF(_xlfn.XLOOKUP($O24,'SI - End Use'!$B$2:$B$82,'SI - End Use'!$C$2:$C$82, "")="", "", _xlfn.XLOOKUP($C24,'SI - End Use'!$B$2:$B$82,'SI - End Use'!$C$2:$C$82, ""))</f>
        <v/>
      </c>
      <c r="Q24" s="6"/>
      <c r="R24" s="6"/>
    </row>
    <row r="25" spans="1:18" x14ac:dyDescent="0.35">
      <c r="A25" s="6"/>
      <c r="B25" s="6"/>
      <c r="C25" s="6" t="str">
        <f>_xlfn.XLOOKUP($B25,'SI - Resources'!$A$1:$J$1,'SI - Resources'!$A$2:$J$2, "")</f>
        <v/>
      </c>
      <c r="D25" s="6" t="str">
        <f>IF(_xlfn.XLOOKUP($C25,'SI - End Use'!$B$2:$B$82,'SI - End Use'!$C$2:$C$82, "")="", "", _xlfn.XLOOKUP($C25,'SI - End Use'!$B$2:$B$82,'SI - End Use'!$C$2:$C$82, ""))</f>
        <v/>
      </c>
      <c r="E25" s="13"/>
      <c r="F25" s="6" t="str" cm="1">
        <f t="array" ref="F25">IF($B25="Transportation",  'SI - Units'!$B$9:$B$9, _xlfn.XLOOKUP(_xlfn.XLOOKUP($C25,'SI - Units'!$B$24:$B$106,'SI - Units'!$C$24:$C$106, ""),'SI - Units'!$A$2:$A$8,'SI - Units'!$B$2:$B$8, ""))</f>
        <v/>
      </c>
      <c r="G25" s="27"/>
      <c r="H25" s="27"/>
      <c r="I25" s="31" t="str">
        <f>IF(Table16[[#This Row],[Type]]="Co-product", "No", "")</f>
        <v/>
      </c>
      <c r="J25" s="6"/>
      <c r="K25" s="6" t="str">
        <f>IF(Table16[[#This Row],[Category]]="Transportation", _xlfn.XLOOKUP(Table16[[#This Row],[Resource]], 'SI - Payload'!$A$10:$A$38,'SI - Payload'!$B$10:$B$38,"",0), "")</f>
        <v/>
      </c>
      <c r="L25" s="6" t="str">
        <f>IF(Table16[[#This Row],[Category]]="Transportation", "ton", "")</f>
        <v/>
      </c>
      <c r="M25" s="6"/>
      <c r="N25" s="6"/>
      <c r="O25" s="6" t="str">
        <f>IF(OR(Table16[[#This Row],[Type]]="Main Product", Table16[[#This Row],[Type]]="Co-Product"), Table16[[#This Row],[Resource]], "")</f>
        <v/>
      </c>
      <c r="P25" s="6" t="str">
        <f>IF(_xlfn.XLOOKUP($O25,'SI - End Use'!$B$2:$B$82,'SI - End Use'!$C$2:$C$82, "")="", "", _xlfn.XLOOKUP($C25,'SI - End Use'!$B$2:$B$82,'SI - End Use'!$C$2:$C$82, ""))</f>
        <v/>
      </c>
      <c r="Q25" s="6"/>
      <c r="R25" s="6"/>
    </row>
    <row r="26" spans="1:18" x14ac:dyDescent="0.35">
      <c r="A26" s="6"/>
      <c r="B26" s="6"/>
      <c r="C26" s="6" t="str">
        <f>_xlfn.XLOOKUP($B26,'SI - Resources'!$A$1:$J$1,'SI - Resources'!$A$2:$J$2, "")</f>
        <v/>
      </c>
      <c r="D26" s="6" t="str">
        <f>IF(_xlfn.XLOOKUP($C26,'SI - End Use'!$B$2:$B$82,'SI - End Use'!$C$2:$C$82, "")="", "", _xlfn.XLOOKUP($C26,'SI - End Use'!$B$2:$B$82,'SI - End Use'!$C$2:$C$82, ""))</f>
        <v/>
      </c>
      <c r="E26" s="13"/>
      <c r="F26" s="6" t="str" cm="1">
        <f t="array" ref="F26">IF($B26="Transportation",  'SI - Units'!$B$9:$B$9, _xlfn.XLOOKUP(_xlfn.XLOOKUP($C26,'SI - Units'!$B$24:$B$106,'SI - Units'!$C$24:$C$106, ""),'SI - Units'!$A$2:$A$8,'SI - Units'!$B$2:$B$8, ""))</f>
        <v/>
      </c>
      <c r="G26" s="27"/>
      <c r="H26" s="27"/>
      <c r="I26" s="31" t="str">
        <f>IF(Table16[[#This Row],[Type]]="Co-product", "No", "")</f>
        <v/>
      </c>
      <c r="J26" s="6"/>
      <c r="K26" s="6" t="str">
        <f>IF(Table16[[#This Row],[Category]]="Transportation", _xlfn.XLOOKUP(Table16[[#This Row],[Resource]], 'SI - Payload'!$A$10:$A$38,'SI - Payload'!$B$10:$B$38,"",0), "")</f>
        <v/>
      </c>
      <c r="L26" s="6" t="str">
        <f>IF(Table16[[#This Row],[Category]]="Transportation", "ton", "")</f>
        <v/>
      </c>
      <c r="M26" s="6"/>
      <c r="N26" s="6"/>
      <c r="O26" s="6" t="str">
        <f>IF(OR(Table16[[#This Row],[Type]]="Main Product", Table16[[#This Row],[Type]]="Co-Product"), Table16[[#This Row],[Resource]], "")</f>
        <v/>
      </c>
      <c r="P26" s="6" t="str">
        <f>IF(_xlfn.XLOOKUP($O26,'SI - End Use'!$B$2:$B$82,'SI - End Use'!$C$2:$C$82, "")="", "", _xlfn.XLOOKUP($C26,'SI - End Use'!$B$2:$B$82,'SI - End Use'!$C$2:$C$82, ""))</f>
        <v/>
      </c>
      <c r="Q26" s="6"/>
      <c r="R26" s="6"/>
    </row>
    <row r="27" spans="1:18" x14ac:dyDescent="0.35">
      <c r="A27" s="6"/>
      <c r="B27" s="6"/>
      <c r="C27" s="6" t="str">
        <f>_xlfn.XLOOKUP($B27,'SI - Resources'!$A$1:$J$1,'SI - Resources'!$A$2:$J$2, "")</f>
        <v/>
      </c>
      <c r="D27" s="6" t="str">
        <f>IF(_xlfn.XLOOKUP($C27,'SI - End Use'!$B$2:$B$82,'SI - End Use'!$C$2:$C$82, "")="", "", _xlfn.XLOOKUP($C27,'SI - End Use'!$B$2:$B$82,'SI - End Use'!$C$2:$C$82, ""))</f>
        <v/>
      </c>
      <c r="E27" s="13"/>
      <c r="F27" s="6" t="str" cm="1">
        <f t="array" ref="F27">IF($B27="Transportation",  'SI - Units'!$B$9:$B$9, _xlfn.XLOOKUP(_xlfn.XLOOKUP($C27,'SI - Units'!$B$24:$B$106,'SI - Units'!$C$24:$C$106, ""),'SI - Units'!$A$2:$A$8,'SI - Units'!$B$2:$B$8, ""))</f>
        <v/>
      </c>
      <c r="G27" s="27"/>
      <c r="H27" s="27"/>
      <c r="I27" s="31" t="str">
        <f>IF(Table16[[#This Row],[Type]]="Co-product", "No", "")</f>
        <v/>
      </c>
      <c r="J27" s="6"/>
      <c r="K27" s="6" t="str">
        <f>IF(Table16[[#This Row],[Category]]="Transportation", _xlfn.XLOOKUP(Table16[[#This Row],[Resource]], 'SI - Payload'!$A$10:$A$38,'SI - Payload'!$B$10:$B$38,"",0), "")</f>
        <v/>
      </c>
      <c r="L27" s="6" t="str">
        <f>IF(Table16[[#This Row],[Category]]="Transportation", "ton", "")</f>
        <v/>
      </c>
      <c r="M27" s="6"/>
      <c r="N27" s="6"/>
      <c r="O27" s="6" t="str">
        <f>IF(OR(Table16[[#This Row],[Type]]="Main Product", Table16[[#This Row],[Type]]="Co-Product"), Table16[[#This Row],[Resource]], "")</f>
        <v/>
      </c>
      <c r="P27" s="6" t="str">
        <f>IF(_xlfn.XLOOKUP($O27,'SI - End Use'!$B$2:$B$82,'SI - End Use'!$C$2:$C$82, "")="", "", _xlfn.XLOOKUP($C27,'SI - End Use'!$B$2:$B$82,'SI - End Use'!$C$2:$C$82, ""))</f>
        <v/>
      </c>
      <c r="Q27" s="6"/>
      <c r="R27" s="6"/>
    </row>
    <row r="28" spans="1:18" x14ac:dyDescent="0.35">
      <c r="A28" s="6"/>
      <c r="B28" s="6"/>
      <c r="C28" s="6" t="str">
        <f>_xlfn.XLOOKUP($B28,'SI - Resources'!$A$1:$J$1,'SI - Resources'!$A$2:$J$2, "")</f>
        <v/>
      </c>
      <c r="D28" s="6" t="str">
        <f>IF(_xlfn.XLOOKUP($C28,'SI - End Use'!$B$2:$B$82,'SI - End Use'!$C$2:$C$82, "")="", "", _xlfn.XLOOKUP($C28,'SI - End Use'!$B$2:$B$82,'SI - End Use'!$C$2:$C$82, ""))</f>
        <v/>
      </c>
      <c r="E28" s="13"/>
      <c r="F28" s="6" t="str" cm="1">
        <f t="array" ref="F28">IF($B28="Transportation",  'SI - Units'!$B$9:$B$9, _xlfn.XLOOKUP(_xlfn.XLOOKUP($C28,'SI - Units'!$B$24:$B$106,'SI - Units'!$C$24:$C$106, ""),'SI - Units'!$A$2:$A$8,'SI - Units'!$B$2:$B$8, ""))</f>
        <v/>
      </c>
      <c r="G28" s="27"/>
      <c r="H28" s="27"/>
      <c r="I28" s="31" t="str">
        <f>IF(Table16[[#This Row],[Type]]="Co-product", "No", "")</f>
        <v/>
      </c>
      <c r="J28" s="6"/>
      <c r="K28" s="6" t="str">
        <f>IF(Table16[[#This Row],[Category]]="Transportation", _xlfn.XLOOKUP(Table16[[#This Row],[Resource]], 'SI - Payload'!$A$10:$A$38,'SI - Payload'!$B$10:$B$38,"",0), "")</f>
        <v/>
      </c>
      <c r="L28" s="6" t="str">
        <f>IF(Table16[[#This Row],[Category]]="Transportation", "ton", "")</f>
        <v/>
      </c>
      <c r="M28" s="6"/>
      <c r="N28" s="6"/>
      <c r="O28" s="6" t="str">
        <f>IF(OR(Table16[[#This Row],[Type]]="Main Product", Table16[[#This Row],[Type]]="Co-Product"), Table16[[#This Row],[Resource]], "")</f>
        <v/>
      </c>
      <c r="P28" s="6" t="str">
        <f>IF(_xlfn.XLOOKUP($O28,'SI - End Use'!$B$2:$B$82,'SI - End Use'!$C$2:$C$82, "")="", "", _xlfn.XLOOKUP($C28,'SI - End Use'!$B$2:$B$82,'SI - End Use'!$C$2:$C$82, ""))</f>
        <v/>
      </c>
      <c r="Q28" s="6"/>
      <c r="R28" s="6"/>
    </row>
    <row r="29" spans="1:18" x14ac:dyDescent="0.35">
      <c r="A29" s="6"/>
      <c r="B29" s="6"/>
      <c r="C29" s="6" t="str">
        <f>_xlfn.XLOOKUP($B29,'SI - Resources'!$A$1:$J$1,'SI - Resources'!$A$2:$J$2, "")</f>
        <v/>
      </c>
      <c r="D29" s="6" t="str">
        <f>IF(_xlfn.XLOOKUP($C29,'SI - End Use'!$B$2:$B$82,'SI - End Use'!$C$2:$C$82, "")="", "", _xlfn.XLOOKUP($C29,'SI - End Use'!$B$2:$B$82,'SI - End Use'!$C$2:$C$82, ""))</f>
        <v/>
      </c>
      <c r="E29" s="13"/>
      <c r="F29" s="6" t="str" cm="1">
        <f t="array" ref="F29">IF($B29="Transportation",  'SI - Units'!$B$9:$B$9, _xlfn.XLOOKUP(_xlfn.XLOOKUP($C29,'SI - Units'!$B$24:$B$106,'SI - Units'!$C$24:$C$106, ""),'SI - Units'!$A$2:$A$8,'SI - Units'!$B$2:$B$8, ""))</f>
        <v/>
      </c>
      <c r="G29" s="27"/>
      <c r="H29" s="27"/>
      <c r="I29" s="31" t="str">
        <f>IF(Table16[[#This Row],[Type]]="Co-product", "No", "")</f>
        <v/>
      </c>
      <c r="J29" s="6"/>
      <c r="K29" s="6" t="str">
        <f>IF(Table16[[#This Row],[Category]]="Transportation", _xlfn.XLOOKUP(Table16[[#This Row],[Resource]], 'SI - Payload'!$A$10:$A$38,'SI - Payload'!$B$10:$B$38,"",0), "")</f>
        <v/>
      </c>
      <c r="L29" s="6" t="str">
        <f>IF(Table16[[#This Row],[Category]]="Transportation", "ton", "")</f>
        <v/>
      </c>
      <c r="M29" s="6"/>
      <c r="N29" s="6"/>
      <c r="O29" s="6" t="str">
        <f>IF(OR(Table16[[#This Row],[Type]]="Main Product", Table16[[#This Row],[Type]]="Co-Product"), Table16[[#This Row],[Resource]], "")</f>
        <v/>
      </c>
      <c r="P29" s="6" t="str">
        <f>IF(_xlfn.XLOOKUP($O29,'SI - End Use'!$B$2:$B$82,'SI - End Use'!$C$2:$C$82, "")="", "", _xlfn.XLOOKUP($C29,'SI - End Use'!$B$2:$B$82,'SI - End Use'!$C$2:$C$82, ""))</f>
        <v/>
      </c>
      <c r="Q29" s="6"/>
      <c r="R29" s="6"/>
    </row>
    <row r="30" spans="1:18" x14ac:dyDescent="0.35">
      <c r="A30" s="6"/>
      <c r="B30" s="6"/>
      <c r="C30" s="6" t="str">
        <f>_xlfn.XLOOKUP($B30,'SI - Resources'!$A$1:$J$1,'SI - Resources'!$A$2:$J$2, "")</f>
        <v/>
      </c>
      <c r="D30" s="6" t="str">
        <f>IF(_xlfn.XLOOKUP($C30,'SI - End Use'!$B$2:$B$82,'SI - End Use'!$C$2:$C$82, "")="", "", _xlfn.XLOOKUP($C30,'SI - End Use'!$B$2:$B$82,'SI - End Use'!$C$2:$C$82, ""))</f>
        <v/>
      </c>
      <c r="E30" s="13"/>
      <c r="F30" s="6" t="str" cm="1">
        <f t="array" ref="F30">IF($B30="Transportation",  'SI - Units'!$B$9:$B$9, _xlfn.XLOOKUP(_xlfn.XLOOKUP($C30,'SI - Units'!$B$24:$B$106,'SI - Units'!$C$24:$C$106, ""),'SI - Units'!$A$2:$A$8,'SI - Units'!$B$2:$B$8, ""))</f>
        <v/>
      </c>
      <c r="G30" s="27"/>
      <c r="H30" s="27"/>
      <c r="I30" s="31" t="str">
        <f>IF(Table16[[#This Row],[Type]]="Co-product", "No", "")</f>
        <v/>
      </c>
      <c r="J30" s="6"/>
      <c r="K30" s="6" t="str">
        <f>IF(Table16[[#This Row],[Category]]="Transportation", _xlfn.XLOOKUP(Table16[[#This Row],[Resource]], 'SI - Payload'!$A$10:$A$38,'SI - Payload'!$B$10:$B$38,"",0), "")</f>
        <v/>
      </c>
      <c r="L30" s="6" t="str">
        <f>IF(Table16[[#This Row],[Category]]="Transportation", "ton", "")</f>
        <v/>
      </c>
      <c r="M30" s="6"/>
      <c r="N30" s="6"/>
      <c r="O30" s="6" t="str">
        <f>IF(OR(Table16[[#This Row],[Type]]="Main Product", Table16[[#This Row],[Type]]="Co-Product"), Table16[[#This Row],[Resource]], "")</f>
        <v/>
      </c>
      <c r="P30" s="6" t="str">
        <f>IF(_xlfn.XLOOKUP($O30,'SI - End Use'!$B$2:$B$82,'SI - End Use'!$C$2:$C$82, "")="", "", _xlfn.XLOOKUP($C30,'SI - End Use'!$B$2:$B$82,'SI - End Use'!$C$2:$C$82, ""))</f>
        <v/>
      </c>
      <c r="Q30" s="6"/>
      <c r="R30" s="6"/>
    </row>
    <row r="31" spans="1:18" x14ac:dyDescent="0.35">
      <c r="A31" s="6"/>
      <c r="B31" s="6"/>
      <c r="C31" s="6" t="str">
        <f>_xlfn.XLOOKUP($B31,'SI - Resources'!$A$1:$J$1,'SI - Resources'!$A$2:$J$2, "")</f>
        <v/>
      </c>
      <c r="D31" s="6" t="str">
        <f>IF(_xlfn.XLOOKUP($C31,'SI - End Use'!$B$2:$B$82,'SI - End Use'!$C$2:$C$82, "")="", "", _xlfn.XLOOKUP($C31,'SI - End Use'!$B$2:$B$82,'SI - End Use'!$C$2:$C$82, ""))</f>
        <v/>
      </c>
      <c r="E31" s="13"/>
      <c r="F31" s="6" t="str" cm="1">
        <f t="array" ref="F31">IF($B31="Transportation",  'SI - Units'!$B$9:$B$9, _xlfn.XLOOKUP(_xlfn.XLOOKUP($C31,'SI - Units'!$B$24:$B$106,'SI - Units'!$C$24:$C$106, ""),'SI - Units'!$A$2:$A$8,'SI - Units'!$B$2:$B$8, ""))</f>
        <v/>
      </c>
      <c r="G31" s="27"/>
      <c r="H31" s="27"/>
      <c r="I31" s="31" t="str">
        <f>IF(Table16[[#This Row],[Type]]="Co-product", "No", "")</f>
        <v/>
      </c>
      <c r="J31" s="6"/>
      <c r="K31" s="6" t="str">
        <f>IF(Table16[[#This Row],[Category]]="Transportation", _xlfn.XLOOKUP(Table16[[#This Row],[Resource]], 'SI - Payload'!$A$10:$A$38,'SI - Payload'!$B$10:$B$38,"",0), "")</f>
        <v/>
      </c>
      <c r="L31" s="6" t="str">
        <f>IF(Table16[[#This Row],[Category]]="Transportation", "ton", "")</f>
        <v/>
      </c>
      <c r="M31" s="6"/>
      <c r="N31" s="6"/>
      <c r="O31" s="6" t="str">
        <f>IF(OR(Table16[[#This Row],[Type]]="Main Product", Table16[[#This Row],[Type]]="Co-Product"), Table16[[#This Row],[Resource]], "")</f>
        <v/>
      </c>
      <c r="P31" s="6" t="str">
        <f>IF(_xlfn.XLOOKUP($O31,'SI - End Use'!$B$2:$B$82,'SI - End Use'!$C$2:$C$82, "")="", "", _xlfn.XLOOKUP($C31,'SI - End Use'!$B$2:$B$82,'SI - End Use'!$C$2:$C$82, ""))</f>
        <v/>
      </c>
      <c r="Q31" s="6"/>
      <c r="R31" s="6"/>
    </row>
    <row r="32" spans="1:18" x14ac:dyDescent="0.35">
      <c r="A32" s="6"/>
      <c r="B32" s="6"/>
      <c r="C32" s="6" t="str">
        <f>_xlfn.XLOOKUP($B32,'SI - Resources'!$A$1:$J$1,'SI - Resources'!$A$2:$J$2, "")</f>
        <v/>
      </c>
      <c r="D32" s="6" t="str">
        <f>IF(_xlfn.XLOOKUP($C32,'SI - End Use'!$B$2:$B$82,'SI - End Use'!$C$2:$C$82, "")="", "", _xlfn.XLOOKUP($C32,'SI - End Use'!$B$2:$B$82,'SI - End Use'!$C$2:$C$82, ""))</f>
        <v/>
      </c>
      <c r="E32" s="13"/>
      <c r="F32" s="6" t="str" cm="1">
        <f t="array" ref="F32">IF($B32="Transportation",  'SI - Units'!$B$9:$B$9, _xlfn.XLOOKUP(_xlfn.XLOOKUP($C32,'SI - Units'!$B$24:$B$106,'SI - Units'!$C$24:$C$106, ""),'SI - Units'!$A$2:$A$8,'SI - Units'!$B$2:$B$8, ""))</f>
        <v/>
      </c>
      <c r="G32" s="27"/>
      <c r="H32" s="27"/>
      <c r="I32" s="31" t="str">
        <f>IF(Table16[[#This Row],[Type]]="Co-product", "No", "")</f>
        <v/>
      </c>
      <c r="J32" s="6"/>
      <c r="K32" s="6" t="str">
        <f>IF(Table16[[#This Row],[Category]]="Transportation", _xlfn.XLOOKUP(Table16[[#This Row],[Resource]], 'SI - Payload'!$A$10:$A$38,'SI - Payload'!$B$10:$B$38,"",0), "")</f>
        <v/>
      </c>
      <c r="L32" s="6" t="str">
        <f>IF(Table16[[#This Row],[Category]]="Transportation", "ton", "")</f>
        <v/>
      </c>
      <c r="M32" s="6"/>
      <c r="N32" s="6"/>
      <c r="O32" s="6" t="str">
        <f>IF(OR(Table16[[#This Row],[Type]]="Main Product", Table16[[#This Row],[Type]]="Co-Product"), Table16[[#This Row],[Resource]], "")</f>
        <v/>
      </c>
      <c r="P32" s="6" t="str">
        <f>IF(_xlfn.XLOOKUP($O32,'SI - End Use'!$B$2:$B$82,'SI - End Use'!$C$2:$C$82, "")="", "", _xlfn.XLOOKUP($C32,'SI - End Use'!$B$2:$B$82,'SI - End Use'!$C$2:$C$82, ""))</f>
        <v/>
      </c>
      <c r="Q32" s="6"/>
      <c r="R32" s="6"/>
    </row>
    <row r="33" spans="1:18" x14ac:dyDescent="0.35">
      <c r="A33" s="6"/>
      <c r="B33" s="6"/>
      <c r="C33" s="6" t="str">
        <f>_xlfn.XLOOKUP($B33,'SI - Resources'!$A$1:$J$1,'SI - Resources'!$A$2:$J$2, "")</f>
        <v/>
      </c>
      <c r="D33" s="6" t="str">
        <f>IF(_xlfn.XLOOKUP($C33,'SI - End Use'!$B$2:$B$82,'SI - End Use'!$C$2:$C$82, "")="", "", _xlfn.XLOOKUP($C33,'SI - End Use'!$B$2:$B$82,'SI - End Use'!$C$2:$C$82, ""))</f>
        <v/>
      </c>
      <c r="E33" s="13"/>
      <c r="F33" s="6" t="str" cm="1">
        <f t="array" ref="F33">IF($B33="Transportation",  'SI - Units'!$B$9:$B$9, _xlfn.XLOOKUP(_xlfn.XLOOKUP($C33,'SI - Units'!$B$24:$B$106,'SI - Units'!$C$24:$C$106, ""),'SI - Units'!$A$2:$A$8,'SI - Units'!$B$2:$B$8, ""))</f>
        <v/>
      </c>
      <c r="G33" s="27"/>
      <c r="H33" s="27"/>
      <c r="I33" s="31" t="str">
        <f>IF(Table16[[#This Row],[Type]]="Co-product", "No", "")</f>
        <v/>
      </c>
      <c r="J33" s="6"/>
      <c r="K33" s="6" t="str">
        <f>IF(Table16[[#This Row],[Category]]="Transportation", _xlfn.XLOOKUP(Table16[[#This Row],[Resource]], 'SI - Payload'!$A$10:$A$38,'SI - Payload'!$B$10:$B$38,"",0), "")</f>
        <v/>
      </c>
      <c r="L33" s="6" t="str">
        <f>IF(Table16[[#This Row],[Category]]="Transportation", "ton", "")</f>
        <v/>
      </c>
      <c r="M33" s="6"/>
      <c r="N33" s="6"/>
      <c r="O33" s="6" t="str">
        <f>IF(OR(Table16[[#This Row],[Type]]="Main Product", Table16[[#This Row],[Type]]="Co-Product"), Table16[[#This Row],[Resource]], "")</f>
        <v/>
      </c>
      <c r="P33" s="6" t="str">
        <f>IF(_xlfn.XLOOKUP($O33,'SI - End Use'!$B$2:$B$82,'SI - End Use'!$C$2:$C$82, "")="", "", _xlfn.XLOOKUP($C33,'SI - End Use'!$B$2:$B$82,'SI - End Use'!$C$2:$C$82, ""))</f>
        <v/>
      </c>
      <c r="Q33" s="6"/>
      <c r="R33" s="6"/>
    </row>
    <row r="34" spans="1:18" x14ac:dyDescent="0.35">
      <c r="A34" s="6"/>
      <c r="B34" s="6"/>
      <c r="C34" s="6" t="str">
        <f>_xlfn.XLOOKUP($B34,'SI - Resources'!$A$1:$J$1,'SI - Resources'!$A$2:$J$2, "")</f>
        <v/>
      </c>
      <c r="D34" s="6" t="str">
        <f>IF(_xlfn.XLOOKUP($C34,'SI - End Use'!$B$2:$B$82,'SI - End Use'!$C$2:$C$82, "")="", "", _xlfn.XLOOKUP($C34,'SI - End Use'!$B$2:$B$82,'SI - End Use'!$C$2:$C$82, ""))</f>
        <v/>
      </c>
      <c r="E34" s="13"/>
      <c r="F34" s="6" t="str" cm="1">
        <f t="array" ref="F34">IF($B34="Transportation",  'SI - Units'!$B$9:$B$9, _xlfn.XLOOKUP(_xlfn.XLOOKUP($C34,'SI - Units'!$B$24:$B$106,'SI - Units'!$C$24:$C$106, ""),'SI - Units'!$A$2:$A$8,'SI - Units'!$B$2:$B$8, ""))</f>
        <v/>
      </c>
      <c r="G34" s="27"/>
      <c r="H34" s="27"/>
      <c r="I34" s="31" t="str">
        <f>IF(Table16[[#This Row],[Type]]="Co-product", "No", "")</f>
        <v/>
      </c>
      <c r="J34" s="6"/>
      <c r="K34" s="6" t="str">
        <f>IF(Table16[[#This Row],[Category]]="Transportation", _xlfn.XLOOKUP(Table16[[#This Row],[Resource]], 'SI - Payload'!$A$10:$A$38,'SI - Payload'!$B$10:$B$38,"",0), "")</f>
        <v/>
      </c>
      <c r="L34" s="6" t="str">
        <f>IF(Table16[[#This Row],[Category]]="Transportation", "ton", "")</f>
        <v/>
      </c>
      <c r="M34" s="6"/>
      <c r="N34" s="6"/>
      <c r="O34" s="6" t="str">
        <f>IF(OR(Table16[[#This Row],[Type]]="Main Product", Table16[[#This Row],[Type]]="Co-Product"), Table16[[#This Row],[Resource]], "")</f>
        <v/>
      </c>
      <c r="P34" s="6" t="str">
        <f>IF(_xlfn.XLOOKUP($O34,'SI - End Use'!$B$2:$B$82,'SI - End Use'!$C$2:$C$82, "")="", "", _xlfn.XLOOKUP($C34,'SI - End Use'!$B$2:$B$82,'SI - End Use'!$C$2:$C$82, ""))</f>
        <v/>
      </c>
      <c r="Q34" s="6"/>
      <c r="R34" s="6"/>
    </row>
    <row r="35" spans="1:18" x14ac:dyDescent="0.35">
      <c r="A35" s="6"/>
      <c r="B35" s="6"/>
      <c r="C35" s="6" t="str">
        <f>_xlfn.XLOOKUP($B35,'SI - Resources'!$A$1:$J$1,'SI - Resources'!$A$2:$J$2, "")</f>
        <v/>
      </c>
      <c r="D35" s="6" t="str">
        <f>IF(_xlfn.XLOOKUP($C35,'SI - End Use'!$B$2:$B$82,'SI - End Use'!$C$2:$C$82, "")="", "", _xlfn.XLOOKUP($C35,'SI - End Use'!$B$2:$B$82,'SI - End Use'!$C$2:$C$82, ""))</f>
        <v/>
      </c>
      <c r="E35" s="13"/>
      <c r="F35" s="6" t="str" cm="1">
        <f t="array" ref="F35">IF($B35="Transportation",  'SI - Units'!$B$9:$B$9, _xlfn.XLOOKUP(_xlfn.XLOOKUP($C35,'SI - Units'!$B$24:$B$106,'SI - Units'!$C$24:$C$106, ""),'SI - Units'!$A$2:$A$8,'SI - Units'!$B$2:$B$8, ""))</f>
        <v/>
      </c>
      <c r="G35" s="27"/>
      <c r="H35" s="27"/>
      <c r="I35" s="31" t="str">
        <f>IF(Table16[[#This Row],[Type]]="Co-product", "No", "")</f>
        <v/>
      </c>
      <c r="J35" s="6"/>
      <c r="K35" s="6" t="str">
        <f>IF(Table16[[#This Row],[Category]]="Transportation", _xlfn.XLOOKUP(Table16[[#This Row],[Resource]], 'SI - Payload'!$A$10:$A$38,'SI - Payload'!$B$10:$B$38,"",0), "")</f>
        <v/>
      </c>
      <c r="L35" s="6" t="str">
        <f>IF(Table16[[#This Row],[Category]]="Transportation", "ton", "")</f>
        <v/>
      </c>
      <c r="M35" s="6"/>
      <c r="N35" s="6"/>
      <c r="O35" s="6" t="str">
        <f>IF(OR(Table16[[#This Row],[Type]]="Main Product", Table16[[#This Row],[Type]]="Co-Product"), Table16[[#This Row],[Resource]], "")</f>
        <v/>
      </c>
      <c r="P35" s="6" t="str">
        <f>IF(_xlfn.XLOOKUP($O35,'SI - End Use'!$B$2:$B$82,'SI - End Use'!$C$2:$C$82, "")="", "", _xlfn.XLOOKUP($C35,'SI - End Use'!$B$2:$B$82,'SI - End Use'!$C$2:$C$82, ""))</f>
        <v/>
      </c>
      <c r="Q35" s="6"/>
      <c r="R35" s="6"/>
    </row>
    <row r="36" spans="1:18" x14ac:dyDescent="0.35">
      <c r="A36" s="6"/>
      <c r="B36" s="6"/>
      <c r="C36" s="6" t="str">
        <f>_xlfn.XLOOKUP($B36,'SI - Resources'!$A$1:$J$1,'SI - Resources'!$A$2:$J$2, "")</f>
        <v/>
      </c>
      <c r="D36" s="6" t="str">
        <f>IF(_xlfn.XLOOKUP($C36,'SI - End Use'!$B$2:$B$82,'SI - End Use'!$C$2:$C$82, "")="", "", _xlfn.XLOOKUP($C36,'SI - End Use'!$B$2:$B$82,'SI - End Use'!$C$2:$C$82, ""))</f>
        <v/>
      </c>
      <c r="E36" s="13"/>
      <c r="F36" s="6" t="str" cm="1">
        <f t="array" ref="F36">IF($B36="Transportation",  'SI - Units'!$B$9:$B$9, _xlfn.XLOOKUP(_xlfn.XLOOKUP($C36,'SI - Units'!$B$24:$B$106,'SI - Units'!$C$24:$C$106, ""),'SI - Units'!$A$2:$A$8,'SI - Units'!$B$2:$B$8, ""))</f>
        <v/>
      </c>
      <c r="G36" s="27"/>
      <c r="H36" s="27"/>
      <c r="I36" s="31" t="str">
        <f>IF(Table16[[#This Row],[Type]]="Co-product", "No", "")</f>
        <v/>
      </c>
      <c r="J36" s="6"/>
      <c r="K36" s="6" t="str">
        <f>IF(Table16[[#This Row],[Category]]="Transportation", _xlfn.XLOOKUP(Table16[[#This Row],[Resource]], 'SI - Payload'!$A$10:$A$38,'SI - Payload'!$B$10:$B$38,"",0), "")</f>
        <v/>
      </c>
      <c r="L36" s="6" t="str">
        <f>IF(Table16[[#This Row],[Category]]="Transportation", "ton", "")</f>
        <v/>
      </c>
      <c r="M36" s="6"/>
      <c r="N36" s="6"/>
      <c r="O36" s="6" t="str">
        <f>IF(OR(Table16[[#This Row],[Type]]="Main Product", Table16[[#This Row],[Type]]="Co-Product"), Table16[[#This Row],[Resource]], "")</f>
        <v/>
      </c>
      <c r="P36" s="6" t="str">
        <f>IF(_xlfn.XLOOKUP($O36,'SI - End Use'!$B$2:$B$82,'SI - End Use'!$C$2:$C$82, "")="", "", _xlfn.XLOOKUP($C36,'SI - End Use'!$B$2:$B$82,'SI - End Use'!$C$2:$C$82, ""))</f>
        <v/>
      </c>
      <c r="Q36" s="6"/>
      <c r="R36" s="6"/>
    </row>
    <row r="37" spans="1:18" x14ac:dyDescent="0.35">
      <c r="A37" s="6"/>
      <c r="B37" s="6"/>
      <c r="C37" s="6" t="str">
        <f>_xlfn.XLOOKUP($B37,'SI - Resources'!$A$1:$J$1,'SI - Resources'!$A$2:$J$2, "")</f>
        <v/>
      </c>
      <c r="D37" s="6" t="str">
        <f>IF(_xlfn.XLOOKUP($C37,'SI - End Use'!$B$2:$B$82,'SI - End Use'!$C$2:$C$82, "")="", "", _xlfn.XLOOKUP($C37,'SI - End Use'!$B$2:$B$82,'SI - End Use'!$C$2:$C$82, ""))</f>
        <v/>
      </c>
      <c r="E37" s="13"/>
      <c r="F37" s="6" t="str" cm="1">
        <f t="array" ref="F37">IF($B37="Transportation",  'SI - Units'!$B$9:$B$9, _xlfn.XLOOKUP(_xlfn.XLOOKUP($C37,'SI - Units'!$B$24:$B$106,'SI - Units'!$C$24:$C$106, ""),'SI - Units'!$A$2:$A$8,'SI - Units'!$B$2:$B$8, ""))</f>
        <v/>
      </c>
      <c r="G37" s="27"/>
      <c r="H37" s="27"/>
      <c r="I37" s="31" t="str">
        <f>IF(Table16[[#This Row],[Type]]="Co-product", "No", "")</f>
        <v/>
      </c>
      <c r="J37" s="6"/>
      <c r="K37" s="6" t="str">
        <f>IF(Table16[[#This Row],[Category]]="Transportation", _xlfn.XLOOKUP(Table16[[#This Row],[Resource]], 'SI - Payload'!$A$10:$A$38,'SI - Payload'!$B$10:$B$38,"",0), "")</f>
        <v/>
      </c>
      <c r="L37" s="6" t="str">
        <f>IF(Table16[[#This Row],[Category]]="Transportation", "ton", "")</f>
        <v/>
      </c>
      <c r="M37" s="6"/>
      <c r="N37" s="6"/>
      <c r="O37" s="6" t="str">
        <f>IF(OR(Table16[[#This Row],[Type]]="Main Product", Table16[[#This Row],[Type]]="Co-Product"), Table16[[#This Row],[Resource]], "")</f>
        <v/>
      </c>
      <c r="P37" s="6" t="str">
        <f>IF(_xlfn.XLOOKUP($O37,'SI - End Use'!$B$2:$B$82,'SI - End Use'!$C$2:$C$82, "")="", "", _xlfn.XLOOKUP($C37,'SI - End Use'!$B$2:$B$82,'SI - End Use'!$C$2:$C$82, ""))</f>
        <v/>
      </c>
      <c r="Q37" s="6"/>
      <c r="R37" s="6"/>
    </row>
    <row r="38" spans="1:18" x14ac:dyDescent="0.35">
      <c r="A38" s="6"/>
      <c r="B38" s="6"/>
      <c r="C38" s="6" t="str">
        <f>_xlfn.XLOOKUP($B38,'SI - Resources'!$A$1:$J$1,'SI - Resources'!$A$2:$J$2, "")</f>
        <v/>
      </c>
      <c r="D38" s="6" t="str">
        <f>IF(_xlfn.XLOOKUP($C38,'SI - End Use'!$B$2:$B$82,'SI - End Use'!$C$2:$C$82, "")="", "", _xlfn.XLOOKUP($C38,'SI - End Use'!$B$2:$B$82,'SI - End Use'!$C$2:$C$82, ""))</f>
        <v/>
      </c>
      <c r="E38" s="13"/>
      <c r="F38" s="6" t="str" cm="1">
        <f t="array" ref="F38">IF($B38="Transportation",  'SI - Units'!$B$9:$B$9, _xlfn.XLOOKUP(_xlfn.XLOOKUP($C38,'SI - Units'!$B$24:$B$106,'SI - Units'!$C$24:$C$106, ""),'SI - Units'!$A$2:$A$8,'SI - Units'!$B$2:$B$8, ""))</f>
        <v/>
      </c>
      <c r="G38" s="27"/>
      <c r="H38" s="27"/>
      <c r="I38" s="31" t="str">
        <f>IF(Table16[[#This Row],[Type]]="Co-product", "No", "")</f>
        <v/>
      </c>
      <c r="J38" s="6"/>
      <c r="K38" s="6" t="str">
        <f>IF(Table16[[#This Row],[Category]]="Transportation", _xlfn.XLOOKUP(Table16[[#This Row],[Resource]], 'SI - Payload'!$A$10:$A$38,'SI - Payload'!$B$10:$B$38,"",0), "")</f>
        <v/>
      </c>
      <c r="L38" s="6" t="str">
        <f>IF(Table16[[#This Row],[Category]]="Transportation", "ton", "")</f>
        <v/>
      </c>
      <c r="M38" s="6"/>
      <c r="N38" s="6"/>
      <c r="O38" s="6" t="str">
        <f>IF(OR(Table16[[#This Row],[Type]]="Main Product", Table16[[#This Row],[Type]]="Co-Product"), Table16[[#This Row],[Resource]], "")</f>
        <v/>
      </c>
      <c r="P38" s="6" t="str">
        <f>IF(_xlfn.XLOOKUP($O38,'SI - End Use'!$B$2:$B$82,'SI - End Use'!$C$2:$C$82, "")="", "", _xlfn.XLOOKUP($C38,'SI - End Use'!$B$2:$B$82,'SI - End Use'!$C$2:$C$82, ""))</f>
        <v/>
      </c>
      <c r="Q38" s="6"/>
      <c r="R38" s="6"/>
    </row>
    <row r="39" spans="1:18" x14ac:dyDescent="0.35">
      <c r="A39" s="6"/>
      <c r="B39" s="6"/>
      <c r="C39" s="6" t="str">
        <f>_xlfn.XLOOKUP($B39,'SI - Resources'!$A$1:$J$1,'SI - Resources'!$A$2:$J$2, "")</f>
        <v/>
      </c>
      <c r="D39" s="6" t="str">
        <f>IF(_xlfn.XLOOKUP($C39,'SI - End Use'!$B$2:$B$82,'SI - End Use'!$C$2:$C$82, "")="", "", _xlfn.XLOOKUP($C39,'SI - End Use'!$B$2:$B$82,'SI - End Use'!$C$2:$C$82, ""))</f>
        <v/>
      </c>
      <c r="E39" s="13"/>
      <c r="F39" s="6" t="str" cm="1">
        <f t="array" ref="F39">IF($B39="Transportation",  'SI - Units'!$B$9:$B$9, _xlfn.XLOOKUP(_xlfn.XLOOKUP($C39,'SI - Units'!$B$24:$B$106,'SI - Units'!$C$24:$C$106, ""),'SI - Units'!$A$2:$A$8,'SI - Units'!$B$2:$B$8, ""))</f>
        <v/>
      </c>
      <c r="G39" s="27"/>
      <c r="H39" s="27"/>
      <c r="I39" s="31" t="str">
        <f>IF(Table16[[#This Row],[Type]]="Co-product", "No", "")</f>
        <v/>
      </c>
      <c r="J39" s="6"/>
      <c r="K39" s="6" t="str">
        <f>IF(Table16[[#This Row],[Category]]="Transportation", _xlfn.XLOOKUP(Table16[[#This Row],[Resource]], 'SI - Payload'!$A$10:$A$38,'SI - Payload'!$B$10:$B$38,"",0), "")</f>
        <v/>
      </c>
      <c r="L39" s="6" t="str">
        <f>IF(Table16[[#This Row],[Category]]="Transportation", "ton", "")</f>
        <v/>
      </c>
      <c r="M39" s="6"/>
      <c r="N39" s="6"/>
      <c r="O39" s="6" t="str">
        <f>IF(OR(Table16[[#This Row],[Type]]="Main Product", Table16[[#This Row],[Type]]="Co-Product"), Table16[[#This Row],[Resource]], "")</f>
        <v/>
      </c>
      <c r="P39" s="6" t="str">
        <f>IF(_xlfn.XLOOKUP($O39,'SI - End Use'!$B$2:$B$82,'SI - End Use'!$C$2:$C$82, "")="", "", _xlfn.XLOOKUP($C39,'SI - End Use'!$B$2:$B$82,'SI - End Use'!$C$2:$C$82, ""))</f>
        <v/>
      </c>
      <c r="Q39" s="6"/>
      <c r="R39" s="6"/>
    </row>
    <row r="40" spans="1:18" x14ac:dyDescent="0.35">
      <c r="A40" s="6"/>
      <c r="B40" s="6"/>
      <c r="C40" s="6" t="str">
        <f>_xlfn.XLOOKUP($B40,'SI - Resources'!$A$1:$J$1,'SI - Resources'!$A$2:$J$2, "")</f>
        <v/>
      </c>
      <c r="D40" s="6" t="str">
        <f>IF(_xlfn.XLOOKUP($C40,'SI - End Use'!$B$2:$B$82,'SI - End Use'!$C$2:$C$82, "")="", "", _xlfn.XLOOKUP($C40,'SI - End Use'!$B$2:$B$82,'SI - End Use'!$C$2:$C$82, ""))</f>
        <v/>
      </c>
      <c r="E40" s="13"/>
      <c r="F40" s="6" t="str" cm="1">
        <f t="array" ref="F40">IF($B40="Transportation",  'SI - Units'!$B$9:$B$9, _xlfn.XLOOKUP(_xlfn.XLOOKUP($C40,'SI - Units'!$B$24:$B$106,'SI - Units'!$C$24:$C$106, ""),'SI - Units'!$A$2:$A$8,'SI - Units'!$B$2:$B$8, ""))</f>
        <v/>
      </c>
      <c r="G40" s="27"/>
      <c r="H40" s="27"/>
      <c r="I40" s="31" t="str">
        <f>IF(Table16[[#This Row],[Type]]="Co-product", "No", "")</f>
        <v/>
      </c>
      <c r="J40" s="6"/>
      <c r="K40" s="6" t="str">
        <f>IF(Table16[[#This Row],[Category]]="Transportation", _xlfn.XLOOKUP(Table16[[#This Row],[Resource]], 'SI - Payload'!$A$10:$A$38,'SI - Payload'!$B$10:$B$38,"",0), "")</f>
        <v/>
      </c>
      <c r="L40" s="6" t="str">
        <f>IF(Table16[[#This Row],[Category]]="Transportation", "ton", "")</f>
        <v/>
      </c>
      <c r="M40" s="6"/>
      <c r="N40" s="6"/>
      <c r="O40" s="6" t="str">
        <f>IF(OR(Table16[[#This Row],[Type]]="Main Product", Table16[[#This Row],[Type]]="Co-Product"), Table16[[#This Row],[Resource]], "")</f>
        <v/>
      </c>
      <c r="P40" s="6" t="str">
        <f>IF(_xlfn.XLOOKUP($O40,'SI - End Use'!$B$2:$B$82,'SI - End Use'!$C$2:$C$82, "")="", "", _xlfn.XLOOKUP($C40,'SI - End Use'!$B$2:$B$82,'SI - End Use'!$C$2:$C$82, ""))</f>
        <v/>
      </c>
      <c r="Q40" s="6"/>
      <c r="R40" s="6"/>
    </row>
    <row r="41" spans="1:18" x14ac:dyDescent="0.35">
      <c r="A41" s="6"/>
      <c r="B41" s="6"/>
      <c r="C41" s="6" t="str">
        <f>_xlfn.XLOOKUP($B41,'SI - Resources'!$A$1:$J$1,'SI - Resources'!$A$2:$J$2, "")</f>
        <v/>
      </c>
      <c r="D41" s="6" t="str">
        <f>IF(_xlfn.XLOOKUP($C41,'SI - End Use'!$B$2:$B$82,'SI - End Use'!$C$2:$C$82, "")="", "", _xlfn.XLOOKUP($C41,'SI - End Use'!$B$2:$B$82,'SI - End Use'!$C$2:$C$82, ""))</f>
        <v/>
      </c>
      <c r="E41" s="13"/>
      <c r="F41" s="6" t="str" cm="1">
        <f t="array" ref="F41">IF($B41="Transportation",  'SI - Units'!$B$9:$B$9, _xlfn.XLOOKUP(_xlfn.XLOOKUP($C41,'SI - Units'!$B$24:$B$106,'SI - Units'!$C$24:$C$106, ""),'SI - Units'!$A$2:$A$8,'SI - Units'!$B$2:$B$8, ""))</f>
        <v/>
      </c>
      <c r="G41" s="27"/>
      <c r="H41" s="27"/>
      <c r="I41" s="31" t="str">
        <f>IF(Table16[[#This Row],[Type]]="Co-product", "No", "")</f>
        <v/>
      </c>
      <c r="J41" s="6"/>
      <c r="K41" s="6" t="str">
        <f>IF(Table16[[#This Row],[Category]]="Transportation", _xlfn.XLOOKUP(Table16[[#This Row],[Resource]], 'SI - Payload'!$A$10:$A$38,'SI - Payload'!$B$10:$B$38,"",0), "")</f>
        <v/>
      </c>
      <c r="L41" s="6" t="str">
        <f>IF(Table16[[#This Row],[Category]]="Transportation", "ton", "")</f>
        <v/>
      </c>
      <c r="M41" s="6"/>
      <c r="N41" s="6"/>
      <c r="O41" s="6" t="str">
        <f>IF(OR(Table16[[#This Row],[Type]]="Main Product", Table16[[#This Row],[Type]]="Co-Product"), Table16[[#This Row],[Resource]], "")</f>
        <v/>
      </c>
      <c r="P41" s="6" t="str">
        <f>IF(_xlfn.XLOOKUP($O41,'SI - End Use'!$B$2:$B$82,'SI - End Use'!$C$2:$C$82, "")="", "", _xlfn.XLOOKUP($C41,'SI - End Use'!$B$2:$B$82,'SI - End Use'!$C$2:$C$82, ""))</f>
        <v/>
      </c>
      <c r="Q41" s="6"/>
      <c r="R41" s="6"/>
    </row>
    <row r="42" spans="1:18" x14ac:dyDescent="0.35">
      <c r="A42" s="6"/>
      <c r="B42" s="6"/>
      <c r="C42" s="6" t="str">
        <f>_xlfn.XLOOKUP($B42,'SI - Resources'!$A$1:$J$1,'SI - Resources'!$A$2:$J$2, "")</f>
        <v/>
      </c>
      <c r="D42" s="6" t="str">
        <f>IF(_xlfn.XLOOKUP($C42,'SI - End Use'!$B$2:$B$82,'SI - End Use'!$C$2:$C$82, "")="", "", _xlfn.XLOOKUP($C42,'SI - End Use'!$B$2:$B$82,'SI - End Use'!$C$2:$C$82, ""))</f>
        <v/>
      </c>
      <c r="E42" s="13"/>
      <c r="F42" s="6" t="str" cm="1">
        <f t="array" ref="F42">IF($B42="Transportation",  'SI - Units'!$B$9:$B$9, _xlfn.XLOOKUP(_xlfn.XLOOKUP($C42,'SI - Units'!$B$24:$B$106,'SI - Units'!$C$24:$C$106, ""),'SI - Units'!$A$2:$A$8,'SI - Units'!$B$2:$B$8, ""))</f>
        <v/>
      </c>
      <c r="G42" s="27"/>
      <c r="H42" s="27"/>
      <c r="I42" s="31" t="str">
        <f>IF(Table16[[#This Row],[Type]]="Co-product", "No", "")</f>
        <v/>
      </c>
      <c r="J42" s="6"/>
      <c r="K42" s="6" t="str">
        <f>IF(Table16[[#This Row],[Category]]="Transportation", _xlfn.XLOOKUP(Table16[[#This Row],[Resource]], 'SI - Payload'!$A$10:$A$38,'SI - Payload'!$B$10:$B$38,"",0), "")</f>
        <v/>
      </c>
      <c r="L42" s="6" t="str">
        <f>IF(Table16[[#This Row],[Category]]="Transportation", "ton", "")</f>
        <v/>
      </c>
      <c r="M42" s="6"/>
      <c r="N42" s="6"/>
      <c r="O42" s="6" t="str">
        <f>IF(OR(Table16[[#This Row],[Type]]="Main Product", Table16[[#This Row],[Type]]="Co-Product"), Table16[[#This Row],[Resource]], "")</f>
        <v/>
      </c>
      <c r="P42" s="6" t="str">
        <f>IF(_xlfn.XLOOKUP($O42,'SI - End Use'!$B$2:$B$82,'SI - End Use'!$C$2:$C$82, "")="", "", _xlfn.XLOOKUP($C42,'SI - End Use'!$B$2:$B$82,'SI - End Use'!$C$2:$C$82, ""))</f>
        <v/>
      </c>
      <c r="Q42" s="6"/>
      <c r="R42" s="6"/>
    </row>
    <row r="43" spans="1:18" x14ac:dyDescent="0.35">
      <c r="A43" s="6"/>
      <c r="B43" s="6"/>
      <c r="C43" s="6" t="str">
        <f>_xlfn.XLOOKUP($B43,'SI - Resources'!$A$1:$J$1,'SI - Resources'!$A$2:$J$2, "")</f>
        <v/>
      </c>
      <c r="D43" s="6" t="str">
        <f>IF(_xlfn.XLOOKUP($C43,'SI - End Use'!$B$2:$B$82,'SI - End Use'!$C$2:$C$82, "")="", "", _xlfn.XLOOKUP($C43,'SI - End Use'!$B$2:$B$82,'SI - End Use'!$C$2:$C$82, ""))</f>
        <v/>
      </c>
      <c r="E43" s="13"/>
      <c r="F43" s="6" t="str" cm="1">
        <f t="array" ref="F43">IF($B43="Transportation",  'SI - Units'!$B$9:$B$9, _xlfn.XLOOKUP(_xlfn.XLOOKUP($C43,'SI - Units'!$B$24:$B$106,'SI - Units'!$C$24:$C$106, ""),'SI - Units'!$A$2:$A$8,'SI - Units'!$B$2:$B$8, ""))</f>
        <v/>
      </c>
      <c r="G43" s="27"/>
      <c r="H43" s="27"/>
      <c r="I43" s="31" t="str">
        <f>IF(Table16[[#This Row],[Type]]="Co-product", "No", "")</f>
        <v/>
      </c>
      <c r="J43" s="6"/>
      <c r="K43" s="6" t="str">
        <f>IF(Table16[[#This Row],[Category]]="Transportation", _xlfn.XLOOKUP(Table16[[#This Row],[Resource]], 'SI - Payload'!$A$10:$A$38,'SI - Payload'!$B$10:$B$38,"",0), "")</f>
        <v/>
      </c>
      <c r="L43" s="6" t="str">
        <f>IF(Table16[[#This Row],[Category]]="Transportation", "ton", "")</f>
        <v/>
      </c>
      <c r="M43" s="6"/>
      <c r="N43" s="6"/>
      <c r="O43" s="6" t="str">
        <f>IF(OR(Table16[[#This Row],[Type]]="Main Product", Table16[[#This Row],[Type]]="Co-Product"), Table16[[#This Row],[Resource]], "")</f>
        <v/>
      </c>
      <c r="P43" s="6" t="str">
        <f>IF(_xlfn.XLOOKUP($O43,'SI - End Use'!$B$2:$B$82,'SI - End Use'!$C$2:$C$82, "")="", "", _xlfn.XLOOKUP($C43,'SI - End Use'!$B$2:$B$82,'SI - End Use'!$C$2:$C$82, ""))</f>
        <v/>
      </c>
      <c r="Q43" s="6"/>
      <c r="R43" s="6"/>
    </row>
    <row r="44" spans="1:18" x14ac:dyDescent="0.35">
      <c r="A44" s="6"/>
      <c r="B44" s="6"/>
      <c r="C44" s="6" t="str">
        <f>_xlfn.XLOOKUP($B44,'SI - Resources'!$A$1:$J$1,'SI - Resources'!$A$2:$J$2, "")</f>
        <v/>
      </c>
      <c r="D44" s="6" t="str">
        <f>IF(_xlfn.XLOOKUP($C44,'SI - End Use'!$B$2:$B$82,'SI - End Use'!$C$2:$C$82, "")="", "", _xlfn.XLOOKUP($C44,'SI - End Use'!$B$2:$B$82,'SI - End Use'!$C$2:$C$82, ""))</f>
        <v/>
      </c>
      <c r="E44" s="13"/>
      <c r="F44" s="6" t="str" cm="1">
        <f t="array" ref="F44">IF($B44="Transportation",  'SI - Units'!$B$9:$B$9, _xlfn.XLOOKUP(_xlfn.XLOOKUP($C44,'SI - Units'!$B$24:$B$106,'SI - Units'!$C$24:$C$106, ""),'SI - Units'!$A$2:$A$8,'SI - Units'!$B$2:$B$8, ""))</f>
        <v/>
      </c>
      <c r="G44" s="27"/>
      <c r="H44" s="27"/>
      <c r="I44" s="31" t="str">
        <f>IF(Table16[[#This Row],[Type]]="Co-product", "No", "")</f>
        <v/>
      </c>
      <c r="J44" s="6"/>
      <c r="K44" s="6" t="str">
        <f>IF(Table16[[#This Row],[Category]]="Transportation", _xlfn.XLOOKUP(Table16[[#This Row],[Resource]], 'SI - Payload'!$A$10:$A$38,'SI - Payload'!$B$10:$B$38,"",0), "")</f>
        <v/>
      </c>
      <c r="L44" s="6" t="str">
        <f>IF(Table16[[#This Row],[Category]]="Transportation", "ton", "")</f>
        <v/>
      </c>
      <c r="M44" s="6"/>
      <c r="N44" s="6"/>
      <c r="O44" s="6" t="str">
        <f>IF(OR(Table16[[#This Row],[Type]]="Main Product", Table16[[#This Row],[Type]]="Co-Product"), Table16[[#This Row],[Resource]], "")</f>
        <v/>
      </c>
      <c r="P44" s="6" t="str">
        <f>IF(_xlfn.XLOOKUP($O44,'SI - End Use'!$B$2:$B$82,'SI - End Use'!$C$2:$C$82, "")="", "", _xlfn.XLOOKUP($C44,'SI - End Use'!$B$2:$B$82,'SI - End Use'!$C$2:$C$82, ""))</f>
        <v/>
      </c>
      <c r="Q44" s="6"/>
      <c r="R44" s="6"/>
    </row>
    <row r="45" spans="1:18" x14ac:dyDescent="0.35">
      <c r="A45" s="6"/>
      <c r="B45" s="6"/>
      <c r="C45" s="6" t="str">
        <f>_xlfn.XLOOKUP($B45,'SI - Resources'!$A$1:$J$1,'SI - Resources'!$A$2:$J$2, "")</f>
        <v/>
      </c>
      <c r="D45" s="6" t="str">
        <f>IF(_xlfn.XLOOKUP($C45,'SI - End Use'!$B$2:$B$82,'SI - End Use'!$C$2:$C$82, "")="", "", _xlfn.XLOOKUP($C45,'SI - End Use'!$B$2:$B$82,'SI - End Use'!$C$2:$C$82, ""))</f>
        <v/>
      </c>
      <c r="E45" s="13"/>
      <c r="F45" s="6" t="str" cm="1">
        <f t="array" ref="F45">IF($B45="Transportation",  'SI - Units'!$B$9:$B$9, _xlfn.XLOOKUP(_xlfn.XLOOKUP($C45,'SI - Units'!$B$24:$B$106,'SI - Units'!$C$24:$C$106, ""),'SI - Units'!$A$2:$A$8,'SI - Units'!$B$2:$B$8, ""))</f>
        <v/>
      </c>
      <c r="G45" s="27"/>
      <c r="H45" s="27"/>
      <c r="I45" s="31" t="str">
        <f>IF(Table16[[#This Row],[Type]]="Co-product", "No", "")</f>
        <v/>
      </c>
      <c r="J45" s="6"/>
      <c r="K45" s="6" t="str">
        <f>IF(Table16[[#This Row],[Category]]="Transportation", _xlfn.XLOOKUP(Table16[[#This Row],[Resource]], 'SI - Payload'!$A$10:$A$38,'SI - Payload'!$B$10:$B$38,"",0), "")</f>
        <v/>
      </c>
      <c r="L45" s="6" t="str">
        <f>IF(Table16[[#This Row],[Category]]="Transportation", "ton", "")</f>
        <v/>
      </c>
      <c r="M45" s="6"/>
      <c r="N45" s="6"/>
      <c r="O45" s="6" t="str">
        <f>IF(OR(Table16[[#This Row],[Type]]="Main Product", Table16[[#This Row],[Type]]="Co-Product"), Table16[[#This Row],[Resource]], "")</f>
        <v/>
      </c>
      <c r="P45" s="6" t="str">
        <f>IF(_xlfn.XLOOKUP($O45,'SI - End Use'!$B$2:$B$82,'SI - End Use'!$C$2:$C$82, "")="", "", _xlfn.XLOOKUP($C45,'SI - End Use'!$B$2:$B$82,'SI - End Use'!$C$2:$C$82, ""))</f>
        <v/>
      </c>
      <c r="Q45" s="6"/>
      <c r="R45" s="6"/>
    </row>
    <row r="46" spans="1:18" x14ac:dyDescent="0.35">
      <c r="A46" s="6"/>
      <c r="B46" s="6"/>
      <c r="C46" s="6" t="str">
        <f>_xlfn.XLOOKUP($B46,'SI - Resources'!$A$1:$J$1,'SI - Resources'!$A$2:$J$2, "")</f>
        <v/>
      </c>
      <c r="D46" s="6" t="str">
        <f>IF(_xlfn.XLOOKUP($C46,'SI - End Use'!$B$2:$B$82,'SI - End Use'!$C$2:$C$82, "")="", "", _xlfn.XLOOKUP($C46,'SI - End Use'!$B$2:$B$82,'SI - End Use'!$C$2:$C$82, ""))</f>
        <v/>
      </c>
      <c r="E46" s="13"/>
      <c r="F46" s="6" t="str" cm="1">
        <f t="array" ref="F46">IF($B46="Transportation",  'SI - Units'!$B$9:$B$9, _xlfn.XLOOKUP(_xlfn.XLOOKUP($C46,'SI - Units'!$B$24:$B$106,'SI - Units'!$C$24:$C$106, ""),'SI - Units'!$A$2:$A$8,'SI - Units'!$B$2:$B$8, ""))</f>
        <v/>
      </c>
      <c r="G46" s="27"/>
      <c r="H46" s="27"/>
      <c r="I46" s="31" t="str">
        <f>IF(Table16[[#This Row],[Type]]="Co-product", "No", "")</f>
        <v/>
      </c>
      <c r="J46" s="6"/>
      <c r="K46" s="6" t="str">
        <f>IF(Table16[[#This Row],[Category]]="Transportation", _xlfn.XLOOKUP(Table16[[#This Row],[Resource]], 'SI - Payload'!$A$10:$A$38,'SI - Payload'!$B$10:$B$38,"",0), "")</f>
        <v/>
      </c>
      <c r="L46" s="6" t="str">
        <f>IF(Table16[[#This Row],[Category]]="Transportation", "ton", "")</f>
        <v/>
      </c>
      <c r="M46" s="6"/>
      <c r="N46" s="6"/>
      <c r="O46" s="6" t="str">
        <f>IF(OR(Table16[[#This Row],[Type]]="Main Product", Table16[[#This Row],[Type]]="Co-Product"), Table16[[#This Row],[Resource]], "")</f>
        <v/>
      </c>
      <c r="P46" s="6" t="str">
        <f>IF(_xlfn.XLOOKUP($O46,'SI - End Use'!$B$2:$B$82,'SI - End Use'!$C$2:$C$82, "")="", "", _xlfn.XLOOKUP($C46,'SI - End Use'!$B$2:$B$82,'SI - End Use'!$C$2:$C$82, ""))</f>
        <v/>
      </c>
      <c r="Q46" s="6"/>
      <c r="R46" s="6"/>
    </row>
    <row r="47" spans="1:18" x14ac:dyDescent="0.35">
      <c r="A47" s="6"/>
      <c r="B47" s="6"/>
      <c r="C47" s="6" t="str">
        <f>_xlfn.XLOOKUP($B47,'SI - Resources'!$A$1:$J$1,'SI - Resources'!$A$2:$J$2, "")</f>
        <v/>
      </c>
      <c r="D47" s="6" t="str">
        <f>IF(_xlfn.XLOOKUP($C47,'SI - End Use'!$B$2:$B$82,'SI - End Use'!$C$2:$C$82, "")="", "", _xlfn.XLOOKUP($C47,'SI - End Use'!$B$2:$B$82,'SI - End Use'!$C$2:$C$82, ""))</f>
        <v/>
      </c>
      <c r="E47" s="13"/>
      <c r="F47" s="6" t="str" cm="1">
        <f t="array" ref="F47">IF($B47="Transportation",  'SI - Units'!$B$9:$B$9, _xlfn.XLOOKUP(_xlfn.XLOOKUP($C47,'SI - Units'!$B$24:$B$106,'SI - Units'!$C$24:$C$106, ""),'SI - Units'!$A$2:$A$8,'SI - Units'!$B$2:$B$8, ""))</f>
        <v/>
      </c>
      <c r="G47" s="27"/>
      <c r="H47" s="27"/>
      <c r="I47" s="31" t="str">
        <f>IF(Table16[[#This Row],[Type]]="Co-product", "No", "")</f>
        <v/>
      </c>
      <c r="J47" s="6"/>
      <c r="K47" s="6" t="str">
        <f>IF(Table16[[#This Row],[Category]]="Transportation", _xlfn.XLOOKUP(Table16[[#This Row],[Resource]], 'SI - Payload'!$A$10:$A$38,'SI - Payload'!$B$10:$B$38,"",0), "")</f>
        <v/>
      </c>
      <c r="L47" s="6" t="str">
        <f>IF(Table16[[#This Row],[Category]]="Transportation", "ton", "")</f>
        <v/>
      </c>
      <c r="M47" s="6"/>
      <c r="N47" s="6"/>
      <c r="O47" s="6" t="str">
        <f>IF(OR(Table16[[#This Row],[Type]]="Main Product", Table16[[#This Row],[Type]]="Co-Product"), Table16[[#This Row],[Resource]], "")</f>
        <v/>
      </c>
      <c r="P47" s="6" t="str">
        <f>IF(_xlfn.XLOOKUP($O47,'SI - End Use'!$B$2:$B$82,'SI - End Use'!$C$2:$C$82, "")="", "", _xlfn.XLOOKUP($C47,'SI - End Use'!$B$2:$B$82,'SI - End Use'!$C$2:$C$82, ""))</f>
        <v/>
      </c>
      <c r="Q47" s="6"/>
      <c r="R47" s="6"/>
    </row>
    <row r="48" spans="1:18" x14ac:dyDescent="0.35">
      <c r="A48" s="6"/>
      <c r="B48" s="6"/>
      <c r="C48" s="6" t="str">
        <f>_xlfn.XLOOKUP($B48,'SI - Resources'!$A$1:$J$1,'SI - Resources'!$A$2:$J$2, "")</f>
        <v/>
      </c>
      <c r="D48" s="6" t="str">
        <f>IF(_xlfn.XLOOKUP($C48,'SI - End Use'!$B$2:$B$82,'SI - End Use'!$C$2:$C$82, "")="", "", _xlfn.XLOOKUP($C48,'SI - End Use'!$B$2:$B$82,'SI - End Use'!$C$2:$C$82, ""))</f>
        <v/>
      </c>
      <c r="E48" s="13"/>
      <c r="F48" s="6" t="str" cm="1">
        <f t="array" ref="F48">IF($B48="Transportation",  'SI - Units'!$B$9:$B$9, _xlfn.XLOOKUP(_xlfn.XLOOKUP($C48,'SI - Units'!$B$24:$B$106,'SI - Units'!$C$24:$C$106, ""),'SI - Units'!$A$2:$A$8,'SI - Units'!$B$2:$B$8, ""))</f>
        <v/>
      </c>
      <c r="G48" s="27"/>
      <c r="H48" s="27"/>
      <c r="I48" s="31" t="str">
        <f>IF(Table16[[#This Row],[Type]]="Co-product", "No", "")</f>
        <v/>
      </c>
      <c r="J48" s="6"/>
      <c r="K48" s="6" t="str">
        <f>IF(Table16[[#This Row],[Category]]="Transportation", _xlfn.XLOOKUP(Table16[[#This Row],[Resource]], 'SI - Payload'!$A$10:$A$38,'SI - Payload'!$B$10:$B$38,"",0), "")</f>
        <v/>
      </c>
      <c r="L48" s="6" t="str">
        <f>IF(Table16[[#This Row],[Category]]="Transportation", "ton", "")</f>
        <v/>
      </c>
      <c r="M48" s="6"/>
      <c r="N48" s="6"/>
      <c r="O48" s="6" t="str">
        <f>IF(OR(Table16[[#This Row],[Type]]="Main Product", Table16[[#This Row],[Type]]="Co-Product"), Table16[[#This Row],[Resource]], "")</f>
        <v/>
      </c>
      <c r="P48" s="6" t="str">
        <f>IF(_xlfn.XLOOKUP($O48,'SI - End Use'!$B$2:$B$82,'SI - End Use'!$C$2:$C$82, "")="", "", _xlfn.XLOOKUP($C48,'SI - End Use'!$B$2:$B$82,'SI - End Use'!$C$2:$C$82, ""))</f>
        <v/>
      </c>
      <c r="Q48" s="6"/>
      <c r="R48" s="6"/>
    </row>
    <row r="49" spans="1:18" x14ac:dyDescent="0.35">
      <c r="A49" s="6"/>
      <c r="B49" s="6"/>
      <c r="C49" s="6" t="str">
        <f>_xlfn.XLOOKUP($B49,'SI - Resources'!$A$1:$J$1,'SI - Resources'!$A$2:$J$2, "")</f>
        <v/>
      </c>
      <c r="D49" s="6" t="str">
        <f>IF(_xlfn.XLOOKUP($C49,'SI - End Use'!$B$2:$B$82,'SI - End Use'!$C$2:$C$82, "")="", "", _xlfn.XLOOKUP($C49,'SI - End Use'!$B$2:$B$82,'SI - End Use'!$C$2:$C$82, ""))</f>
        <v/>
      </c>
      <c r="E49" s="13"/>
      <c r="F49" s="6" t="str" cm="1">
        <f t="array" ref="F49">IF($B49="Transportation",  'SI - Units'!$B$9:$B$9, _xlfn.XLOOKUP(_xlfn.XLOOKUP($C49,'SI - Units'!$B$24:$B$106,'SI - Units'!$C$24:$C$106, ""),'SI - Units'!$A$2:$A$8,'SI - Units'!$B$2:$B$8, ""))</f>
        <v/>
      </c>
      <c r="G49" s="27"/>
      <c r="H49" s="27"/>
      <c r="I49" s="31" t="str">
        <f>IF(Table16[[#This Row],[Type]]="Co-product", "No", "")</f>
        <v/>
      </c>
      <c r="J49" s="6"/>
      <c r="K49" s="6" t="str">
        <f>IF(Table16[[#This Row],[Category]]="Transportation", _xlfn.XLOOKUP(Table16[[#This Row],[Resource]], 'SI - Payload'!$A$10:$A$38,'SI - Payload'!$B$10:$B$38,"",0), "")</f>
        <v/>
      </c>
      <c r="L49" s="6" t="str">
        <f>IF(Table16[[#This Row],[Category]]="Transportation", "ton", "")</f>
        <v/>
      </c>
      <c r="M49" s="6"/>
      <c r="N49" s="6"/>
      <c r="O49" s="6" t="str">
        <f>IF(OR(Table16[[#This Row],[Type]]="Main Product", Table16[[#This Row],[Type]]="Co-Product"), Table16[[#This Row],[Resource]], "")</f>
        <v/>
      </c>
      <c r="P49" s="6" t="str">
        <f>IF(_xlfn.XLOOKUP($O49,'SI - End Use'!$B$2:$B$82,'SI - End Use'!$C$2:$C$82, "")="", "", _xlfn.XLOOKUP($C49,'SI - End Use'!$B$2:$B$82,'SI - End Use'!$C$2:$C$82, ""))</f>
        <v/>
      </c>
      <c r="Q49" s="6"/>
      <c r="R49" s="6"/>
    </row>
    <row r="50" spans="1:18" x14ac:dyDescent="0.35">
      <c r="A50" s="6"/>
      <c r="B50" s="6"/>
      <c r="C50" s="6" t="str">
        <f>_xlfn.XLOOKUP($B50,'SI - Resources'!$A$1:$J$1,'SI - Resources'!$A$2:$J$2, "")</f>
        <v/>
      </c>
      <c r="D50" s="6" t="str">
        <f>IF(_xlfn.XLOOKUP($C50,'SI - End Use'!$B$2:$B$82,'SI - End Use'!$C$2:$C$82, "")="", "", _xlfn.XLOOKUP($C50,'SI - End Use'!$B$2:$B$82,'SI - End Use'!$C$2:$C$82, ""))</f>
        <v/>
      </c>
      <c r="E50" s="13"/>
      <c r="F50" s="6" t="str" cm="1">
        <f t="array" ref="F50">IF($B50="Transportation",  'SI - Units'!$B$9:$B$9, _xlfn.XLOOKUP(_xlfn.XLOOKUP($C50,'SI - Units'!$B$24:$B$106,'SI - Units'!$C$24:$C$106, ""),'SI - Units'!$A$2:$A$8,'SI - Units'!$B$2:$B$8, ""))</f>
        <v/>
      </c>
      <c r="G50" s="27"/>
      <c r="H50" s="27"/>
      <c r="I50" s="31" t="str">
        <f>IF(Table16[[#This Row],[Type]]="Co-product", "No", "")</f>
        <v/>
      </c>
      <c r="J50" s="6"/>
      <c r="K50" s="6" t="str">
        <f>IF(Table16[[#This Row],[Category]]="Transportation", _xlfn.XLOOKUP(Table16[[#This Row],[Resource]], 'SI - Payload'!$A$10:$A$38,'SI - Payload'!$B$10:$B$38,"",0), "")</f>
        <v/>
      </c>
      <c r="L50" s="6" t="str">
        <f>IF(Table16[[#This Row],[Category]]="Transportation", "ton", "")</f>
        <v/>
      </c>
      <c r="M50" s="6"/>
      <c r="N50" s="6"/>
      <c r="O50" s="6" t="str">
        <f>IF(OR(Table16[[#This Row],[Type]]="Main Product", Table16[[#This Row],[Type]]="Co-Product"), Table16[[#This Row],[Resource]], "")</f>
        <v/>
      </c>
      <c r="P50" s="6" t="str">
        <f>IF(_xlfn.XLOOKUP($O50,'SI - End Use'!$B$2:$B$82,'SI - End Use'!$C$2:$C$82, "")="", "", _xlfn.XLOOKUP($C50,'SI - End Use'!$B$2:$B$82,'SI - End Use'!$C$2:$C$82, ""))</f>
        <v/>
      </c>
      <c r="Q50" s="6"/>
      <c r="R50" s="6"/>
    </row>
    <row r="51" spans="1:18" x14ac:dyDescent="0.35">
      <c r="A51" s="6"/>
      <c r="B51" s="6"/>
      <c r="C51" s="6" t="str">
        <f>_xlfn.XLOOKUP($B51,'SI - Resources'!$A$1:$J$1,'SI - Resources'!$A$2:$J$2, "")</f>
        <v/>
      </c>
      <c r="D51" s="6" t="str">
        <f>IF(_xlfn.XLOOKUP($C51,'SI - End Use'!$B$2:$B$82,'SI - End Use'!$C$2:$C$82, "")="", "", _xlfn.XLOOKUP($C51,'SI - End Use'!$B$2:$B$82,'SI - End Use'!$C$2:$C$82, ""))</f>
        <v/>
      </c>
      <c r="E51" s="13"/>
      <c r="F51" s="6" t="str" cm="1">
        <f t="array" ref="F51">IF($B51="Transportation",  'SI - Units'!$B$9:$B$9, _xlfn.XLOOKUP(_xlfn.XLOOKUP($C51,'SI - Units'!$B$24:$B$106,'SI - Units'!$C$24:$C$106, ""),'SI - Units'!$A$2:$A$8,'SI - Units'!$B$2:$B$8, ""))</f>
        <v/>
      </c>
      <c r="G51" s="27"/>
      <c r="H51" s="27"/>
      <c r="I51" s="31" t="str">
        <f>IF(Table16[[#This Row],[Type]]="Co-product", "No", "")</f>
        <v/>
      </c>
      <c r="J51" s="6"/>
      <c r="K51" s="6" t="str">
        <f>IF(Table16[[#This Row],[Category]]="Transportation", _xlfn.XLOOKUP(Table16[[#This Row],[Resource]], 'SI - Payload'!$A$10:$A$38,'SI - Payload'!$B$10:$B$38,"",0), "")</f>
        <v/>
      </c>
      <c r="L51" s="6" t="str">
        <f>IF(Table16[[#This Row],[Category]]="Transportation", "ton", "")</f>
        <v/>
      </c>
      <c r="M51" s="6"/>
      <c r="N51" s="6"/>
      <c r="O51" s="6" t="str">
        <f>IF(OR(Table16[[#This Row],[Type]]="Main Product", Table16[[#This Row],[Type]]="Co-Product"), Table16[[#This Row],[Resource]], "")</f>
        <v/>
      </c>
      <c r="P51" s="6" t="str">
        <f>IF(_xlfn.XLOOKUP($O51,'SI - End Use'!$B$2:$B$82,'SI - End Use'!$C$2:$C$82, "")="", "", _xlfn.XLOOKUP($C51,'SI - End Use'!$B$2:$B$82,'SI - End Use'!$C$2:$C$82, ""))</f>
        <v/>
      </c>
      <c r="Q51" s="6"/>
      <c r="R51" s="6"/>
    </row>
    <row r="52" spans="1:18" x14ac:dyDescent="0.35">
      <c r="A52" s="6"/>
      <c r="B52" s="6"/>
      <c r="C52" s="6" t="str">
        <f>_xlfn.XLOOKUP($B52,'SI - Resources'!$A$1:$J$1,'SI - Resources'!$A$2:$J$2, "")</f>
        <v/>
      </c>
      <c r="D52" s="6" t="str">
        <f>IF(_xlfn.XLOOKUP($C52,'SI - End Use'!$B$2:$B$82,'SI - End Use'!$C$2:$C$82, "")="", "", _xlfn.XLOOKUP($C52,'SI - End Use'!$B$2:$B$82,'SI - End Use'!$C$2:$C$82, ""))</f>
        <v/>
      </c>
      <c r="E52" s="13"/>
      <c r="F52" s="6" t="str" cm="1">
        <f t="array" ref="F52">IF($B52="Transportation",  'SI - Units'!$B$9:$B$9, _xlfn.XLOOKUP(_xlfn.XLOOKUP($C52,'SI - Units'!$B$24:$B$106,'SI - Units'!$C$24:$C$106, ""),'SI - Units'!$A$2:$A$8,'SI - Units'!$B$2:$B$8, ""))</f>
        <v/>
      </c>
      <c r="G52" s="27"/>
      <c r="H52" s="27"/>
      <c r="I52" s="31" t="str">
        <f>IF(Table16[[#This Row],[Type]]="Co-product", "No", "")</f>
        <v/>
      </c>
      <c r="J52" s="6"/>
      <c r="K52" s="6" t="str">
        <f>IF(Table16[[#This Row],[Category]]="Transportation", _xlfn.XLOOKUP(Table16[[#This Row],[Resource]], 'SI - Payload'!$A$10:$A$38,'SI - Payload'!$B$10:$B$38,"",0), "")</f>
        <v/>
      </c>
      <c r="L52" s="6" t="str">
        <f>IF(Table16[[#This Row],[Category]]="Transportation", "ton", "")</f>
        <v/>
      </c>
      <c r="M52" s="6"/>
      <c r="N52" s="6"/>
      <c r="O52" s="6" t="str">
        <f>IF(OR(Table16[[#This Row],[Type]]="Main Product", Table16[[#This Row],[Type]]="Co-Product"), Table16[[#This Row],[Resource]], "")</f>
        <v/>
      </c>
      <c r="P52" s="6" t="str">
        <f>IF(_xlfn.XLOOKUP($O52,'SI - End Use'!$B$2:$B$82,'SI - End Use'!$C$2:$C$82, "")="", "", _xlfn.XLOOKUP($C52,'SI - End Use'!$B$2:$B$82,'SI - End Use'!$C$2:$C$82, ""))</f>
        <v/>
      </c>
      <c r="Q52" s="6"/>
      <c r="R52" s="6"/>
    </row>
    <row r="53" spans="1:18" x14ac:dyDescent="0.35">
      <c r="A53" s="6"/>
      <c r="B53" s="6"/>
      <c r="C53" s="6" t="str">
        <f>_xlfn.XLOOKUP($B53,'SI - Resources'!$A$1:$J$1,'SI - Resources'!$A$2:$J$2, "")</f>
        <v/>
      </c>
      <c r="D53" s="6" t="str">
        <f>IF(_xlfn.XLOOKUP($C53,'SI - End Use'!$B$2:$B$82,'SI - End Use'!$C$2:$C$82, "")="", "", _xlfn.XLOOKUP($C53,'SI - End Use'!$B$2:$B$82,'SI - End Use'!$C$2:$C$82, ""))</f>
        <v/>
      </c>
      <c r="E53" s="13"/>
      <c r="F53" s="6" t="str" cm="1">
        <f t="array" ref="F53">IF($B53="Transportation",  'SI - Units'!$B$9:$B$9, _xlfn.XLOOKUP(_xlfn.XLOOKUP($C53,'SI - Units'!$B$24:$B$106,'SI - Units'!$C$24:$C$106, ""),'SI - Units'!$A$2:$A$8,'SI - Units'!$B$2:$B$8, ""))</f>
        <v/>
      </c>
      <c r="G53" s="27"/>
      <c r="H53" s="27"/>
      <c r="I53" s="31" t="str">
        <f>IF(Table16[[#This Row],[Type]]="Co-product", "No", "")</f>
        <v/>
      </c>
      <c r="J53" s="6"/>
      <c r="K53" s="6" t="str">
        <f>IF(Table16[[#This Row],[Category]]="Transportation", _xlfn.XLOOKUP(Table16[[#This Row],[Resource]], 'SI - Payload'!$A$10:$A$38,'SI - Payload'!$B$10:$B$38,"",0), "")</f>
        <v/>
      </c>
      <c r="L53" s="6" t="str">
        <f>IF(Table16[[#This Row],[Category]]="Transportation", "ton", "")</f>
        <v/>
      </c>
      <c r="M53" s="6"/>
      <c r="N53" s="6"/>
      <c r="O53" s="6" t="str">
        <f>IF(OR(Table16[[#This Row],[Type]]="Main Product", Table16[[#This Row],[Type]]="Co-Product"), Table16[[#This Row],[Resource]], "")</f>
        <v/>
      </c>
      <c r="P53" s="6" t="str">
        <f>IF(_xlfn.XLOOKUP($O53,'SI - End Use'!$B$2:$B$82,'SI - End Use'!$C$2:$C$82, "")="", "", _xlfn.XLOOKUP($C53,'SI - End Use'!$B$2:$B$82,'SI - End Use'!$C$2:$C$82, ""))</f>
        <v/>
      </c>
      <c r="Q53" s="6"/>
      <c r="R53" s="6"/>
    </row>
    <row r="54" spans="1:18" x14ac:dyDescent="0.35">
      <c r="A54" s="6"/>
      <c r="B54" s="6"/>
      <c r="C54" s="6" t="str">
        <f>_xlfn.XLOOKUP($B54,'SI - Resources'!$A$1:$J$1,'SI - Resources'!$A$2:$J$2, "")</f>
        <v/>
      </c>
      <c r="D54" s="6" t="str">
        <f>IF(_xlfn.XLOOKUP($C54,'SI - End Use'!$B$2:$B$82,'SI - End Use'!$C$2:$C$82, "")="", "", _xlfn.XLOOKUP($C54,'SI - End Use'!$B$2:$B$82,'SI - End Use'!$C$2:$C$82, ""))</f>
        <v/>
      </c>
      <c r="E54" s="13"/>
      <c r="F54" s="6" t="str" cm="1">
        <f t="array" ref="F54">IF($B54="Transportation",  'SI - Units'!$B$9:$B$9, _xlfn.XLOOKUP(_xlfn.XLOOKUP($C54,'SI - Units'!$B$24:$B$106,'SI - Units'!$C$24:$C$106, ""),'SI - Units'!$A$2:$A$8,'SI - Units'!$B$2:$B$8, ""))</f>
        <v/>
      </c>
      <c r="G54" s="27"/>
      <c r="H54" s="27"/>
      <c r="I54" s="31" t="str">
        <f>IF(Table16[[#This Row],[Type]]="Co-product", "No", "")</f>
        <v/>
      </c>
      <c r="J54" s="6"/>
      <c r="K54" s="6" t="str">
        <f>IF(Table16[[#This Row],[Category]]="Transportation", _xlfn.XLOOKUP(Table16[[#This Row],[Resource]], 'SI - Payload'!$A$10:$A$38,'SI - Payload'!$B$10:$B$38,"",0), "")</f>
        <v/>
      </c>
      <c r="L54" s="6" t="str">
        <f>IF(Table16[[#This Row],[Category]]="Transportation", "ton", "")</f>
        <v/>
      </c>
      <c r="M54" s="6"/>
      <c r="N54" s="6"/>
      <c r="O54" s="6" t="str">
        <f>IF(OR(Table16[[#This Row],[Type]]="Main Product", Table16[[#This Row],[Type]]="Co-Product"), Table16[[#This Row],[Resource]], "")</f>
        <v/>
      </c>
      <c r="P54" s="6" t="str">
        <f>IF(_xlfn.XLOOKUP($O54,'SI - End Use'!$B$2:$B$82,'SI - End Use'!$C$2:$C$82, "")="", "", _xlfn.XLOOKUP($C54,'SI - End Use'!$B$2:$B$82,'SI - End Use'!$C$2:$C$82, ""))</f>
        <v/>
      </c>
      <c r="Q54" s="6"/>
      <c r="R54" s="6"/>
    </row>
    <row r="55" spans="1:18" x14ac:dyDescent="0.35">
      <c r="A55" s="6"/>
      <c r="B55" s="6"/>
      <c r="C55" s="6" t="str">
        <f>_xlfn.XLOOKUP($B55,'SI - Resources'!$A$1:$J$1,'SI - Resources'!$A$2:$J$2, "")</f>
        <v/>
      </c>
      <c r="D55" s="6" t="str">
        <f>IF(_xlfn.XLOOKUP($C55,'SI - End Use'!$B$2:$B$82,'SI - End Use'!$C$2:$C$82, "")="", "", _xlfn.XLOOKUP($C55,'SI - End Use'!$B$2:$B$82,'SI - End Use'!$C$2:$C$82, ""))</f>
        <v/>
      </c>
      <c r="E55" s="13"/>
      <c r="F55" s="6" t="str" cm="1">
        <f t="array" ref="F55">IF($B55="Transportation",  'SI - Units'!$B$9:$B$9, _xlfn.XLOOKUP(_xlfn.XLOOKUP($C55,'SI - Units'!$B$24:$B$106,'SI - Units'!$C$24:$C$106, ""),'SI - Units'!$A$2:$A$8,'SI - Units'!$B$2:$B$8, ""))</f>
        <v/>
      </c>
      <c r="G55" s="27"/>
      <c r="H55" s="27"/>
      <c r="I55" s="31" t="str">
        <f>IF(Table16[[#This Row],[Type]]="Co-product", "No", "")</f>
        <v/>
      </c>
      <c r="J55" s="6"/>
      <c r="K55" s="6" t="str">
        <f>IF(Table16[[#This Row],[Category]]="Transportation", _xlfn.XLOOKUP(Table16[[#This Row],[Resource]], 'SI - Payload'!$A$10:$A$38,'SI - Payload'!$B$10:$B$38,"",0), "")</f>
        <v/>
      </c>
      <c r="L55" s="6" t="str">
        <f>IF(Table16[[#This Row],[Category]]="Transportation", "ton", "")</f>
        <v/>
      </c>
      <c r="M55" s="6"/>
      <c r="N55" s="6"/>
      <c r="O55" s="6" t="str">
        <f>IF(OR(Table16[[#This Row],[Type]]="Main Product", Table16[[#This Row],[Type]]="Co-Product"), Table16[[#This Row],[Resource]], "")</f>
        <v/>
      </c>
      <c r="P55" s="6" t="str">
        <f>IF(_xlfn.XLOOKUP($O55,'SI - End Use'!$B$2:$B$82,'SI - End Use'!$C$2:$C$82, "")="", "", _xlfn.XLOOKUP($C55,'SI - End Use'!$B$2:$B$82,'SI - End Use'!$C$2:$C$82, ""))</f>
        <v/>
      </c>
      <c r="Q55" s="6"/>
      <c r="R55" s="6"/>
    </row>
    <row r="56" spans="1:18" x14ac:dyDescent="0.35">
      <c r="A56" s="6"/>
      <c r="B56" s="6"/>
      <c r="C56" s="6" t="str">
        <f>_xlfn.XLOOKUP($B56,'SI - Resources'!$A$1:$J$1,'SI - Resources'!$A$2:$J$2, "")</f>
        <v/>
      </c>
      <c r="D56" s="6" t="str">
        <f>IF(_xlfn.XLOOKUP($C56,'SI - End Use'!$B$2:$B$82,'SI - End Use'!$C$2:$C$82, "")="", "", _xlfn.XLOOKUP($C56,'SI - End Use'!$B$2:$B$82,'SI - End Use'!$C$2:$C$82, ""))</f>
        <v/>
      </c>
      <c r="E56" s="13"/>
      <c r="F56" s="6" t="str" cm="1">
        <f t="array" ref="F56">IF($B56="Transportation",  'SI - Units'!$B$9:$B$9, _xlfn.XLOOKUP(_xlfn.XLOOKUP($C56,'SI - Units'!$B$24:$B$106,'SI - Units'!$C$24:$C$106, ""),'SI - Units'!$A$2:$A$8,'SI - Units'!$B$2:$B$8, ""))</f>
        <v/>
      </c>
      <c r="G56" s="27"/>
      <c r="H56" s="27"/>
      <c r="I56" s="31" t="str">
        <f>IF(Table16[[#This Row],[Type]]="Co-product", "No", "")</f>
        <v/>
      </c>
      <c r="J56" s="6"/>
      <c r="K56" s="6" t="str">
        <f>IF(Table16[[#This Row],[Category]]="Transportation", _xlfn.XLOOKUP(Table16[[#This Row],[Resource]], 'SI - Payload'!$A$10:$A$38,'SI - Payload'!$B$10:$B$38,"",0), "")</f>
        <v/>
      </c>
      <c r="L56" s="6" t="str">
        <f>IF(Table16[[#This Row],[Category]]="Transportation", "ton", "")</f>
        <v/>
      </c>
      <c r="M56" s="6"/>
      <c r="N56" s="6"/>
      <c r="O56" s="6" t="str">
        <f>IF(OR(Table16[[#This Row],[Type]]="Main Product", Table16[[#This Row],[Type]]="Co-Product"), Table16[[#This Row],[Resource]], "")</f>
        <v/>
      </c>
      <c r="P56" s="6" t="str">
        <f>IF(_xlfn.XLOOKUP($O56,'SI - End Use'!$B$2:$B$82,'SI - End Use'!$C$2:$C$82, "")="", "", _xlfn.XLOOKUP($C56,'SI - End Use'!$B$2:$B$82,'SI - End Use'!$C$2:$C$82, ""))</f>
        <v/>
      </c>
      <c r="Q56" s="6"/>
      <c r="R56" s="6"/>
    </row>
    <row r="57" spans="1:18" x14ac:dyDescent="0.35">
      <c r="A57" s="6"/>
      <c r="B57" s="6"/>
      <c r="C57" s="6" t="str">
        <f>_xlfn.XLOOKUP($B57,'SI - Resources'!$A$1:$J$1,'SI - Resources'!$A$2:$J$2, "")</f>
        <v/>
      </c>
      <c r="D57" s="6" t="str">
        <f>IF(_xlfn.XLOOKUP($C57,'SI - End Use'!$B$2:$B$82,'SI - End Use'!$C$2:$C$82, "")="", "", _xlfn.XLOOKUP($C57,'SI - End Use'!$B$2:$B$82,'SI - End Use'!$C$2:$C$82, ""))</f>
        <v/>
      </c>
      <c r="E57" s="13"/>
      <c r="F57" s="6" t="str" cm="1">
        <f t="array" ref="F57">IF($B57="Transportation",  'SI - Units'!$B$9:$B$9, _xlfn.XLOOKUP(_xlfn.XLOOKUP($C57,'SI - Units'!$B$24:$B$106,'SI - Units'!$C$24:$C$106, ""),'SI - Units'!$A$2:$A$8,'SI - Units'!$B$2:$B$8, ""))</f>
        <v/>
      </c>
      <c r="G57" s="27"/>
      <c r="H57" s="27"/>
      <c r="I57" s="31" t="str">
        <f>IF(Table16[[#This Row],[Type]]="Co-product", "No", "")</f>
        <v/>
      </c>
      <c r="J57" s="6"/>
      <c r="K57" s="6" t="str">
        <f>IF(Table16[[#This Row],[Category]]="Transportation", _xlfn.XLOOKUP(Table16[[#This Row],[Resource]], 'SI - Payload'!$A$10:$A$38,'SI - Payload'!$B$10:$B$38,"",0), "")</f>
        <v/>
      </c>
      <c r="L57" s="6" t="str">
        <f>IF(Table16[[#This Row],[Category]]="Transportation", "ton", "")</f>
        <v/>
      </c>
      <c r="M57" s="6"/>
      <c r="N57" s="6"/>
      <c r="O57" s="6" t="str">
        <f>IF(OR(Table16[[#This Row],[Type]]="Main Product", Table16[[#This Row],[Type]]="Co-Product"), Table16[[#This Row],[Resource]], "")</f>
        <v/>
      </c>
      <c r="P57" s="6" t="str">
        <f>IF(_xlfn.XLOOKUP($O57,'SI - End Use'!$B$2:$B$82,'SI - End Use'!$C$2:$C$82, "")="", "", _xlfn.XLOOKUP($C57,'SI - End Use'!$B$2:$B$82,'SI - End Use'!$C$2:$C$82, ""))</f>
        <v/>
      </c>
      <c r="Q57" s="6"/>
      <c r="R57" s="6"/>
    </row>
    <row r="58" spans="1:18" x14ac:dyDescent="0.35">
      <c r="A58" s="6"/>
      <c r="B58" s="6"/>
      <c r="C58" s="6" t="str">
        <f>_xlfn.XLOOKUP($B58,'SI - Resources'!$A$1:$J$1,'SI - Resources'!$A$2:$J$2, "")</f>
        <v/>
      </c>
      <c r="D58" s="6" t="str">
        <f>IF(_xlfn.XLOOKUP($C58,'SI - End Use'!$B$2:$B$82,'SI - End Use'!$C$2:$C$82, "")="", "", _xlfn.XLOOKUP($C58,'SI - End Use'!$B$2:$B$82,'SI - End Use'!$C$2:$C$82, ""))</f>
        <v/>
      </c>
      <c r="E58" s="13"/>
      <c r="F58" s="6" t="str" cm="1">
        <f t="array" ref="F58">IF($B58="Transportation",  'SI - Units'!$B$9:$B$9, _xlfn.XLOOKUP(_xlfn.XLOOKUP($C58,'SI - Units'!$B$24:$B$106,'SI - Units'!$C$24:$C$106, ""),'SI - Units'!$A$2:$A$8,'SI - Units'!$B$2:$B$8, ""))</f>
        <v/>
      </c>
      <c r="G58" s="27"/>
      <c r="H58" s="27"/>
      <c r="I58" s="31" t="str">
        <f>IF(Table16[[#This Row],[Type]]="Co-product", "No", "")</f>
        <v/>
      </c>
      <c r="J58" s="6"/>
      <c r="K58" s="6" t="str">
        <f>IF(Table16[[#This Row],[Category]]="Transportation", _xlfn.XLOOKUP(Table16[[#This Row],[Resource]], 'SI - Payload'!$A$10:$A$38,'SI - Payload'!$B$10:$B$38,"",0), "")</f>
        <v/>
      </c>
      <c r="L58" s="6" t="str">
        <f>IF(Table16[[#This Row],[Category]]="Transportation", "ton", "")</f>
        <v/>
      </c>
      <c r="M58" s="6"/>
      <c r="N58" s="6"/>
      <c r="O58" s="6" t="str">
        <f>IF(OR(Table16[[#This Row],[Type]]="Main Product", Table16[[#This Row],[Type]]="Co-Product"), Table16[[#This Row],[Resource]], "")</f>
        <v/>
      </c>
      <c r="P58" s="6" t="str">
        <f>IF(_xlfn.XLOOKUP($O58,'SI - End Use'!$B$2:$B$82,'SI - End Use'!$C$2:$C$82, "")="", "", _xlfn.XLOOKUP($C58,'SI - End Use'!$B$2:$B$82,'SI - End Use'!$C$2:$C$82, ""))</f>
        <v/>
      </c>
      <c r="Q58" s="6"/>
      <c r="R58" s="6"/>
    </row>
    <row r="59" spans="1:18" x14ac:dyDescent="0.35">
      <c r="A59" s="6"/>
      <c r="B59" s="6"/>
      <c r="C59" s="6" t="str">
        <f>_xlfn.XLOOKUP($B59,'SI - Resources'!$A$1:$J$1,'SI - Resources'!$A$2:$J$2, "")</f>
        <v/>
      </c>
      <c r="D59" s="6" t="str">
        <f>IF(_xlfn.XLOOKUP($C59,'SI - End Use'!$B$2:$B$82,'SI - End Use'!$C$2:$C$82, "")="", "", _xlfn.XLOOKUP($C59,'SI - End Use'!$B$2:$B$82,'SI - End Use'!$C$2:$C$82, ""))</f>
        <v/>
      </c>
      <c r="E59" s="13"/>
      <c r="F59" s="6" t="str" cm="1">
        <f t="array" ref="F59">IF($B59="Transportation",  'SI - Units'!$B$9:$B$9, _xlfn.XLOOKUP(_xlfn.XLOOKUP($C59,'SI - Units'!$B$24:$B$106,'SI - Units'!$C$24:$C$106, ""),'SI - Units'!$A$2:$A$8,'SI - Units'!$B$2:$B$8, ""))</f>
        <v/>
      </c>
      <c r="G59" s="27"/>
      <c r="H59" s="27"/>
      <c r="I59" s="31" t="str">
        <f>IF(Table16[[#This Row],[Type]]="Co-product", "No", "")</f>
        <v/>
      </c>
      <c r="J59" s="6"/>
      <c r="K59" s="6" t="str">
        <f>IF(Table16[[#This Row],[Category]]="Transportation", _xlfn.XLOOKUP(Table16[[#This Row],[Resource]], 'SI - Payload'!$A$10:$A$38,'SI - Payload'!$B$10:$B$38,"",0), "")</f>
        <v/>
      </c>
      <c r="L59" s="6" t="str">
        <f>IF(Table16[[#This Row],[Category]]="Transportation", "ton", "")</f>
        <v/>
      </c>
      <c r="M59" s="6"/>
      <c r="N59" s="6"/>
      <c r="O59" s="6" t="str">
        <f>IF(OR(Table16[[#This Row],[Type]]="Main Product", Table16[[#This Row],[Type]]="Co-Product"), Table16[[#This Row],[Resource]], "")</f>
        <v/>
      </c>
      <c r="P59" s="6" t="str">
        <f>IF(_xlfn.XLOOKUP($O59,'SI - End Use'!$B$2:$B$82,'SI - End Use'!$C$2:$C$82, "")="", "", _xlfn.XLOOKUP($C59,'SI - End Use'!$B$2:$B$82,'SI - End Use'!$C$2:$C$82, ""))</f>
        <v/>
      </c>
      <c r="Q59" s="6"/>
      <c r="R59" s="6"/>
    </row>
    <row r="60" spans="1:18" x14ac:dyDescent="0.35">
      <c r="A60" s="6"/>
      <c r="B60" s="6"/>
      <c r="C60" s="6" t="str">
        <f>_xlfn.XLOOKUP($B60,'SI - Resources'!$A$1:$J$1,'SI - Resources'!$A$2:$J$2, "")</f>
        <v/>
      </c>
      <c r="D60" s="6" t="str">
        <f>IF(_xlfn.XLOOKUP($C60,'SI - End Use'!$B$2:$B$82,'SI - End Use'!$C$2:$C$82, "")="", "", _xlfn.XLOOKUP($C60,'SI - End Use'!$B$2:$B$82,'SI - End Use'!$C$2:$C$82, ""))</f>
        <v/>
      </c>
      <c r="E60" s="13"/>
      <c r="F60" s="6" t="str" cm="1">
        <f t="array" ref="F60">IF($B60="Transportation",  'SI - Units'!$B$9:$B$9, _xlfn.XLOOKUP(_xlfn.XLOOKUP($C60,'SI - Units'!$B$24:$B$106,'SI - Units'!$C$24:$C$106, ""),'SI - Units'!$A$2:$A$8,'SI - Units'!$B$2:$B$8, ""))</f>
        <v/>
      </c>
      <c r="G60" s="27"/>
      <c r="H60" s="27"/>
      <c r="I60" s="31" t="str">
        <f>IF(Table16[[#This Row],[Type]]="Co-product", "No", "")</f>
        <v/>
      </c>
      <c r="J60" s="6"/>
      <c r="K60" s="6" t="str">
        <f>IF(Table16[[#This Row],[Category]]="Transportation", _xlfn.XLOOKUP(Table16[[#This Row],[Resource]], 'SI - Payload'!$A$10:$A$38,'SI - Payload'!$B$10:$B$38,"",0), "")</f>
        <v/>
      </c>
      <c r="L60" s="6" t="str">
        <f>IF(Table16[[#This Row],[Category]]="Transportation", "ton", "")</f>
        <v/>
      </c>
      <c r="M60" s="6"/>
      <c r="N60" s="6"/>
      <c r="O60" s="6" t="str">
        <f>IF(OR(Table16[[#This Row],[Type]]="Main Product", Table16[[#This Row],[Type]]="Co-Product"), Table16[[#This Row],[Resource]], "")</f>
        <v/>
      </c>
      <c r="P60" s="6" t="str">
        <f>IF(_xlfn.XLOOKUP($O60,'SI - End Use'!$B$2:$B$82,'SI - End Use'!$C$2:$C$82, "")="", "", _xlfn.XLOOKUP($C60,'SI - End Use'!$B$2:$B$82,'SI - End Use'!$C$2:$C$82, ""))</f>
        <v/>
      </c>
      <c r="Q60" s="6"/>
      <c r="R60" s="6"/>
    </row>
    <row r="61" spans="1:18" x14ac:dyDescent="0.35">
      <c r="A61" s="6"/>
      <c r="B61" s="6"/>
      <c r="C61" s="6" t="str">
        <f>_xlfn.XLOOKUP($B61,'SI - Resources'!$A$1:$J$1,'SI - Resources'!$A$2:$J$2, "")</f>
        <v/>
      </c>
      <c r="D61" s="6" t="str">
        <f>IF(_xlfn.XLOOKUP($C61,'SI - End Use'!$B$2:$B$82,'SI - End Use'!$C$2:$C$82, "")="", "", _xlfn.XLOOKUP($C61,'SI - End Use'!$B$2:$B$82,'SI - End Use'!$C$2:$C$82, ""))</f>
        <v/>
      </c>
      <c r="E61" s="13"/>
      <c r="F61" s="6" t="str" cm="1">
        <f t="array" ref="F61">IF($B61="Transportation",  'SI - Units'!$B$9:$B$9, _xlfn.XLOOKUP(_xlfn.XLOOKUP($C61,'SI - Units'!$B$24:$B$106,'SI - Units'!$C$24:$C$106, ""),'SI - Units'!$A$2:$A$8,'SI - Units'!$B$2:$B$8, ""))</f>
        <v/>
      </c>
      <c r="G61" s="27"/>
      <c r="H61" s="27"/>
      <c r="I61" s="31" t="str">
        <f>IF(Table16[[#This Row],[Type]]="Co-product", "No", "")</f>
        <v/>
      </c>
      <c r="J61" s="6"/>
      <c r="K61" s="6" t="str">
        <f>IF(Table16[[#This Row],[Category]]="Transportation", _xlfn.XLOOKUP(Table16[[#This Row],[Resource]], 'SI - Payload'!$A$10:$A$38,'SI - Payload'!$B$10:$B$38,"",0), "")</f>
        <v/>
      </c>
      <c r="L61" s="6" t="str">
        <f>IF(Table16[[#This Row],[Category]]="Transportation", "ton", "")</f>
        <v/>
      </c>
      <c r="M61" s="6"/>
      <c r="N61" s="6"/>
      <c r="O61" s="6" t="str">
        <f>IF(OR(Table16[[#This Row],[Type]]="Main Product", Table16[[#This Row],[Type]]="Co-Product"), Table16[[#This Row],[Resource]], "")</f>
        <v/>
      </c>
      <c r="P61" s="6" t="str">
        <f>IF(_xlfn.XLOOKUP($O61,'SI - End Use'!$B$2:$B$82,'SI - End Use'!$C$2:$C$82, "")="", "", _xlfn.XLOOKUP($C61,'SI - End Use'!$B$2:$B$82,'SI - End Use'!$C$2:$C$82, ""))</f>
        <v/>
      </c>
      <c r="Q61" s="6"/>
      <c r="R61" s="6"/>
    </row>
    <row r="62" spans="1:18" x14ac:dyDescent="0.35">
      <c r="A62" s="6"/>
      <c r="B62" s="6"/>
      <c r="C62" s="6" t="str">
        <f>_xlfn.XLOOKUP($B62,'SI - Resources'!$A$1:$J$1,'SI - Resources'!$A$2:$J$2, "")</f>
        <v/>
      </c>
      <c r="D62" s="6" t="str">
        <f>IF(_xlfn.XLOOKUP($C62,'SI - End Use'!$B$2:$B$82,'SI - End Use'!$C$2:$C$82, "")="", "", _xlfn.XLOOKUP($C62,'SI - End Use'!$B$2:$B$82,'SI - End Use'!$C$2:$C$82, ""))</f>
        <v/>
      </c>
      <c r="E62" s="13"/>
      <c r="F62" s="6" t="str" cm="1">
        <f t="array" ref="F62">IF($B62="Transportation",  'SI - Units'!$B$9:$B$9, _xlfn.XLOOKUP(_xlfn.XLOOKUP($C62,'SI - Units'!$B$24:$B$106,'SI - Units'!$C$24:$C$106, ""),'SI - Units'!$A$2:$A$8,'SI - Units'!$B$2:$B$8, ""))</f>
        <v/>
      </c>
      <c r="G62" s="27"/>
      <c r="H62" s="27"/>
      <c r="I62" s="31" t="str">
        <f>IF(Table16[[#This Row],[Type]]="Co-product", "No", "")</f>
        <v/>
      </c>
      <c r="J62" s="6"/>
      <c r="K62" s="6" t="str">
        <f>IF(Table16[[#This Row],[Category]]="Transportation", _xlfn.XLOOKUP(Table16[[#This Row],[Resource]], 'SI - Payload'!$A$10:$A$38,'SI - Payload'!$B$10:$B$38,"",0), "")</f>
        <v/>
      </c>
      <c r="L62" s="6" t="str">
        <f>IF(Table16[[#This Row],[Category]]="Transportation", "ton", "")</f>
        <v/>
      </c>
      <c r="M62" s="6"/>
      <c r="N62" s="6"/>
      <c r="O62" s="6" t="str">
        <f>IF(OR(Table16[[#This Row],[Type]]="Main Product", Table16[[#This Row],[Type]]="Co-Product"), Table16[[#This Row],[Resource]], "")</f>
        <v/>
      </c>
      <c r="P62" s="6" t="str">
        <f>IF(_xlfn.XLOOKUP($O62,'SI - End Use'!$B$2:$B$82,'SI - End Use'!$C$2:$C$82, "")="", "", _xlfn.XLOOKUP($C62,'SI - End Use'!$B$2:$B$82,'SI - End Use'!$C$2:$C$82, ""))</f>
        <v/>
      </c>
      <c r="Q62" s="6"/>
      <c r="R62" s="6"/>
    </row>
    <row r="63" spans="1:18" x14ac:dyDescent="0.35">
      <c r="A63" s="6"/>
      <c r="B63" s="6"/>
      <c r="C63" s="6" t="str">
        <f>_xlfn.XLOOKUP($B63,'SI - Resources'!$A$1:$J$1,'SI - Resources'!$A$2:$J$2, "")</f>
        <v/>
      </c>
      <c r="D63" s="6" t="str">
        <f>IF(_xlfn.XLOOKUP($C63,'SI - End Use'!$B$2:$B$82,'SI - End Use'!$C$2:$C$82, "")="", "", _xlfn.XLOOKUP($C63,'SI - End Use'!$B$2:$B$82,'SI - End Use'!$C$2:$C$82, ""))</f>
        <v/>
      </c>
      <c r="E63" s="13"/>
      <c r="F63" s="6" t="str" cm="1">
        <f t="array" ref="F63">IF($B63="Transportation",  'SI - Units'!$B$9:$B$9, _xlfn.XLOOKUP(_xlfn.XLOOKUP($C63,'SI - Units'!$B$24:$B$106,'SI - Units'!$C$24:$C$106, ""),'SI - Units'!$A$2:$A$8,'SI - Units'!$B$2:$B$8, ""))</f>
        <v/>
      </c>
      <c r="G63" s="27"/>
      <c r="H63" s="27"/>
      <c r="I63" s="31" t="str">
        <f>IF(Table16[[#This Row],[Type]]="Co-product", "No", "")</f>
        <v/>
      </c>
      <c r="J63" s="6"/>
      <c r="K63" s="6" t="str">
        <f>IF(Table16[[#This Row],[Category]]="Transportation", _xlfn.XLOOKUP(Table16[[#This Row],[Resource]], 'SI - Payload'!$A$10:$A$38,'SI - Payload'!$B$10:$B$38,"",0), "")</f>
        <v/>
      </c>
      <c r="L63" s="6" t="str">
        <f>IF(Table16[[#This Row],[Category]]="Transportation", "ton", "")</f>
        <v/>
      </c>
      <c r="M63" s="6"/>
      <c r="N63" s="6"/>
      <c r="O63" s="6" t="str">
        <f>IF(OR(Table16[[#This Row],[Type]]="Main Product", Table16[[#This Row],[Type]]="Co-Product"), Table16[[#This Row],[Resource]], "")</f>
        <v/>
      </c>
      <c r="P63" s="6" t="str">
        <f>IF(_xlfn.XLOOKUP($O63,'SI - End Use'!$B$2:$B$82,'SI - End Use'!$C$2:$C$82, "")="", "", _xlfn.XLOOKUP($C63,'SI - End Use'!$B$2:$B$82,'SI - End Use'!$C$2:$C$82, ""))</f>
        <v/>
      </c>
      <c r="Q63" s="6"/>
      <c r="R63" s="6"/>
    </row>
    <row r="64" spans="1:18" x14ac:dyDescent="0.35">
      <c r="A64" s="6"/>
      <c r="B64" s="6"/>
      <c r="C64" s="6" t="str">
        <f>_xlfn.XLOOKUP($B64,'SI - Resources'!$A$1:$J$1,'SI - Resources'!$A$2:$J$2, "")</f>
        <v/>
      </c>
      <c r="D64" s="6" t="str">
        <f>IF(_xlfn.XLOOKUP($C64,'SI - End Use'!$B$2:$B$82,'SI - End Use'!$C$2:$C$82, "")="", "", _xlfn.XLOOKUP($C64,'SI - End Use'!$B$2:$B$82,'SI - End Use'!$C$2:$C$82, ""))</f>
        <v/>
      </c>
      <c r="E64" s="13"/>
      <c r="F64" s="6" t="str" cm="1">
        <f t="array" ref="F64">IF($B64="Transportation",  'SI - Units'!$B$9:$B$9, _xlfn.XLOOKUP(_xlfn.XLOOKUP($C64,'SI - Units'!$B$24:$B$106,'SI - Units'!$C$24:$C$106, ""),'SI - Units'!$A$2:$A$8,'SI - Units'!$B$2:$B$8, ""))</f>
        <v/>
      </c>
      <c r="G64" s="27"/>
      <c r="H64" s="27"/>
      <c r="I64" s="31" t="str">
        <f>IF(Table16[[#This Row],[Type]]="Co-product", "No", "")</f>
        <v/>
      </c>
      <c r="J64" s="6"/>
      <c r="K64" s="6" t="str">
        <f>IF(Table16[[#This Row],[Category]]="Transportation", _xlfn.XLOOKUP(Table16[[#This Row],[Resource]], 'SI - Payload'!$A$10:$A$38,'SI - Payload'!$B$10:$B$38,"",0), "")</f>
        <v/>
      </c>
      <c r="L64" s="6" t="str">
        <f>IF(Table16[[#This Row],[Category]]="Transportation", "ton", "")</f>
        <v/>
      </c>
      <c r="M64" s="6"/>
      <c r="N64" s="6"/>
      <c r="O64" s="6" t="str">
        <f>IF(OR(Table16[[#This Row],[Type]]="Main Product", Table16[[#This Row],[Type]]="Co-Product"), Table16[[#This Row],[Resource]], "")</f>
        <v/>
      </c>
      <c r="P64" s="6" t="str">
        <f>IF(_xlfn.XLOOKUP($O64,'SI - End Use'!$B$2:$B$82,'SI - End Use'!$C$2:$C$82, "")="", "", _xlfn.XLOOKUP($C64,'SI - End Use'!$B$2:$B$82,'SI - End Use'!$C$2:$C$82, ""))</f>
        <v/>
      </c>
      <c r="Q64" s="6"/>
      <c r="R64" s="6"/>
    </row>
    <row r="65" spans="1:18" x14ac:dyDescent="0.35">
      <c r="A65" s="6"/>
      <c r="B65" s="6"/>
      <c r="C65" s="6" t="str">
        <f>_xlfn.XLOOKUP($B65,'SI - Resources'!$A$1:$J$1,'SI - Resources'!$A$2:$J$2, "")</f>
        <v/>
      </c>
      <c r="D65" s="6" t="str">
        <f>IF(_xlfn.XLOOKUP($C65,'SI - End Use'!$B$2:$B$82,'SI - End Use'!$C$2:$C$82, "")="", "", _xlfn.XLOOKUP($C65,'SI - End Use'!$B$2:$B$82,'SI - End Use'!$C$2:$C$82, ""))</f>
        <v/>
      </c>
      <c r="E65" s="13"/>
      <c r="F65" s="6" t="str" cm="1">
        <f t="array" ref="F65">IF($B65="Transportation",  'SI - Units'!$B$9:$B$9, _xlfn.XLOOKUP(_xlfn.XLOOKUP($C65,'SI - Units'!$B$24:$B$106,'SI - Units'!$C$24:$C$106, ""),'SI - Units'!$A$2:$A$8,'SI - Units'!$B$2:$B$8, ""))</f>
        <v/>
      </c>
      <c r="G65" s="27"/>
      <c r="H65" s="27"/>
      <c r="I65" s="31" t="str">
        <f>IF(Table16[[#This Row],[Type]]="Co-product", "No", "")</f>
        <v/>
      </c>
      <c r="J65" s="6"/>
      <c r="K65" s="6" t="str">
        <f>IF(Table16[[#This Row],[Category]]="Transportation", _xlfn.XLOOKUP(Table16[[#This Row],[Resource]], 'SI - Payload'!$A$10:$A$38,'SI - Payload'!$B$10:$B$38,"",0), "")</f>
        <v/>
      </c>
      <c r="L65" s="6" t="str">
        <f>IF(Table16[[#This Row],[Category]]="Transportation", "ton", "")</f>
        <v/>
      </c>
      <c r="M65" s="6"/>
      <c r="N65" s="6"/>
      <c r="O65" s="6" t="str">
        <f>IF(OR(Table16[[#This Row],[Type]]="Main Product", Table16[[#This Row],[Type]]="Co-Product"), Table16[[#This Row],[Resource]], "")</f>
        <v/>
      </c>
      <c r="P65" s="6" t="str">
        <f>IF(_xlfn.XLOOKUP($O65,'SI - End Use'!$B$2:$B$82,'SI - End Use'!$C$2:$C$82, "")="", "", _xlfn.XLOOKUP($C65,'SI - End Use'!$B$2:$B$82,'SI - End Use'!$C$2:$C$82, ""))</f>
        <v/>
      </c>
      <c r="Q65" s="6"/>
      <c r="R65" s="6"/>
    </row>
    <row r="66" spans="1:18" x14ac:dyDescent="0.35">
      <c r="A66" s="6"/>
      <c r="B66" s="6"/>
      <c r="C66" s="6" t="str">
        <f>_xlfn.XLOOKUP($B66,'SI - Resources'!$A$1:$J$1,'SI - Resources'!$A$2:$J$2, "")</f>
        <v/>
      </c>
      <c r="D66" s="6" t="str">
        <f>IF(_xlfn.XLOOKUP($C66,'SI - End Use'!$B$2:$B$82,'SI - End Use'!$C$2:$C$82, "")="", "", _xlfn.XLOOKUP($C66,'SI - End Use'!$B$2:$B$82,'SI - End Use'!$C$2:$C$82, ""))</f>
        <v/>
      </c>
      <c r="E66" s="13"/>
      <c r="F66" s="6" t="str" cm="1">
        <f t="array" ref="F66">IF($B66="Transportation",  'SI - Units'!$B$9:$B$9, _xlfn.XLOOKUP(_xlfn.XLOOKUP($C66,'SI - Units'!$B$24:$B$106,'SI - Units'!$C$24:$C$106, ""),'SI - Units'!$A$2:$A$8,'SI - Units'!$B$2:$B$8, ""))</f>
        <v/>
      </c>
      <c r="G66" s="27"/>
      <c r="H66" s="27"/>
      <c r="I66" s="31" t="str">
        <f>IF(Table16[[#This Row],[Type]]="Co-product", "No", "")</f>
        <v/>
      </c>
      <c r="J66" s="6"/>
      <c r="K66" s="6" t="str">
        <f>IF(Table16[[#This Row],[Category]]="Transportation", _xlfn.XLOOKUP(Table16[[#This Row],[Resource]], 'SI - Payload'!$A$10:$A$38,'SI - Payload'!$B$10:$B$38,"",0), "")</f>
        <v/>
      </c>
      <c r="L66" s="6" t="str">
        <f>IF(Table16[[#This Row],[Category]]="Transportation", "ton", "")</f>
        <v/>
      </c>
      <c r="M66" s="6"/>
      <c r="N66" s="6"/>
      <c r="O66" s="6" t="str">
        <f>IF(OR(Table16[[#This Row],[Type]]="Main Product", Table16[[#This Row],[Type]]="Co-Product"), Table16[[#This Row],[Resource]], "")</f>
        <v/>
      </c>
      <c r="P66" s="6" t="str">
        <f>IF(_xlfn.XLOOKUP($O66,'SI - End Use'!$B$2:$B$82,'SI - End Use'!$C$2:$C$82, "")="", "", _xlfn.XLOOKUP($C66,'SI - End Use'!$B$2:$B$82,'SI - End Use'!$C$2:$C$82, ""))</f>
        <v/>
      </c>
      <c r="Q66" s="6"/>
      <c r="R66" s="6"/>
    </row>
    <row r="67" spans="1:18" x14ac:dyDescent="0.35">
      <c r="A67" s="6"/>
      <c r="B67" s="6"/>
      <c r="C67" s="6" t="str">
        <f>_xlfn.XLOOKUP($B67,'SI - Resources'!$A$1:$J$1,'SI - Resources'!$A$2:$J$2, "")</f>
        <v/>
      </c>
      <c r="D67" s="6" t="str">
        <f>IF(_xlfn.XLOOKUP($C67,'SI - End Use'!$B$2:$B$82,'SI - End Use'!$C$2:$C$82, "")="", "", _xlfn.XLOOKUP($C67,'SI - End Use'!$B$2:$B$82,'SI - End Use'!$C$2:$C$82, ""))</f>
        <v/>
      </c>
      <c r="E67" s="13"/>
      <c r="F67" s="6" t="str" cm="1">
        <f t="array" ref="F67">IF($B67="Transportation",  'SI - Units'!$B$9:$B$9, _xlfn.XLOOKUP(_xlfn.XLOOKUP($C67,'SI - Units'!$B$24:$B$106,'SI - Units'!$C$24:$C$106, ""),'SI - Units'!$A$2:$A$8,'SI - Units'!$B$2:$B$8, ""))</f>
        <v/>
      </c>
      <c r="G67" s="27"/>
      <c r="H67" s="27"/>
      <c r="I67" s="31" t="str">
        <f>IF(Table16[[#This Row],[Type]]="Co-product", "No", "")</f>
        <v/>
      </c>
      <c r="J67" s="6"/>
      <c r="K67" s="6" t="str">
        <f>IF(Table16[[#This Row],[Category]]="Transportation", _xlfn.XLOOKUP(Table16[[#This Row],[Resource]], 'SI - Payload'!$A$10:$A$38,'SI - Payload'!$B$10:$B$38,"",0), "")</f>
        <v/>
      </c>
      <c r="L67" s="6" t="str">
        <f>IF(Table16[[#This Row],[Category]]="Transportation", "ton", "")</f>
        <v/>
      </c>
      <c r="M67" s="6"/>
      <c r="N67" s="6"/>
      <c r="O67" s="6" t="str">
        <f>IF(OR(Table16[[#This Row],[Type]]="Main Product", Table16[[#This Row],[Type]]="Co-Product"), Table16[[#This Row],[Resource]], "")</f>
        <v/>
      </c>
      <c r="P67" s="6" t="str">
        <f>IF(_xlfn.XLOOKUP($O67,'SI - End Use'!$B$2:$B$82,'SI - End Use'!$C$2:$C$82, "")="", "", _xlfn.XLOOKUP($C67,'SI - End Use'!$B$2:$B$82,'SI - End Use'!$C$2:$C$82, ""))</f>
        <v/>
      </c>
      <c r="Q67" s="6"/>
      <c r="R67" s="6"/>
    </row>
    <row r="68" spans="1:18" x14ac:dyDescent="0.35">
      <c r="A68" s="6"/>
      <c r="B68" s="6"/>
      <c r="C68" s="6" t="str">
        <f>_xlfn.XLOOKUP($B68,'SI - Resources'!$A$1:$J$1,'SI - Resources'!$A$2:$J$2, "")</f>
        <v/>
      </c>
      <c r="D68" s="6" t="str">
        <f>IF(_xlfn.XLOOKUP($C68,'SI - End Use'!$B$2:$B$82,'SI - End Use'!$C$2:$C$82, "")="", "", _xlfn.XLOOKUP($C68,'SI - End Use'!$B$2:$B$82,'SI - End Use'!$C$2:$C$82, ""))</f>
        <v/>
      </c>
      <c r="E68" s="13"/>
      <c r="F68" s="6" t="str" cm="1">
        <f t="array" ref="F68">IF($B68="Transportation",  'SI - Units'!$B$9:$B$9, _xlfn.XLOOKUP(_xlfn.XLOOKUP($C68,'SI - Units'!$B$24:$B$106,'SI - Units'!$C$24:$C$106, ""),'SI - Units'!$A$2:$A$8,'SI - Units'!$B$2:$B$8, ""))</f>
        <v/>
      </c>
      <c r="G68" s="27"/>
      <c r="H68" s="27"/>
      <c r="I68" s="31" t="str">
        <f>IF(Table16[[#This Row],[Type]]="Co-product", "No", "")</f>
        <v/>
      </c>
      <c r="J68" s="6"/>
      <c r="K68" s="6" t="str">
        <f>IF(Table16[[#This Row],[Category]]="Transportation", _xlfn.XLOOKUP(Table16[[#This Row],[Resource]], 'SI - Payload'!$A$10:$A$38,'SI - Payload'!$B$10:$B$38,"",0), "")</f>
        <v/>
      </c>
      <c r="L68" s="6" t="str">
        <f>IF(Table16[[#This Row],[Category]]="Transportation", "ton", "")</f>
        <v/>
      </c>
      <c r="M68" s="6"/>
      <c r="N68" s="6"/>
      <c r="O68" s="6" t="str">
        <f>IF(OR(Table16[[#This Row],[Type]]="Main Product", Table16[[#This Row],[Type]]="Co-Product"), Table16[[#This Row],[Resource]], "")</f>
        <v/>
      </c>
      <c r="P68" s="6" t="str">
        <f>IF(_xlfn.XLOOKUP($O68,'SI - End Use'!$B$2:$B$82,'SI - End Use'!$C$2:$C$82, "")="", "", _xlfn.XLOOKUP($C68,'SI - End Use'!$B$2:$B$82,'SI - End Use'!$C$2:$C$82, ""))</f>
        <v/>
      </c>
      <c r="Q68" s="6"/>
      <c r="R68" s="6"/>
    </row>
    <row r="69" spans="1:18" x14ac:dyDescent="0.35">
      <c r="A69" s="6"/>
      <c r="B69" s="6"/>
      <c r="C69" s="6" t="str">
        <f>_xlfn.XLOOKUP($B69,'SI - Resources'!$A$1:$J$1,'SI - Resources'!$A$2:$J$2, "")</f>
        <v/>
      </c>
      <c r="D69" s="6" t="str">
        <f>IF(_xlfn.XLOOKUP($C69,'SI - End Use'!$B$2:$B$82,'SI - End Use'!$C$2:$C$82, "")="", "", _xlfn.XLOOKUP($C69,'SI - End Use'!$B$2:$B$82,'SI - End Use'!$C$2:$C$82, ""))</f>
        <v/>
      </c>
      <c r="E69" s="13"/>
      <c r="F69" s="6" t="str" cm="1">
        <f t="array" ref="F69">IF($B69="Transportation",  'SI - Units'!$B$9:$B$9, _xlfn.XLOOKUP(_xlfn.XLOOKUP($C69,'SI - Units'!$B$24:$B$106,'SI - Units'!$C$24:$C$106, ""),'SI - Units'!$A$2:$A$8,'SI - Units'!$B$2:$B$8, ""))</f>
        <v/>
      </c>
      <c r="G69" s="27"/>
      <c r="H69" s="27"/>
      <c r="I69" s="31" t="str">
        <f>IF(Table16[[#This Row],[Type]]="Co-product", "No", "")</f>
        <v/>
      </c>
      <c r="J69" s="6"/>
      <c r="K69" s="6" t="str">
        <f>IF(Table16[[#This Row],[Category]]="Transportation", _xlfn.XLOOKUP(Table16[[#This Row],[Resource]], 'SI - Payload'!$A$10:$A$38,'SI - Payload'!$B$10:$B$38,"",0), "")</f>
        <v/>
      </c>
      <c r="L69" s="6" t="str">
        <f>IF(Table16[[#This Row],[Category]]="Transportation", "ton", "")</f>
        <v/>
      </c>
      <c r="M69" s="6"/>
      <c r="N69" s="6"/>
      <c r="O69" s="6" t="str">
        <f>IF(OR(Table16[[#This Row],[Type]]="Main Product", Table16[[#This Row],[Type]]="Co-Product"), Table16[[#This Row],[Resource]], "")</f>
        <v/>
      </c>
      <c r="P69" s="6" t="str">
        <f>IF(_xlfn.XLOOKUP($O69,'SI - End Use'!$B$2:$B$82,'SI - End Use'!$C$2:$C$82, "")="", "", _xlfn.XLOOKUP($C69,'SI - End Use'!$B$2:$B$82,'SI - End Use'!$C$2:$C$82, ""))</f>
        <v/>
      </c>
      <c r="Q69" s="6"/>
      <c r="R69" s="6"/>
    </row>
    <row r="70" spans="1:18" x14ac:dyDescent="0.35">
      <c r="A70" s="6"/>
      <c r="B70" s="6"/>
      <c r="C70" s="6" t="str">
        <f>_xlfn.XLOOKUP($B70,'SI - Resources'!$A$1:$J$1,'SI - Resources'!$A$2:$J$2, "")</f>
        <v/>
      </c>
      <c r="D70" s="6" t="str">
        <f>IF(_xlfn.XLOOKUP($C70,'SI - End Use'!$B$2:$B$82,'SI - End Use'!$C$2:$C$82, "")="", "", _xlfn.XLOOKUP($C70,'SI - End Use'!$B$2:$B$82,'SI - End Use'!$C$2:$C$82, ""))</f>
        <v/>
      </c>
      <c r="E70" s="13"/>
      <c r="F70" s="6" t="str" cm="1">
        <f t="array" ref="F70">IF($B70="Transportation",  'SI - Units'!$B$9:$B$9, _xlfn.XLOOKUP(_xlfn.XLOOKUP($C70,'SI - Units'!$B$24:$B$106,'SI - Units'!$C$24:$C$106, ""),'SI - Units'!$A$2:$A$8,'SI - Units'!$B$2:$B$8, ""))</f>
        <v/>
      </c>
      <c r="G70" s="27"/>
      <c r="H70" s="27"/>
      <c r="I70" s="31" t="str">
        <f>IF(Table16[[#This Row],[Type]]="Co-product", "No", "")</f>
        <v/>
      </c>
      <c r="J70" s="6"/>
      <c r="K70" s="6" t="str">
        <f>IF(Table16[[#This Row],[Category]]="Transportation", _xlfn.XLOOKUP(Table16[[#This Row],[Resource]], 'SI - Payload'!$A$10:$A$38,'SI - Payload'!$B$10:$B$38,"",0), "")</f>
        <v/>
      </c>
      <c r="L70" s="6" t="str">
        <f>IF(Table16[[#This Row],[Category]]="Transportation", "ton", "")</f>
        <v/>
      </c>
      <c r="M70" s="6"/>
      <c r="N70" s="6"/>
      <c r="O70" s="6" t="str">
        <f>IF(OR(Table16[[#This Row],[Type]]="Main Product", Table16[[#This Row],[Type]]="Co-Product"), Table16[[#This Row],[Resource]], "")</f>
        <v/>
      </c>
      <c r="P70" s="6" t="str">
        <f>IF(_xlfn.XLOOKUP($O70,'SI - End Use'!$B$2:$B$82,'SI - End Use'!$C$2:$C$82, "")="", "", _xlfn.XLOOKUP($C70,'SI - End Use'!$B$2:$B$82,'SI - End Use'!$C$2:$C$82, ""))</f>
        <v/>
      </c>
      <c r="Q70" s="6"/>
      <c r="R70" s="6"/>
    </row>
    <row r="71" spans="1:18" x14ac:dyDescent="0.35">
      <c r="A71" s="6"/>
      <c r="B71" s="6"/>
      <c r="C71" s="6" t="str">
        <f>_xlfn.XLOOKUP($B71,'SI - Resources'!$A$1:$J$1,'SI - Resources'!$A$2:$J$2, "")</f>
        <v/>
      </c>
      <c r="D71" s="6" t="str">
        <f>IF(_xlfn.XLOOKUP($C71,'SI - End Use'!$B$2:$B$82,'SI - End Use'!$C$2:$C$82, "")="", "", _xlfn.XLOOKUP($C71,'SI - End Use'!$B$2:$B$82,'SI - End Use'!$C$2:$C$82, ""))</f>
        <v/>
      </c>
      <c r="E71" s="13"/>
      <c r="F71" s="6" t="str" cm="1">
        <f t="array" ref="F71">IF($B71="Transportation",  'SI - Units'!$B$9:$B$9, _xlfn.XLOOKUP(_xlfn.XLOOKUP($C71,'SI - Units'!$B$24:$B$106,'SI - Units'!$C$24:$C$106, ""),'SI - Units'!$A$2:$A$8,'SI - Units'!$B$2:$B$8, ""))</f>
        <v/>
      </c>
      <c r="G71" s="27"/>
      <c r="H71" s="27"/>
      <c r="I71" s="31" t="str">
        <f>IF(Table16[[#This Row],[Type]]="Co-product", "No", "")</f>
        <v/>
      </c>
      <c r="J71" s="6"/>
      <c r="K71" s="6" t="str">
        <f>IF(Table16[[#This Row],[Category]]="Transportation", _xlfn.XLOOKUP(Table16[[#This Row],[Resource]], 'SI - Payload'!$A$10:$A$38,'SI - Payload'!$B$10:$B$38,"",0), "")</f>
        <v/>
      </c>
      <c r="L71" s="6" t="str">
        <f>IF(Table16[[#This Row],[Category]]="Transportation", "ton", "")</f>
        <v/>
      </c>
      <c r="M71" s="6"/>
      <c r="N71" s="6"/>
      <c r="O71" s="6" t="str">
        <f>IF(OR(Table16[[#This Row],[Type]]="Main Product", Table16[[#This Row],[Type]]="Co-Product"), Table16[[#This Row],[Resource]], "")</f>
        <v/>
      </c>
      <c r="P71" s="6" t="str">
        <f>IF(_xlfn.XLOOKUP($O71,'SI - End Use'!$B$2:$B$82,'SI - End Use'!$C$2:$C$82, "")="", "", _xlfn.XLOOKUP($C71,'SI - End Use'!$B$2:$B$82,'SI - End Use'!$C$2:$C$82, ""))</f>
        <v/>
      </c>
      <c r="Q71" s="6"/>
      <c r="R71" s="6"/>
    </row>
    <row r="72" spans="1:18" x14ac:dyDescent="0.35">
      <c r="A72" s="6"/>
      <c r="B72" s="6"/>
      <c r="C72" s="6" t="str">
        <f>_xlfn.XLOOKUP($B72,'SI - Resources'!$A$1:$J$1,'SI - Resources'!$A$2:$J$2, "")</f>
        <v/>
      </c>
      <c r="D72" s="6" t="str">
        <f>IF(_xlfn.XLOOKUP($C72,'SI - End Use'!$B$2:$B$82,'SI - End Use'!$C$2:$C$82, "")="", "", _xlfn.XLOOKUP($C72,'SI - End Use'!$B$2:$B$82,'SI - End Use'!$C$2:$C$82, ""))</f>
        <v/>
      </c>
      <c r="E72" s="13"/>
      <c r="F72" s="6" t="str" cm="1">
        <f t="array" ref="F72">IF($B72="Transportation",  'SI - Units'!$B$9:$B$9, _xlfn.XLOOKUP(_xlfn.XLOOKUP($C72,'SI - Units'!$B$24:$B$106,'SI - Units'!$C$24:$C$106, ""),'SI - Units'!$A$2:$A$8,'SI - Units'!$B$2:$B$8, ""))</f>
        <v/>
      </c>
      <c r="G72" s="27"/>
      <c r="H72" s="27"/>
      <c r="I72" s="31" t="str">
        <f>IF(Table16[[#This Row],[Type]]="Co-product", "No", "")</f>
        <v/>
      </c>
      <c r="J72" s="6"/>
      <c r="K72" s="6" t="str">
        <f>IF(Table16[[#This Row],[Category]]="Transportation", _xlfn.XLOOKUP(Table16[[#This Row],[Resource]], 'SI - Payload'!$A$10:$A$38,'SI - Payload'!$B$10:$B$38,"",0), "")</f>
        <v/>
      </c>
      <c r="L72" s="6" t="str">
        <f>IF(Table16[[#This Row],[Category]]="Transportation", "ton", "")</f>
        <v/>
      </c>
      <c r="M72" s="6"/>
      <c r="N72" s="6"/>
      <c r="O72" s="6" t="str">
        <f>IF(OR(Table16[[#This Row],[Type]]="Main Product", Table16[[#This Row],[Type]]="Co-Product"), Table16[[#This Row],[Resource]], "")</f>
        <v/>
      </c>
      <c r="P72" s="6" t="str">
        <f>IF(_xlfn.XLOOKUP($O72,'SI - End Use'!$B$2:$B$82,'SI - End Use'!$C$2:$C$82, "")="", "", _xlfn.XLOOKUP($C72,'SI - End Use'!$B$2:$B$82,'SI - End Use'!$C$2:$C$82, ""))</f>
        <v/>
      </c>
      <c r="Q72" s="6"/>
      <c r="R72" s="6"/>
    </row>
    <row r="73" spans="1:18" x14ac:dyDescent="0.35">
      <c r="A73" s="6"/>
      <c r="B73" s="6"/>
      <c r="C73" s="6" t="str">
        <f>_xlfn.XLOOKUP($B73,'SI - Resources'!$A$1:$J$1,'SI - Resources'!$A$2:$J$2, "")</f>
        <v/>
      </c>
      <c r="D73" s="6" t="str">
        <f>IF(_xlfn.XLOOKUP($C73,'SI - End Use'!$B$2:$B$82,'SI - End Use'!$C$2:$C$82, "")="", "", _xlfn.XLOOKUP($C73,'SI - End Use'!$B$2:$B$82,'SI - End Use'!$C$2:$C$82, ""))</f>
        <v/>
      </c>
      <c r="E73" s="13"/>
      <c r="F73" s="6" t="str" cm="1">
        <f t="array" ref="F73">IF($B73="Transportation",  'SI - Units'!$B$9:$B$9, _xlfn.XLOOKUP(_xlfn.XLOOKUP($C73,'SI - Units'!$B$24:$B$106,'SI - Units'!$C$24:$C$106, ""),'SI - Units'!$A$2:$A$8,'SI - Units'!$B$2:$B$8, ""))</f>
        <v/>
      </c>
      <c r="G73" s="27"/>
      <c r="H73" s="27"/>
      <c r="I73" s="31" t="str">
        <f>IF(Table16[[#This Row],[Type]]="Co-product", "No", "")</f>
        <v/>
      </c>
      <c r="J73" s="6"/>
      <c r="K73" s="6" t="str">
        <f>IF(Table16[[#This Row],[Category]]="Transportation", _xlfn.XLOOKUP(Table16[[#This Row],[Resource]], 'SI - Payload'!$A$10:$A$38,'SI - Payload'!$B$10:$B$38,"",0), "")</f>
        <v/>
      </c>
      <c r="L73" s="6" t="str">
        <f>IF(Table16[[#This Row],[Category]]="Transportation", "ton", "")</f>
        <v/>
      </c>
      <c r="M73" s="6"/>
      <c r="N73" s="6"/>
      <c r="O73" s="6" t="str">
        <f>IF(OR(Table16[[#This Row],[Type]]="Main Product", Table16[[#This Row],[Type]]="Co-Product"), Table16[[#This Row],[Resource]], "")</f>
        <v/>
      </c>
      <c r="P73" s="6" t="str">
        <f>IF(_xlfn.XLOOKUP($O73,'SI - End Use'!$B$2:$B$82,'SI - End Use'!$C$2:$C$82, "")="", "", _xlfn.XLOOKUP($C73,'SI - End Use'!$B$2:$B$82,'SI - End Use'!$C$2:$C$82, ""))</f>
        <v/>
      </c>
      <c r="Q73" s="6"/>
      <c r="R73" s="6"/>
    </row>
    <row r="74" spans="1:18" x14ac:dyDescent="0.35">
      <c r="A74" s="6"/>
      <c r="B74" s="6"/>
      <c r="C74" s="6" t="str">
        <f>_xlfn.XLOOKUP($B74,'SI - Resources'!$A$1:$J$1,'SI - Resources'!$A$2:$J$2, "")</f>
        <v/>
      </c>
      <c r="D74" s="6" t="str">
        <f>IF(_xlfn.XLOOKUP($C74,'SI - End Use'!$B$2:$B$82,'SI - End Use'!$C$2:$C$82, "")="", "", _xlfn.XLOOKUP($C74,'SI - End Use'!$B$2:$B$82,'SI - End Use'!$C$2:$C$82, ""))</f>
        <v/>
      </c>
      <c r="E74" s="13"/>
      <c r="F74" s="6" t="str" cm="1">
        <f t="array" ref="F74">IF($B74="Transportation",  'SI - Units'!$B$9:$B$9, _xlfn.XLOOKUP(_xlfn.XLOOKUP($C74,'SI - Units'!$B$24:$B$106,'SI - Units'!$C$24:$C$106, ""),'SI - Units'!$A$2:$A$8,'SI - Units'!$B$2:$B$8, ""))</f>
        <v/>
      </c>
      <c r="G74" s="27"/>
      <c r="H74" s="27"/>
      <c r="I74" s="31" t="str">
        <f>IF(Table16[[#This Row],[Type]]="Co-product", "No", "")</f>
        <v/>
      </c>
      <c r="J74" s="6"/>
      <c r="K74" s="6" t="str">
        <f>IF(Table16[[#This Row],[Category]]="Transportation", _xlfn.XLOOKUP(Table16[[#This Row],[Resource]], 'SI - Payload'!$A$10:$A$38,'SI - Payload'!$B$10:$B$38,"",0), "")</f>
        <v/>
      </c>
      <c r="L74" s="6" t="str">
        <f>IF(Table16[[#This Row],[Category]]="Transportation", "ton", "")</f>
        <v/>
      </c>
      <c r="M74" s="6"/>
      <c r="N74" s="6"/>
      <c r="O74" s="6" t="str">
        <f>IF(OR(Table16[[#This Row],[Type]]="Main Product", Table16[[#This Row],[Type]]="Co-Product"), Table16[[#This Row],[Resource]], "")</f>
        <v/>
      </c>
      <c r="P74" s="6" t="str">
        <f>IF(_xlfn.XLOOKUP($O74,'SI - End Use'!$B$2:$B$82,'SI - End Use'!$C$2:$C$82, "")="", "", _xlfn.XLOOKUP($C74,'SI - End Use'!$B$2:$B$82,'SI - End Use'!$C$2:$C$82, ""))</f>
        <v/>
      </c>
      <c r="Q74" s="6"/>
      <c r="R74" s="6"/>
    </row>
    <row r="75" spans="1:18" x14ac:dyDescent="0.35">
      <c r="A75" s="6"/>
      <c r="B75" s="6"/>
      <c r="C75" s="6" t="str">
        <f>_xlfn.XLOOKUP($B75,'SI - Resources'!$A$1:$J$1,'SI - Resources'!$A$2:$J$2, "")</f>
        <v/>
      </c>
      <c r="D75" s="6" t="str">
        <f>IF(_xlfn.XLOOKUP($C75,'SI - End Use'!$B$2:$B$82,'SI - End Use'!$C$2:$C$82, "")="", "", _xlfn.XLOOKUP($C75,'SI - End Use'!$B$2:$B$82,'SI - End Use'!$C$2:$C$82, ""))</f>
        <v/>
      </c>
      <c r="E75" s="13"/>
      <c r="F75" s="6" t="str" cm="1">
        <f t="array" ref="F75">IF($B75="Transportation",  'SI - Units'!$B$9:$B$9, _xlfn.XLOOKUP(_xlfn.XLOOKUP($C75,'SI - Units'!$B$24:$B$106,'SI - Units'!$C$24:$C$106, ""),'SI - Units'!$A$2:$A$8,'SI - Units'!$B$2:$B$8, ""))</f>
        <v/>
      </c>
      <c r="G75" s="27"/>
      <c r="H75" s="27"/>
      <c r="I75" s="31" t="str">
        <f>IF(Table16[[#This Row],[Type]]="Co-product", "No", "")</f>
        <v/>
      </c>
      <c r="J75" s="6"/>
      <c r="K75" s="6" t="str">
        <f>IF(Table16[[#This Row],[Category]]="Transportation", _xlfn.XLOOKUP(Table16[[#This Row],[Resource]], 'SI - Payload'!$A$10:$A$38,'SI - Payload'!$B$10:$B$38,"",0), "")</f>
        <v/>
      </c>
      <c r="L75" s="6" t="str">
        <f>IF(Table16[[#This Row],[Category]]="Transportation", "ton", "")</f>
        <v/>
      </c>
      <c r="M75" s="6"/>
      <c r="N75" s="6"/>
      <c r="O75" s="6" t="str">
        <f>IF(OR(Table16[[#This Row],[Type]]="Main Product", Table16[[#This Row],[Type]]="Co-Product"), Table16[[#This Row],[Resource]], "")</f>
        <v/>
      </c>
      <c r="P75" s="6" t="str">
        <f>IF(_xlfn.XLOOKUP($O75,'SI - End Use'!$B$2:$B$82,'SI - End Use'!$C$2:$C$82, "")="", "", _xlfn.XLOOKUP($C75,'SI - End Use'!$B$2:$B$82,'SI - End Use'!$C$2:$C$82, ""))</f>
        <v/>
      </c>
      <c r="Q75" s="6"/>
      <c r="R75" s="6"/>
    </row>
    <row r="76" spans="1:18" x14ac:dyDescent="0.35">
      <c r="A76" s="6"/>
      <c r="B76" s="6"/>
      <c r="C76" s="6" t="str">
        <f>_xlfn.XLOOKUP($B76,'SI - Resources'!$A$1:$J$1,'SI - Resources'!$A$2:$J$2, "")</f>
        <v/>
      </c>
      <c r="D76" s="6" t="str">
        <f>IF(_xlfn.XLOOKUP($C76,'SI - End Use'!$B$2:$B$82,'SI - End Use'!$C$2:$C$82, "")="", "", _xlfn.XLOOKUP($C76,'SI - End Use'!$B$2:$B$82,'SI - End Use'!$C$2:$C$82, ""))</f>
        <v/>
      </c>
      <c r="E76" s="13"/>
      <c r="F76" s="6" t="str" cm="1">
        <f t="array" ref="F76">IF($B76="Transportation",  'SI - Units'!$B$9:$B$9, _xlfn.XLOOKUP(_xlfn.XLOOKUP($C76,'SI - Units'!$B$24:$B$106,'SI - Units'!$C$24:$C$106, ""),'SI - Units'!$A$2:$A$8,'SI - Units'!$B$2:$B$8, ""))</f>
        <v/>
      </c>
      <c r="G76" s="27"/>
      <c r="H76" s="27"/>
      <c r="I76" s="31" t="str">
        <f>IF(Table16[[#This Row],[Type]]="Co-product", "No", "")</f>
        <v/>
      </c>
      <c r="J76" s="6"/>
      <c r="K76" s="6" t="str">
        <f>IF(Table16[[#This Row],[Category]]="Transportation", _xlfn.XLOOKUP(Table16[[#This Row],[Resource]], 'SI - Payload'!$A$10:$A$38,'SI - Payload'!$B$10:$B$38,"",0), "")</f>
        <v/>
      </c>
      <c r="L76" s="6" t="str">
        <f>IF(Table16[[#This Row],[Category]]="Transportation", "ton", "")</f>
        <v/>
      </c>
      <c r="M76" s="6"/>
      <c r="N76" s="6"/>
      <c r="O76" s="6" t="str">
        <f>IF(OR(Table16[[#This Row],[Type]]="Main Product", Table16[[#This Row],[Type]]="Co-Product"), Table16[[#This Row],[Resource]], "")</f>
        <v/>
      </c>
      <c r="P76" s="6" t="str">
        <f>IF(_xlfn.XLOOKUP($O76,'SI - End Use'!$B$2:$B$82,'SI - End Use'!$C$2:$C$82, "")="", "", _xlfn.XLOOKUP($C76,'SI - End Use'!$B$2:$B$82,'SI - End Use'!$C$2:$C$82, ""))</f>
        <v/>
      </c>
      <c r="Q76" s="6"/>
      <c r="R76" s="6"/>
    </row>
    <row r="77" spans="1:18" x14ac:dyDescent="0.35">
      <c r="A77" s="6"/>
      <c r="B77" s="6"/>
      <c r="C77" s="6" t="str">
        <f>_xlfn.XLOOKUP($B77,'SI - Resources'!$A$1:$J$1,'SI - Resources'!$A$2:$J$2, "")</f>
        <v/>
      </c>
      <c r="D77" s="6" t="str">
        <f>IF(_xlfn.XLOOKUP($C77,'SI - End Use'!$B$2:$B$82,'SI - End Use'!$C$2:$C$82, "")="", "", _xlfn.XLOOKUP($C77,'SI - End Use'!$B$2:$B$82,'SI - End Use'!$C$2:$C$82, ""))</f>
        <v/>
      </c>
      <c r="E77" s="13"/>
      <c r="F77" s="6" t="str" cm="1">
        <f t="array" ref="F77">IF($B77="Transportation",  'SI - Units'!$B$9:$B$9, _xlfn.XLOOKUP(_xlfn.XLOOKUP($C77,'SI - Units'!$B$24:$B$106,'SI - Units'!$C$24:$C$106, ""),'SI - Units'!$A$2:$A$8,'SI - Units'!$B$2:$B$8, ""))</f>
        <v/>
      </c>
      <c r="G77" s="27"/>
      <c r="H77" s="27"/>
      <c r="I77" s="31" t="str">
        <f>IF(Table16[[#This Row],[Type]]="Co-product", "No", "")</f>
        <v/>
      </c>
      <c r="J77" s="6"/>
      <c r="K77" s="6" t="str">
        <f>IF(Table16[[#This Row],[Category]]="Transportation", _xlfn.XLOOKUP(Table16[[#This Row],[Resource]], 'SI - Payload'!$A$10:$A$38,'SI - Payload'!$B$10:$B$38,"",0), "")</f>
        <v/>
      </c>
      <c r="L77" s="6" t="str">
        <f>IF(Table16[[#This Row],[Category]]="Transportation", "ton", "")</f>
        <v/>
      </c>
      <c r="M77" s="6"/>
      <c r="N77" s="6"/>
      <c r="O77" s="6" t="str">
        <f>IF(OR(Table16[[#This Row],[Type]]="Main Product", Table16[[#This Row],[Type]]="Co-Product"), Table16[[#This Row],[Resource]], "")</f>
        <v/>
      </c>
      <c r="P77" s="6" t="str">
        <f>IF(_xlfn.XLOOKUP($O77,'SI - End Use'!$B$2:$B$82,'SI - End Use'!$C$2:$C$82, "")="", "", _xlfn.XLOOKUP($C77,'SI - End Use'!$B$2:$B$82,'SI - End Use'!$C$2:$C$82, ""))</f>
        <v/>
      </c>
      <c r="Q77" s="6"/>
      <c r="R77" s="6"/>
    </row>
    <row r="78" spans="1:18" x14ac:dyDescent="0.35">
      <c r="A78" s="6"/>
      <c r="B78" s="6"/>
      <c r="C78" s="6" t="str">
        <f>_xlfn.XLOOKUP($B78,'SI - Resources'!$A$1:$J$1,'SI - Resources'!$A$2:$J$2, "")</f>
        <v/>
      </c>
      <c r="D78" s="6" t="str">
        <f>IF(_xlfn.XLOOKUP($C78,'SI - End Use'!$B$2:$B$82,'SI - End Use'!$C$2:$C$82, "")="", "", _xlfn.XLOOKUP($C78,'SI - End Use'!$B$2:$B$82,'SI - End Use'!$C$2:$C$82, ""))</f>
        <v/>
      </c>
      <c r="E78" s="13"/>
      <c r="F78" s="6" t="str" cm="1">
        <f t="array" ref="F78">IF($B78="Transportation",  'SI - Units'!$B$9:$B$9, _xlfn.XLOOKUP(_xlfn.XLOOKUP($C78,'SI - Units'!$B$24:$B$106,'SI - Units'!$C$24:$C$106, ""),'SI - Units'!$A$2:$A$8,'SI - Units'!$B$2:$B$8, ""))</f>
        <v/>
      </c>
      <c r="G78" s="27"/>
      <c r="H78" s="27"/>
      <c r="I78" s="31" t="str">
        <f>IF(Table16[[#This Row],[Type]]="Co-product", "No", "")</f>
        <v/>
      </c>
      <c r="J78" s="6"/>
      <c r="K78" s="6" t="str">
        <f>IF(Table16[[#This Row],[Category]]="Transportation", _xlfn.XLOOKUP(Table16[[#This Row],[Resource]], 'SI - Payload'!$A$10:$A$38,'SI - Payload'!$B$10:$B$38,"",0), "")</f>
        <v/>
      </c>
      <c r="L78" s="6" t="str">
        <f>IF(Table16[[#This Row],[Category]]="Transportation", "ton", "")</f>
        <v/>
      </c>
      <c r="M78" s="6"/>
      <c r="N78" s="6"/>
      <c r="O78" s="6" t="str">
        <f>IF(OR(Table16[[#This Row],[Type]]="Main Product", Table16[[#This Row],[Type]]="Co-Product"), Table16[[#This Row],[Resource]], "")</f>
        <v/>
      </c>
      <c r="P78" s="6" t="str">
        <f>IF(_xlfn.XLOOKUP($O78,'SI - End Use'!$B$2:$B$82,'SI - End Use'!$C$2:$C$82, "")="", "", _xlfn.XLOOKUP($C78,'SI - End Use'!$B$2:$B$82,'SI - End Use'!$C$2:$C$82, ""))</f>
        <v/>
      </c>
      <c r="Q78" s="6"/>
      <c r="R78" s="6"/>
    </row>
    <row r="79" spans="1:18" x14ac:dyDescent="0.35">
      <c r="A79" s="6"/>
      <c r="B79" s="6"/>
      <c r="C79" s="6" t="str">
        <f>_xlfn.XLOOKUP($B79,'SI - Resources'!$A$1:$J$1,'SI - Resources'!$A$2:$J$2, "")</f>
        <v/>
      </c>
      <c r="D79" s="6" t="str">
        <f>IF(_xlfn.XLOOKUP($C79,'SI - End Use'!$B$2:$B$82,'SI - End Use'!$C$2:$C$82, "")="", "", _xlfn.XLOOKUP($C79,'SI - End Use'!$B$2:$B$82,'SI - End Use'!$C$2:$C$82, ""))</f>
        <v/>
      </c>
      <c r="E79" s="13"/>
      <c r="F79" s="6" t="str" cm="1">
        <f t="array" ref="F79">IF($B79="Transportation",  'SI - Units'!$B$9:$B$9, _xlfn.XLOOKUP(_xlfn.XLOOKUP($C79,'SI - Units'!$B$24:$B$106,'SI - Units'!$C$24:$C$106, ""),'SI - Units'!$A$2:$A$8,'SI - Units'!$B$2:$B$8, ""))</f>
        <v/>
      </c>
      <c r="G79" s="27"/>
      <c r="H79" s="27"/>
      <c r="I79" s="31" t="str">
        <f>IF(Table16[[#This Row],[Type]]="Co-product", "No", "")</f>
        <v/>
      </c>
      <c r="J79" s="6"/>
      <c r="K79" s="6" t="str">
        <f>IF(Table16[[#This Row],[Category]]="Transportation", _xlfn.XLOOKUP(Table16[[#This Row],[Resource]], 'SI - Payload'!$A$10:$A$38,'SI - Payload'!$B$10:$B$38,"",0), "")</f>
        <v/>
      </c>
      <c r="L79" s="6" t="str">
        <f>IF(Table16[[#This Row],[Category]]="Transportation", "ton", "")</f>
        <v/>
      </c>
      <c r="M79" s="6"/>
      <c r="N79" s="6"/>
      <c r="O79" s="6" t="str">
        <f>IF(OR(Table16[[#This Row],[Type]]="Main Product", Table16[[#This Row],[Type]]="Co-Product"), Table16[[#This Row],[Resource]], "")</f>
        <v/>
      </c>
      <c r="P79" s="6" t="str">
        <f>IF(_xlfn.XLOOKUP($O79,'SI - End Use'!$B$2:$B$82,'SI - End Use'!$C$2:$C$82, "")="", "", _xlfn.XLOOKUP($C79,'SI - End Use'!$B$2:$B$82,'SI - End Use'!$C$2:$C$82, ""))</f>
        <v/>
      </c>
      <c r="Q79" s="6"/>
      <c r="R79" s="6"/>
    </row>
    <row r="80" spans="1:18" x14ac:dyDescent="0.35">
      <c r="A80" s="6"/>
      <c r="B80" s="6"/>
      <c r="C80" s="6" t="str">
        <f>_xlfn.XLOOKUP($B80,'SI - Resources'!$A$1:$J$1,'SI - Resources'!$A$2:$J$2, "")</f>
        <v/>
      </c>
      <c r="D80" s="6" t="str">
        <f>IF(_xlfn.XLOOKUP($C80,'SI - End Use'!$B$2:$B$82,'SI - End Use'!$C$2:$C$82, "")="", "", _xlfn.XLOOKUP($C80,'SI - End Use'!$B$2:$B$82,'SI - End Use'!$C$2:$C$82, ""))</f>
        <v/>
      </c>
      <c r="E80" s="13"/>
      <c r="F80" s="6" t="str" cm="1">
        <f t="array" ref="F80">IF($B80="Transportation",  'SI - Units'!$B$9:$B$9, _xlfn.XLOOKUP(_xlfn.XLOOKUP($C80,'SI - Units'!$B$24:$B$106,'SI - Units'!$C$24:$C$106, ""),'SI - Units'!$A$2:$A$8,'SI - Units'!$B$2:$B$8, ""))</f>
        <v/>
      </c>
      <c r="G80" s="27"/>
      <c r="H80" s="27"/>
      <c r="I80" s="31" t="str">
        <f>IF(Table16[[#This Row],[Type]]="Co-product", "No", "")</f>
        <v/>
      </c>
      <c r="J80" s="6"/>
      <c r="K80" s="6" t="str">
        <f>IF(Table16[[#This Row],[Category]]="Transportation", _xlfn.XLOOKUP(Table16[[#This Row],[Resource]], 'SI - Payload'!$A$10:$A$38,'SI - Payload'!$B$10:$B$38,"",0), "")</f>
        <v/>
      </c>
      <c r="L80" s="6" t="str">
        <f>IF(Table16[[#This Row],[Category]]="Transportation", "ton", "")</f>
        <v/>
      </c>
      <c r="M80" s="6"/>
      <c r="N80" s="6"/>
      <c r="O80" s="6" t="str">
        <f>IF(OR(Table16[[#This Row],[Type]]="Main Product", Table16[[#This Row],[Type]]="Co-Product"), Table16[[#This Row],[Resource]], "")</f>
        <v/>
      </c>
      <c r="P80" s="6" t="str">
        <f>IF(_xlfn.XLOOKUP($O80,'SI - End Use'!$B$2:$B$82,'SI - End Use'!$C$2:$C$82, "")="", "", _xlfn.XLOOKUP($C80,'SI - End Use'!$B$2:$B$82,'SI - End Use'!$C$2:$C$82, ""))</f>
        <v/>
      </c>
      <c r="Q80" s="6"/>
      <c r="R80" s="6"/>
    </row>
    <row r="81" spans="1:18" x14ac:dyDescent="0.35">
      <c r="A81" s="6"/>
      <c r="B81" s="6"/>
      <c r="C81" s="6" t="str">
        <f>_xlfn.XLOOKUP($B81,'SI - Resources'!$A$1:$J$1,'SI - Resources'!$A$2:$J$2, "")</f>
        <v/>
      </c>
      <c r="D81" s="6" t="str">
        <f>IF(_xlfn.XLOOKUP($C81,'SI - End Use'!$B$2:$B$82,'SI - End Use'!$C$2:$C$82, "")="", "", _xlfn.XLOOKUP($C81,'SI - End Use'!$B$2:$B$82,'SI - End Use'!$C$2:$C$82, ""))</f>
        <v/>
      </c>
      <c r="E81" s="13"/>
      <c r="F81" s="6" t="str" cm="1">
        <f t="array" ref="F81">IF($B81="Transportation",  'SI - Units'!$B$9:$B$9, _xlfn.XLOOKUP(_xlfn.XLOOKUP($C81,'SI - Units'!$B$24:$B$106,'SI - Units'!$C$24:$C$106, ""),'SI - Units'!$A$2:$A$8,'SI - Units'!$B$2:$B$8, ""))</f>
        <v/>
      </c>
      <c r="G81" s="27"/>
      <c r="H81" s="27"/>
      <c r="I81" s="31" t="str">
        <f>IF(Table16[[#This Row],[Type]]="Co-product", "No", "")</f>
        <v/>
      </c>
      <c r="J81" s="6"/>
      <c r="K81" s="6" t="str">
        <f>IF(Table16[[#This Row],[Category]]="Transportation", _xlfn.XLOOKUP(Table16[[#This Row],[Resource]], 'SI - Payload'!$A$10:$A$38,'SI - Payload'!$B$10:$B$38,"",0), "")</f>
        <v/>
      </c>
      <c r="L81" s="6" t="str">
        <f>IF(Table16[[#This Row],[Category]]="Transportation", "ton", "")</f>
        <v/>
      </c>
      <c r="M81" s="6"/>
      <c r="N81" s="6"/>
      <c r="O81" s="6" t="str">
        <f>IF(OR(Table16[[#This Row],[Type]]="Main Product", Table16[[#This Row],[Type]]="Co-Product"), Table16[[#This Row],[Resource]], "")</f>
        <v/>
      </c>
      <c r="P81" s="6" t="str">
        <f>IF(_xlfn.XLOOKUP($O81,'SI - End Use'!$B$2:$B$82,'SI - End Use'!$C$2:$C$82, "")="", "", _xlfn.XLOOKUP($C81,'SI - End Use'!$B$2:$B$82,'SI - End Use'!$C$2:$C$82, ""))</f>
        <v/>
      </c>
      <c r="Q81" s="6"/>
      <c r="R81" s="6"/>
    </row>
    <row r="82" spans="1:18" x14ac:dyDescent="0.35">
      <c r="A82" s="6"/>
      <c r="B82" s="6"/>
      <c r="C82" s="6" t="str">
        <f>_xlfn.XLOOKUP($B82,'SI - Resources'!$A$1:$J$1,'SI - Resources'!$A$2:$J$2, "")</f>
        <v/>
      </c>
      <c r="D82" s="6" t="str">
        <f>IF(_xlfn.XLOOKUP($C82,'SI - End Use'!$B$2:$B$82,'SI - End Use'!$C$2:$C$82, "")="", "", _xlfn.XLOOKUP($C82,'SI - End Use'!$B$2:$B$82,'SI - End Use'!$C$2:$C$82, ""))</f>
        <v/>
      </c>
      <c r="E82" s="13"/>
      <c r="F82" s="6" t="str" cm="1">
        <f t="array" ref="F82">IF($B82="Transportation",  'SI - Units'!$B$9:$B$9, _xlfn.XLOOKUP(_xlfn.XLOOKUP($C82,'SI - Units'!$B$24:$B$106,'SI - Units'!$C$24:$C$106, ""),'SI - Units'!$A$2:$A$8,'SI - Units'!$B$2:$B$8, ""))</f>
        <v/>
      </c>
      <c r="G82" s="27"/>
      <c r="H82" s="27"/>
      <c r="I82" s="31" t="str">
        <f>IF(Table16[[#This Row],[Type]]="Co-product", "No", "")</f>
        <v/>
      </c>
      <c r="J82" s="6"/>
      <c r="K82" s="6" t="str">
        <f>IF(Table16[[#This Row],[Category]]="Transportation", _xlfn.XLOOKUP(Table16[[#This Row],[Resource]], 'SI - Payload'!$A$10:$A$38,'SI - Payload'!$B$10:$B$38,"",0), "")</f>
        <v/>
      </c>
      <c r="L82" s="6" t="str">
        <f>IF(Table16[[#This Row],[Category]]="Transportation", "ton", "")</f>
        <v/>
      </c>
      <c r="M82" s="6"/>
      <c r="N82" s="6"/>
      <c r="O82" s="6" t="str">
        <f>IF(OR(Table16[[#This Row],[Type]]="Main Product", Table16[[#This Row],[Type]]="Co-Product"), Table16[[#This Row],[Resource]], "")</f>
        <v/>
      </c>
      <c r="P82" s="6" t="str">
        <f>IF(_xlfn.XLOOKUP($O82,'SI - End Use'!$B$2:$B$82,'SI - End Use'!$C$2:$C$82, "")="", "", _xlfn.XLOOKUP($C82,'SI - End Use'!$B$2:$B$82,'SI - End Use'!$C$2:$C$82, ""))</f>
        <v/>
      </c>
      <c r="Q82" s="6"/>
      <c r="R82" s="6"/>
    </row>
    <row r="83" spans="1:18" x14ac:dyDescent="0.35">
      <c r="A83" s="6"/>
      <c r="B83" s="6"/>
      <c r="C83" s="6" t="str">
        <f>_xlfn.XLOOKUP($B83,'SI - Resources'!$A$1:$J$1,'SI - Resources'!$A$2:$J$2, "")</f>
        <v/>
      </c>
      <c r="D83" s="6" t="str">
        <f>IF(_xlfn.XLOOKUP($C83,'SI - End Use'!$B$2:$B$82,'SI - End Use'!$C$2:$C$82, "")="", "", _xlfn.XLOOKUP($C83,'SI - End Use'!$B$2:$B$82,'SI - End Use'!$C$2:$C$82, ""))</f>
        <v/>
      </c>
      <c r="E83" s="13"/>
      <c r="F83" s="6" t="str" cm="1">
        <f t="array" ref="F83">IF($B83="Transportation",  'SI - Units'!$B$9:$B$9, _xlfn.XLOOKUP(_xlfn.XLOOKUP($C83,'SI - Units'!$B$24:$B$106,'SI - Units'!$C$24:$C$106, ""),'SI - Units'!$A$2:$A$8,'SI - Units'!$B$2:$B$8, ""))</f>
        <v/>
      </c>
      <c r="G83" s="27"/>
      <c r="H83" s="27"/>
      <c r="I83" s="31" t="str">
        <f>IF(Table16[[#This Row],[Type]]="Co-product", "No", "")</f>
        <v/>
      </c>
      <c r="J83" s="6"/>
      <c r="K83" s="6" t="str">
        <f>IF(Table16[[#This Row],[Category]]="Transportation", _xlfn.XLOOKUP(Table16[[#This Row],[Resource]], 'SI - Payload'!$A$10:$A$38,'SI - Payload'!$B$10:$B$38,"",0), "")</f>
        <v/>
      </c>
      <c r="L83" s="6" t="str">
        <f>IF(Table16[[#This Row],[Category]]="Transportation", "ton", "")</f>
        <v/>
      </c>
      <c r="M83" s="6"/>
      <c r="N83" s="6"/>
      <c r="O83" s="6" t="str">
        <f>IF(OR(Table16[[#This Row],[Type]]="Main Product", Table16[[#This Row],[Type]]="Co-Product"), Table16[[#This Row],[Resource]], "")</f>
        <v/>
      </c>
      <c r="P83" s="6" t="str">
        <f>IF(_xlfn.XLOOKUP($O83,'SI - End Use'!$B$2:$B$82,'SI - End Use'!$C$2:$C$82, "")="", "", _xlfn.XLOOKUP($C83,'SI - End Use'!$B$2:$B$82,'SI - End Use'!$C$2:$C$82, ""))</f>
        <v/>
      </c>
      <c r="Q83" s="6"/>
      <c r="R83" s="6"/>
    </row>
    <row r="84" spans="1:18" x14ac:dyDescent="0.35">
      <c r="A84" s="6"/>
      <c r="B84" s="6"/>
      <c r="C84" s="6" t="str">
        <f>_xlfn.XLOOKUP($B84,'SI - Resources'!$A$1:$J$1,'SI - Resources'!$A$2:$J$2, "")</f>
        <v/>
      </c>
      <c r="D84" s="6" t="str">
        <f>IF(_xlfn.XLOOKUP($C84,'SI - End Use'!$B$2:$B$82,'SI - End Use'!$C$2:$C$82, "")="", "", _xlfn.XLOOKUP($C84,'SI - End Use'!$B$2:$B$82,'SI - End Use'!$C$2:$C$82, ""))</f>
        <v/>
      </c>
      <c r="E84" s="13"/>
      <c r="F84" s="6" t="str" cm="1">
        <f t="array" ref="F84">IF($B84="Transportation",  'SI - Units'!$B$9:$B$9, _xlfn.XLOOKUP(_xlfn.XLOOKUP($C84,'SI - Units'!$B$24:$B$106,'SI - Units'!$C$24:$C$106, ""),'SI - Units'!$A$2:$A$8,'SI - Units'!$B$2:$B$8, ""))</f>
        <v/>
      </c>
      <c r="G84" s="27"/>
      <c r="H84" s="27"/>
      <c r="I84" s="31" t="str">
        <f>IF(Table16[[#This Row],[Type]]="Co-product", "No", "")</f>
        <v/>
      </c>
      <c r="J84" s="6"/>
      <c r="K84" s="6" t="str">
        <f>IF(Table16[[#This Row],[Category]]="Transportation", _xlfn.XLOOKUP(Table16[[#This Row],[Resource]], 'SI - Payload'!$A$10:$A$38,'SI - Payload'!$B$10:$B$38,"",0), "")</f>
        <v/>
      </c>
      <c r="L84" s="6" t="str">
        <f>IF(Table16[[#This Row],[Category]]="Transportation", "ton", "")</f>
        <v/>
      </c>
      <c r="M84" s="6"/>
      <c r="N84" s="6"/>
      <c r="O84" s="6" t="str">
        <f>IF(OR(Table16[[#This Row],[Type]]="Main Product", Table16[[#This Row],[Type]]="Co-Product"), Table16[[#This Row],[Resource]], "")</f>
        <v/>
      </c>
      <c r="P84" s="6" t="str">
        <f>IF(_xlfn.XLOOKUP($O84,'SI - End Use'!$B$2:$B$82,'SI - End Use'!$C$2:$C$82, "")="", "", _xlfn.XLOOKUP($C84,'SI - End Use'!$B$2:$B$82,'SI - End Use'!$C$2:$C$82, ""))</f>
        <v/>
      </c>
      <c r="Q84" s="6"/>
      <c r="R84" s="6"/>
    </row>
    <row r="85" spans="1:18" x14ac:dyDescent="0.35">
      <c r="A85" s="6"/>
      <c r="B85" s="6"/>
      <c r="C85" s="6" t="str">
        <f>_xlfn.XLOOKUP($B85,'SI - Resources'!$A$1:$J$1,'SI - Resources'!$A$2:$J$2, "")</f>
        <v/>
      </c>
      <c r="D85" s="6" t="str">
        <f>IF(_xlfn.XLOOKUP($C85,'SI - End Use'!$B$2:$B$82,'SI - End Use'!$C$2:$C$82, "")="", "", _xlfn.XLOOKUP($C85,'SI - End Use'!$B$2:$B$82,'SI - End Use'!$C$2:$C$82, ""))</f>
        <v/>
      </c>
      <c r="E85" s="13"/>
      <c r="F85" s="6" t="str" cm="1">
        <f t="array" ref="F85">IF($B85="Transportation",  'SI - Units'!$B$9:$B$9, _xlfn.XLOOKUP(_xlfn.XLOOKUP($C85,'SI - Units'!$B$24:$B$106,'SI - Units'!$C$24:$C$106, ""),'SI - Units'!$A$2:$A$8,'SI - Units'!$B$2:$B$8, ""))</f>
        <v/>
      </c>
      <c r="G85" s="27"/>
      <c r="H85" s="27"/>
      <c r="I85" s="31" t="str">
        <f>IF(Table16[[#This Row],[Type]]="Co-product", "No", "")</f>
        <v/>
      </c>
      <c r="J85" s="6"/>
      <c r="K85" s="6" t="str">
        <f>IF(Table16[[#This Row],[Category]]="Transportation", _xlfn.XLOOKUP(Table16[[#This Row],[Resource]], 'SI - Payload'!$A$10:$A$38,'SI - Payload'!$B$10:$B$38,"",0), "")</f>
        <v/>
      </c>
      <c r="L85" s="6" t="str">
        <f>IF(Table16[[#This Row],[Category]]="Transportation", "ton", "")</f>
        <v/>
      </c>
      <c r="M85" s="6"/>
      <c r="N85" s="6"/>
      <c r="O85" s="6" t="str">
        <f>IF(OR(Table16[[#This Row],[Type]]="Main Product", Table16[[#This Row],[Type]]="Co-Product"), Table16[[#This Row],[Resource]], "")</f>
        <v/>
      </c>
      <c r="P85" s="6" t="str">
        <f>IF(_xlfn.XLOOKUP($O85,'SI - End Use'!$B$2:$B$82,'SI - End Use'!$C$2:$C$82, "")="", "", _xlfn.XLOOKUP($C85,'SI - End Use'!$B$2:$B$82,'SI - End Use'!$C$2:$C$82, ""))</f>
        <v/>
      </c>
      <c r="Q85" s="6"/>
      <c r="R85" s="6"/>
    </row>
    <row r="86" spans="1:18" x14ac:dyDescent="0.35">
      <c r="A86" s="6"/>
      <c r="B86" s="6"/>
      <c r="C86" s="6" t="str">
        <f>_xlfn.XLOOKUP($B86,'SI - Resources'!$A$1:$J$1,'SI - Resources'!$A$2:$J$2, "")</f>
        <v/>
      </c>
      <c r="D86" s="6" t="str">
        <f>IF(_xlfn.XLOOKUP($C86,'SI - End Use'!$B$2:$B$82,'SI - End Use'!$C$2:$C$82, "")="", "", _xlfn.XLOOKUP($C86,'SI - End Use'!$B$2:$B$82,'SI - End Use'!$C$2:$C$82, ""))</f>
        <v/>
      </c>
      <c r="E86" s="13"/>
      <c r="F86" s="6" t="str" cm="1">
        <f t="array" ref="F86">IF($B86="Transportation",  'SI - Units'!$B$9:$B$9, _xlfn.XLOOKUP(_xlfn.XLOOKUP($C86,'SI - Units'!$B$24:$B$106,'SI - Units'!$C$24:$C$106, ""),'SI - Units'!$A$2:$A$8,'SI - Units'!$B$2:$B$8, ""))</f>
        <v/>
      </c>
      <c r="G86" s="27"/>
      <c r="H86" s="27"/>
      <c r="I86" s="31" t="str">
        <f>IF(Table16[[#This Row],[Type]]="Co-product", "No", "")</f>
        <v/>
      </c>
      <c r="J86" s="6"/>
      <c r="K86" s="6" t="str">
        <f>IF(Table16[[#This Row],[Category]]="Transportation", _xlfn.XLOOKUP(Table16[[#This Row],[Resource]], 'SI - Payload'!$A$10:$A$38,'SI - Payload'!$B$10:$B$38,"",0), "")</f>
        <v/>
      </c>
      <c r="L86" s="6" t="str">
        <f>IF(Table16[[#This Row],[Category]]="Transportation", "ton", "")</f>
        <v/>
      </c>
      <c r="M86" s="6"/>
      <c r="N86" s="6"/>
      <c r="O86" s="6" t="str">
        <f>IF(OR(Table16[[#This Row],[Type]]="Main Product", Table16[[#This Row],[Type]]="Co-Product"), Table16[[#This Row],[Resource]], "")</f>
        <v/>
      </c>
      <c r="P86" s="6" t="str">
        <f>IF(_xlfn.XLOOKUP($O86,'SI - End Use'!$B$2:$B$82,'SI - End Use'!$C$2:$C$82, "")="", "", _xlfn.XLOOKUP($C86,'SI - End Use'!$B$2:$B$82,'SI - End Use'!$C$2:$C$82, ""))</f>
        <v/>
      </c>
      <c r="Q86" s="6"/>
      <c r="R86" s="6"/>
    </row>
    <row r="87" spans="1:18" x14ac:dyDescent="0.35">
      <c r="A87" s="6"/>
      <c r="B87" s="6"/>
      <c r="C87" s="6" t="str">
        <f>_xlfn.XLOOKUP($B87,'SI - Resources'!$A$1:$J$1,'SI - Resources'!$A$2:$J$2, "")</f>
        <v/>
      </c>
      <c r="D87" s="6" t="str">
        <f>IF(_xlfn.XLOOKUP($C87,'SI - End Use'!$B$2:$B$82,'SI - End Use'!$C$2:$C$82, "")="", "", _xlfn.XLOOKUP($C87,'SI - End Use'!$B$2:$B$82,'SI - End Use'!$C$2:$C$82, ""))</f>
        <v/>
      </c>
      <c r="E87" s="13"/>
      <c r="F87" s="6" t="str" cm="1">
        <f t="array" ref="F87">IF($B87="Transportation",  'SI - Units'!$B$9:$B$9, _xlfn.XLOOKUP(_xlfn.XLOOKUP($C87,'SI - Units'!$B$24:$B$106,'SI - Units'!$C$24:$C$106, ""),'SI - Units'!$A$2:$A$8,'SI - Units'!$B$2:$B$8, ""))</f>
        <v/>
      </c>
      <c r="G87" s="27"/>
      <c r="H87" s="27"/>
      <c r="I87" s="31" t="str">
        <f>IF(Table16[[#This Row],[Type]]="Co-product", "No", "")</f>
        <v/>
      </c>
      <c r="J87" s="6"/>
      <c r="K87" s="6" t="str">
        <f>IF(Table16[[#This Row],[Category]]="Transportation", _xlfn.XLOOKUP(Table16[[#This Row],[Resource]], 'SI - Payload'!$A$10:$A$38,'SI - Payload'!$B$10:$B$38,"",0), "")</f>
        <v/>
      </c>
      <c r="L87" s="6" t="str">
        <f>IF(Table16[[#This Row],[Category]]="Transportation", "ton", "")</f>
        <v/>
      </c>
      <c r="M87" s="6"/>
      <c r="N87" s="6"/>
      <c r="O87" s="6" t="str">
        <f>IF(OR(Table16[[#This Row],[Type]]="Main Product", Table16[[#This Row],[Type]]="Co-Product"), Table16[[#This Row],[Resource]], "")</f>
        <v/>
      </c>
      <c r="P87" s="6" t="str">
        <f>IF(_xlfn.XLOOKUP($O87,'SI - End Use'!$B$2:$B$82,'SI - End Use'!$C$2:$C$82, "")="", "", _xlfn.XLOOKUP($C87,'SI - End Use'!$B$2:$B$82,'SI - End Use'!$C$2:$C$82, ""))</f>
        <v/>
      </c>
      <c r="Q87" s="6"/>
      <c r="R87" s="6"/>
    </row>
    <row r="88" spans="1:18" x14ac:dyDescent="0.35">
      <c r="A88" s="6"/>
      <c r="B88" s="6"/>
      <c r="C88" s="6" t="str">
        <f>_xlfn.XLOOKUP($B88,'SI - Resources'!$A$1:$J$1,'SI - Resources'!$A$2:$J$2, "")</f>
        <v/>
      </c>
      <c r="D88" s="6" t="str">
        <f>IF(_xlfn.XLOOKUP($C88,'SI - End Use'!$B$2:$B$82,'SI - End Use'!$C$2:$C$82, "")="", "", _xlfn.XLOOKUP($C88,'SI - End Use'!$B$2:$B$82,'SI - End Use'!$C$2:$C$82, ""))</f>
        <v/>
      </c>
      <c r="E88" s="13"/>
      <c r="F88" s="6" t="str" cm="1">
        <f t="array" ref="F88">IF($B88="Transportation",  'SI - Units'!$B$9:$B$9, _xlfn.XLOOKUP(_xlfn.XLOOKUP($C88,'SI - Units'!$B$24:$B$106,'SI - Units'!$C$24:$C$106, ""),'SI - Units'!$A$2:$A$8,'SI - Units'!$B$2:$B$8, ""))</f>
        <v/>
      </c>
      <c r="G88" s="27"/>
      <c r="H88" s="27"/>
      <c r="I88" s="31" t="str">
        <f>IF(Table16[[#This Row],[Type]]="Co-product", "No", "")</f>
        <v/>
      </c>
      <c r="J88" s="6"/>
      <c r="K88" s="6" t="str">
        <f>IF(Table16[[#This Row],[Category]]="Transportation", _xlfn.XLOOKUP(Table16[[#This Row],[Resource]], 'SI - Payload'!$A$10:$A$38,'SI - Payload'!$B$10:$B$38,"",0), "")</f>
        <v/>
      </c>
      <c r="L88" s="6" t="str">
        <f>IF(Table16[[#This Row],[Category]]="Transportation", "ton", "")</f>
        <v/>
      </c>
      <c r="M88" s="6"/>
      <c r="N88" s="6"/>
      <c r="O88" s="6" t="str">
        <f>IF(OR(Table16[[#This Row],[Type]]="Main Product", Table16[[#This Row],[Type]]="Co-Product"), Table16[[#This Row],[Resource]], "")</f>
        <v/>
      </c>
      <c r="P88" s="6" t="str">
        <f>IF(_xlfn.XLOOKUP($O88,'SI - End Use'!$B$2:$B$82,'SI - End Use'!$C$2:$C$82, "")="", "", _xlfn.XLOOKUP($C88,'SI - End Use'!$B$2:$B$82,'SI - End Use'!$C$2:$C$82, ""))</f>
        <v/>
      </c>
      <c r="Q88" s="6"/>
      <c r="R88" s="6"/>
    </row>
    <row r="89" spans="1:18" x14ac:dyDescent="0.35">
      <c r="A89" s="6"/>
      <c r="B89" s="6"/>
      <c r="C89" s="6" t="str">
        <f>_xlfn.XLOOKUP($B89,'SI - Resources'!$A$1:$J$1,'SI - Resources'!$A$2:$J$2, "")</f>
        <v/>
      </c>
      <c r="D89" s="6" t="str">
        <f>IF(_xlfn.XLOOKUP($C89,'SI - End Use'!$B$2:$B$82,'SI - End Use'!$C$2:$C$82, "")="", "", _xlfn.XLOOKUP($C89,'SI - End Use'!$B$2:$B$82,'SI - End Use'!$C$2:$C$82, ""))</f>
        <v/>
      </c>
      <c r="E89" s="13"/>
      <c r="F89" s="6" t="str" cm="1">
        <f t="array" ref="F89">IF($B89="Transportation",  'SI - Units'!$B$9:$B$9, _xlfn.XLOOKUP(_xlfn.XLOOKUP($C89,'SI - Units'!$B$24:$B$106,'SI - Units'!$C$24:$C$106, ""),'SI - Units'!$A$2:$A$8,'SI - Units'!$B$2:$B$8, ""))</f>
        <v/>
      </c>
      <c r="G89" s="27"/>
      <c r="H89" s="27"/>
      <c r="I89" s="31" t="str">
        <f>IF(Table16[[#This Row],[Type]]="Co-product", "No", "")</f>
        <v/>
      </c>
      <c r="J89" s="6"/>
      <c r="K89" s="6" t="str">
        <f>IF(Table16[[#This Row],[Category]]="Transportation", _xlfn.XLOOKUP(Table16[[#This Row],[Resource]], 'SI - Payload'!$A$10:$A$38,'SI - Payload'!$B$10:$B$38,"",0), "")</f>
        <v/>
      </c>
      <c r="L89" s="6" t="str">
        <f>IF(Table16[[#This Row],[Category]]="Transportation", "ton", "")</f>
        <v/>
      </c>
      <c r="M89" s="6"/>
      <c r="N89" s="6"/>
      <c r="O89" s="6" t="str">
        <f>IF(OR(Table16[[#This Row],[Type]]="Main Product", Table16[[#This Row],[Type]]="Co-Product"), Table16[[#This Row],[Resource]], "")</f>
        <v/>
      </c>
      <c r="P89" s="6" t="str">
        <f>IF(_xlfn.XLOOKUP($O89,'SI - End Use'!$B$2:$B$82,'SI - End Use'!$C$2:$C$82, "")="", "", _xlfn.XLOOKUP($C89,'SI - End Use'!$B$2:$B$82,'SI - End Use'!$C$2:$C$82, ""))</f>
        <v/>
      </c>
      <c r="Q89" s="6"/>
      <c r="R89" s="6"/>
    </row>
    <row r="90" spans="1:18" x14ac:dyDescent="0.35">
      <c r="A90" s="6"/>
      <c r="B90" s="6"/>
      <c r="C90" s="6" t="str">
        <f>_xlfn.XLOOKUP($B90,'SI - Resources'!$A$1:$J$1,'SI - Resources'!$A$2:$J$2, "")</f>
        <v/>
      </c>
      <c r="D90" s="6" t="str">
        <f>IF(_xlfn.XLOOKUP($C90,'SI - End Use'!$B$2:$B$82,'SI - End Use'!$C$2:$C$82, "")="", "", _xlfn.XLOOKUP($C90,'SI - End Use'!$B$2:$B$82,'SI - End Use'!$C$2:$C$82, ""))</f>
        <v/>
      </c>
      <c r="E90" s="13"/>
      <c r="F90" s="6" t="str" cm="1">
        <f t="array" ref="F90">IF($B90="Transportation",  'SI - Units'!$B$9:$B$9, _xlfn.XLOOKUP(_xlfn.XLOOKUP($C90,'SI - Units'!$B$24:$B$106,'SI - Units'!$C$24:$C$106, ""),'SI - Units'!$A$2:$A$8,'SI - Units'!$B$2:$B$8, ""))</f>
        <v/>
      </c>
      <c r="G90" s="27"/>
      <c r="H90" s="27"/>
      <c r="I90" s="31" t="str">
        <f>IF(Table16[[#This Row],[Type]]="Co-product", "No", "")</f>
        <v/>
      </c>
      <c r="J90" s="6"/>
      <c r="K90" s="6" t="str">
        <f>IF(Table16[[#This Row],[Category]]="Transportation", _xlfn.XLOOKUP(Table16[[#This Row],[Resource]], 'SI - Payload'!$A$10:$A$38,'SI - Payload'!$B$10:$B$38,"",0), "")</f>
        <v/>
      </c>
      <c r="L90" s="6" t="str">
        <f>IF(Table16[[#This Row],[Category]]="Transportation", "ton", "")</f>
        <v/>
      </c>
      <c r="M90" s="6"/>
      <c r="N90" s="6"/>
      <c r="O90" s="6" t="str">
        <f>IF(OR(Table16[[#This Row],[Type]]="Main Product", Table16[[#This Row],[Type]]="Co-Product"), Table16[[#This Row],[Resource]], "")</f>
        <v/>
      </c>
      <c r="P90" s="6" t="str">
        <f>IF(_xlfn.XLOOKUP($O90,'SI - End Use'!$B$2:$B$82,'SI - End Use'!$C$2:$C$82, "")="", "", _xlfn.XLOOKUP($C90,'SI - End Use'!$B$2:$B$82,'SI - End Use'!$C$2:$C$82, ""))</f>
        <v/>
      </c>
      <c r="Q90" s="6"/>
      <c r="R90" s="6"/>
    </row>
    <row r="91" spans="1:18" x14ac:dyDescent="0.35">
      <c r="A91" s="6"/>
      <c r="B91" s="6"/>
      <c r="C91" s="6" t="str">
        <f>_xlfn.XLOOKUP($B91,'SI - Resources'!$A$1:$J$1,'SI - Resources'!$A$2:$J$2, "")</f>
        <v/>
      </c>
      <c r="D91" s="6" t="str">
        <f>IF(_xlfn.XLOOKUP($C91,'SI - End Use'!$B$2:$B$82,'SI - End Use'!$C$2:$C$82, "")="", "", _xlfn.XLOOKUP($C91,'SI - End Use'!$B$2:$B$82,'SI - End Use'!$C$2:$C$82, ""))</f>
        <v/>
      </c>
      <c r="E91" s="13"/>
      <c r="F91" s="6" t="str" cm="1">
        <f t="array" ref="F91">IF($B91="Transportation",  'SI - Units'!$B$9:$B$9, _xlfn.XLOOKUP(_xlfn.XLOOKUP($C91,'SI - Units'!$B$24:$B$106,'SI - Units'!$C$24:$C$106, ""),'SI - Units'!$A$2:$A$8,'SI - Units'!$B$2:$B$8, ""))</f>
        <v/>
      </c>
      <c r="G91" s="27"/>
      <c r="H91" s="27"/>
      <c r="I91" s="31" t="str">
        <f>IF(Table16[[#This Row],[Type]]="Co-product", "No", "")</f>
        <v/>
      </c>
      <c r="J91" s="6"/>
      <c r="K91" s="6" t="str">
        <f>IF(Table16[[#This Row],[Category]]="Transportation", _xlfn.XLOOKUP(Table16[[#This Row],[Resource]], 'SI - Payload'!$A$10:$A$38,'SI - Payload'!$B$10:$B$38,"",0), "")</f>
        <v/>
      </c>
      <c r="L91" s="6" t="str">
        <f>IF(Table16[[#This Row],[Category]]="Transportation", "ton", "")</f>
        <v/>
      </c>
      <c r="M91" s="6"/>
      <c r="N91" s="6"/>
      <c r="O91" s="6" t="str">
        <f>IF(OR(Table16[[#This Row],[Type]]="Main Product", Table16[[#This Row],[Type]]="Co-Product"), Table16[[#This Row],[Resource]], "")</f>
        <v/>
      </c>
      <c r="P91" s="6" t="str">
        <f>IF(_xlfn.XLOOKUP($O91,'SI - End Use'!$B$2:$B$82,'SI - End Use'!$C$2:$C$82, "")="", "", _xlfn.XLOOKUP($C91,'SI - End Use'!$B$2:$B$82,'SI - End Use'!$C$2:$C$82, ""))</f>
        <v/>
      </c>
      <c r="Q91" s="6"/>
      <c r="R91" s="6"/>
    </row>
    <row r="92" spans="1:18" x14ac:dyDescent="0.35">
      <c r="A92" s="6"/>
      <c r="B92" s="6"/>
      <c r="C92" s="6" t="str">
        <f>_xlfn.XLOOKUP($B92,'SI - Resources'!$A$1:$J$1,'SI - Resources'!$A$2:$J$2, "")</f>
        <v/>
      </c>
      <c r="D92" s="6" t="str">
        <f>IF(_xlfn.XLOOKUP($C92,'SI - End Use'!$B$2:$B$82,'SI - End Use'!$C$2:$C$82, "")="", "", _xlfn.XLOOKUP($C92,'SI - End Use'!$B$2:$B$82,'SI - End Use'!$C$2:$C$82, ""))</f>
        <v/>
      </c>
      <c r="E92" s="13"/>
      <c r="F92" s="6" t="str" cm="1">
        <f t="array" ref="F92">IF($B92="Transportation",  'SI - Units'!$B$9:$B$9, _xlfn.XLOOKUP(_xlfn.XLOOKUP($C92,'SI - Units'!$B$24:$B$106,'SI - Units'!$C$24:$C$106, ""),'SI - Units'!$A$2:$A$8,'SI - Units'!$B$2:$B$8, ""))</f>
        <v/>
      </c>
      <c r="G92" s="27"/>
      <c r="H92" s="27"/>
      <c r="I92" s="31" t="str">
        <f>IF(Table16[[#This Row],[Type]]="Co-product", "No", "")</f>
        <v/>
      </c>
      <c r="J92" s="6"/>
      <c r="K92" s="6" t="str">
        <f>IF(Table16[[#This Row],[Category]]="Transportation", _xlfn.XLOOKUP(Table16[[#This Row],[Resource]], 'SI - Payload'!$A$10:$A$38,'SI - Payload'!$B$10:$B$38,"",0), "")</f>
        <v/>
      </c>
      <c r="L92" s="6" t="str">
        <f>IF(Table16[[#This Row],[Category]]="Transportation", "ton", "")</f>
        <v/>
      </c>
      <c r="M92" s="6"/>
      <c r="N92" s="6"/>
      <c r="O92" s="6" t="str">
        <f>IF(OR(Table16[[#This Row],[Type]]="Main Product", Table16[[#This Row],[Type]]="Co-Product"), Table16[[#This Row],[Resource]], "")</f>
        <v/>
      </c>
      <c r="P92" s="6" t="str">
        <f>IF(_xlfn.XLOOKUP($O92,'SI - End Use'!$B$2:$B$82,'SI - End Use'!$C$2:$C$82, "")="", "", _xlfn.XLOOKUP($C92,'SI - End Use'!$B$2:$B$82,'SI - End Use'!$C$2:$C$82, ""))</f>
        <v/>
      </c>
      <c r="Q92" s="6"/>
      <c r="R92" s="6"/>
    </row>
    <row r="93" spans="1:18" x14ac:dyDescent="0.35">
      <c r="A93" s="6"/>
      <c r="B93" s="6"/>
      <c r="C93" s="6" t="str">
        <f>_xlfn.XLOOKUP($B93,'SI - Resources'!$A$1:$J$1,'SI - Resources'!$A$2:$J$2, "")</f>
        <v/>
      </c>
      <c r="D93" s="6" t="str">
        <f>IF(_xlfn.XLOOKUP($C93,'SI - End Use'!$B$2:$B$82,'SI - End Use'!$C$2:$C$82, "")="", "", _xlfn.XLOOKUP($C93,'SI - End Use'!$B$2:$B$82,'SI - End Use'!$C$2:$C$82, ""))</f>
        <v/>
      </c>
      <c r="E93" s="13"/>
      <c r="F93" s="6" t="str" cm="1">
        <f t="array" ref="F93">IF($B93="Transportation",  'SI - Units'!$B$9:$B$9, _xlfn.XLOOKUP(_xlfn.XLOOKUP($C93,'SI - Units'!$B$24:$B$106,'SI - Units'!$C$24:$C$106, ""),'SI - Units'!$A$2:$A$8,'SI - Units'!$B$2:$B$8, ""))</f>
        <v/>
      </c>
      <c r="G93" s="27"/>
      <c r="H93" s="27"/>
      <c r="I93" s="31" t="str">
        <f>IF(Table16[[#This Row],[Type]]="Co-product", "No", "")</f>
        <v/>
      </c>
      <c r="J93" s="6"/>
      <c r="K93" s="6" t="str">
        <f>IF(Table16[[#This Row],[Category]]="Transportation", _xlfn.XLOOKUP(Table16[[#This Row],[Resource]], 'SI - Payload'!$A$10:$A$38,'SI - Payload'!$B$10:$B$38,"",0), "")</f>
        <v/>
      </c>
      <c r="L93" s="6" t="str">
        <f>IF(Table16[[#This Row],[Category]]="Transportation", "ton", "")</f>
        <v/>
      </c>
      <c r="M93" s="6"/>
      <c r="N93" s="6"/>
      <c r="O93" s="6" t="str">
        <f>IF(OR(Table16[[#This Row],[Type]]="Main Product", Table16[[#This Row],[Type]]="Co-Product"), Table16[[#This Row],[Resource]], "")</f>
        <v/>
      </c>
      <c r="P93" s="6" t="str">
        <f>IF(_xlfn.XLOOKUP($O93,'SI - End Use'!$B$2:$B$82,'SI - End Use'!$C$2:$C$82, "")="", "", _xlfn.XLOOKUP($C93,'SI - End Use'!$B$2:$B$82,'SI - End Use'!$C$2:$C$82, ""))</f>
        <v/>
      </c>
      <c r="Q93" s="6"/>
      <c r="R93" s="6"/>
    </row>
    <row r="94" spans="1:18" x14ac:dyDescent="0.35">
      <c r="A94" s="6"/>
      <c r="B94" s="6"/>
      <c r="C94" s="6" t="str">
        <f>_xlfn.XLOOKUP($B94,'SI - Resources'!$A$1:$J$1,'SI - Resources'!$A$2:$J$2, "")</f>
        <v/>
      </c>
      <c r="D94" s="6" t="str">
        <f>IF(_xlfn.XLOOKUP($C94,'SI - End Use'!$B$2:$B$82,'SI - End Use'!$C$2:$C$82, "")="", "", _xlfn.XLOOKUP($C94,'SI - End Use'!$B$2:$B$82,'SI - End Use'!$C$2:$C$82, ""))</f>
        <v/>
      </c>
      <c r="E94" s="13"/>
      <c r="F94" s="6" t="str" cm="1">
        <f t="array" ref="F94">IF($B94="Transportation",  'SI - Units'!$B$9:$B$9, _xlfn.XLOOKUP(_xlfn.XLOOKUP($C94,'SI - Units'!$B$24:$B$106,'SI - Units'!$C$24:$C$106, ""),'SI - Units'!$A$2:$A$8,'SI - Units'!$B$2:$B$8, ""))</f>
        <v/>
      </c>
      <c r="G94" s="27"/>
      <c r="H94" s="27"/>
      <c r="I94" s="31" t="str">
        <f>IF(Table16[[#This Row],[Type]]="Co-product", "No", "")</f>
        <v/>
      </c>
      <c r="J94" s="6"/>
      <c r="K94" s="6" t="str">
        <f>IF(Table16[[#This Row],[Category]]="Transportation", _xlfn.XLOOKUP(Table16[[#This Row],[Resource]], 'SI - Payload'!$A$10:$A$38,'SI - Payload'!$B$10:$B$38,"",0), "")</f>
        <v/>
      </c>
      <c r="L94" s="6" t="str">
        <f>IF(Table16[[#This Row],[Category]]="Transportation", "ton", "")</f>
        <v/>
      </c>
      <c r="M94" s="6"/>
      <c r="N94" s="6"/>
      <c r="O94" s="6" t="str">
        <f>IF(OR(Table16[[#This Row],[Type]]="Main Product", Table16[[#This Row],[Type]]="Co-Product"), Table16[[#This Row],[Resource]], "")</f>
        <v/>
      </c>
      <c r="P94" s="6" t="str">
        <f>IF(_xlfn.XLOOKUP($O94,'SI - End Use'!$B$2:$B$82,'SI - End Use'!$C$2:$C$82, "")="", "", _xlfn.XLOOKUP($C94,'SI - End Use'!$B$2:$B$82,'SI - End Use'!$C$2:$C$82, ""))</f>
        <v/>
      </c>
      <c r="Q94" s="6"/>
      <c r="R94" s="6"/>
    </row>
    <row r="95" spans="1:18" x14ac:dyDescent="0.35">
      <c r="A95" s="6"/>
      <c r="B95" s="6"/>
      <c r="C95" s="6" t="str">
        <f>_xlfn.XLOOKUP($B95,'SI - Resources'!$A$1:$J$1,'SI - Resources'!$A$2:$J$2, "")</f>
        <v/>
      </c>
      <c r="D95" s="6" t="str">
        <f>IF(_xlfn.XLOOKUP($C95,'SI - End Use'!$B$2:$B$82,'SI - End Use'!$C$2:$C$82, "")="", "", _xlfn.XLOOKUP($C95,'SI - End Use'!$B$2:$B$82,'SI - End Use'!$C$2:$C$82, ""))</f>
        <v/>
      </c>
      <c r="E95" s="13"/>
      <c r="F95" s="6" t="str" cm="1">
        <f t="array" ref="F95">IF($B95="Transportation",  'SI - Units'!$B$9:$B$9, _xlfn.XLOOKUP(_xlfn.XLOOKUP($C95,'SI - Units'!$B$24:$B$106,'SI - Units'!$C$24:$C$106, ""),'SI - Units'!$A$2:$A$8,'SI - Units'!$B$2:$B$8, ""))</f>
        <v/>
      </c>
      <c r="G95" s="27"/>
      <c r="H95" s="27"/>
      <c r="I95" s="31" t="str">
        <f>IF(Table16[[#This Row],[Type]]="Co-product", "No", "")</f>
        <v/>
      </c>
      <c r="J95" s="6"/>
      <c r="K95" s="6" t="str">
        <f>IF(Table16[[#This Row],[Category]]="Transportation", _xlfn.XLOOKUP(Table16[[#This Row],[Resource]], 'SI - Payload'!$A$10:$A$38,'SI - Payload'!$B$10:$B$38,"",0), "")</f>
        <v/>
      </c>
      <c r="L95" s="6" t="str">
        <f>IF(Table16[[#This Row],[Category]]="Transportation", "ton", "")</f>
        <v/>
      </c>
      <c r="M95" s="6"/>
      <c r="N95" s="6"/>
      <c r="O95" s="6" t="str">
        <f>IF(OR(Table16[[#This Row],[Type]]="Main Product", Table16[[#This Row],[Type]]="Co-Product"), Table16[[#This Row],[Resource]], "")</f>
        <v/>
      </c>
      <c r="P95" s="6" t="str">
        <f>IF(_xlfn.XLOOKUP($O95,'SI - End Use'!$B$2:$B$82,'SI - End Use'!$C$2:$C$82, "")="", "", _xlfn.XLOOKUP($C95,'SI - End Use'!$B$2:$B$82,'SI - End Use'!$C$2:$C$82, ""))</f>
        <v/>
      </c>
      <c r="Q95" s="6"/>
      <c r="R95" s="6"/>
    </row>
    <row r="96" spans="1:18" x14ac:dyDescent="0.35">
      <c r="A96" s="6"/>
      <c r="B96" s="6"/>
      <c r="C96" s="6" t="str">
        <f>_xlfn.XLOOKUP($B96,'SI - Resources'!$A$1:$J$1,'SI - Resources'!$A$2:$J$2, "")</f>
        <v/>
      </c>
      <c r="D96" s="6" t="str">
        <f>IF(_xlfn.XLOOKUP($C96,'SI - End Use'!$B$2:$B$82,'SI - End Use'!$C$2:$C$82, "")="", "", _xlfn.XLOOKUP($C96,'SI - End Use'!$B$2:$B$82,'SI - End Use'!$C$2:$C$82, ""))</f>
        <v/>
      </c>
      <c r="E96" s="13"/>
      <c r="F96" s="6" t="str" cm="1">
        <f t="array" ref="F96">IF($B96="Transportation",  'SI - Units'!$B$9:$B$9, _xlfn.XLOOKUP(_xlfn.XLOOKUP($C96,'SI - Units'!$B$24:$B$106,'SI - Units'!$C$24:$C$106, ""),'SI - Units'!$A$2:$A$8,'SI - Units'!$B$2:$B$8, ""))</f>
        <v/>
      </c>
      <c r="G96" s="27"/>
      <c r="H96" s="27"/>
      <c r="I96" s="31" t="str">
        <f>IF(Table16[[#This Row],[Type]]="Co-product", "No", "")</f>
        <v/>
      </c>
      <c r="J96" s="6"/>
      <c r="K96" s="6" t="str">
        <f>IF(Table16[[#This Row],[Category]]="Transportation", _xlfn.XLOOKUP(Table16[[#This Row],[Resource]], 'SI - Payload'!$A$10:$A$38,'SI - Payload'!$B$10:$B$38,"",0), "")</f>
        <v/>
      </c>
      <c r="L96" s="6" t="str">
        <f>IF(Table16[[#This Row],[Category]]="Transportation", "ton", "")</f>
        <v/>
      </c>
      <c r="M96" s="6"/>
      <c r="N96" s="6"/>
      <c r="O96" s="6" t="str">
        <f>IF(OR(Table16[[#This Row],[Type]]="Main Product", Table16[[#This Row],[Type]]="Co-Product"), Table16[[#This Row],[Resource]], "")</f>
        <v/>
      </c>
      <c r="P96" s="6" t="str">
        <f>IF(_xlfn.XLOOKUP($O96,'SI - End Use'!$B$2:$B$82,'SI - End Use'!$C$2:$C$82, "")="", "", _xlfn.XLOOKUP($C96,'SI - End Use'!$B$2:$B$82,'SI - End Use'!$C$2:$C$82, ""))</f>
        <v/>
      </c>
      <c r="Q96" s="6"/>
      <c r="R96" s="6"/>
    </row>
    <row r="97" spans="1:18" x14ac:dyDescent="0.35">
      <c r="A97" s="6"/>
      <c r="B97" s="6"/>
      <c r="C97" s="6" t="str">
        <f>_xlfn.XLOOKUP($B97,'SI - Resources'!$A$1:$J$1,'SI - Resources'!$A$2:$J$2, "")</f>
        <v/>
      </c>
      <c r="D97" s="6" t="str">
        <f>IF(_xlfn.XLOOKUP($C97,'SI - End Use'!$B$2:$B$82,'SI - End Use'!$C$2:$C$82, "")="", "", _xlfn.XLOOKUP($C97,'SI - End Use'!$B$2:$B$82,'SI - End Use'!$C$2:$C$82, ""))</f>
        <v/>
      </c>
      <c r="E97" s="13"/>
      <c r="F97" s="6" t="str" cm="1">
        <f t="array" ref="F97">IF($B97="Transportation",  'SI - Units'!$B$9:$B$9, _xlfn.XLOOKUP(_xlfn.XLOOKUP($C97,'SI - Units'!$B$24:$B$106,'SI - Units'!$C$24:$C$106, ""),'SI - Units'!$A$2:$A$8,'SI - Units'!$B$2:$B$8, ""))</f>
        <v/>
      </c>
      <c r="G97" s="27"/>
      <c r="H97" s="27"/>
      <c r="I97" s="31" t="str">
        <f>IF(Table16[[#This Row],[Type]]="Co-product", "No", "")</f>
        <v/>
      </c>
      <c r="J97" s="6"/>
      <c r="K97" s="6" t="str">
        <f>IF(Table16[[#This Row],[Category]]="Transportation", _xlfn.XLOOKUP(Table16[[#This Row],[Resource]], 'SI - Payload'!$A$10:$A$38,'SI - Payload'!$B$10:$B$38,"",0), "")</f>
        <v/>
      </c>
      <c r="L97" s="6" t="str">
        <f>IF(Table16[[#This Row],[Category]]="Transportation", "ton", "")</f>
        <v/>
      </c>
      <c r="M97" s="6"/>
      <c r="N97" s="6"/>
      <c r="O97" s="6" t="str">
        <f>IF(OR(Table16[[#This Row],[Type]]="Main Product", Table16[[#This Row],[Type]]="Co-Product"), Table16[[#This Row],[Resource]], "")</f>
        <v/>
      </c>
      <c r="P97" s="6" t="str">
        <f>IF(_xlfn.XLOOKUP($O97,'SI - End Use'!$B$2:$B$82,'SI - End Use'!$C$2:$C$82, "")="", "", _xlfn.XLOOKUP($C97,'SI - End Use'!$B$2:$B$82,'SI - End Use'!$C$2:$C$82, ""))</f>
        <v/>
      </c>
      <c r="Q97" s="6"/>
      <c r="R97" s="6"/>
    </row>
    <row r="98" spans="1:18" x14ac:dyDescent="0.35">
      <c r="A98" s="6"/>
      <c r="B98" s="6"/>
      <c r="C98" s="6" t="str">
        <f>_xlfn.XLOOKUP($B98,'SI - Resources'!$A$1:$J$1,'SI - Resources'!$A$2:$J$2, "")</f>
        <v/>
      </c>
      <c r="D98" s="6" t="str">
        <f>IF(_xlfn.XLOOKUP($C98,'SI - End Use'!$B$2:$B$82,'SI - End Use'!$C$2:$C$82, "")="", "", _xlfn.XLOOKUP($C98,'SI - End Use'!$B$2:$B$82,'SI - End Use'!$C$2:$C$82, ""))</f>
        <v/>
      </c>
      <c r="E98" s="13"/>
      <c r="F98" s="6" t="str" cm="1">
        <f t="array" ref="F98">IF($B98="Transportation",  'SI - Units'!$B$9:$B$9, _xlfn.XLOOKUP(_xlfn.XLOOKUP($C98,'SI - Units'!$B$24:$B$106,'SI - Units'!$C$24:$C$106, ""),'SI - Units'!$A$2:$A$8,'SI - Units'!$B$2:$B$8, ""))</f>
        <v/>
      </c>
      <c r="G98" s="27"/>
      <c r="H98" s="27"/>
      <c r="I98" s="31" t="str">
        <f>IF(Table16[[#This Row],[Type]]="Co-product", "No", "")</f>
        <v/>
      </c>
      <c r="J98" s="6"/>
      <c r="K98" s="6" t="str">
        <f>IF(Table16[[#This Row],[Category]]="Transportation", _xlfn.XLOOKUP(Table16[[#This Row],[Resource]], 'SI - Payload'!$A$10:$A$38,'SI - Payload'!$B$10:$B$38,"",0), "")</f>
        <v/>
      </c>
      <c r="L98" s="6" t="str">
        <f>IF(Table16[[#This Row],[Category]]="Transportation", "ton", "")</f>
        <v/>
      </c>
      <c r="M98" s="6"/>
      <c r="N98" s="6"/>
      <c r="O98" s="6" t="str">
        <f>IF(OR(Table16[[#This Row],[Type]]="Main Product", Table16[[#This Row],[Type]]="Co-Product"), Table16[[#This Row],[Resource]], "")</f>
        <v/>
      </c>
      <c r="P98" s="6" t="str">
        <f>IF(_xlfn.XLOOKUP($O98,'SI - End Use'!$B$2:$B$82,'SI - End Use'!$C$2:$C$82, "")="", "", _xlfn.XLOOKUP($C98,'SI - End Use'!$B$2:$B$82,'SI - End Use'!$C$2:$C$82, ""))</f>
        <v/>
      </c>
      <c r="Q98" s="6"/>
      <c r="R98" s="6"/>
    </row>
    <row r="99" spans="1:18" x14ac:dyDescent="0.35">
      <c r="A99" s="6"/>
      <c r="B99" s="6"/>
      <c r="C99" s="6" t="str">
        <f>_xlfn.XLOOKUP($B99,'SI - Resources'!$A$1:$J$1,'SI - Resources'!$A$2:$J$2, "")</f>
        <v/>
      </c>
      <c r="D99" s="6" t="str">
        <f>IF(_xlfn.XLOOKUP($C99,'SI - End Use'!$B$2:$B$82,'SI - End Use'!$C$2:$C$82, "")="", "", _xlfn.XLOOKUP($C99,'SI - End Use'!$B$2:$B$82,'SI - End Use'!$C$2:$C$82, ""))</f>
        <v/>
      </c>
      <c r="E99" s="13"/>
      <c r="F99" s="6" t="str" cm="1">
        <f t="array" ref="F99">IF($B99="Transportation",  'SI - Units'!$B$9:$B$9, _xlfn.XLOOKUP(_xlfn.XLOOKUP($C99,'SI - Units'!$B$24:$B$106,'SI - Units'!$C$24:$C$106, ""),'SI - Units'!$A$2:$A$8,'SI - Units'!$B$2:$B$8, ""))</f>
        <v/>
      </c>
      <c r="G99" s="27"/>
      <c r="H99" s="27"/>
      <c r="I99" s="31" t="str">
        <f>IF(Table16[[#This Row],[Type]]="Co-product", "No", "")</f>
        <v/>
      </c>
      <c r="J99" s="6"/>
      <c r="K99" s="6" t="str">
        <f>IF(Table16[[#This Row],[Category]]="Transportation", _xlfn.XLOOKUP(Table16[[#This Row],[Resource]], 'SI - Payload'!$A$10:$A$38,'SI - Payload'!$B$10:$B$38,"",0), "")</f>
        <v/>
      </c>
      <c r="L99" s="6" t="str">
        <f>IF(Table16[[#This Row],[Category]]="Transportation", "ton", "")</f>
        <v/>
      </c>
      <c r="M99" s="6"/>
      <c r="N99" s="6"/>
      <c r="O99" s="6" t="str">
        <f>IF(OR(Table16[[#This Row],[Type]]="Main Product", Table16[[#This Row],[Type]]="Co-Product"), Table16[[#This Row],[Resource]], "")</f>
        <v/>
      </c>
      <c r="P99" s="6" t="str">
        <f>IF(_xlfn.XLOOKUP($O99,'SI - End Use'!$B$2:$B$82,'SI - End Use'!$C$2:$C$82, "")="", "", _xlfn.XLOOKUP($C99,'SI - End Use'!$B$2:$B$82,'SI - End Use'!$C$2:$C$82, ""))</f>
        <v/>
      </c>
      <c r="Q99" s="6"/>
      <c r="R99" s="6"/>
    </row>
    <row r="100" spans="1:18" x14ac:dyDescent="0.35">
      <c r="A100" s="30"/>
      <c r="B100" s="16"/>
      <c r="C100" s="16" t="str">
        <f>_xlfn.XLOOKUP($B100,'SI - Resources'!$A$1:$J$1,'SI - Resources'!$A$2:$J$2, "")</f>
        <v/>
      </c>
      <c r="D100" s="16" t="str">
        <f>IF(_xlfn.XLOOKUP($C100,'SI - End Use'!$B$2:$B$82,'SI - End Use'!$C$2:$C$82, "")="", "", _xlfn.XLOOKUP($C100,'SI - End Use'!$B$2:$B$82,'SI - End Use'!$C$2:$C$82, ""))</f>
        <v/>
      </c>
      <c r="E100" s="28"/>
      <c r="F100" s="16" t="str" cm="1">
        <f t="array" ref="F100">IF($B100="Transportation",  'SI - Units'!$B$9:$B$9, _xlfn.XLOOKUP(_xlfn.XLOOKUP($C100,'SI - Units'!$B$24:$B$106,'SI - Units'!$C$24:$C$106, ""),'SI - Units'!$A$2:$A$8,'SI - Units'!$B$2:$B$8, ""))</f>
        <v/>
      </c>
      <c r="G100" s="29"/>
      <c r="H100" s="29"/>
      <c r="I100" s="32" t="str">
        <f>IF(Table16[[#This Row],[Type]]="Co-product", "No", "")</f>
        <v/>
      </c>
      <c r="J100" s="16"/>
      <c r="K100" s="16" t="str">
        <f>IF(Table16[[#This Row],[Category]]="Transportation", _xlfn.XLOOKUP(Table16[[#This Row],[Resource]], 'SI - Payload'!$A$10:$A$38,'SI - Payload'!$B$10:$B$38,"",0), "")</f>
        <v/>
      </c>
      <c r="L100" s="16" t="str">
        <f>IF(Table16[[#This Row],[Category]]="Transportation", "ton", "")</f>
        <v/>
      </c>
      <c r="M100" s="16"/>
      <c r="N100" s="16"/>
      <c r="O100" s="16" t="str">
        <f>IF(OR(Table16[[#This Row],[Type]]="Main Product", Table16[[#This Row],[Type]]="Co-Product"), Table16[[#This Row],[Resource]], "")</f>
        <v/>
      </c>
      <c r="P100" s="16" t="str">
        <f>IF(_xlfn.XLOOKUP($O100,'SI - End Use'!$B$2:$B$82,'SI - End Use'!$C$2:$C$82, "")="", "", _xlfn.XLOOKUP($C100,'SI - End Use'!$B$2:$B$82,'SI - End Use'!$C$2:$C$82, ""))</f>
        <v/>
      </c>
      <c r="Q100" s="16"/>
      <c r="R100" s="16"/>
    </row>
  </sheetData>
  <dataValidations count="6">
    <dataValidation type="list" allowBlank="1" showInputMessage="1" showErrorMessage="1" sqref="O5:O100" xr:uid="{9773D760-B072-487D-8CA9-61B9F3D0B0A5}">
      <formula1>" =XLOOKUP($B5,'SI - Resources'!$A$1:$I$1,INDIRECT(""Resource""))"</formula1>
    </dataValidation>
    <dataValidation type="decimal" operator="greaterThan" allowBlank="1" showInputMessage="1" showErrorMessage="1" error="Please type a positive number." sqref="K5:K100" xr:uid="{24A79729-1F7E-4DEB-860F-288595FC7743}">
      <formula1>0</formula1>
    </dataValidation>
    <dataValidation type="decimal" operator="greaterThan" allowBlank="1" showInputMessage="1" showErrorMessage="1" error="Please type a positive price." sqref="M5:M100" xr:uid="{9AFEDDEC-26DC-4BC9-88B3-A2D5A7B788EE}">
      <formula1>0</formula1>
    </dataValidation>
    <dataValidation type="decimal" allowBlank="1" showInputMessage="1" showErrorMessage="1" error="Please type a number between 0 and 1." sqref="G5:G100" xr:uid="{A646B0A2-CC5C-452C-984C-C00C4F86828F}">
      <formula1>0</formula1>
      <formula2>1</formula2>
    </dataValidation>
    <dataValidation type="custom" allowBlank="1" showInputMessage="1" showErrorMessage="1" sqref="E5:E100" xr:uid="{7477BE11-8DCB-45FA-8D0E-E1B530E116D4}">
      <formula1>ISNUMBER(E5)</formula1>
    </dataValidation>
    <dataValidation type="list" allowBlank="1" showInputMessage="1" showErrorMessage="1" sqref="C2" xr:uid="{7EEE830D-50B8-41AA-853F-76D595B11E96}">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58BD5D6F-2D29-4F1D-93C3-CA85C878E90F}">
          <x14:formula1>
            <xm:f>IF($B5="Transportation",  'SI - Units'!$B$9:$E$9, _xlfn.XLOOKUP(_xlfn.XLOOKUP($C5,'SI - Units'!$B$24:$B$106,'SI - Units'!$C$24:$C$106),'SI - Units'!$A$2:$A$8,'SI - Units'!$B$2:$R$8))</xm:f>
          </x14:formula1>
          <xm:sqref>F5:F100</xm:sqref>
        </x14:dataValidation>
        <x14:dataValidation type="list" allowBlank="1" showInputMessage="1" showErrorMessage="1" xr:uid="{A3784B7F-F5AD-4895-9097-0E3D9B86106D}">
          <x14:formula1>
            <xm:f>_xlfn.XLOOKUP($O5,'SI - End Use'!$B$2:$B$82,'SI - End Use'!$C$2:$O$82)</xm:f>
          </x14:formula1>
          <xm:sqref>P5:P100</xm:sqref>
        </x14:dataValidation>
        <x14:dataValidation type="list" allowBlank="1" showInputMessage="1" xr:uid="{DC0AF9CC-F9A8-45DD-9823-493BB2FD6721}">
          <x14:formula1>
            <xm:f>_xlfn.XLOOKUP($C5,'SI - End Use'!$B$2:$B$82,'SI - End Use'!$C$2:$O$82)</xm:f>
          </x14:formula1>
          <xm:sqref>D5:D100</xm:sqref>
        </x14:dataValidation>
        <x14:dataValidation type="list" allowBlank="1" showInputMessage="1" showErrorMessage="1" xr:uid="{FD711728-662D-43FA-995A-06A77A15A19D}">
          <x14:formula1>
            <xm:f>'SI - Co-products'!$B$2:$B$6</xm:f>
          </x14:formula1>
          <xm:sqref>A5:A100</xm:sqref>
        </x14:dataValidation>
        <x14:dataValidation type="list" allowBlank="1" showInputMessage="1" showErrorMessage="1" xr:uid="{5249F6A7-DF2F-4D3E-901E-1E9971481BCB}">
          <x14:formula1>
            <xm:f>_xlfn.XLOOKUP($B5,'SI - Resources'!$A$1:$J$1,INDIRECT("Resource"))</xm:f>
          </x14:formula1>
          <xm:sqref>C5:C100</xm:sqref>
        </x14:dataValidation>
        <x14:dataValidation type="list" allowBlank="1" showInputMessage="1" showErrorMessage="1" xr:uid="{5433CB83-D26D-49BE-A03B-DF3B4DCF8E44}">
          <x14:formula1>
            <xm:f>'SI - Resources'!$A$1:$J$1</xm:f>
          </x14:formula1>
          <xm:sqref>B5:B100</xm:sqref>
        </x14:dataValidation>
        <x14:dataValidation type="list" allowBlank="1" showInputMessage="1" showErrorMessage="1" xr:uid="{8746DB44-0C71-4826-8056-2679E1C09B0F}">
          <x14:formula1>
            <xm:f>'SI - Units'!$B$10:$F$10</xm:f>
          </x14:formula1>
          <xm:sqref>L5:L100</xm:sqref>
        </x14:dataValidation>
        <x14:dataValidation type="list" allowBlank="1" showInputMessage="1" showErrorMessage="1" xr:uid="{D20D609D-3BCE-49B6-BAE8-FBB44464AF7D}">
          <x14:formula1>
            <xm:f>IF($B5="Transportation",  'SI - Units'!$B$20:$E$20, _xlfn.XLOOKUP(_xlfn.XLOOKUP($C5,'SI - Units'!$B$24:$B$106,'SI - Units'!$C$24:$C$106),'SI - Units'!$A$13:$A$19,'SI - Units'!$B$13:$R$19))</xm:f>
          </x14:formula1>
          <xm:sqref>N5:N100</xm:sqref>
        </x14:dataValidation>
        <x14:dataValidation type="list" allowBlank="1" showInputMessage="1" showErrorMessage="1" xr:uid="{436AF5C2-006F-4494-B63C-6E0D9CB90E4A}">
          <x14:formula1>
            <xm:f>'SI - Co-products'!$C$2:$C$4</xm:f>
          </x14:formula1>
          <xm:sqref>I5:I100</xm:sqref>
        </x14:dataValidation>
        <x14:dataValidation type="list" allowBlank="1" showInputMessage="1" showErrorMessage="1" xr:uid="{25C8CF41-2E2D-4D87-A8CE-73B4F524F76E}">
          <x14:formula1>
            <xm:f>'SI - Co-products'!$A$2:$A$5</xm:f>
          </x14:formula1>
          <xm:sqref>J5:J100</xm:sqref>
        </x14:dataValidation>
        <x14:dataValidation type="list" allowBlank="1" showInputMessage="1" showErrorMessage="1" xr:uid="{8E1CDAA1-5697-4102-B13C-1C9088A438CB}">
          <x14:formula1>
            <xm:f>_xlfn.XLOOKUP(_xlfn.XLOOKUP(#REF!,'SI - Units'!$B$24:$B$106,'SI - Units'!$C$24:$C$106),'SI - Units'!$A$2:$A$8,'SI - Units'!$B$2:$R$8)</xm:f>
          </x14:formula1>
          <xm:sqref>F4</xm:sqref>
        </x14:dataValidation>
        <x14:dataValidation type="list" allowBlank="1" showInputMessage="1" showErrorMessage="1" xr:uid="{FD36AF93-489A-4CBD-B367-22020B70716E}">
          <x14:formula1>
            <xm:f>'SI - Co-products'!$D$2:$D$8</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E796C-4A6F-41DB-96E3-53B2911B55BD}">
  <sheetPr codeName="Sheet9"/>
  <dimension ref="A1:R100"/>
  <sheetViews>
    <sheetView tabSelected="1" workbookViewId="0">
      <pane ySplit="4" topLeftCell="A5" activePane="bottomLeft" state="frozen"/>
      <selection activeCell="C19" sqref="C19"/>
      <selection pane="bottomLeft" activeCell="D15" sqref="D15"/>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14" t="s">
        <v>130</v>
      </c>
      <c r="B1" s="26"/>
      <c r="C1" s="15" t="s">
        <v>131</v>
      </c>
    </row>
    <row r="2" spans="1:18" x14ac:dyDescent="0.35">
      <c r="A2" s="14" t="s">
        <v>264</v>
      </c>
      <c r="B2" s="14"/>
      <c r="C2" s="15" t="s">
        <v>129</v>
      </c>
    </row>
    <row r="4" spans="1:18" x14ac:dyDescent="0.35">
      <c r="A4" s="7" t="s">
        <v>6</v>
      </c>
      <c r="B4" s="8" t="s">
        <v>1</v>
      </c>
      <c r="C4" s="8" t="s">
        <v>36</v>
      </c>
      <c r="D4" s="8" t="s">
        <v>5</v>
      </c>
      <c r="E4" s="8" t="s">
        <v>7</v>
      </c>
      <c r="F4" s="8" t="s">
        <v>8</v>
      </c>
      <c r="G4" s="8" t="s">
        <v>116</v>
      </c>
      <c r="H4" s="8" t="s">
        <v>263</v>
      </c>
      <c r="I4" s="8" t="s">
        <v>127</v>
      </c>
      <c r="J4" s="8" t="s">
        <v>117</v>
      </c>
      <c r="K4" s="8" t="s">
        <v>138</v>
      </c>
      <c r="L4" s="8" t="s">
        <v>139</v>
      </c>
      <c r="M4" s="8" t="s">
        <v>140</v>
      </c>
      <c r="N4" s="8" t="s">
        <v>141</v>
      </c>
      <c r="O4" s="8" t="s">
        <v>142</v>
      </c>
      <c r="P4" s="8" t="s">
        <v>143</v>
      </c>
      <c r="Q4" s="8" t="s">
        <v>260</v>
      </c>
      <c r="R4" s="8" t="s">
        <v>4</v>
      </c>
    </row>
    <row r="5" spans="1:18" x14ac:dyDescent="0.35">
      <c r="A5" s="6" t="s">
        <v>262</v>
      </c>
      <c r="B5" s="6" t="s">
        <v>39</v>
      </c>
      <c r="C5" s="6" t="s">
        <v>293</v>
      </c>
      <c r="D5" s="6" t="str">
        <f>IF(_xlfn.XLOOKUP($C5,'SI - End Use'!$B$2:$B$82,'SI - End Use'!$C$2:$C$82, "")="", "", _xlfn.XLOOKUP($C5,'SI - End Use'!$B$2:$B$82,'SI - End Use'!$C$2:$C$82, ""))</f>
        <v/>
      </c>
      <c r="E5" s="72">
        <v>1</v>
      </c>
      <c r="F5" s="6" t="str" cm="1">
        <f t="array" ref="F5">IF($B5="Transportation",  'SI - Units'!$B$9:$B$9, _xlfn.XLOOKUP(_xlfn.XLOOKUP($C5,'SI - Units'!$B$24:$B$106,'SI - Units'!$C$24:$C$106, ""),'SI - Units'!$A$2:$A$8,'SI - Units'!$B$2:$B$8, ""))</f>
        <v>kg</v>
      </c>
      <c r="G5" s="27"/>
      <c r="H5" s="27" t="s">
        <v>320</v>
      </c>
      <c r="I5" s="31" t="str">
        <f>IF(Table13[[#This Row],[Type]]="Co-product", "No", "")</f>
        <v/>
      </c>
      <c r="J5" s="6"/>
      <c r="K5" s="6" t="str">
        <f>IF(Table13[[#This Row],[Category]]="Transportation", _xlfn.XLOOKUP(Table13[[#This Row],[Resource]], 'SI - Payload'!$A$10:$A$38,'SI - Payload'!$B$10:$B$38,"",0), "")</f>
        <v/>
      </c>
      <c r="L5" s="6" t="str">
        <f>IF(Table13[[#This Row],[Category]]="Transportation", "ton", "")</f>
        <v/>
      </c>
      <c r="M5" s="6"/>
      <c r="N5" s="6"/>
      <c r="O5" s="6" t="str">
        <f>IF(OR(Table13[[#This Row],[Type]]="Main Product", Table13[[#This Row],[Type]]="Co-Product"), Table13[[#This Row],[Resource]], "")</f>
        <v/>
      </c>
      <c r="P5" s="6" t="str">
        <f>IF(_xlfn.XLOOKUP($O5,'SI - End Use'!$B$2:$B$82,'SI - End Use'!$C$2:$C$82, "")="", "", _xlfn.XLOOKUP($C5,'SI - End Use'!$B$2:$B$82,'SI - End Use'!$C$2:$C$82, ""))</f>
        <v/>
      </c>
      <c r="Q5" s="6"/>
      <c r="R5" s="6"/>
    </row>
    <row r="6" spans="1:18" x14ac:dyDescent="0.35">
      <c r="A6" s="6" t="s">
        <v>0</v>
      </c>
      <c r="B6" s="6" t="s">
        <v>34</v>
      </c>
      <c r="C6" s="6" t="s">
        <v>293</v>
      </c>
      <c r="D6" s="6" t="str">
        <f>IF(_xlfn.XLOOKUP($C6,'SI - End Use'!$B$2:$B$82,'SI - End Use'!$C$2:$C$82, "")="", "", _xlfn.XLOOKUP($C6,'SI - End Use'!$B$2:$B$82,'SI - End Use'!$C$2:$C$82, ""))</f>
        <v/>
      </c>
      <c r="E6" s="72">
        <v>50</v>
      </c>
      <c r="F6" s="6" t="str" cm="1">
        <f t="array" ref="F6">IF($B6="Transportation",  'SI - Units'!$B$9:$B$9, _xlfn.XLOOKUP(_xlfn.XLOOKUP($C6,'SI - Units'!$B$24:$B$106,'SI - Units'!$C$24:$C$106, ""),'SI - Units'!$A$2:$A$8,'SI - Units'!$B$2:$B$8, ""))</f>
        <v>mi</v>
      </c>
      <c r="G6" s="27">
        <v>0.8</v>
      </c>
      <c r="H6" s="27"/>
      <c r="I6" s="31" t="str">
        <f>IF(Table13[[#This Row],[Type]]="Co-product", "No", "")</f>
        <v/>
      </c>
      <c r="J6" s="6"/>
      <c r="K6" s="6">
        <f>IF(Table13[[#This Row],[Category]]="Transportation", _xlfn.XLOOKUP(Table13[[#This Row],[Resource]], 'SI - Payload'!$A$10:$A$38,'SI - Payload'!$B$10:$B$38,"",0), "")</f>
        <v>25</v>
      </c>
      <c r="L6" s="6" t="str">
        <f>IF(Table13[[#This Row],[Category]]="Transportation", "ton", "")</f>
        <v>ton</v>
      </c>
      <c r="M6" s="6"/>
      <c r="N6" s="6"/>
      <c r="O6" s="6" t="str">
        <f>IF(OR(Table13[[#This Row],[Type]]="Main Product", Table13[[#This Row],[Type]]="Co-Product"), Table13[[#This Row],[Resource]], "")</f>
        <v/>
      </c>
      <c r="P6" s="6" t="str">
        <f>IF(_xlfn.XLOOKUP($O6,'SI - End Use'!$B$2:$B$82,'SI - End Use'!$C$2:$C$82, "")="", "", _xlfn.XLOOKUP($C6,'SI - End Use'!$B$2:$B$82,'SI - End Use'!$C$2:$C$82, ""))</f>
        <v/>
      </c>
      <c r="Q6" s="6"/>
      <c r="R6" s="6"/>
    </row>
    <row r="7" spans="1:18" x14ac:dyDescent="0.35">
      <c r="A7" s="6" t="s">
        <v>118</v>
      </c>
      <c r="B7" s="6" t="s">
        <v>39</v>
      </c>
      <c r="C7" s="6" t="s">
        <v>293</v>
      </c>
      <c r="D7" s="6" t="str">
        <f>IF(_xlfn.XLOOKUP($C7,'SI - End Use'!$B$2:$B$82,'SI - End Use'!$C$2:$C$82, "")="", "", _xlfn.XLOOKUP($C7,'SI - End Use'!$B$2:$B$82,'SI - End Use'!$C$2:$C$82, ""))</f>
        <v/>
      </c>
      <c r="E7" s="13">
        <v>1</v>
      </c>
      <c r="F7" s="6" t="str" cm="1">
        <f t="array" ref="F7">IF($B7="Transportation",  'SI - Units'!$B$9:$B$9, _xlfn.XLOOKUP(_xlfn.XLOOKUP($C7,'SI - Units'!$B$24:$B$106,'SI - Units'!$C$24:$C$106, ""),'SI - Units'!$A$2:$A$8,'SI - Units'!$B$2:$B$8, ""))</f>
        <v>kg</v>
      </c>
      <c r="G7" s="27"/>
      <c r="H7" s="27"/>
      <c r="I7" s="31" t="str">
        <f>IF(Table13[[#This Row],[Type]]="Co-product", "No", "")</f>
        <v/>
      </c>
      <c r="J7" s="6"/>
      <c r="K7" s="6" t="str">
        <f>IF(Table13[[#This Row],[Category]]="Transportation", _xlfn.XLOOKUP(Table13[[#This Row],[Resource]], 'SI - Payload'!$A$10:$A$38,'SI - Payload'!$B$10:$B$38,"",0), "")</f>
        <v/>
      </c>
      <c r="L7" s="6" t="str">
        <f>IF(Table13[[#This Row],[Category]]="Transportation", "ton", "")</f>
        <v/>
      </c>
      <c r="M7" s="6"/>
      <c r="N7" s="6"/>
      <c r="O7" s="6" t="str">
        <f>IF(OR(Table13[[#This Row],[Type]]="Main Product", Table13[[#This Row],[Type]]="Co-Product"), Table13[[#This Row],[Resource]], "")</f>
        <v>Algae</v>
      </c>
      <c r="P7" s="6" t="str">
        <f>IF(_xlfn.XLOOKUP($O7,'SI - End Use'!$B$2:$B$82,'SI - End Use'!$C$2:$C$82, "")="", "", _xlfn.XLOOKUP($C7,'SI - End Use'!$B$2:$B$82,'SI - End Use'!$C$2:$C$82, ""))</f>
        <v/>
      </c>
      <c r="Q7" s="6"/>
      <c r="R7" s="6"/>
    </row>
    <row r="8" spans="1:18" x14ac:dyDescent="0.35">
      <c r="A8" s="6"/>
      <c r="B8" s="6"/>
      <c r="C8" s="6" t="str">
        <f>_xlfn.XLOOKUP($B8,'SI - Resources'!$A$1:$J$1,'SI - Resources'!$A$2:$J$2, "")</f>
        <v/>
      </c>
      <c r="D8" s="6" t="str">
        <f>IF(_xlfn.XLOOKUP($C8,'SI - End Use'!$B$2:$B$82,'SI - End Use'!$C$2:$C$82, "")="", "", _xlfn.XLOOKUP($C8,'SI - End Use'!$B$2:$B$82,'SI - End Use'!$C$2:$C$82, ""))</f>
        <v/>
      </c>
      <c r="E8" s="13"/>
      <c r="F8" s="6" t="str" cm="1">
        <f t="array" ref="F8">IF($B8="Transportation",  'SI - Units'!$B$9:$B$9, _xlfn.XLOOKUP(_xlfn.XLOOKUP($C8,'SI - Units'!$B$24:$B$106,'SI - Units'!$C$24:$C$106, ""),'SI - Units'!$A$2:$A$8,'SI - Units'!$B$2:$B$8, ""))</f>
        <v/>
      </c>
      <c r="G8" s="27"/>
      <c r="H8" s="27"/>
      <c r="I8" s="31" t="str">
        <f>IF(Table13[[#This Row],[Type]]="Co-product", "No", "")</f>
        <v/>
      </c>
      <c r="J8" s="6"/>
      <c r="K8" s="6" t="str">
        <f>IF(Table13[[#This Row],[Category]]="Transportation", _xlfn.XLOOKUP(Table13[[#This Row],[Resource]], 'SI - Payload'!$A$10:$A$38,'SI - Payload'!$B$10:$B$38,"",0), "")</f>
        <v/>
      </c>
      <c r="L8" s="6" t="str">
        <f>IF(Table13[[#This Row],[Category]]="Transportation", "ton", "")</f>
        <v/>
      </c>
      <c r="M8" s="6"/>
      <c r="N8" s="6"/>
      <c r="O8" s="6" t="str">
        <f>IF(OR(Table13[[#This Row],[Type]]="Main Product", Table13[[#This Row],[Type]]="Co-Product"), Table13[[#This Row],[Resource]], "")</f>
        <v/>
      </c>
      <c r="P8" s="6" t="str">
        <f>IF(_xlfn.XLOOKUP($O8,'SI - End Use'!$B$2:$B$82,'SI - End Use'!$C$2:$C$82, "")="", "", _xlfn.XLOOKUP($C8,'SI - End Use'!$B$2:$B$82,'SI - End Use'!$C$2:$C$82, ""))</f>
        <v/>
      </c>
      <c r="Q8" s="6"/>
      <c r="R8" s="6"/>
    </row>
    <row r="9" spans="1:18" x14ac:dyDescent="0.35">
      <c r="A9" s="6"/>
      <c r="B9" s="6"/>
      <c r="C9" s="6" t="str">
        <f>_xlfn.XLOOKUP($B9,'SI - Resources'!$A$1:$J$1,'SI - Resources'!$A$2:$J$2, "")</f>
        <v/>
      </c>
      <c r="D9" s="6" t="str">
        <f>IF(_xlfn.XLOOKUP($C9,'SI - End Use'!$B$2:$B$82,'SI - End Use'!$C$2:$C$82, "")="", "", _xlfn.XLOOKUP($C9,'SI - End Use'!$B$2:$B$82,'SI - End Use'!$C$2:$C$82, ""))</f>
        <v/>
      </c>
      <c r="E9" s="13"/>
      <c r="F9" s="6" t="str" cm="1">
        <f t="array" ref="F9">IF($B9="Transportation",  'SI - Units'!$B$9:$B$9, _xlfn.XLOOKUP(_xlfn.XLOOKUP($C9,'SI - Units'!$B$24:$B$106,'SI - Units'!$C$24:$C$106, ""),'SI - Units'!$A$2:$A$8,'SI - Units'!$B$2:$B$8, ""))</f>
        <v/>
      </c>
      <c r="G9" s="27"/>
      <c r="H9" s="27"/>
      <c r="I9" s="31" t="str">
        <f>IF(Table13[[#This Row],[Type]]="Co-product", "No", "")</f>
        <v/>
      </c>
      <c r="J9" s="6"/>
      <c r="K9" s="6" t="str">
        <f>IF(Table13[[#This Row],[Category]]="Transportation", _xlfn.XLOOKUP(Table13[[#This Row],[Resource]], 'SI - Payload'!$A$10:$A$38,'SI - Payload'!$B$10:$B$38,"",0), "")</f>
        <v/>
      </c>
      <c r="L9" s="6" t="str">
        <f>IF(Table13[[#This Row],[Category]]="Transportation", "ton", "")</f>
        <v/>
      </c>
      <c r="M9" s="6"/>
      <c r="N9" s="6"/>
      <c r="O9" s="6" t="str">
        <f>IF(OR(Table13[[#This Row],[Type]]="Main Product", Table13[[#This Row],[Type]]="Co-Product"), Table13[[#This Row],[Resource]], "")</f>
        <v/>
      </c>
      <c r="P9" s="6" t="str">
        <f>IF(_xlfn.XLOOKUP($O9,'SI - End Use'!$B$2:$B$82,'SI - End Use'!$C$2:$C$82, "")="", "", _xlfn.XLOOKUP($C9,'SI - End Use'!$B$2:$B$82,'SI - End Use'!$C$2:$C$82, ""))</f>
        <v/>
      </c>
      <c r="Q9" s="6"/>
      <c r="R9" s="6"/>
    </row>
    <row r="10" spans="1:18" x14ac:dyDescent="0.35">
      <c r="A10" s="6"/>
      <c r="B10" s="6"/>
      <c r="C10" s="6" t="str">
        <f>_xlfn.XLOOKUP($B10,'SI - Resources'!$A$1:$J$1,'SI - Resources'!$A$2:$J$2, "")</f>
        <v/>
      </c>
      <c r="D10" s="6" t="str">
        <f>IF(_xlfn.XLOOKUP($C10,'SI - End Use'!$B$2:$B$82,'SI - End Use'!$C$2:$C$82, "")="", "", _xlfn.XLOOKUP($C10,'SI - End Use'!$B$2:$B$82,'SI - End Use'!$C$2:$C$82, ""))</f>
        <v/>
      </c>
      <c r="E10" s="13"/>
      <c r="F10" s="6" t="str" cm="1">
        <f t="array" ref="F10">IF($B10="Transportation",  'SI - Units'!$B$9:$B$9, _xlfn.XLOOKUP(_xlfn.XLOOKUP($C10,'SI - Units'!$B$24:$B$106,'SI - Units'!$C$24:$C$106, ""),'SI - Units'!$A$2:$A$8,'SI - Units'!$B$2:$B$8, ""))</f>
        <v/>
      </c>
      <c r="G10" s="27"/>
      <c r="H10" s="27"/>
      <c r="I10" s="31" t="str">
        <f>IF(Table13[[#This Row],[Type]]="Co-product", "No", "")</f>
        <v/>
      </c>
      <c r="J10" s="6"/>
      <c r="K10" s="6" t="str">
        <f>IF(Table13[[#This Row],[Category]]="Transportation", _xlfn.XLOOKUP(Table13[[#This Row],[Resource]], 'SI - Payload'!$A$10:$A$38,'SI - Payload'!$B$10:$B$38,"",0), "")</f>
        <v/>
      </c>
      <c r="L10" s="6" t="str">
        <f>IF(Table13[[#This Row],[Category]]="Transportation", "ton", "")</f>
        <v/>
      </c>
      <c r="M10" s="6"/>
      <c r="N10" s="6"/>
      <c r="O10" s="6" t="str">
        <f>IF(OR(Table13[[#This Row],[Type]]="Main Product", Table13[[#This Row],[Type]]="Co-Product"), Table13[[#This Row],[Resource]], "")</f>
        <v/>
      </c>
      <c r="P10" s="6" t="str">
        <f>IF(_xlfn.XLOOKUP($O10,'SI - End Use'!$B$2:$B$82,'SI - End Use'!$C$2:$C$82, "")="", "", _xlfn.XLOOKUP($C10,'SI - End Use'!$B$2:$B$82,'SI - End Use'!$C$2:$C$82, ""))</f>
        <v/>
      </c>
      <c r="Q10" s="6"/>
      <c r="R10" s="6"/>
    </row>
    <row r="11" spans="1:18" x14ac:dyDescent="0.35">
      <c r="A11" s="6"/>
      <c r="B11" s="6"/>
      <c r="C11" s="6" t="str">
        <f>_xlfn.XLOOKUP($B11,'SI - Resources'!$A$1:$J$1,'SI - Resources'!$A$2:$J$2, "")</f>
        <v/>
      </c>
      <c r="D11" s="6" t="str">
        <f>IF(_xlfn.XLOOKUP($C11,'SI - End Use'!$B$2:$B$82,'SI - End Use'!$C$2:$C$82, "")="", "", _xlfn.XLOOKUP($C11,'SI - End Use'!$B$2:$B$82,'SI - End Use'!$C$2:$C$82, ""))</f>
        <v/>
      </c>
      <c r="E11" s="13"/>
      <c r="F11" s="6" t="str" cm="1">
        <f t="array" ref="F11">IF($B11="Transportation",  'SI - Units'!$B$9:$B$9, _xlfn.XLOOKUP(_xlfn.XLOOKUP($C11,'SI - Units'!$B$24:$B$106,'SI - Units'!$C$24:$C$106, ""),'SI - Units'!$A$2:$A$8,'SI - Units'!$B$2:$B$8, ""))</f>
        <v/>
      </c>
      <c r="G11" s="27"/>
      <c r="H11" s="27"/>
      <c r="I11" s="31" t="str">
        <f>IF(Table13[[#This Row],[Type]]="Co-product", "No", "")</f>
        <v/>
      </c>
      <c r="J11" s="6"/>
      <c r="K11" s="6" t="str">
        <f>IF(Table13[[#This Row],[Category]]="Transportation", _xlfn.XLOOKUP(Table13[[#This Row],[Resource]], 'SI - Payload'!$A$10:$A$38,'SI - Payload'!$B$10:$B$38,"",0), "")</f>
        <v/>
      </c>
      <c r="L11" s="6" t="str">
        <f>IF(Table13[[#This Row],[Category]]="Transportation", "ton", "")</f>
        <v/>
      </c>
      <c r="M11" s="6"/>
      <c r="N11" s="6"/>
      <c r="O11" s="6" t="str">
        <f>IF(OR(Table13[[#This Row],[Type]]="Main Product", Table13[[#This Row],[Type]]="Co-Product"), Table13[[#This Row],[Resource]], "")</f>
        <v/>
      </c>
      <c r="P11" s="6" t="str">
        <f>IF(_xlfn.XLOOKUP($O11,'SI - End Use'!$B$2:$B$82,'SI - End Use'!$C$2:$C$82, "")="", "", _xlfn.XLOOKUP($C11,'SI - End Use'!$B$2:$B$82,'SI - End Use'!$C$2:$C$82, ""))</f>
        <v/>
      </c>
      <c r="Q11" s="6"/>
      <c r="R11" s="6"/>
    </row>
    <row r="12" spans="1:18" x14ac:dyDescent="0.35">
      <c r="A12" s="6"/>
      <c r="B12" s="6"/>
      <c r="C12" s="6" t="str">
        <f>_xlfn.XLOOKUP($B12,'SI - Resources'!$A$1:$J$1,'SI - Resources'!$A$2:$J$2, "")</f>
        <v/>
      </c>
      <c r="D12" s="6" t="str">
        <f>IF(_xlfn.XLOOKUP($C12,'SI - End Use'!$B$2:$B$82,'SI - End Use'!$C$2:$C$82, "")="", "", _xlfn.XLOOKUP($C12,'SI - End Use'!$B$2:$B$82,'SI - End Use'!$C$2:$C$82, ""))</f>
        <v/>
      </c>
      <c r="E12" s="13"/>
      <c r="F12" s="6" t="str" cm="1">
        <f t="array" ref="F12">IF($B12="Transportation",  'SI - Units'!$B$9:$B$9, _xlfn.XLOOKUP(_xlfn.XLOOKUP($C12,'SI - Units'!$B$24:$B$106,'SI - Units'!$C$24:$C$106, ""),'SI - Units'!$A$2:$A$8,'SI - Units'!$B$2:$B$8, ""))</f>
        <v/>
      </c>
      <c r="G12" s="27"/>
      <c r="H12" s="27"/>
      <c r="I12" s="31" t="str">
        <f>IF(Table13[[#This Row],[Type]]="Co-product", "No", "")</f>
        <v/>
      </c>
      <c r="J12" s="6"/>
      <c r="K12" s="6" t="str">
        <f>IF(Table13[[#This Row],[Category]]="Transportation", _xlfn.XLOOKUP(Table13[[#This Row],[Resource]], 'SI - Payload'!$A$10:$A$38,'SI - Payload'!$B$10:$B$38,"",0), "")</f>
        <v/>
      </c>
      <c r="L12" s="6" t="str">
        <f>IF(Table13[[#This Row],[Category]]="Transportation", "ton", "")</f>
        <v/>
      </c>
      <c r="M12" s="6"/>
      <c r="N12" s="6"/>
      <c r="O12" s="6" t="str">
        <f>IF(OR(Table13[[#This Row],[Type]]="Main Product", Table13[[#This Row],[Type]]="Co-Product"), Table13[[#This Row],[Resource]], "")</f>
        <v/>
      </c>
      <c r="P12" s="6" t="str">
        <f>IF(_xlfn.XLOOKUP($O12,'SI - End Use'!$B$2:$B$82,'SI - End Use'!$C$2:$C$82, "")="", "", _xlfn.XLOOKUP($C12,'SI - End Use'!$B$2:$B$82,'SI - End Use'!$C$2:$C$82, ""))</f>
        <v/>
      </c>
      <c r="Q12" s="6"/>
      <c r="R12" s="6"/>
    </row>
    <row r="13" spans="1:18" x14ac:dyDescent="0.35">
      <c r="A13" s="6"/>
      <c r="B13" s="6"/>
      <c r="C13" s="6" t="str">
        <f>_xlfn.XLOOKUP($B13,'SI - Resources'!$A$1:$J$1,'SI - Resources'!$A$2:$J$2, "")</f>
        <v/>
      </c>
      <c r="D13" s="6" t="str">
        <f>IF(_xlfn.XLOOKUP($C13,'SI - End Use'!$B$2:$B$82,'SI - End Use'!$C$2:$C$82, "")="", "", _xlfn.XLOOKUP($C13,'SI - End Use'!$B$2:$B$82,'SI - End Use'!$C$2:$C$82, ""))</f>
        <v/>
      </c>
      <c r="E13" s="13"/>
      <c r="F13" s="6" t="str" cm="1">
        <f t="array" ref="F13">IF($B13="Transportation",  'SI - Units'!$B$9:$B$9, _xlfn.XLOOKUP(_xlfn.XLOOKUP($C13,'SI - Units'!$B$24:$B$106,'SI - Units'!$C$24:$C$106, ""),'SI - Units'!$A$2:$A$8,'SI - Units'!$B$2:$B$8, ""))</f>
        <v/>
      </c>
      <c r="G13" s="27"/>
      <c r="H13" s="27"/>
      <c r="I13" s="31" t="str">
        <f>IF(Table13[[#This Row],[Type]]="Co-product", "No", "")</f>
        <v/>
      </c>
      <c r="J13" s="6"/>
      <c r="K13" s="6" t="str">
        <f>IF(Table13[[#This Row],[Category]]="Transportation", _xlfn.XLOOKUP(Table13[[#This Row],[Resource]], 'SI - Payload'!$A$10:$A$38,'SI - Payload'!$B$10:$B$38,"",0), "")</f>
        <v/>
      </c>
      <c r="L13" s="6" t="str">
        <f>IF(Table13[[#This Row],[Category]]="Transportation", "ton", "")</f>
        <v/>
      </c>
      <c r="M13" s="6"/>
      <c r="N13" s="6"/>
      <c r="O13" s="6" t="str">
        <f>IF(OR(Table13[[#This Row],[Type]]="Main Product", Table13[[#This Row],[Type]]="Co-Product"), Table13[[#This Row],[Resource]], "")</f>
        <v/>
      </c>
      <c r="P13" s="6" t="str">
        <f>IF(_xlfn.XLOOKUP($O13,'SI - End Use'!$B$2:$B$82,'SI - End Use'!$C$2:$C$82, "")="", "", _xlfn.XLOOKUP($C13,'SI - End Use'!$B$2:$B$82,'SI - End Use'!$C$2:$C$82, ""))</f>
        <v/>
      </c>
      <c r="Q13" s="6"/>
      <c r="R13" s="6"/>
    </row>
    <row r="14" spans="1:18" x14ac:dyDescent="0.35">
      <c r="A14" s="6"/>
      <c r="B14" s="6"/>
      <c r="C14" s="6" t="str">
        <f>_xlfn.XLOOKUP($B14,'SI - Resources'!$A$1:$J$1,'SI - Resources'!$A$2:$J$2, "")</f>
        <v/>
      </c>
      <c r="D14" s="6" t="str">
        <f>IF(_xlfn.XLOOKUP($C14,'SI - End Use'!$B$2:$B$82,'SI - End Use'!$C$2:$C$82, "")="", "", _xlfn.XLOOKUP($C14,'SI - End Use'!$B$2:$B$82,'SI - End Use'!$C$2:$C$82, ""))</f>
        <v/>
      </c>
      <c r="E14" s="13"/>
      <c r="F14" s="6" t="str" cm="1">
        <f t="array" ref="F14">IF($B14="Transportation",  'SI - Units'!$B$9:$B$9, _xlfn.XLOOKUP(_xlfn.XLOOKUP($C14,'SI - Units'!$B$24:$B$106,'SI - Units'!$C$24:$C$106, ""),'SI - Units'!$A$2:$A$8,'SI - Units'!$B$2:$B$8, ""))</f>
        <v/>
      </c>
      <c r="G14" s="27"/>
      <c r="H14" s="27"/>
      <c r="I14" s="31" t="str">
        <f>IF(Table13[[#This Row],[Type]]="Co-product", "No", "")</f>
        <v/>
      </c>
      <c r="J14" s="6"/>
      <c r="K14" s="6" t="str">
        <f>IF(Table13[[#This Row],[Category]]="Transportation", _xlfn.XLOOKUP(Table13[[#This Row],[Resource]], 'SI - Payload'!$A$10:$A$38,'SI - Payload'!$B$10:$B$38,"",0), "")</f>
        <v/>
      </c>
      <c r="L14" s="6" t="str">
        <f>IF(Table13[[#This Row],[Category]]="Transportation", "ton", "")</f>
        <v/>
      </c>
      <c r="M14" s="6"/>
      <c r="N14" s="6"/>
      <c r="O14" s="6" t="str">
        <f>IF(OR(Table13[[#This Row],[Type]]="Main Product", Table13[[#This Row],[Type]]="Co-Product"), Table13[[#This Row],[Resource]], "")</f>
        <v/>
      </c>
      <c r="P14" s="6" t="str">
        <f>IF(_xlfn.XLOOKUP($O14,'SI - End Use'!$B$2:$B$82,'SI - End Use'!$C$2:$C$82, "")="", "", _xlfn.XLOOKUP($C14,'SI - End Use'!$B$2:$B$82,'SI - End Use'!$C$2:$C$82, ""))</f>
        <v/>
      </c>
      <c r="Q14" s="6"/>
      <c r="R14" s="6"/>
    </row>
    <row r="15" spans="1:18" x14ac:dyDescent="0.35">
      <c r="A15" s="6"/>
      <c r="B15" s="6"/>
      <c r="C15" s="6" t="str">
        <f>_xlfn.XLOOKUP($B15,'SI - Resources'!$A$1:$J$1,'SI - Resources'!$A$2:$J$2, "")</f>
        <v/>
      </c>
      <c r="D15" s="6" t="str">
        <f>IF(_xlfn.XLOOKUP($C15,'SI - End Use'!$B$2:$B$82,'SI - End Use'!$C$2:$C$82, "")="", "", _xlfn.XLOOKUP($C15,'SI - End Use'!$B$2:$B$82,'SI - End Use'!$C$2:$C$82, ""))</f>
        <v/>
      </c>
      <c r="E15" s="13"/>
      <c r="F15" s="6" t="str" cm="1">
        <f t="array" ref="F15">IF($B15="Transportation",  'SI - Units'!$B$9:$B$9, _xlfn.XLOOKUP(_xlfn.XLOOKUP($C15,'SI - Units'!$B$24:$B$106,'SI - Units'!$C$24:$C$106, ""),'SI - Units'!$A$2:$A$8,'SI - Units'!$B$2:$B$8, ""))</f>
        <v/>
      </c>
      <c r="G15" s="27"/>
      <c r="H15" s="27"/>
      <c r="I15" s="31" t="str">
        <f>IF(Table13[[#This Row],[Type]]="Co-product", "No", "")</f>
        <v/>
      </c>
      <c r="J15" s="6"/>
      <c r="K15" s="6" t="str">
        <f>IF(Table13[[#This Row],[Category]]="Transportation", _xlfn.XLOOKUP(Table13[[#This Row],[Resource]], 'SI - Payload'!$A$10:$A$38,'SI - Payload'!$B$10:$B$38,"",0), "")</f>
        <v/>
      </c>
      <c r="L15" s="6" t="str">
        <f>IF(Table13[[#This Row],[Category]]="Transportation", "ton", "")</f>
        <v/>
      </c>
      <c r="M15" s="6"/>
      <c r="N15" s="6"/>
      <c r="O15" s="6" t="str">
        <f>IF(OR(Table13[[#This Row],[Type]]="Main Product", Table13[[#This Row],[Type]]="Co-Product"), Table13[[#This Row],[Resource]], "")</f>
        <v/>
      </c>
      <c r="P15" s="6" t="str">
        <f>IF(_xlfn.XLOOKUP($O15,'SI - End Use'!$B$2:$B$82,'SI - End Use'!$C$2:$C$82, "")="", "", _xlfn.XLOOKUP($C15,'SI - End Use'!$B$2:$B$82,'SI - End Use'!$C$2:$C$82, ""))</f>
        <v/>
      </c>
      <c r="Q15" s="6"/>
      <c r="R15" s="6"/>
    </row>
    <row r="16" spans="1:18" x14ac:dyDescent="0.35">
      <c r="A16" s="6"/>
      <c r="B16" s="6"/>
      <c r="C16" s="6" t="str">
        <f>_xlfn.XLOOKUP($B16,'SI - Resources'!$A$1:$J$1,'SI - Resources'!$A$2:$J$2, "")</f>
        <v/>
      </c>
      <c r="D16" s="6" t="str">
        <f>IF(_xlfn.XLOOKUP($C16,'SI - End Use'!$B$2:$B$82,'SI - End Use'!$C$2:$C$82, "")="", "", _xlfn.XLOOKUP($C16,'SI - End Use'!$B$2:$B$82,'SI - End Use'!$C$2:$C$82, ""))</f>
        <v/>
      </c>
      <c r="E16" s="13"/>
      <c r="F16" s="6" t="str" cm="1">
        <f t="array" ref="F16">IF($B16="Transportation",  'SI - Units'!$B$9:$B$9, _xlfn.XLOOKUP(_xlfn.XLOOKUP($C16,'SI - Units'!$B$24:$B$106,'SI - Units'!$C$24:$C$106, ""),'SI - Units'!$A$2:$A$8,'SI - Units'!$B$2:$B$8, ""))</f>
        <v/>
      </c>
      <c r="G16" s="27"/>
      <c r="H16" s="27"/>
      <c r="I16" s="31" t="str">
        <f>IF(Table13[[#This Row],[Type]]="Co-product", "No", "")</f>
        <v/>
      </c>
      <c r="J16" s="6"/>
      <c r="K16" s="6" t="str">
        <f>IF(Table13[[#This Row],[Category]]="Transportation", _xlfn.XLOOKUP(Table13[[#This Row],[Resource]], 'SI - Payload'!$A$10:$A$38,'SI - Payload'!$B$10:$B$38,"",0), "")</f>
        <v/>
      </c>
      <c r="L16" s="6" t="str">
        <f>IF(Table13[[#This Row],[Category]]="Transportation", "ton", "")</f>
        <v/>
      </c>
      <c r="M16" s="6"/>
      <c r="N16" s="6"/>
      <c r="O16" s="6" t="str">
        <f>IF(OR(Table13[[#This Row],[Type]]="Main Product", Table13[[#This Row],[Type]]="Co-Product"), Table13[[#This Row],[Resource]], "")</f>
        <v/>
      </c>
      <c r="P16" s="6" t="str">
        <f>IF(_xlfn.XLOOKUP($O16,'SI - End Use'!$B$2:$B$82,'SI - End Use'!$C$2:$C$82, "")="", "", _xlfn.XLOOKUP($C16,'SI - End Use'!$B$2:$B$82,'SI - End Use'!$C$2:$C$82, ""))</f>
        <v/>
      </c>
      <c r="Q16" s="6"/>
      <c r="R16" s="6"/>
    </row>
    <row r="17" spans="1:18" x14ac:dyDescent="0.35">
      <c r="A17" s="6"/>
      <c r="B17" s="6"/>
      <c r="C17" s="6" t="str">
        <f>_xlfn.XLOOKUP($B17,'SI - Resources'!$A$1:$J$1,'SI - Resources'!$A$2:$J$2, "")</f>
        <v/>
      </c>
      <c r="D17" s="6" t="str">
        <f>IF(_xlfn.XLOOKUP($C17,'SI - End Use'!$B$2:$B$82,'SI - End Use'!$C$2:$C$82, "")="", "", _xlfn.XLOOKUP($C17,'SI - End Use'!$B$2:$B$82,'SI - End Use'!$C$2:$C$82, ""))</f>
        <v/>
      </c>
      <c r="E17" s="13"/>
      <c r="F17" s="6" t="str" cm="1">
        <f t="array" ref="F17">IF($B17="Transportation",  'SI - Units'!$B$9:$B$9, _xlfn.XLOOKUP(_xlfn.XLOOKUP($C17,'SI - Units'!$B$24:$B$106,'SI - Units'!$C$24:$C$106, ""),'SI - Units'!$A$2:$A$8,'SI - Units'!$B$2:$B$8, ""))</f>
        <v/>
      </c>
      <c r="G17" s="27"/>
      <c r="H17" s="27"/>
      <c r="I17" s="31" t="str">
        <f>IF(Table13[[#This Row],[Type]]="Co-product", "No", "")</f>
        <v/>
      </c>
      <c r="J17" s="6"/>
      <c r="K17" s="6" t="str">
        <f>IF(Table13[[#This Row],[Category]]="Transportation", _xlfn.XLOOKUP(Table13[[#This Row],[Resource]], 'SI - Payload'!$A$10:$A$38,'SI - Payload'!$B$10:$B$38,"",0), "")</f>
        <v/>
      </c>
      <c r="L17" s="6" t="str">
        <f>IF(Table13[[#This Row],[Category]]="Transportation", "ton", "")</f>
        <v/>
      </c>
      <c r="M17" s="6"/>
      <c r="N17" s="6"/>
      <c r="O17" s="6" t="str">
        <f>IF(OR(Table13[[#This Row],[Type]]="Main Product", Table13[[#This Row],[Type]]="Co-Product"), Table13[[#This Row],[Resource]], "")</f>
        <v/>
      </c>
      <c r="P17" s="6" t="str">
        <f>IF(_xlfn.XLOOKUP($O17,'SI - End Use'!$B$2:$B$82,'SI - End Use'!$C$2:$C$82, "")="", "", _xlfn.XLOOKUP($C17,'SI - End Use'!$B$2:$B$82,'SI - End Use'!$C$2:$C$82, ""))</f>
        <v/>
      </c>
      <c r="Q17" s="6"/>
      <c r="R17" s="6"/>
    </row>
    <row r="18" spans="1:18" x14ac:dyDescent="0.35">
      <c r="A18" s="6"/>
      <c r="B18" s="6"/>
      <c r="C18" s="6" t="str">
        <f>_xlfn.XLOOKUP($B18,'SI - Resources'!$A$1:$J$1,'SI - Resources'!$A$2:$J$2, "")</f>
        <v/>
      </c>
      <c r="D18" s="6" t="str">
        <f>IF(_xlfn.XLOOKUP($C18,'SI - End Use'!$B$2:$B$82,'SI - End Use'!$C$2:$C$82, "")="", "", _xlfn.XLOOKUP($C18,'SI - End Use'!$B$2:$B$82,'SI - End Use'!$C$2:$C$82, ""))</f>
        <v/>
      </c>
      <c r="E18" s="13"/>
      <c r="F18" s="6" t="str" cm="1">
        <f t="array" ref="F18">IF($B18="Transportation",  'SI - Units'!$B$9:$B$9, _xlfn.XLOOKUP(_xlfn.XLOOKUP($C18,'SI - Units'!$B$24:$B$106,'SI - Units'!$C$24:$C$106, ""),'SI - Units'!$A$2:$A$8,'SI - Units'!$B$2:$B$8, ""))</f>
        <v/>
      </c>
      <c r="G18" s="27"/>
      <c r="H18" s="27"/>
      <c r="I18" s="31" t="str">
        <f>IF(Table13[[#This Row],[Type]]="Co-product", "No", "")</f>
        <v/>
      </c>
      <c r="J18" s="6"/>
      <c r="K18" s="6" t="str">
        <f>IF(Table13[[#This Row],[Category]]="Transportation", _xlfn.XLOOKUP(Table13[[#This Row],[Resource]], 'SI - Payload'!$A$10:$A$38,'SI - Payload'!$B$10:$B$38,"",0), "")</f>
        <v/>
      </c>
      <c r="L18" s="6" t="str">
        <f>IF(Table13[[#This Row],[Category]]="Transportation", "ton", "")</f>
        <v/>
      </c>
      <c r="M18" s="6"/>
      <c r="N18" s="6"/>
      <c r="O18" s="6" t="str">
        <f>IF(OR(Table13[[#This Row],[Type]]="Main Product", Table13[[#This Row],[Type]]="Co-Product"), Table13[[#This Row],[Resource]], "")</f>
        <v/>
      </c>
      <c r="P18" s="6" t="str">
        <f>IF(_xlfn.XLOOKUP($O18,'SI - End Use'!$B$2:$B$82,'SI - End Use'!$C$2:$C$82, "")="", "", _xlfn.XLOOKUP($C18,'SI - End Use'!$B$2:$B$82,'SI - End Use'!$C$2:$C$82, ""))</f>
        <v/>
      </c>
      <c r="Q18" s="6"/>
      <c r="R18" s="6"/>
    </row>
    <row r="19" spans="1:18" x14ac:dyDescent="0.35">
      <c r="A19" s="6"/>
      <c r="B19" s="6"/>
      <c r="C19" s="6" t="str">
        <f>_xlfn.XLOOKUP($B19,'SI - Resources'!$A$1:$J$1,'SI - Resources'!$A$2:$J$2, "")</f>
        <v/>
      </c>
      <c r="D19" s="6" t="str">
        <f>IF(_xlfn.XLOOKUP($C19,'SI - End Use'!$B$2:$B$82,'SI - End Use'!$C$2:$C$82, "")="", "", _xlfn.XLOOKUP($C19,'SI - End Use'!$B$2:$B$82,'SI - End Use'!$C$2:$C$82, ""))</f>
        <v/>
      </c>
      <c r="E19" s="13"/>
      <c r="F19" s="6" t="str" cm="1">
        <f t="array" ref="F19">IF($B19="Transportation",  'SI - Units'!$B$9:$B$9, _xlfn.XLOOKUP(_xlfn.XLOOKUP($C19,'SI - Units'!$B$24:$B$106,'SI - Units'!$C$24:$C$106, ""),'SI - Units'!$A$2:$A$8,'SI - Units'!$B$2:$B$8, ""))</f>
        <v/>
      </c>
      <c r="G19" s="27"/>
      <c r="H19" s="27"/>
      <c r="I19" s="31" t="str">
        <f>IF(Table13[[#This Row],[Type]]="Co-product", "No", "")</f>
        <v/>
      </c>
      <c r="J19" s="6"/>
      <c r="K19" s="6" t="str">
        <f>IF(Table13[[#This Row],[Category]]="Transportation", _xlfn.XLOOKUP(Table13[[#This Row],[Resource]], 'SI - Payload'!$A$10:$A$38,'SI - Payload'!$B$10:$B$38,"",0), "")</f>
        <v/>
      </c>
      <c r="L19" s="6" t="str">
        <f>IF(Table13[[#This Row],[Category]]="Transportation", "ton", "")</f>
        <v/>
      </c>
      <c r="M19" s="6"/>
      <c r="N19" s="6"/>
      <c r="O19" s="6" t="str">
        <f>IF(OR(Table13[[#This Row],[Type]]="Main Product", Table13[[#This Row],[Type]]="Co-Product"), Table13[[#This Row],[Resource]], "")</f>
        <v/>
      </c>
      <c r="P19" s="6" t="str">
        <f>IF(_xlfn.XLOOKUP($O19,'SI - End Use'!$B$2:$B$82,'SI - End Use'!$C$2:$C$82, "")="", "", _xlfn.XLOOKUP($C19,'SI - End Use'!$B$2:$B$82,'SI - End Use'!$C$2:$C$82, ""))</f>
        <v/>
      </c>
      <c r="Q19" s="6"/>
      <c r="R19" s="6"/>
    </row>
    <row r="20" spans="1:18" x14ac:dyDescent="0.35">
      <c r="A20" s="6"/>
      <c r="B20" s="6"/>
      <c r="C20" s="6" t="str">
        <f>_xlfn.XLOOKUP($B20,'SI - Resources'!$A$1:$J$1,'SI - Resources'!$A$2:$J$2, "")</f>
        <v/>
      </c>
      <c r="D20" s="6" t="str">
        <f>IF(_xlfn.XLOOKUP($C20,'SI - End Use'!$B$2:$B$82,'SI - End Use'!$C$2:$C$82, "")="", "", _xlfn.XLOOKUP($C20,'SI - End Use'!$B$2:$B$82,'SI - End Use'!$C$2:$C$82, ""))</f>
        <v/>
      </c>
      <c r="E20" s="13"/>
      <c r="F20" s="6" t="str" cm="1">
        <f t="array" ref="F20">IF($B20="Transportation",  'SI - Units'!$B$9:$B$9, _xlfn.XLOOKUP(_xlfn.XLOOKUP($C20,'SI - Units'!$B$24:$B$106,'SI - Units'!$C$24:$C$106, ""),'SI - Units'!$A$2:$A$8,'SI - Units'!$B$2:$B$8, ""))</f>
        <v/>
      </c>
      <c r="G20" s="27"/>
      <c r="H20" s="27"/>
      <c r="I20" s="31" t="str">
        <f>IF(Table13[[#This Row],[Type]]="Co-product", "No", "")</f>
        <v/>
      </c>
      <c r="J20" s="6"/>
      <c r="K20" s="6" t="str">
        <f>IF(Table13[[#This Row],[Category]]="Transportation", _xlfn.XLOOKUP(Table13[[#This Row],[Resource]], 'SI - Payload'!$A$10:$A$38,'SI - Payload'!$B$10:$B$38,"",0), "")</f>
        <v/>
      </c>
      <c r="L20" s="6" t="str">
        <f>IF(Table13[[#This Row],[Category]]="Transportation", "ton", "")</f>
        <v/>
      </c>
      <c r="M20" s="6"/>
      <c r="N20" s="6"/>
      <c r="O20" s="6" t="str">
        <f>IF(OR(Table13[[#This Row],[Type]]="Main Product", Table13[[#This Row],[Type]]="Co-Product"), Table13[[#This Row],[Resource]], "")</f>
        <v/>
      </c>
      <c r="P20" s="6" t="str">
        <f>IF(_xlfn.XLOOKUP($O20,'SI - End Use'!$B$2:$B$82,'SI - End Use'!$C$2:$C$82, "")="", "", _xlfn.XLOOKUP($C20,'SI - End Use'!$B$2:$B$82,'SI - End Use'!$C$2:$C$82, ""))</f>
        <v/>
      </c>
      <c r="Q20" s="6"/>
      <c r="R20" s="6"/>
    </row>
    <row r="21" spans="1:18" x14ac:dyDescent="0.35">
      <c r="A21" s="6"/>
      <c r="B21" s="6"/>
      <c r="C21" s="6" t="str">
        <f>_xlfn.XLOOKUP($B21,'SI - Resources'!$A$1:$J$1,'SI - Resources'!$A$2:$J$2, "")</f>
        <v/>
      </c>
      <c r="D21" s="6" t="str">
        <f>IF(_xlfn.XLOOKUP($C21,'SI - End Use'!$B$2:$B$82,'SI - End Use'!$C$2:$C$82, "")="", "", _xlfn.XLOOKUP($C21,'SI - End Use'!$B$2:$B$82,'SI - End Use'!$C$2:$C$82, ""))</f>
        <v/>
      </c>
      <c r="E21" s="13"/>
      <c r="F21" s="6" t="str" cm="1">
        <f t="array" ref="F21">IF($B21="Transportation",  'SI - Units'!$B$9:$B$9, _xlfn.XLOOKUP(_xlfn.XLOOKUP($C21,'SI - Units'!$B$24:$B$106,'SI - Units'!$C$24:$C$106, ""),'SI - Units'!$A$2:$A$8,'SI - Units'!$B$2:$B$8, ""))</f>
        <v/>
      </c>
      <c r="G21" s="27"/>
      <c r="H21" s="27"/>
      <c r="I21" s="31" t="str">
        <f>IF(Table13[[#This Row],[Type]]="Co-product", "No", "")</f>
        <v/>
      </c>
      <c r="J21" s="6"/>
      <c r="K21" s="6" t="str">
        <f>IF(Table13[[#This Row],[Category]]="Transportation", _xlfn.XLOOKUP(Table13[[#This Row],[Resource]], 'SI - Payload'!$A$10:$A$38,'SI - Payload'!$B$10:$B$38,"",0), "")</f>
        <v/>
      </c>
      <c r="L21" s="6" t="str">
        <f>IF(Table13[[#This Row],[Category]]="Transportation", "ton", "")</f>
        <v/>
      </c>
      <c r="M21" s="6"/>
      <c r="N21" s="6"/>
      <c r="O21" s="6" t="str">
        <f>IF(OR(Table13[[#This Row],[Type]]="Main Product", Table13[[#This Row],[Type]]="Co-Product"), Table13[[#This Row],[Resource]], "")</f>
        <v/>
      </c>
      <c r="P21" s="6" t="str">
        <f>IF(_xlfn.XLOOKUP($O21,'SI - End Use'!$B$2:$B$82,'SI - End Use'!$C$2:$C$82, "")="", "", _xlfn.XLOOKUP($C21,'SI - End Use'!$B$2:$B$82,'SI - End Use'!$C$2:$C$82, ""))</f>
        <v/>
      </c>
      <c r="Q21" s="6"/>
      <c r="R21" s="6"/>
    </row>
    <row r="22" spans="1:18" x14ac:dyDescent="0.35">
      <c r="A22" s="6"/>
      <c r="B22" s="6"/>
      <c r="C22" s="6" t="str">
        <f>_xlfn.XLOOKUP($B22,'SI - Resources'!$A$1:$J$1,'SI - Resources'!$A$2:$J$2, "")</f>
        <v/>
      </c>
      <c r="D22" s="6" t="str">
        <f>IF(_xlfn.XLOOKUP($C22,'SI - End Use'!$B$2:$B$82,'SI - End Use'!$C$2:$C$82, "")="", "", _xlfn.XLOOKUP($C22,'SI - End Use'!$B$2:$B$82,'SI - End Use'!$C$2:$C$82, ""))</f>
        <v/>
      </c>
      <c r="E22" s="13"/>
      <c r="F22" s="6" t="str" cm="1">
        <f t="array" ref="F22">IF($B22="Transportation",  'SI - Units'!$B$9:$B$9, _xlfn.XLOOKUP(_xlfn.XLOOKUP($C22,'SI - Units'!$B$24:$B$106,'SI - Units'!$C$24:$C$106, ""),'SI - Units'!$A$2:$A$8,'SI - Units'!$B$2:$B$8, ""))</f>
        <v/>
      </c>
      <c r="G22" s="27"/>
      <c r="H22" s="27"/>
      <c r="I22" s="31" t="str">
        <f>IF(Table13[[#This Row],[Type]]="Co-product", "No", "")</f>
        <v/>
      </c>
      <c r="J22" s="6"/>
      <c r="K22" s="6" t="str">
        <f>IF(Table13[[#This Row],[Category]]="Transportation", _xlfn.XLOOKUP(Table13[[#This Row],[Resource]], 'SI - Payload'!$A$10:$A$38,'SI - Payload'!$B$10:$B$38,"",0), "")</f>
        <v/>
      </c>
      <c r="L22" s="6" t="str">
        <f>IF(Table13[[#This Row],[Category]]="Transportation", "ton", "")</f>
        <v/>
      </c>
      <c r="M22" s="6"/>
      <c r="N22" s="6"/>
      <c r="O22" s="6" t="str">
        <f>IF(OR(Table13[[#This Row],[Type]]="Main Product", Table13[[#This Row],[Type]]="Co-Product"), Table13[[#This Row],[Resource]], "")</f>
        <v/>
      </c>
      <c r="P22" s="6" t="str">
        <f>IF(_xlfn.XLOOKUP($O22,'SI - End Use'!$B$2:$B$82,'SI - End Use'!$C$2:$C$82, "")="", "", _xlfn.XLOOKUP($C22,'SI - End Use'!$B$2:$B$82,'SI - End Use'!$C$2:$C$82, ""))</f>
        <v/>
      </c>
      <c r="Q22" s="6"/>
      <c r="R22" s="6"/>
    </row>
    <row r="23" spans="1:18" x14ac:dyDescent="0.35">
      <c r="A23" s="6"/>
      <c r="B23" s="6"/>
      <c r="C23" s="6" t="str">
        <f>_xlfn.XLOOKUP($B23,'SI - Resources'!$A$1:$J$1,'SI - Resources'!$A$2:$J$2, "")</f>
        <v/>
      </c>
      <c r="D23" s="6" t="str">
        <f>IF(_xlfn.XLOOKUP($C23,'SI - End Use'!$B$2:$B$82,'SI - End Use'!$C$2:$C$82, "")="", "", _xlfn.XLOOKUP($C23,'SI - End Use'!$B$2:$B$82,'SI - End Use'!$C$2:$C$82, ""))</f>
        <v/>
      </c>
      <c r="E23" s="13"/>
      <c r="F23" s="6" t="str" cm="1">
        <f t="array" ref="F23">IF($B23="Transportation",  'SI - Units'!$B$9:$B$9, _xlfn.XLOOKUP(_xlfn.XLOOKUP($C23,'SI - Units'!$B$24:$B$106,'SI - Units'!$C$24:$C$106, ""),'SI - Units'!$A$2:$A$8,'SI - Units'!$B$2:$B$8, ""))</f>
        <v/>
      </c>
      <c r="G23" s="27"/>
      <c r="H23" s="27"/>
      <c r="I23" s="31" t="str">
        <f>IF(Table13[[#This Row],[Type]]="Co-product", "No", "")</f>
        <v/>
      </c>
      <c r="J23" s="6"/>
      <c r="K23" s="6" t="str">
        <f>IF(Table13[[#This Row],[Category]]="Transportation", _xlfn.XLOOKUP(Table13[[#This Row],[Resource]], 'SI - Payload'!$A$10:$A$38,'SI - Payload'!$B$10:$B$38,"",0), "")</f>
        <v/>
      </c>
      <c r="L23" s="6" t="str">
        <f>IF(Table13[[#This Row],[Category]]="Transportation", "ton", "")</f>
        <v/>
      </c>
      <c r="M23" s="6"/>
      <c r="N23" s="6"/>
      <c r="O23" s="6" t="str">
        <f>IF(OR(Table13[[#This Row],[Type]]="Main Product", Table13[[#This Row],[Type]]="Co-Product"), Table13[[#This Row],[Resource]], "")</f>
        <v/>
      </c>
      <c r="P23" s="6" t="str">
        <f>IF(_xlfn.XLOOKUP($O23,'SI - End Use'!$B$2:$B$82,'SI - End Use'!$C$2:$C$82, "")="", "", _xlfn.XLOOKUP($C23,'SI - End Use'!$B$2:$B$82,'SI - End Use'!$C$2:$C$82, ""))</f>
        <v/>
      </c>
      <c r="Q23" s="6"/>
      <c r="R23" s="6"/>
    </row>
    <row r="24" spans="1:18" x14ac:dyDescent="0.35">
      <c r="A24" s="6"/>
      <c r="B24" s="6"/>
      <c r="C24" s="6" t="str">
        <f>_xlfn.XLOOKUP($B24,'SI - Resources'!$A$1:$J$1,'SI - Resources'!$A$2:$J$2, "")</f>
        <v/>
      </c>
      <c r="D24" s="6" t="str">
        <f>IF(_xlfn.XLOOKUP($C24,'SI - End Use'!$B$2:$B$82,'SI - End Use'!$C$2:$C$82, "")="", "", _xlfn.XLOOKUP($C24,'SI - End Use'!$B$2:$B$82,'SI - End Use'!$C$2:$C$82, ""))</f>
        <v/>
      </c>
      <c r="E24" s="13"/>
      <c r="F24" s="6" t="str" cm="1">
        <f t="array" ref="F24">IF($B24="Transportation",  'SI - Units'!$B$9:$B$9, _xlfn.XLOOKUP(_xlfn.XLOOKUP($C24,'SI - Units'!$B$24:$B$106,'SI - Units'!$C$24:$C$106, ""),'SI - Units'!$A$2:$A$8,'SI - Units'!$B$2:$B$8, ""))</f>
        <v/>
      </c>
      <c r="G24" s="27"/>
      <c r="H24" s="27"/>
      <c r="I24" s="31" t="str">
        <f>IF(Table13[[#This Row],[Type]]="Co-product", "No", "")</f>
        <v/>
      </c>
      <c r="J24" s="6"/>
      <c r="K24" s="6" t="str">
        <f>IF(Table13[[#This Row],[Category]]="Transportation", _xlfn.XLOOKUP(Table13[[#This Row],[Resource]], 'SI - Payload'!$A$10:$A$38,'SI - Payload'!$B$10:$B$38,"",0), "")</f>
        <v/>
      </c>
      <c r="L24" s="6" t="str">
        <f>IF(Table13[[#This Row],[Category]]="Transportation", "ton", "")</f>
        <v/>
      </c>
      <c r="M24" s="6"/>
      <c r="N24" s="6"/>
      <c r="O24" s="6" t="str">
        <f>IF(OR(Table13[[#This Row],[Type]]="Main Product", Table13[[#This Row],[Type]]="Co-Product"), Table13[[#This Row],[Resource]], "")</f>
        <v/>
      </c>
      <c r="P24" s="6" t="str">
        <f>IF(_xlfn.XLOOKUP($O24,'SI - End Use'!$B$2:$B$82,'SI - End Use'!$C$2:$C$82, "")="", "", _xlfn.XLOOKUP($C24,'SI - End Use'!$B$2:$B$82,'SI - End Use'!$C$2:$C$82, ""))</f>
        <v/>
      </c>
      <c r="Q24" s="6"/>
      <c r="R24" s="6"/>
    </row>
    <row r="25" spans="1:18" x14ac:dyDescent="0.35">
      <c r="A25" s="6"/>
      <c r="B25" s="6"/>
      <c r="C25" s="6" t="str">
        <f>_xlfn.XLOOKUP($B25,'SI - Resources'!$A$1:$J$1,'SI - Resources'!$A$2:$J$2, "")</f>
        <v/>
      </c>
      <c r="D25" s="6" t="str">
        <f>IF(_xlfn.XLOOKUP($C25,'SI - End Use'!$B$2:$B$82,'SI - End Use'!$C$2:$C$82, "")="", "", _xlfn.XLOOKUP($C25,'SI - End Use'!$B$2:$B$82,'SI - End Use'!$C$2:$C$82, ""))</f>
        <v/>
      </c>
      <c r="E25" s="13"/>
      <c r="F25" s="6" t="str" cm="1">
        <f t="array" ref="F25">IF($B25="Transportation",  'SI - Units'!$B$9:$B$9, _xlfn.XLOOKUP(_xlfn.XLOOKUP($C25,'SI - Units'!$B$24:$B$106,'SI - Units'!$C$24:$C$106, ""),'SI - Units'!$A$2:$A$8,'SI - Units'!$B$2:$B$8, ""))</f>
        <v/>
      </c>
      <c r="G25" s="27"/>
      <c r="H25" s="27"/>
      <c r="I25" s="31" t="str">
        <f>IF(Table13[[#This Row],[Type]]="Co-product", "No", "")</f>
        <v/>
      </c>
      <c r="J25" s="6"/>
      <c r="K25" s="6" t="str">
        <f>IF(Table13[[#This Row],[Category]]="Transportation", _xlfn.XLOOKUP(Table13[[#This Row],[Resource]], 'SI - Payload'!$A$10:$A$38,'SI - Payload'!$B$10:$B$38,"",0), "")</f>
        <v/>
      </c>
      <c r="L25" s="6" t="str">
        <f>IF(Table13[[#This Row],[Category]]="Transportation", "ton", "")</f>
        <v/>
      </c>
      <c r="M25" s="6"/>
      <c r="N25" s="6"/>
      <c r="O25" s="6" t="str">
        <f>IF(OR(Table13[[#This Row],[Type]]="Main Product", Table13[[#This Row],[Type]]="Co-Product"), Table13[[#This Row],[Resource]], "")</f>
        <v/>
      </c>
      <c r="P25" s="6" t="str">
        <f>IF(_xlfn.XLOOKUP($O25,'SI - End Use'!$B$2:$B$82,'SI - End Use'!$C$2:$C$82, "")="", "", _xlfn.XLOOKUP($C25,'SI - End Use'!$B$2:$B$82,'SI - End Use'!$C$2:$C$82, ""))</f>
        <v/>
      </c>
      <c r="Q25" s="6"/>
      <c r="R25" s="6"/>
    </row>
    <row r="26" spans="1:18" x14ac:dyDescent="0.35">
      <c r="A26" s="6"/>
      <c r="B26" s="6"/>
      <c r="C26" s="6" t="str">
        <f>_xlfn.XLOOKUP($B26,'SI - Resources'!$A$1:$J$1,'SI - Resources'!$A$2:$J$2, "")</f>
        <v/>
      </c>
      <c r="D26" s="6" t="str">
        <f>IF(_xlfn.XLOOKUP($C26,'SI - End Use'!$B$2:$B$82,'SI - End Use'!$C$2:$C$82, "")="", "", _xlfn.XLOOKUP($C26,'SI - End Use'!$B$2:$B$82,'SI - End Use'!$C$2:$C$82, ""))</f>
        <v/>
      </c>
      <c r="E26" s="13"/>
      <c r="F26" s="6" t="str" cm="1">
        <f t="array" ref="F26">IF($B26="Transportation",  'SI - Units'!$B$9:$B$9, _xlfn.XLOOKUP(_xlfn.XLOOKUP($C26,'SI - Units'!$B$24:$B$106,'SI - Units'!$C$24:$C$106, ""),'SI - Units'!$A$2:$A$8,'SI - Units'!$B$2:$B$8, ""))</f>
        <v/>
      </c>
      <c r="G26" s="27"/>
      <c r="H26" s="27"/>
      <c r="I26" s="31" t="str">
        <f>IF(Table13[[#This Row],[Type]]="Co-product", "No", "")</f>
        <v/>
      </c>
      <c r="J26" s="6"/>
      <c r="K26" s="6" t="str">
        <f>IF(Table13[[#This Row],[Category]]="Transportation", _xlfn.XLOOKUP(Table13[[#This Row],[Resource]], 'SI - Payload'!$A$10:$A$38,'SI - Payload'!$B$10:$B$38,"",0), "")</f>
        <v/>
      </c>
      <c r="L26" s="6" t="str">
        <f>IF(Table13[[#This Row],[Category]]="Transportation", "ton", "")</f>
        <v/>
      </c>
      <c r="M26" s="6"/>
      <c r="N26" s="6"/>
      <c r="O26" s="6" t="str">
        <f>IF(OR(Table13[[#This Row],[Type]]="Main Product", Table13[[#This Row],[Type]]="Co-Product"), Table13[[#This Row],[Resource]], "")</f>
        <v/>
      </c>
      <c r="P26" s="6" t="str">
        <f>IF(_xlfn.XLOOKUP($O26,'SI - End Use'!$B$2:$B$82,'SI - End Use'!$C$2:$C$82, "")="", "", _xlfn.XLOOKUP($C26,'SI - End Use'!$B$2:$B$82,'SI - End Use'!$C$2:$C$82, ""))</f>
        <v/>
      </c>
      <c r="Q26" s="6"/>
      <c r="R26" s="6"/>
    </row>
    <row r="27" spans="1:18" x14ac:dyDescent="0.35">
      <c r="A27" s="6"/>
      <c r="B27" s="6"/>
      <c r="C27" s="6" t="str">
        <f>_xlfn.XLOOKUP($B27,'SI - Resources'!$A$1:$J$1,'SI - Resources'!$A$2:$J$2, "")</f>
        <v/>
      </c>
      <c r="D27" s="6" t="str">
        <f>IF(_xlfn.XLOOKUP($C27,'SI - End Use'!$B$2:$B$82,'SI - End Use'!$C$2:$C$82, "")="", "", _xlfn.XLOOKUP($C27,'SI - End Use'!$B$2:$B$82,'SI - End Use'!$C$2:$C$82, ""))</f>
        <v/>
      </c>
      <c r="E27" s="13"/>
      <c r="F27" s="6" t="str" cm="1">
        <f t="array" ref="F27">IF($B27="Transportation",  'SI - Units'!$B$9:$B$9, _xlfn.XLOOKUP(_xlfn.XLOOKUP($C27,'SI - Units'!$B$24:$B$106,'SI - Units'!$C$24:$C$106, ""),'SI - Units'!$A$2:$A$8,'SI - Units'!$B$2:$B$8, ""))</f>
        <v/>
      </c>
      <c r="G27" s="27"/>
      <c r="H27" s="27"/>
      <c r="I27" s="31" t="str">
        <f>IF(Table13[[#This Row],[Type]]="Co-product", "No", "")</f>
        <v/>
      </c>
      <c r="J27" s="6"/>
      <c r="K27" s="6" t="str">
        <f>IF(Table13[[#This Row],[Category]]="Transportation", _xlfn.XLOOKUP(Table13[[#This Row],[Resource]], 'SI - Payload'!$A$10:$A$38,'SI - Payload'!$B$10:$B$38,"",0), "")</f>
        <v/>
      </c>
      <c r="L27" s="6" t="str">
        <f>IF(Table13[[#This Row],[Category]]="Transportation", "ton", "")</f>
        <v/>
      </c>
      <c r="M27" s="6"/>
      <c r="N27" s="6"/>
      <c r="O27" s="6" t="str">
        <f>IF(OR(Table13[[#This Row],[Type]]="Main Product", Table13[[#This Row],[Type]]="Co-Product"), Table13[[#This Row],[Resource]], "")</f>
        <v/>
      </c>
      <c r="P27" s="6" t="str">
        <f>IF(_xlfn.XLOOKUP($O27,'SI - End Use'!$B$2:$B$82,'SI - End Use'!$C$2:$C$82, "")="", "", _xlfn.XLOOKUP($C27,'SI - End Use'!$B$2:$B$82,'SI - End Use'!$C$2:$C$82, ""))</f>
        <v/>
      </c>
      <c r="Q27" s="6"/>
      <c r="R27" s="6"/>
    </row>
    <row r="28" spans="1:18" x14ac:dyDescent="0.35">
      <c r="A28" s="6"/>
      <c r="B28" s="6"/>
      <c r="C28" s="6" t="str">
        <f>_xlfn.XLOOKUP($B28,'SI - Resources'!$A$1:$J$1,'SI - Resources'!$A$2:$J$2, "")</f>
        <v/>
      </c>
      <c r="D28" s="6" t="str">
        <f>IF(_xlfn.XLOOKUP($C28,'SI - End Use'!$B$2:$B$82,'SI - End Use'!$C$2:$C$82, "")="", "", _xlfn.XLOOKUP($C28,'SI - End Use'!$B$2:$B$82,'SI - End Use'!$C$2:$C$82, ""))</f>
        <v/>
      </c>
      <c r="E28" s="13"/>
      <c r="F28" s="6" t="str" cm="1">
        <f t="array" ref="F28">IF($B28="Transportation",  'SI - Units'!$B$9:$B$9, _xlfn.XLOOKUP(_xlfn.XLOOKUP($C28,'SI - Units'!$B$24:$B$106,'SI - Units'!$C$24:$C$106, ""),'SI - Units'!$A$2:$A$8,'SI - Units'!$B$2:$B$8, ""))</f>
        <v/>
      </c>
      <c r="G28" s="27"/>
      <c r="H28" s="27"/>
      <c r="I28" s="31" t="str">
        <f>IF(Table13[[#This Row],[Type]]="Co-product", "No", "")</f>
        <v/>
      </c>
      <c r="J28" s="6"/>
      <c r="K28" s="6" t="str">
        <f>IF(Table13[[#This Row],[Category]]="Transportation", _xlfn.XLOOKUP(Table13[[#This Row],[Resource]], 'SI - Payload'!$A$10:$A$38,'SI - Payload'!$B$10:$B$38,"",0), "")</f>
        <v/>
      </c>
      <c r="L28" s="6" t="str">
        <f>IF(Table13[[#This Row],[Category]]="Transportation", "ton", "")</f>
        <v/>
      </c>
      <c r="M28" s="6"/>
      <c r="N28" s="6"/>
      <c r="O28" s="6" t="str">
        <f>IF(OR(Table13[[#This Row],[Type]]="Main Product", Table13[[#This Row],[Type]]="Co-Product"), Table13[[#This Row],[Resource]], "")</f>
        <v/>
      </c>
      <c r="P28" s="6" t="str">
        <f>IF(_xlfn.XLOOKUP($O28,'SI - End Use'!$B$2:$B$82,'SI - End Use'!$C$2:$C$82, "")="", "", _xlfn.XLOOKUP($C28,'SI - End Use'!$B$2:$B$82,'SI - End Use'!$C$2:$C$82, ""))</f>
        <v/>
      </c>
      <c r="Q28" s="6"/>
      <c r="R28" s="6"/>
    </row>
    <row r="29" spans="1:18" x14ac:dyDescent="0.35">
      <c r="A29" s="6"/>
      <c r="B29" s="6"/>
      <c r="C29" s="6" t="str">
        <f>_xlfn.XLOOKUP($B29,'SI - Resources'!$A$1:$J$1,'SI - Resources'!$A$2:$J$2, "")</f>
        <v/>
      </c>
      <c r="D29" s="6" t="str">
        <f>IF(_xlfn.XLOOKUP($C29,'SI - End Use'!$B$2:$B$82,'SI - End Use'!$C$2:$C$82, "")="", "", _xlfn.XLOOKUP($C29,'SI - End Use'!$B$2:$B$82,'SI - End Use'!$C$2:$C$82, ""))</f>
        <v/>
      </c>
      <c r="E29" s="13"/>
      <c r="F29" s="6" t="str" cm="1">
        <f t="array" ref="F29">IF($B29="Transportation",  'SI - Units'!$B$9:$B$9, _xlfn.XLOOKUP(_xlfn.XLOOKUP($C29,'SI - Units'!$B$24:$B$106,'SI - Units'!$C$24:$C$106, ""),'SI - Units'!$A$2:$A$8,'SI - Units'!$B$2:$B$8, ""))</f>
        <v/>
      </c>
      <c r="G29" s="27"/>
      <c r="H29" s="27"/>
      <c r="I29" s="31" t="str">
        <f>IF(Table13[[#This Row],[Type]]="Co-product", "No", "")</f>
        <v/>
      </c>
      <c r="J29" s="6"/>
      <c r="K29" s="6" t="str">
        <f>IF(Table13[[#This Row],[Category]]="Transportation", _xlfn.XLOOKUP(Table13[[#This Row],[Resource]], 'SI - Payload'!$A$10:$A$38,'SI - Payload'!$B$10:$B$38,"",0), "")</f>
        <v/>
      </c>
      <c r="L29" s="6" t="str">
        <f>IF(Table13[[#This Row],[Category]]="Transportation", "ton", "")</f>
        <v/>
      </c>
      <c r="M29" s="6"/>
      <c r="N29" s="6"/>
      <c r="O29" s="6" t="str">
        <f>IF(OR(Table13[[#This Row],[Type]]="Main Product", Table13[[#This Row],[Type]]="Co-Product"), Table13[[#This Row],[Resource]], "")</f>
        <v/>
      </c>
      <c r="P29" s="6" t="str">
        <f>IF(_xlfn.XLOOKUP($O29,'SI - End Use'!$B$2:$B$82,'SI - End Use'!$C$2:$C$82, "")="", "", _xlfn.XLOOKUP($C29,'SI - End Use'!$B$2:$B$82,'SI - End Use'!$C$2:$C$82, ""))</f>
        <v/>
      </c>
      <c r="Q29" s="6"/>
      <c r="R29" s="6"/>
    </row>
    <row r="30" spans="1:18" x14ac:dyDescent="0.35">
      <c r="A30" s="6"/>
      <c r="B30" s="6"/>
      <c r="C30" s="6" t="str">
        <f>_xlfn.XLOOKUP($B30,'SI - Resources'!$A$1:$J$1,'SI - Resources'!$A$2:$J$2, "")</f>
        <v/>
      </c>
      <c r="D30" s="6" t="str">
        <f>IF(_xlfn.XLOOKUP($C30,'SI - End Use'!$B$2:$B$82,'SI - End Use'!$C$2:$C$82, "")="", "", _xlfn.XLOOKUP($C30,'SI - End Use'!$B$2:$B$82,'SI - End Use'!$C$2:$C$82, ""))</f>
        <v/>
      </c>
      <c r="E30" s="13"/>
      <c r="F30" s="6" t="str" cm="1">
        <f t="array" ref="F30">IF($B30="Transportation",  'SI - Units'!$B$9:$B$9, _xlfn.XLOOKUP(_xlfn.XLOOKUP($C30,'SI - Units'!$B$24:$B$106,'SI - Units'!$C$24:$C$106, ""),'SI - Units'!$A$2:$A$8,'SI - Units'!$B$2:$B$8, ""))</f>
        <v/>
      </c>
      <c r="G30" s="27"/>
      <c r="H30" s="27"/>
      <c r="I30" s="31" t="str">
        <f>IF(Table13[[#This Row],[Type]]="Co-product", "No", "")</f>
        <v/>
      </c>
      <c r="J30" s="6"/>
      <c r="K30" s="6" t="str">
        <f>IF(Table13[[#This Row],[Category]]="Transportation", _xlfn.XLOOKUP(Table13[[#This Row],[Resource]], 'SI - Payload'!$A$10:$A$38,'SI - Payload'!$B$10:$B$38,"",0), "")</f>
        <v/>
      </c>
      <c r="L30" s="6" t="str">
        <f>IF(Table13[[#This Row],[Category]]="Transportation", "ton", "")</f>
        <v/>
      </c>
      <c r="M30" s="6"/>
      <c r="N30" s="6"/>
      <c r="O30" s="6" t="str">
        <f>IF(OR(Table13[[#This Row],[Type]]="Main Product", Table13[[#This Row],[Type]]="Co-Product"), Table13[[#This Row],[Resource]], "")</f>
        <v/>
      </c>
      <c r="P30" s="6" t="str">
        <f>IF(_xlfn.XLOOKUP($O30,'SI - End Use'!$B$2:$B$82,'SI - End Use'!$C$2:$C$82, "")="", "", _xlfn.XLOOKUP($C30,'SI - End Use'!$B$2:$B$82,'SI - End Use'!$C$2:$C$82, ""))</f>
        <v/>
      </c>
      <c r="Q30" s="6"/>
      <c r="R30" s="6"/>
    </row>
    <row r="31" spans="1:18" x14ac:dyDescent="0.35">
      <c r="A31" s="6"/>
      <c r="B31" s="6"/>
      <c r="C31" s="6" t="str">
        <f>_xlfn.XLOOKUP($B31,'SI - Resources'!$A$1:$J$1,'SI - Resources'!$A$2:$J$2, "")</f>
        <v/>
      </c>
      <c r="D31" s="6" t="str">
        <f>IF(_xlfn.XLOOKUP($C31,'SI - End Use'!$B$2:$B$82,'SI - End Use'!$C$2:$C$82, "")="", "", _xlfn.XLOOKUP($C31,'SI - End Use'!$B$2:$B$82,'SI - End Use'!$C$2:$C$82, ""))</f>
        <v/>
      </c>
      <c r="E31" s="13"/>
      <c r="F31" s="6" t="str" cm="1">
        <f t="array" ref="F31">IF($B31="Transportation",  'SI - Units'!$B$9:$B$9, _xlfn.XLOOKUP(_xlfn.XLOOKUP($C31,'SI - Units'!$B$24:$B$106,'SI - Units'!$C$24:$C$106, ""),'SI - Units'!$A$2:$A$8,'SI - Units'!$B$2:$B$8, ""))</f>
        <v/>
      </c>
      <c r="G31" s="27"/>
      <c r="H31" s="27"/>
      <c r="I31" s="31" t="str">
        <f>IF(Table13[[#This Row],[Type]]="Co-product", "No", "")</f>
        <v/>
      </c>
      <c r="J31" s="6"/>
      <c r="K31" s="6" t="str">
        <f>IF(Table13[[#This Row],[Category]]="Transportation", _xlfn.XLOOKUP(Table13[[#This Row],[Resource]], 'SI - Payload'!$A$10:$A$38,'SI - Payload'!$B$10:$B$38,"",0), "")</f>
        <v/>
      </c>
      <c r="L31" s="6" t="str">
        <f>IF(Table13[[#This Row],[Category]]="Transportation", "ton", "")</f>
        <v/>
      </c>
      <c r="M31" s="6"/>
      <c r="N31" s="6"/>
      <c r="O31" s="6" t="str">
        <f>IF(OR(Table13[[#This Row],[Type]]="Main Product", Table13[[#This Row],[Type]]="Co-Product"), Table13[[#This Row],[Resource]], "")</f>
        <v/>
      </c>
      <c r="P31" s="6" t="str">
        <f>IF(_xlfn.XLOOKUP($O31,'SI - End Use'!$B$2:$B$82,'SI - End Use'!$C$2:$C$82, "")="", "", _xlfn.XLOOKUP($C31,'SI - End Use'!$B$2:$B$82,'SI - End Use'!$C$2:$C$82, ""))</f>
        <v/>
      </c>
      <c r="Q31" s="6"/>
      <c r="R31" s="6"/>
    </row>
    <row r="32" spans="1:18" x14ac:dyDescent="0.35">
      <c r="A32" s="6"/>
      <c r="B32" s="6"/>
      <c r="C32" s="6" t="str">
        <f>_xlfn.XLOOKUP($B32,'SI - Resources'!$A$1:$J$1,'SI - Resources'!$A$2:$J$2, "")</f>
        <v/>
      </c>
      <c r="D32" s="6" t="str">
        <f>IF(_xlfn.XLOOKUP($C32,'SI - End Use'!$B$2:$B$82,'SI - End Use'!$C$2:$C$82, "")="", "", _xlfn.XLOOKUP($C32,'SI - End Use'!$B$2:$B$82,'SI - End Use'!$C$2:$C$82, ""))</f>
        <v/>
      </c>
      <c r="E32" s="13"/>
      <c r="F32" s="6" t="str" cm="1">
        <f t="array" ref="F32">IF($B32="Transportation",  'SI - Units'!$B$9:$B$9, _xlfn.XLOOKUP(_xlfn.XLOOKUP($C32,'SI - Units'!$B$24:$B$106,'SI - Units'!$C$24:$C$106, ""),'SI - Units'!$A$2:$A$8,'SI - Units'!$B$2:$B$8, ""))</f>
        <v/>
      </c>
      <c r="G32" s="27"/>
      <c r="H32" s="27"/>
      <c r="I32" s="31" t="str">
        <f>IF(Table13[[#This Row],[Type]]="Co-product", "No", "")</f>
        <v/>
      </c>
      <c r="J32" s="6"/>
      <c r="K32" s="6" t="str">
        <f>IF(Table13[[#This Row],[Category]]="Transportation", _xlfn.XLOOKUP(Table13[[#This Row],[Resource]], 'SI - Payload'!$A$10:$A$38,'SI - Payload'!$B$10:$B$38,"",0), "")</f>
        <v/>
      </c>
      <c r="L32" s="6" t="str">
        <f>IF(Table13[[#This Row],[Category]]="Transportation", "ton", "")</f>
        <v/>
      </c>
      <c r="M32" s="6"/>
      <c r="N32" s="6"/>
      <c r="O32" s="6" t="str">
        <f>IF(OR(Table13[[#This Row],[Type]]="Main Product", Table13[[#This Row],[Type]]="Co-Product"), Table13[[#This Row],[Resource]], "")</f>
        <v/>
      </c>
      <c r="P32" s="6" t="str">
        <f>IF(_xlfn.XLOOKUP($O32,'SI - End Use'!$B$2:$B$82,'SI - End Use'!$C$2:$C$82, "")="", "", _xlfn.XLOOKUP($C32,'SI - End Use'!$B$2:$B$82,'SI - End Use'!$C$2:$C$82, ""))</f>
        <v/>
      </c>
      <c r="Q32" s="6"/>
      <c r="R32" s="6"/>
    </row>
    <row r="33" spans="1:18" x14ac:dyDescent="0.35">
      <c r="A33" s="6"/>
      <c r="B33" s="6"/>
      <c r="C33" s="6" t="str">
        <f>_xlfn.XLOOKUP($B33,'SI - Resources'!$A$1:$J$1,'SI - Resources'!$A$2:$J$2, "")</f>
        <v/>
      </c>
      <c r="D33" s="6" t="str">
        <f>IF(_xlfn.XLOOKUP($C33,'SI - End Use'!$B$2:$B$82,'SI - End Use'!$C$2:$C$82, "")="", "", _xlfn.XLOOKUP($C33,'SI - End Use'!$B$2:$B$82,'SI - End Use'!$C$2:$C$82, ""))</f>
        <v/>
      </c>
      <c r="E33" s="13"/>
      <c r="F33" s="6" t="str" cm="1">
        <f t="array" ref="F33">IF($B33="Transportation",  'SI - Units'!$B$9:$B$9, _xlfn.XLOOKUP(_xlfn.XLOOKUP($C33,'SI - Units'!$B$24:$B$106,'SI - Units'!$C$24:$C$106, ""),'SI - Units'!$A$2:$A$8,'SI - Units'!$B$2:$B$8, ""))</f>
        <v/>
      </c>
      <c r="G33" s="27"/>
      <c r="H33" s="27"/>
      <c r="I33" s="31" t="str">
        <f>IF(Table13[[#This Row],[Type]]="Co-product", "No", "")</f>
        <v/>
      </c>
      <c r="J33" s="6"/>
      <c r="K33" s="6" t="str">
        <f>IF(Table13[[#This Row],[Category]]="Transportation", _xlfn.XLOOKUP(Table13[[#This Row],[Resource]], 'SI - Payload'!$A$10:$A$38,'SI - Payload'!$B$10:$B$38,"",0), "")</f>
        <v/>
      </c>
      <c r="L33" s="6" t="str">
        <f>IF(Table13[[#This Row],[Category]]="Transportation", "ton", "")</f>
        <v/>
      </c>
      <c r="M33" s="6"/>
      <c r="N33" s="6"/>
      <c r="O33" s="6" t="str">
        <f>IF(OR(Table13[[#This Row],[Type]]="Main Product", Table13[[#This Row],[Type]]="Co-Product"), Table13[[#This Row],[Resource]], "")</f>
        <v/>
      </c>
      <c r="P33" s="6" t="str">
        <f>IF(_xlfn.XLOOKUP($O33,'SI - End Use'!$B$2:$B$82,'SI - End Use'!$C$2:$C$82, "")="", "", _xlfn.XLOOKUP($C33,'SI - End Use'!$B$2:$B$82,'SI - End Use'!$C$2:$C$82, ""))</f>
        <v/>
      </c>
      <c r="Q33" s="6"/>
      <c r="R33" s="6"/>
    </row>
    <row r="34" spans="1:18" x14ac:dyDescent="0.35">
      <c r="A34" s="6"/>
      <c r="B34" s="6"/>
      <c r="C34" s="6" t="str">
        <f>_xlfn.XLOOKUP($B34,'SI - Resources'!$A$1:$J$1,'SI - Resources'!$A$2:$J$2, "")</f>
        <v/>
      </c>
      <c r="D34" s="6" t="str">
        <f>IF(_xlfn.XLOOKUP($C34,'SI - End Use'!$B$2:$B$82,'SI - End Use'!$C$2:$C$82, "")="", "", _xlfn.XLOOKUP($C34,'SI - End Use'!$B$2:$B$82,'SI - End Use'!$C$2:$C$82, ""))</f>
        <v/>
      </c>
      <c r="E34" s="13"/>
      <c r="F34" s="6" t="str" cm="1">
        <f t="array" ref="F34">IF($B34="Transportation",  'SI - Units'!$B$9:$B$9, _xlfn.XLOOKUP(_xlfn.XLOOKUP($C34,'SI - Units'!$B$24:$B$106,'SI - Units'!$C$24:$C$106, ""),'SI - Units'!$A$2:$A$8,'SI - Units'!$B$2:$B$8, ""))</f>
        <v/>
      </c>
      <c r="G34" s="27"/>
      <c r="H34" s="27"/>
      <c r="I34" s="31" t="str">
        <f>IF(Table13[[#This Row],[Type]]="Co-product", "No", "")</f>
        <v/>
      </c>
      <c r="J34" s="6"/>
      <c r="K34" s="6" t="str">
        <f>IF(Table13[[#This Row],[Category]]="Transportation", _xlfn.XLOOKUP(Table13[[#This Row],[Resource]], 'SI - Payload'!$A$10:$A$38,'SI - Payload'!$B$10:$B$38,"",0), "")</f>
        <v/>
      </c>
      <c r="L34" s="6" t="str">
        <f>IF(Table13[[#This Row],[Category]]="Transportation", "ton", "")</f>
        <v/>
      </c>
      <c r="M34" s="6"/>
      <c r="N34" s="6"/>
      <c r="O34" s="6" t="str">
        <f>IF(OR(Table13[[#This Row],[Type]]="Main Product", Table13[[#This Row],[Type]]="Co-Product"), Table13[[#This Row],[Resource]], "")</f>
        <v/>
      </c>
      <c r="P34" s="6" t="str">
        <f>IF(_xlfn.XLOOKUP($O34,'SI - End Use'!$B$2:$B$82,'SI - End Use'!$C$2:$C$82, "")="", "", _xlfn.XLOOKUP($C34,'SI - End Use'!$B$2:$B$82,'SI - End Use'!$C$2:$C$82, ""))</f>
        <v/>
      </c>
      <c r="Q34" s="6"/>
      <c r="R34" s="6"/>
    </row>
    <row r="35" spans="1:18" x14ac:dyDescent="0.35">
      <c r="A35" s="6"/>
      <c r="B35" s="6"/>
      <c r="C35" s="6" t="str">
        <f>_xlfn.XLOOKUP($B35,'SI - Resources'!$A$1:$J$1,'SI - Resources'!$A$2:$J$2, "")</f>
        <v/>
      </c>
      <c r="D35" s="6" t="str">
        <f>IF(_xlfn.XLOOKUP($C35,'SI - End Use'!$B$2:$B$82,'SI - End Use'!$C$2:$C$82, "")="", "", _xlfn.XLOOKUP($C35,'SI - End Use'!$B$2:$B$82,'SI - End Use'!$C$2:$C$82, ""))</f>
        <v/>
      </c>
      <c r="E35" s="13"/>
      <c r="F35" s="6" t="str" cm="1">
        <f t="array" ref="F35">IF($B35="Transportation",  'SI - Units'!$B$9:$B$9, _xlfn.XLOOKUP(_xlfn.XLOOKUP($C35,'SI - Units'!$B$24:$B$106,'SI - Units'!$C$24:$C$106, ""),'SI - Units'!$A$2:$A$8,'SI - Units'!$B$2:$B$8, ""))</f>
        <v/>
      </c>
      <c r="G35" s="27"/>
      <c r="H35" s="27"/>
      <c r="I35" s="31" t="str">
        <f>IF(Table13[[#This Row],[Type]]="Co-product", "No", "")</f>
        <v/>
      </c>
      <c r="J35" s="6"/>
      <c r="K35" s="6" t="str">
        <f>IF(Table13[[#This Row],[Category]]="Transportation", _xlfn.XLOOKUP(Table13[[#This Row],[Resource]], 'SI - Payload'!$A$10:$A$38,'SI - Payload'!$B$10:$B$38,"",0), "")</f>
        <v/>
      </c>
      <c r="L35" s="6" t="str">
        <f>IF(Table13[[#This Row],[Category]]="Transportation", "ton", "")</f>
        <v/>
      </c>
      <c r="M35" s="6"/>
      <c r="N35" s="6"/>
      <c r="O35" s="6" t="str">
        <f>IF(OR(Table13[[#This Row],[Type]]="Main Product", Table13[[#This Row],[Type]]="Co-Product"), Table13[[#This Row],[Resource]], "")</f>
        <v/>
      </c>
      <c r="P35" s="6" t="str">
        <f>IF(_xlfn.XLOOKUP($O35,'SI - End Use'!$B$2:$B$82,'SI - End Use'!$C$2:$C$82, "")="", "", _xlfn.XLOOKUP($C35,'SI - End Use'!$B$2:$B$82,'SI - End Use'!$C$2:$C$82, ""))</f>
        <v/>
      </c>
      <c r="Q35" s="6"/>
      <c r="R35" s="6"/>
    </row>
    <row r="36" spans="1:18" x14ac:dyDescent="0.35">
      <c r="A36" s="6"/>
      <c r="B36" s="6"/>
      <c r="C36" s="6" t="str">
        <f>_xlfn.XLOOKUP($B36,'SI - Resources'!$A$1:$J$1,'SI - Resources'!$A$2:$J$2, "")</f>
        <v/>
      </c>
      <c r="D36" s="6" t="str">
        <f>IF(_xlfn.XLOOKUP($C36,'SI - End Use'!$B$2:$B$82,'SI - End Use'!$C$2:$C$82, "")="", "", _xlfn.XLOOKUP($C36,'SI - End Use'!$B$2:$B$82,'SI - End Use'!$C$2:$C$82, ""))</f>
        <v/>
      </c>
      <c r="E36" s="13"/>
      <c r="F36" s="6" t="str" cm="1">
        <f t="array" ref="F36">IF($B36="Transportation",  'SI - Units'!$B$9:$B$9, _xlfn.XLOOKUP(_xlfn.XLOOKUP($C36,'SI - Units'!$B$24:$B$106,'SI - Units'!$C$24:$C$106, ""),'SI - Units'!$A$2:$A$8,'SI - Units'!$B$2:$B$8, ""))</f>
        <v/>
      </c>
      <c r="G36" s="27"/>
      <c r="H36" s="27"/>
      <c r="I36" s="31" t="str">
        <f>IF(Table13[[#This Row],[Type]]="Co-product", "No", "")</f>
        <v/>
      </c>
      <c r="J36" s="6"/>
      <c r="K36" s="6" t="str">
        <f>IF(Table13[[#This Row],[Category]]="Transportation", _xlfn.XLOOKUP(Table13[[#This Row],[Resource]], 'SI - Payload'!$A$10:$A$38,'SI - Payload'!$B$10:$B$38,"",0), "")</f>
        <v/>
      </c>
      <c r="L36" s="6" t="str">
        <f>IF(Table13[[#This Row],[Category]]="Transportation", "ton", "")</f>
        <v/>
      </c>
      <c r="M36" s="6"/>
      <c r="N36" s="6"/>
      <c r="O36" s="6" t="str">
        <f>IF(OR(Table13[[#This Row],[Type]]="Main Product", Table13[[#This Row],[Type]]="Co-Product"), Table13[[#This Row],[Resource]], "")</f>
        <v/>
      </c>
      <c r="P36" s="6" t="str">
        <f>IF(_xlfn.XLOOKUP($O36,'SI - End Use'!$B$2:$B$82,'SI - End Use'!$C$2:$C$82, "")="", "", _xlfn.XLOOKUP($C36,'SI - End Use'!$B$2:$B$82,'SI - End Use'!$C$2:$C$82, ""))</f>
        <v/>
      </c>
      <c r="Q36" s="6"/>
      <c r="R36" s="6"/>
    </row>
    <row r="37" spans="1:18" x14ac:dyDescent="0.35">
      <c r="A37" s="6"/>
      <c r="B37" s="6"/>
      <c r="C37" s="6" t="str">
        <f>_xlfn.XLOOKUP($B37,'SI - Resources'!$A$1:$J$1,'SI - Resources'!$A$2:$J$2, "")</f>
        <v/>
      </c>
      <c r="D37" s="6" t="str">
        <f>IF(_xlfn.XLOOKUP($C37,'SI - End Use'!$B$2:$B$82,'SI - End Use'!$C$2:$C$82, "")="", "", _xlfn.XLOOKUP($C37,'SI - End Use'!$B$2:$B$82,'SI - End Use'!$C$2:$C$82, ""))</f>
        <v/>
      </c>
      <c r="E37" s="13"/>
      <c r="F37" s="6" t="str" cm="1">
        <f t="array" ref="F37">IF($B37="Transportation",  'SI - Units'!$B$9:$B$9, _xlfn.XLOOKUP(_xlfn.XLOOKUP($C37,'SI - Units'!$B$24:$B$106,'SI - Units'!$C$24:$C$106, ""),'SI - Units'!$A$2:$A$8,'SI - Units'!$B$2:$B$8, ""))</f>
        <v/>
      </c>
      <c r="G37" s="27"/>
      <c r="H37" s="27"/>
      <c r="I37" s="31" t="str">
        <f>IF(Table13[[#This Row],[Type]]="Co-product", "No", "")</f>
        <v/>
      </c>
      <c r="J37" s="6"/>
      <c r="K37" s="6" t="str">
        <f>IF(Table13[[#This Row],[Category]]="Transportation", _xlfn.XLOOKUP(Table13[[#This Row],[Resource]], 'SI - Payload'!$A$10:$A$38,'SI - Payload'!$B$10:$B$38,"",0), "")</f>
        <v/>
      </c>
      <c r="L37" s="6" t="str">
        <f>IF(Table13[[#This Row],[Category]]="Transportation", "ton", "")</f>
        <v/>
      </c>
      <c r="M37" s="6"/>
      <c r="N37" s="6"/>
      <c r="O37" s="6" t="str">
        <f>IF(OR(Table13[[#This Row],[Type]]="Main Product", Table13[[#This Row],[Type]]="Co-Product"), Table13[[#This Row],[Resource]], "")</f>
        <v/>
      </c>
      <c r="P37" s="6" t="str">
        <f>IF(_xlfn.XLOOKUP($O37,'SI - End Use'!$B$2:$B$82,'SI - End Use'!$C$2:$C$82, "")="", "", _xlfn.XLOOKUP($C37,'SI - End Use'!$B$2:$B$82,'SI - End Use'!$C$2:$C$82, ""))</f>
        <v/>
      </c>
      <c r="Q37" s="6"/>
      <c r="R37" s="6"/>
    </row>
    <row r="38" spans="1:18" x14ac:dyDescent="0.35">
      <c r="A38" s="6"/>
      <c r="B38" s="6"/>
      <c r="C38" s="6" t="str">
        <f>_xlfn.XLOOKUP($B38,'SI - Resources'!$A$1:$J$1,'SI - Resources'!$A$2:$J$2, "")</f>
        <v/>
      </c>
      <c r="D38" s="6" t="str">
        <f>IF(_xlfn.XLOOKUP($C38,'SI - End Use'!$B$2:$B$82,'SI - End Use'!$C$2:$C$82, "")="", "", _xlfn.XLOOKUP($C38,'SI - End Use'!$B$2:$B$82,'SI - End Use'!$C$2:$C$82, ""))</f>
        <v/>
      </c>
      <c r="E38" s="13"/>
      <c r="F38" s="6" t="str" cm="1">
        <f t="array" ref="F38">IF($B38="Transportation",  'SI - Units'!$B$9:$B$9, _xlfn.XLOOKUP(_xlfn.XLOOKUP($C38,'SI - Units'!$B$24:$B$106,'SI - Units'!$C$24:$C$106, ""),'SI - Units'!$A$2:$A$8,'SI - Units'!$B$2:$B$8, ""))</f>
        <v/>
      </c>
      <c r="G38" s="27"/>
      <c r="H38" s="27"/>
      <c r="I38" s="31" t="str">
        <f>IF(Table13[[#This Row],[Type]]="Co-product", "No", "")</f>
        <v/>
      </c>
      <c r="J38" s="6"/>
      <c r="K38" s="6" t="str">
        <f>IF(Table13[[#This Row],[Category]]="Transportation", _xlfn.XLOOKUP(Table13[[#This Row],[Resource]], 'SI - Payload'!$A$10:$A$38,'SI - Payload'!$B$10:$B$38,"",0), "")</f>
        <v/>
      </c>
      <c r="L38" s="6" t="str">
        <f>IF(Table13[[#This Row],[Category]]="Transportation", "ton", "")</f>
        <v/>
      </c>
      <c r="M38" s="6"/>
      <c r="N38" s="6"/>
      <c r="O38" s="6" t="str">
        <f>IF(OR(Table13[[#This Row],[Type]]="Main Product", Table13[[#This Row],[Type]]="Co-Product"), Table13[[#This Row],[Resource]], "")</f>
        <v/>
      </c>
      <c r="P38" s="6" t="str">
        <f>IF(_xlfn.XLOOKUP($O38,'SI - End Use'!$B$2:$B$82,'SI - End Use'!$C$2:$C$82, "")="", "", _xlfn.XLOOKUP($C38,'SI - End Use'!$B$2:$B$82,'SI - End Use'!$C$2:$C$82, ""))</f>
        <v/>
      </c>
      <c r="Q38" s="6"/>
      <c r="R38" s="6"/>
    </row>
    <row r="39" spans="1:18" x14ac:dyDescent="0.35">
      <c r="A39" s="6"/>
      <c r="B39" s="6"/>
      <c r="C39" s="6" t="str">
        <f>_xlfn.XLOOKUP($B39,'SI - Resources'!$A$1:$J$1,'SI - Resources'!$A$2:$J$2, "")</f>
        <v/>
      </c>
      <c r="D39" s="6" t="str">
        <f>IF(_xlfn.XLOOKUP($C39,'SI - End Use'!$B$2:$B$82,'SI - End Use'!$C$2:$C$82, "")="", "", _xlfn.XLOOKUP($C39,'SI - End Use'!$B$2:$B$82,'SI - End Use'!$C$2:$C$82, ""))</f>
        <v/>
      </c>
      <c r="E39" s="13"/>
      <c r="F39" s="6" t="str" cm="1">
        <f t="array" ref="F39">IF($B39="Transportation",  'SI - Units'!$B$9:$B$9, _xlfn.XLOOKUP(_xlfn.XLOOKUP($C39,'SI - Units'!$B$24:$B$106,'SI - Units'!$C$24:$C$106, ""),'SI - Units'!$A$2:$A$8,'SI - Units'!$B$2:$B$8, ""))</f>
        <v/>
      </c>
      <c r="G39" s="27"/>
      <c r="H39" s="27"/>
      <c r="I39" s="31" t="str">
        <f>IF(Table13[[#This Row],[Type]]="Co-product", "No", "")</f>
        <v/>
      </c>
      <c r="J39" s="6"/>
      <c r="K39" s="6" t="str">
        <f>IF(Table13[[#This Row],[Category]]="Transportation", _xlfn.XLOOKUP(Table13[[#This Row],[Resource]], 'SI - Payload'!$A$10:$A$38,'SI - Payload'!$B$10:$B$38,"",0), "")</f>
        <v/>
      </c>
      <c r="L39" s="6" t="str">
        <f>IF(Table13[[#This Row],[Category]]="Transportation", "ton", "")</f>
        <v/>
      </c>
      <c r="M39" s="6"/>
      <c r="N39" s="6"/>
      <c r="O39" s="6" t="str">
        <f>IF(OR(Table13[[#This Row],[Type]]="Main Product", Table13[[#This Row],[Type]]="Co-Product"), Table13[[#This Row],[Resource]], "")</f>
        <v/>
      </c>
      <c r="P39" s="6" t="str">
        <f>IF(_xlfn.XLOOKUP($O39,'SI - End Use'!$B$2:$B$82,'SI - End Use'!$C$2:$C$82, "")="", "", _xlfn.XLOOKUP($C39,'SI - End Use'!$B$2:$B$82,'SI - End Use'!$C$2:$C$82, ""))</f>
        <v/>
      </c>
      <c r="Q39" s="6"/>
      <c r="R39" s="6"/>
    </row>
    <row r="40" spans="1:18" x14ac:dyDescent="0.35">
      <c r="A40" s="6"/>
      <c r="B40" s="6"/>
      <c r="C40" s="6" t="str">
        <f>_xlfn.XLOOKUP($B40,'SI - Resources'!$A$1:$J$1,'SI - Resources'!$A$2:$J$2, "")</f>
        <v/>
      </c>
      <c r="D40" s="6" t="str">
        <f>IF(_xlfn.XLOOKUP($C40,'SI - End Use'!$B$2:$B$82,'SI - End Use'!$C$2:$C$82, "")="", "", _xlfn.XLOOKUP($C40,'SI - End Use'!$B$2:$B$82,'SI - End Use'!$C$2:$C$82, ""))</f>
        <v/>
      </c>
      <c r="E40" s="13"/>
      <c r="F40" s="6" t="str" cm="1">
        <f t="array" ref="F40">IF($B40="Transportation",  'SI - Units'!$B$9:$B$9, _xlfn.XLOOKUP(_xlfn.XLOOKUP($C40,'SI - Units'!$B$24:$B$106,'SI - Units'!$C$24:$C$106, ""),'SI - Units'!$A$2:$A$8,'SI - Units'!$B$2:$B$8, ""))</f>
        <v/>
      </c>
      <c r="G40" s="27"/>
      <c r="H40" s="27"/>
      <c r="I40" s="31" t="str">
        <f>IF(Table13[[#This Row],[Type]]="Co-product", "No", "")</f>
        <v/>
      </c>
      <c r="J40" s="6"/>
      <c r="K40" s="6" t="str">
        <f>IF(Table13[[#This Row],[Category]]="Transportation", _xlfn.XLOOKUP(Table13[[#This Row],[Resource]], 'SI - Payload'!$A$10:$A$38,'SI - Payload'!$B$10:$B$38,"",0), "")</f>
        <v/>
      </c>
      <c r="L40" s="6" t="str">
        <f>IF(Table13[[#This Row],[Category]]="Transportation", "ton", "")</f>
        <v/>
      </c>
      <c r="M40" s="6"/>
      <c r="N40" s="6"/>
      <c r="O40" s="6" t="str">
        <f>IF(OR(Table13[[#This Row],[Type]]="Main Product", Table13[[#This Row],[Type]]="Co-Product"), Table13[[#This Row],[Resource]], "")</f>
        <v/>
      </c>
      <c r="P40" s="6" t="str">
        <f>IF(_xlfn.XLOOKUP($O40,'SI - End Use'!$B$2:$B$82,'SI - End Use'!$C$2:$C$82, "")="", "", _xlfn.XLOOKUP($C40,'SI - End Use'!$B$2:$B$82,'SI - End Use'!$C$2:$C$82, ""))</f>
        <v/>
      </c>
      <c r="Q40" s="6"/>
      <c r="R40" s="6"/>
    </row>
    <row r="41" spans="1:18" x14ac:dyDescent="0.35">
      <c r="A41" s="6"/>
      <c r="B41" s="6"/>
      <c r="C41" s="6" t="str">
        <f>_xlfn.XLOOKUP($B41,'SI - Resources'!$A$1:$J$1,'SI - Resources'!$A$2:$J$2, "")</f>
        <v/>
      </c>
      <c r="D41" s="6" t="str">
        <f>IF(_xlfn.XLOOKUP($C41,'SI - End Use'!$B$2:$B$82,'SI - End Use'!$C$2:$C$82, "")="", "", _xlfn.XLOOKUP($C41,'SI - End Use'!$B$2:$B$82,'SI - End Use'!$C$2:$C$82, ""))</f>
        <v/>
      </c>
      <c r="E41" s="13"/>
      <c r="F41" s="6" t="str" cm="1">
        <f t="array" ref="F41">IF($B41="Transportation",  'SI - Units'!$B$9:$B$9, _xlfn.XLOOKUP(_xlfn.XLOOKUP($C41,'SI - Units'!$B$24:$B$106,'SI - Units'!$C$24:$C$106, ""),'SI - Units'!$A$2:$A$8,'SI - Units'!$B$2:$B$8, ""))</f>
        <v/>
      </c>
      <c r="G41" s="27"/>
      <c r="H41" s="27"/>
      <c r="I41" s="31" t="str">
        <f>IF(Table13[[#This Row],[Type]]="Co-product", "No", "")</f>
        <v/>
      </c>
      <c r="J41" s="6"/>
      <c r="K41" s="6" t="str">
        <f>IF(Table13[[#This Row],[Category]]="Transportation", _xlfn.XLOOKUP(Table13[[#This Row],[Resource]], 'SI - Payload'!$A$10:$A$38,'SI - Payload'!$B$10:$B$38,"",0), "")</f>
        <v/>
      </c>
      <c r="L41" s="6" t="str">
        <f>IF(Table13[[#This Row],[Category]]="Transportation", "ton", "")</f>
        <v/>
      </c>
      <c r="M41" s="6"/>
      <c r="N41" s="6"/>
      <c r="O41" s="6" t="str">
        <f>IF(OR(Table13[[#This Row],[Type]]="Main Product", Table13[[#This Row],[Type]]="Co-Product"), Table13[[#This Row],[Resource]], "")</f>
        <v/>
      </c>
      <c r="P41" s="6" t="str">
        <f>IF(_xlfn.XLOOKUP($O41,'SI - End Use'!$B$2:$B$82,'SI - End Use'!$C$2:$C$82, "")="", "", _xlfn.XLOOKUP($C41,'SI - End Use'!$B$2:$B$82,'SI - End Use'!$C$2:$C$82, ""))</f>
        <v/>
      </c>
      <c r="Q41" s="6"/>
      <c r="R41" s="6"/>
    </row>
    <row r="42" spans="1:18" x14ac:dyDescent="0.35">
      <c r="A42" s="6"/>
      <c r="B42" s="6"/>
      <c r="C42" s="6" t="str">
        <f>_xlfn.XLOOKUP($B42,'SI - Resources'!$A$1:$J$1,'SI - Resources'!$A$2:$J$2, "")</f>
        <v/>
      </c>
      <c r="D42" s="6" t="str">
        <f>IF(_xlfn.XLOOKUP($C42,'SI - End Use'!$B$2:$B$82,'SI - End Use'!$C$2:$C$82, "")="", "", _xlfn.XLOOKUP($C42,'SI - End Use'!$B$2:$B$82,'SI - End Use'!$C$2:$C$82, ""))</f>
        <v/>
      </c>
      <c r="E42" s="13"/>
      <c r="F42" s="6" t="str" cm="1">
        <f t="array" ref="F42">IF($B42="Transportation",  'SI - Units'!$B$9:$B$9, _xlfn.XLOOKUP(_xlfn.XLOOKUP($C42,'SI - Units'!$B$24:$B$106,'SI - Units'!$C$24:$C$106, ""),'SI - Units'!$A$2:$A$8,'SI - Units'!$B$2:$B$8, ""))</f>
        <v/>
      </c>
      <c r="G42" s="27"/>
      <c r="H42" s="27"/>
      <c r="I42" s="31" t="str">
        <f>IF(Table13[[#This Row],[Type]]="Co-product", "No", "")</f>
        <v/>
      </c>
      <c r="J42" s="6"/>
      <c r="K42" s="6" t="str">
        <f>IF(Table13[[#This Row],[Category]]="Transportation", _xlfn.XLOOKUP(Table13[[#This Row],[Resource]], 'SI - Payload'!$A$10:$A$38,'SI - Payload'!$B$10:$B$38,"",0), "")</f>
        <v/>
      </c>
      <c r="L42" s="6" t="str">
        <f>IF(Table13[[#This Row],[Category]]="Transportation", "ton", "")</f>
        <v/>
      </c>
      <c r="M42" s="6"/>
      <c r="N42" s="6"/>
      <c r="O42" s="6" t="str">
        <f>IF(OR(Table13[[#This Row],[Type]]="Main Product", Table13[[#This Row],[Type]]="Co-Product"), Table13[[#This Row],[Resource]], "")</f>
        <v/>
      </c>
      <c r="P42" s="6" t="str">
        <f>IF(_xlfn.XLOOKUP($O42,'SI - End Use'!$B$2:$B$82,'SI - End Use'!$C$2:$C$82, "")="", "", _xlfn.XLOOKUP($C42,'SI - End Use'!$B$2:$B$82,'SI - End Use'!$C$2:$C$82, ""))</f>
        <v/>
      </c>
      <c r="Q42" s="6"/>
      <c r="R42" s="6"/>
    </row>
    <row r="43" spans="1:18" x14ac:dyDescent="0.35">
      <c r="A43" s="6"/>
      <c r="B43" s="6"/>
      <c r="C43" s="6" t="str">
        <f>_xlfn.XLOOKUP($B43,'SI - Resources'!$A$1:$J$1,'SI - Resources'!$A$2:$J$2, "")</f>
        <v/>
      </c>
      <c r="D43" s="6" t="str">
        <f>IF(_xlfn.XLOOKUP($C43,'SI - End Use'!$B$2:$B$82,'SI - End Use'!$C$2:$C$82, "")="", "", _xlfn.XLOOKUP($C43,'SI - End Use'!$B$2:$B$82,'SI - End Use'!$C$2:$C$82, ""))</f>
        <v/>
      </c>
      <c r="E43" s="13"/>
      <c r="F43" s="6" t="str" cm="1">
        <f t="array" ref="F43">IF($B43="Transportation",  'SI - Units'!$B$9:$B$9, _xlfn.XLOOKUP(_xlfn.XLOOKUP($C43,'SI - Units'!$B$24:$B$106,'SI - Units'!$C$24:$C$106, ""),'SI - Units'!$A$2:$A$8,'SI - Units'!$B$2:$B$8, ""))</f>
        <v/>
      </c>
      <c r="G43" s="27"/>
      <c r="H43" s="27"/>
      <c r="I43" s="31" t="str">
        <f>IF(Table13[[#This Row],[Type]]="Co-product", "No", "")</f>
        <v/>
      </c>
      <c r="J43" s="6"/>
      <c r="K43" s="6" t="str">
        <f>IF(Table13[[#This Row],[Category]]="Transportation", _xlfn.XLOOKUP(Table13[[#This Row],[Resource]], 'SI - Payload'!$A$10:$A$38,'SI - Payload'!$B$10:$B$38,"",0), "")</f>
        <v/>
      </c>
      <c r="L43" s="6" t="str">
        <f>IF(Table13[[#This Row],[Category]]="Transportation", "ton", "")</f>
        <v/>
      </c>
      <c r="M43" s="6"/>
      <c r="N43" s="6"/>
      <c r="O43" s="6" t="str">
        <f>IF(OR(Table13[[#This Row],[Type]]="Main Product", Table13[[#This Row],[Type]]="Co-Product"), Table13[[#This Row],[Resource]], "")</f>
        <v/>
      </c>
      <c r="P43" s="6" t="str">
        <f>IF(_xlfn.XLOOKUP($O43,'SI - End Use'!$B$2:$B$82,'SI - End Use'!$C$2:$C$82, "")="", "", _xlfn.XLOOKUP($C43,'SI - End Use'!$B$2:$B$82,'SI - End Use'!$C$2:$C$82, ""))</f>
        <v/>
      </c>
      <c r="Q43" s="6"/>
      <c r="R43" s="6"/>
    </row>
    <row r="44" spans="1:18" x14ac:dyDescent="0.35">
      <c r="A44" s="6"/>
      <c r="B44" s="6"/>
      <c r="C44" s="6" t="str">
        <f>_xlfn.XLOOKUP($B44,'SI - Resources'!$A$1:$J$1,'SI - Resources'!$A$2:$J$2, "")</f>
        <v/>
      </c>
      <c r="D44" s="6" t="str">
        <f>IF(_xlfn.XLOOKUP($C44,'SI - End Use'!$B$2:$B$82,'SI - End Use'!$C$2:$C$82, "")="", "", _xlfn.XLOOKUP($C44,'SI - End Use'!$B$2:$B$82,'SI - End Use'!$C$2:$C$82, ""))</f>
        <v/>
      </c>
      <c r="E44" s="13"/>
      <c r="F44" s="6" t="str" cm="1">
        <f t="array" ref="F44">IF($B44="Transportation",  'SI - Units'!$B$9:$B$9, _xlfn.XLOOKUP(_xlfn.XLOOKUP($C44,'SI - Units'!$B$24:$B$106,'SI - Units'!$C$24:$C$106, ""),'SI - Units'!$A$2:$A$8,'SI - Units'!$B$2:$B$8, ""))</f>
        <v/>
      </c>
      <c r="G44" s="27"/>
      <c r="H44" s="27"/>
      <c r="I44" s="31" t="str">
        <f>IF(Table13[[#This Row],[Type]]="Co-product", "No", "")</f>
        <v/>
      </c>
      <c r="J44" s="6"/>
      <c r="K44" s="6" t="str">
        <f>IF(Table13[[#This Row],[Category]]="Transportation", _xlfn.XLOOKUP(Table13[[#This Row],[Resource]], 'SI - Payload'!$A$10:$A$38,'SI - Payload'!$B$10:$B$38,"",0), "")</f>
        <v/>
      </c>
      <c r="L44" s="6" t="str">
        <f>IF(Table13[[#This Row],[Category]]="Transportation", "ton", "")</f>
        <v/>
      </c>
      <c r="M44" s="6"/>
      <c r="N44" s="6"/>
      <c r="O44" s="6" t="str">
        <f>IF(OR(Table13[[#This Row],[Type]]="Main Product", Table13[[#This Row],[Type]]="Co-Product"), Table13[[#This Row],[Resource]], "")</f>
        <v/>
      </c>
      <c r="P44" s="6" t="str">
        <f>IF(_xlfn.XLOOKUP($O44,'SI - End Use'!$B$2:$B$82,'SI - End Use'!$C$2:$C$82, "")="", "", _xlfn.XLOOKUP($C44,'SI - End Use'!$B$2:$B$82,'SI - End Use'!$C$2:$C$82, ""))</f>
        <v/>
      </c>
      <c r="Q44" s="6"/>
      <c r="R44" s="6"/>
    </row>
    <row r="45" spans="1:18" x14ac:dyDescent="0.35">
      <c r="A45" s="6"/>
      <c r="B45" s="6"/>
      <c r="C45" s="6" t="str">
        <f>_xlfn.XLOOKUP($B45,'SI - Resources'!$A$1:$J$1,'SI - Resources'!$A$2:$J$2, "")</f>
        <v/>
      </c>
      <c r="D45" s="6" t="str">
        <f>IF(_xlfn.XLOOKUP($C45,'SI - End Use'!$B$2:$B$82,'SI - End Use'!$C$2:$C$82, "")="", "", _xlfn.XLOOKUP($C45,'SI - End Use'!$B$2:$B$82,'SI - End Use'!$C$2:$C$82, ""))</f>
        <v/>
      </c>
      <c r="E45" s="13"/>
      <c r="F45" s="6" t="str" cm="1">
        <f t="array" ref="F45">IF($B45="Transportation",  'SI - Units'!$B$9:$B$9, _xlfn.XLOOKUP(_xlfn.XLOOKUP($C45,'SI - Units'!$B$24:$B$106,'SI - Units'!$C$24:$C$106, ""),'SI - Units'!$A$2:$A$8,'SI - Units'!$B$2:$B$8, ""))</f>
        <v/>
      </c>
      <c r="G45" s="27"/>
      <c r="H45" s="27"/>
      <c r="I45" s="31" t="str">
        <f>IF(Table13[[#This Row],[Type]]="Co-product", "No", "")</f>
        <v/>
      </c>
      <c r="J45" s="6"/>
      <c r="K45" s="6" t="str">
        <f>IF(Table13[[#This Row],[Category]]="Transportation", _xlfn.XLOOKUP(Table13[[#This Row],[Resource]], 'SI - Payload'!$A$10:$A$38,'SI - Payload'!$B$10:$B$38,"",0), "")</f>
        <v/>
      </c>
      <c r="L45" s="6" t="str">
        <f>IF(Table13[[#This Row],[Category]]="Transportation", "ton", "")</f>
        <v/>
      </c>
      <c r="M45" s="6"/>
      <c r="N45" s="6"/>
      <c r="O45" s="6" t="str">
        <f>IF(OR(Table13[[#This Row],[Type]]="Main Product", Table13[[#This Row],[Type]]="Co-Product"), Table13[[#This Row],[Resource]], "")</f>
        <v/>
      </c>
      <c r="P45" s="6" t="str">
        <f>IF(_xlfn.XLOOKUP($O45,'SI - End Use'!$B$2:$B$82,'SI - End Use'!$C$2:$C$82, "")="", "", _xlfn.XLOOKUP($C45,'SI - End Use'!$B$2:$B$82,'SI - End Use'!$C$2:$C$82, ""))</f>
        <v/>
      </c>
      <c r="Q45" s="6"/>
      <c r="R45" s="6"/>
    </row>
    <row r="46" spans="1:18" x14ac:dyDescent="0.35">
      <c r="A46" s="6"/>
      <c r="B46" s="6"/>
      <c r="C46" s="6" t="str">
        <f>_xlfn.XLOOKUP($B46,'SI - Resources'!$A$1:$J$1,'SI - Resources'!$A$2:$J$2, "")</f>
        <v/>
      </c>
      <c r="D46" s="6" t="str">
        <f>IF(_xlfn.XLOOKUP($C46,'SI - End Use'!$B$2:$B$82,'SI - End Use'!$C$2:$C$82, "")="", "", _xlfn.XLOOKUP($C46,'SI - End Use'!$B$2:$B$82,'SI - End Use'!$C$2:$C$82, ""))</f>
        <v/>
      </c>
      <c r="E46" s="13"/>
      <c r="F46" s="6" t="str" cm="1">
        <f t="array" ref="F46">IF($B46="Transportation",  'SI - Units'!$B$9:$B$9, _xlfn.XLOOKUP(_xlfn.XLOOKUP($C46,'SI - Units'!$B$24:$B$106,'SI - Units'!$C$24:$C$106, ""),'SI - Units'!$A$2:$A$8,'SI - Units'!$B$2:$B$8, ""))</f>
        <v/>
      </c>
      <c r="G46" s="27"/>
      <c r="H46" s="27"/>
      <c r="I46" s="31" t="str">
        <f>IF(Table13[[#This Row],[Type]]="Co-product", "No", "")</f>
        <v/>
      </c>
      <c r="J46" s="6"/>
      <c r="K46" s="6" t="str">
        <f>IF(Table13[[#This Row],[Category]]="Transportation", _xlfn.XLOOKUP(Table13[[#This Row],[Resource]], 'SI - Payload'!$A$10:$A$38,'SI - Payload'!$B$10:$B$38,"",0), "")</f>
        <v/>
      </c>
      <c r="L46" s="6" t="str">
        <f>IF(Table13[[#This Row],[Category]]="Transportation", "ton", "")</f>
        <v/>
      </c>
      <c r="M46" s="6"/>
      <c r="N46" s="6"/>
      <c r="O46" s="6" t="str">
        <f>IF(OR(Table13[[#This Row],[Type]]="Main Product", Table13[[#This Row],[Type]]="Co-Product"), Table13[[#This Row],[Resource]], "")</f>
        <v/>
      </c>
      <c r="P46" s="6" t="str">
        <f>IF(_xlfn.XLOOKUP($O46,'SI - End Use'!$B$2:$B$82,'SI - End Use'!$C$2:$C$82, "")="", "", _xlfn.XLOOKUP($C46,'SI - End Use'!$B$2:$B$82,'SI - End Use'!$C$2:$C$82, ""))</f>
        <v/>
      </c>
      <c r="Q46" s="6"/>
      <c r="R46" s="6"/>
    </row>
    <row r="47" spans="1:18" x14ac:dyDescent="0.35">
      <c r="A47" s="6"/>
      <c r="B47" s="6"/>
      <c r="C47" s="6" t="str">
        <f>_xlfn.XLOOKUP($B47,'SI - Resources'!$A$1:$J$1,'SI - Resources'!$A$2:$J$2, "")</f>
        <v/>
      </c>
      <c r="D47" s="6" t="str">
        <f>IF(_xlfn.XLOOKUP($C47,'SI - End Use'!$B$2:$B$82,'SI - End Use'!$C$2:$C$82, "")="", "", _xlfn.XLOOKUP($C47,'SI - End Use'!$B$2:$B$82,'SI - End Use'!$C$2:$C$82, ""))</f>
        <v/>
      </c>
      <c r="E47" s="13"/>
      <c r="F47" s="6" t="str" cm="1">
        <f t="array" ref="F47">IF($B47="Transportation",  'SI - Units'!$B$9:$B$9, _xlfn.XLOOKUP(_xlfn.XLOOKUP($C47,'SI - Units'!$B$24:$B$106,'SI - Units'!$C$24:$C$106, ""),'SI - Units'!$A$2:$A$8,'SI - Units'!$B$2:$B$8, ""))</f>
        <v/>
      </c>
      <c r="G47" s="27"/>
      <c r="H47" s="27"/>
      <c r="I47" s="31" t="str">
        <f>IF(Table13[[#This Row],[Type]]="Co-product", "No", "")</f>
        <v/>
      </c>
      <c r="J47" s="6"/>
      <c r="K47" s="6" t="str">
        <f>IF(Table13[[#This Row],[Category]]="Transportation", _xlfn.XLOOKUP(Table13[[#This Row],[Resource]], 'SI - Payload'!$A$10:$A$38,'SI - Payload'!$B$10:$B$38,"",0), "")</f>
        <v/>
      </c>
      <c r="L47" s="6" t="str">
        <f>IF(Table13[[#This Row],[Category]]="Transportation", "ton", "")</f>
        <v/>
      </c>
      <c r="M47" s="6"/>
      <c r="N47" s="6"/>
      <c r="O47" s="6" t="str">
        <f>IF(OR(Table13[[#This Row],[Type]]="Main Product", Table13[[#This Row],[Type]]="Co-Product"), Table13[[#This Row],[Resource]], "")</f>
        <v/>
      </c>
      <c r="P47" s="6" t="str">
        <f>IF(_xlfn.XLOOKUP($O47,'SI - End Use'!$B$2:$B$82,'SI - End Use'!$C$2:$C$82, "")="", "", _xlfn.XLOOKUP($C47,'SI - End Use'!$B$2:$B$82,'SI - End Use'!$C$2:$C$82, ""))</f>
        <v/>
      </c>
      <c r="Q47" s="6"/>
      <c r="R47" s="6"/>
    </row>
    <row r="48" spans="1:18" x14ac:dyDescent="0.35">
      <c r="A48" s="6"/>
      <c r="B48" s="6"/>
      <c r="C48" s="6" t="str">
        <f>_xlfn.XLOOKUP($B48,'SI - Resources'!$A$1:$J$1,'SI - Resources'!$A$2:$J$2, "")</f>
        <v/>
      </c>
      <c r="D48" s="6" t="str">
        <f>IF(_xlfn.XLOOKUP($C48,'SI - End Use'!$B$2:$B$82,'SI - End Use'!$C$2:$C$82, "")="", "", _xlfn.XLOOKUP($C48,'SI - End Use'!$B$2:$B$82,'SI - End Use'!$C$2:$C$82, ""))</f>
        <v/>
      </c>
      <c r="E48" s="13"/>
      <c r="F48" s="6" t="str" cm="1">
        <f t="array" ref="F48">IF($B48="Transportation",  'SI - Units'!$B$9:$B$9, _xlfn.XLOOKUP(_xlfn.XLOOKUP($C48,'SI - Units'!$B$24:$B$106,'SI - Units'!$C$24:$C$106, ""),'SI - Units'!$A$2:$A$8,'SI - Units'!$B$2:$B$8, ""))</f>
        <v/>
      </c>
      <c r="G48" s="27"/>
      <c r="H48" s="27"/>
      <c r="I48" s="31" t="str">
        <f>IF(Table13[[#This Row],[Type]]="Co-product", "No", "")</f>
        <v/>
      </c>
      <c r="J48" s="6"/>
      <c r="K48" s="6" t="str">
        <f>IF(Table13[[#This Row],[Category]]="Transportation", _xlfn.XLOOKUP(Table13[[#This Row],[Resource]], 'SI - Payload'!$A$10:$A$38,'SI - Payload'!$B$10:$B$38,"",0), "")</f>
        <v/>
      </c>
      <c r="L48" s="6" t="str">
        <f>IF(Table13[[#This Row],[Category]]="Transportation", "ton", "")</f>
        <v/>
      </c>
      <c r="M48" s="6"/>
      <c r="N48" s="6"/>
      <c r="O48" s="6" t="str">
        <f>IF(OR(Table13[[#This Row],[Type]]="Main Product", Table13[[#This Row],[Type]]="Co-Product"), Table13[[#This Row],[Resource]], "")</f>
        <v/>
      </c>
      <c r="P48" s="6" t="str">
        <f>IF(_xlfn.XLOOKUP($O48,'SI - End Use'!$B$2:$B$82,'SI - End Use'!$C$2:$C$82, "")="", "", _xlfn.XLOOKUP($C48,'SI - End Use'!$B$2:$B$82,'SI - End Use'!$C$2:$C$82, ""))</f>
        <v/>
      </c>
      <c r="Q48" s="6"/>
      <c r="R48" s="6"/>
    </row>
    <row r="49" spans="1:18" x14ac:dyDescent="0.35">
      <c r="A49" s="6"/>
      <c r="B49" s="6"/>
      <c r="C49" s="6" t="str">
        <f>_xlfn.XLOOKUP($B49,'SI - Resources'!$A$1:$J$1,'SI - Resources'!$A$2:$J$2, "")</f>
        <v/>
      </c>
      <c r="D49" s="6" t="str">
        <f>IF(_xlfn.XLOOKUP($C49,'SI - End Use'!$B$2:$B$82,'SI - End Use'!$C$2:$C$82, "")="", "", _xlfn.XLOOKUP($C49,'SI - End Use'!$B$2:$B$82,'SI - End Use'!$C$2:$C$82, ""))</f>
        <v/>
      </c>
      <c r="E49" s="13"/>
      <c r="F49" s="6" t="str" cm="1">
        <f t="array" ref="F49">IF($B49="Transportation",  'SI - Units'!$B$9:$B$9, _xlfn.XLOOKUP(_xlfn.XLOOKUP($C49,'SI - Units'!$B$24:$B$106,'SI - Units'!$C$24:$C$106, ""),'SI - Units'!$A$2:$A$8,'SI - Units'!$B$2:$B$8, ""))</f>
        <v/>
      </c>
      <c r="G49" s="27"/>
      <c r="H49" s="27"/>
      <c r="I49" s="31" t="str">
        <f>IF(Table13[[#This Row],[Type]]="Co-product", "No", "")</f>
        <v/>
      </c>
      <c r="J49" s="6"/>
      <c r="K49" s="6" t="str">
        <f>IF(Table13[[#This Row],[Category]]="Transportation", _xlfn.XLOOKUP(Table13[[#This Row],[Resource]], 'SI - Payload'!$A$10:$A$38,'SI - Payload'!$B$10:$B$38,"",0), "")</f>
        <v/>
      </c>
      <c r="L49" s="6" t="str">
        <f>IF(Table13[[#This Row],[Category]]="Transportation", "ton", "")</f>
        <v/>
      </c>
      <c r="M49" s="6"/>
      <c r="N49" s="6"/>
      <c r="O49" s="6" t="str">
        <f>IF(OR(Table13[[#This Row],[Type]]="Main Product", Table13[[#This Row],[Type]]="Co-Product"), Table13[[#This Row],[Resource]], "")</f>
        <v/>
      </c>
      <c r="P49" s="6" t="str">
        <f>IF(_xlfn.XLOOKUP($O49,'SI - End Use'!$B$2:$B$82,'SI - End Use'!$C$2:$C$82, "")="", "", _xlfn.XLOOKUP($C49,'SI - End Use'!$B$2:$B$82,'SI - End Use'!$C$2:$C$82, ""))</f>
        <v/>
      </c>
      <c r="Q49" s="6"/>
      <c r="R49" s="6"/>
    </row>
    <row r="50" spans="1:18" x14ac:dyDescent="0.35">
      <c r="A50" s="6"/>
      <c r="B50" s="6"/>
      <c r="C50" s="6" t="str">
        <f>_xlfn.XLOOKUP($B50,'SI - Resources'!$A$1:$J$1,'SI - Resources'!$A$2:$J$2, "")</f>
        <v/>
      </c>
      <c r="D50" s="6" t="str">
        <f>IF(_xlfn.XLOOKUP($C50,'SI - End Use'!$B$2:$B$82,'SI - End Use'!$C$2:$C$82, "")="", "", _xlfn.XLOOKUP($C50,'SI - End Use'!$B$2:$B$82,'SI - End Use'!$C$2:$C$82, ""))</f>
        <v/>
      </c>
      <c r="E50" s="13"/>
      <c r="F50" s="6" t="str" cm="1">
        <f t="array" ref="F50">IF($B50="Transportation",  'SI - Units'!$B$9:$B$9, _xlfn.XLOOKUP(_xlfn.XLOOKUP($C50,'SI - Units'!$B$24:$B$106,'SI - Units'!$C$24:$C$106, ""),'SI - Units'!$A$2:$A$8,'SI - Units'!$B$2:$B$8, ""))</f>
        <v/>
      </c>
      <c r="G50" s="27"/>
      <c r="H50" s="27"/>
      <c r="I50" s="31" t="str">
        <f>IF(Table13[[#This Row],[Type]]="Co-product", "No", "")</f>
        <v/>
      </c>
      <c r="J50" s="6"/>
      <c r="K50" s="6" t="str">
        <f>IF(Table13[[#This Row],[Category]]="Transportation", _xlfn.XLOOKUP(Table13[[#This Row],[Resource]], 'SI - Payload'!$A$10:$A$38,'SI - Payload'!$B$10:$B$38,"",0), "")</f>
        <v/>
      </c>
      <c r="L50" s="6" t="str">
        <f>IF(Table13[[#This Row],[Category]]="Transportation", "ton", "")</f>
        <v/>
      </c>
      <c r="M50" s="6"/>
      <c r="N50" s="6"/>
      <c r="O50" s="6" t="str">
        <f>IF(OR(Table13[[#This Row],[Type]]="Main Product", Table13[[#This Row],[Type]]="Co-Product"), Table13[[#This Row],[Resource]], "")</f>
        <v/>
      </c>
      <c r="P50" s="6" t="str">
        <f>IF(_xlfn.XLOOKUP($O50,'SI - End Use'!$B$2:$B$82,'SI - End Use'!$C$2:$C$82, "")="", "", _xlfn.XLOOKUP($C50,'SI - End Use'!$B$2:$B$82,'SI - End Use'!$C$2:$C$82, ""))</f>
        <v/>
      </c>
      <c r="Q50" s="6"/>
      <c r="R50" s="6"/>
    </row>
    <row r="51" spans="1:18" x14ac:dyDescent="0.35">
      <c r="A51" s="6"/>
      <c r="B51" s="6"/>
      <c r="C51" s="6" t="str">
        <f>_xlfn.XLOOKUP($B51,'SI - Resources'!$A$1:$J$1,'SI - Resources'!$A$2:$J$2, "")</f>
        <v/>
      </c>
      <c r="D51" s="6" t="str">
        <f>IF(_xlfn.XLOOKUP($C51,'SI - End Use'!$B$2:$B$82,'SI - End Use'!$C$2:$C$82, "")="", "", _xlfn.XLOOKUP($C51,'SI - End Use'!$B$2:$B$82,'SI - End Use'!$C$2:$C$82, ""))</f>
        <v/>
      </c>
      <c r="E51" s="13"/>
      <c r="F51" s="6" t="str" cm="1">
        <f t="array" ref="F51">IF($B51="Transportation",  'SI - Units'!$B$9:$B$9, _xlfn.XLOOKUP(_xlfn.XLOOKUP($C51,'SI - Units'!$B$24:$B$106,'SI - Units'!$C$24:$C$106, ""),'SI - Units'!$A$2:$A$8,'SI - Units'!$B$2:$B$8, ""))</f>
        <v/>
      </c>
      <c r="G51" s="27"/>
      <c r="H51" s="27"/>
      <c r="I51" s="31" t="str">
        <f>IF(Table13[[#This Row],[Type]]="Co-product", "No", "")</f>
        <v/>
      </c>
      <c r="J51" s="6"/>
      <c r="K51" s="6" t="str">
        <f>IF(Table13[[#This Row],[Category]]="Transportation", _xlfn.XLOOKUP(Table13[[#This Row],[Resource]], 'SI - Payload'!$A$10:$A$38,'SI - Payload'!$B$10:$B$38,"",0), "")</f>
        <v/>
      </c>
      <c r="L51" s="6" t="str">
        <f>IF(Table13[[#This Row],[Category]]="Transportation", "ton", "")</f>
        <v/>
      </c>
      <c r="M51" s="6"/>
      <c r="N51" s="6"/>
      <c r="O51" s="6" t="str">
        <f>IF(OR(Table13[[#This Row],[Type]]="Main Product", Table13[[#This Row],[Type]]="Co-Product"), Table13[[#This Row],[Resource]], "")</f>
        <v/>
      </c>
      <c r="P51" s="6" t="str">
        <f>IF(_xlfn.XLOOKUP($O51,'SI - End Use'!$B$2:$B$82,'SI - End Use'!$C$2:$C$82, "")="", "", _xlfn.XLOOKUP($C51,'SI - End Use'!$B$2:$B$82,'SI - End Use'!$C$2:$C$82, ""))</f>
        <v/>
      </c>
      <c r="Q51" s="6"/>
      <c r="R51" s="6"/>
    </row>
    <row r="52" spans="1:18" x14ac:dyDescent="0.35">
      <c r="A52" s="6"/>
      <c r="B52" s="6"/>
      <c r="C52" s="6" t="str">
        <f>_xlfn.XLOOKUP($B52,'SI - Resources'!$A$1:$J$1,'SI - Resources'!$A$2:$J$2, "")</f>
        <v/>
      </c>
      <c r="D52" s="6" t="str">
        <f>IF(_xlfn.XLOOKUP($C52,'SI - End Use'!$B$2:$B$82,'SI - End Use'!$C$2:$C$82, "")="", "", _xlfn.XLOOKUP($C52,'SI - End Use'!$B$2:$B$82,'SI - End Use'!$C$2:$C$82, ""))</f>
        <v/>
      </c>
      <c r="E52" s="13"/>
      <c r="F52" s="6" t="str" cm="1">
        <f t="array" ref="F52">IF($B52="Transportation",  'SI - Units'!$B$9:$B$9, _xlfn.XLOOKUP(_xlfn.XLOOKUP($C52,'SI - Units'!$B$24:$B$106,'SI - Units'!$C$24:$C$106, ""),'SI - Units'!$A$2:$A$8,'SI - Units'!$B$2:$B$8, ""))</f>
        <v/>
      </c>
      <c r="G52" s="27"/>
      <c r="H52" s="27"/>
      <c r="I52" s="31" t="str">
        <f>IF(Table13[[#This Row],[Type]]="Co-product", "No", "")</f>
        <v/>
      </c>
      <c r="J52" s="6"/>
      <c r="K52" s="6" t="str">
        <f>IF(Table13[[#This Row],[Category]]="Transportation", _xlfn.XLOOKUP(Table13[[#This Row],[Resource]], 'SI - Payload'!$A$10:$A$38,'SI - Payload'!$B$10:$B$38,"",0), "")</f>
        <v/>
      </c>
      <c r="L52" s="6" t="str">
        <f>IF(Table13[[#This Row],[Category]]="Transportation", "ton", "")</f>
        <v/>
      </c>
      <c r="M52" s="6"/>
      <c r="N52" s="6"/>
      <c r="O52" s="6" t="str">
        <f>IF(OR(Table13[[#This Row],[Type]]="Main Product", Table13[[#This Row],[Type]]="Co-Product"), Table13[[#This Row],[Resource]], "")</f>
        <v/>
      </c>
      <c r="P52" s="6" t="str">
        <f>IF(_xlfn.XLOOKUP($O52,'SI - End Use'!$B$2:$B$82,'SI - End Use'!$C$2:$C$82, "")="", "", _xlfn.XLOOKUP($C52,'SI - End Use'!$B$2:$B$82,'SI - End Use'!$C$2:$C$82, ""))</f>
        <v/>
      </c>
      <c r="Q52" s="6"/>
      <c r="R52" s="6"/>
    </row>
    <row r="53" spans="1:18" x14ac:dyDescent="0.35">
      <c r="A53" s="6"/>
      <c r="B53" s="6"/>
      <c r="C53" s="6" t="str">
        <f>_xlfn.XLOOKUP($B53,'SI - Resources'!$A$1:$J$1,'SI - Resources'!$A$2:$J$2, "")</f>
        <v/>
      </c>
      <c r="D53" s="6" t="str">
        <f>IF(_xlfn.XLOOKUP($C53,'SI - End Use'!$B$2:$B$82,'SI - End Use'!$C$2:$C$82, "")="", "", _xlfn.XLOOKUP($C53,'SI - End Use'!$B$2:$B$82,'SI - End Use'!$C$2:$C$82, ""))</f>
        <v/>
      </c>
      <c r="E53" s="13"/>
      <c r="F53" s="6" t="str" cm="1">
        <f t="array" ref="F53">IF($B53="Transportation",  'SI - Units'!$B$9:$B$9, _xlfn.XLOOKUP(_xlfn.XLOOKUP($C53,'SI - Units'!$B$24:$B$106,'SI - Units'!$C$24:$C$106, ""),'SI - Units'!$A$2:$A$8,'SI - Units'!$B$2:$B$8, ""))</f>
        <v/>
      </c>
      <c r="G53" s="27"/>
      <c r="H53" s="27"/>
      <c r="I53" s="31" t="str">
        <f>IF(Table13[[#This Row],[Type]]="Co-product", "No", "")</f>
        <v/>
      </c>
      <c r="J53" s="6"/>
      <c r="K53" s="6" t="str">
        <f>IF(Table13[[#This Row],[Category]]="Transportation", _xlfn.XLOOKUP(Table13[[#This Row],[Resource]], 'SI - Payload'!$A$10:$A$38,'SI - Payload'!$B$10:$B$38,"",0), "")</f>
        <v/>
      </c>
      <c r="L53" s="6" t="str">
        <f>IF(Table13[[#This Row],[Category]]="Transportation", "ton", "")</f>
        <v/>
      </c>
      <c r="M53" s="6"/>
      <c r="N53" s="6"/>
      <c r="O53" s="6" t="str">
        <f>IF(OR(Table13[[#This Row],[Type]]="Main Product", Table13[[#This Row],[Type]]="Co-Product"), Table13[[#This Row],[Resource]], "")</f>
        <v/>
      </c>
      <c r="P53" s="6" t="str">
        <f>IF(_xlfn.XLOOKUP($O53,'SI - End Use'!$B$2:$B$82,'SI - End Use'!$C$2:$C$82, "")="", "", _xlfn.XLOOKUP($C53,'SI - End Use'!$B$2:$B$82,'SI - End Use'!$C$2:$C$82, ""))</f>
        <v/>
      </c>
      <c r="Q53" s="6"/>
      <c r="R53" s="6"/>
    </row>
    <row r="54" spans="1:18" x14ac:dyDescent="0.35">
      <c r="A54" s="6"/>
      <c r="B54" s="6"/>
      <c r="C54" s="6" t="str">
        <f>_xlfn.XLOOKUP($B54,'SI - Resources'!$A$1:$J$1,'SI - Resources'!$A$2:$J$2, "")</f>
        <v/>
      </c>
      <c r="D54" s="6" t="str">
        <f>IF(_xlfn.XLOOKUP($C54,'SI - End Use'!$B$2:$B$82,'SI - End Use'!$C$2:$C$82, "")="", "", _xlfn.XLOOKUP($C54,'SI - End Use'!$B$2:$B$82,'SI - End Use'!$C$2:$C$82, ""))</f>
        <v/>
      </c>
      <c r="E54" s="13"/>
      <c r="F54" s="6" t="str" cm="1">
        <f t="array" ref="F54">IF($B54="Transportation",  'SI - Units'!$B$9:$B$9, _xlfn.XLOOKUP(_xlfn.XLOOKUP($C54,'SI - Units'!$B$24:$B$106,'SI - Units'!$C$24:$C$106, ""),'SI - Units'!$A$2:$A$8,'SI - Units'!$B$2:$B$8, ""))</f>
        <v/>
      </c>
      <c r="G54" s="27"/>
      <c r="H54" s="27"/>
      <c r="I54" s="31" t="str">
        <f>IF(Table13[[#This Row],[Type]]="Co-product", "No", "")</f>
        <v/>
      </c>
      <c r="J54" s="6"/>
      <c r="K54" s="6" t="str">
        <f>IF(Table13[[#This Row],[Category]]="Transportation", _xlfn.XLOOKUP(Table13[[#This Row],[Resource]], 'SI - Payload'!$A$10:$A$38,'SI - Payload'!$B$10:$B$38,"",0), "")</f>
        <v/>
      </c>
      <c r="L54" s="6" t="str">
        <f>IF(Table13[[#This Row],[Category]]="Transportation", "ton", "")</f>
        <v/>
      </c>
      <c r="M54" s="6"/>
      <c r="N54" s="6"/>
      <c r="O54" s="6" t="str">
        <f>IF(OR(Table13[[#This Row],[Type]]="Main Product", Table13[[#This Row],[Type]]="Co-Product"), Table13[[#This Row],[Resource]], "")</f>
        <v/>
      </c>
      <c r="P54" s="6" t="str">
        <f>IF(_xlfn.XLOOKUP($O54,'SI - End Use'!$B$2:$B$82,'SI - End Use'!$C$2:$C$82, "")="", "", _xlfn.XLOOKUP($C54,'SI - End Use'!$B$2:$B$82,'SI - End Use'!$C$2:$C$82, ""))</f>
        <v/>
      </c>
      <c r="Q54" s="6"/>
      <c r="R54" s="6"/>
    </row>
    <row r="55" spans="1:18" x14ac:dyDescent="0.35">
      <c r="A55" s="6"/>
      <c r="B55" s="6"/>
      <c r="C55" s="6" t="str">
        <f>_xlfn.XLOOKUP($B55,'SI - Resources'!$A$1:$J$1,'SI - Resources'!$A$2:$J$2, "")</f>
        <v/>
      </c>
      <c r="D55" s="6" t="str">
        <f>IF(_xlfn.XLOOKUP($C55,'SI - End Use'!$B$2:$B$82,'SI - End Use'!$C$2:$C$82, "")="", "", _xlfn.XLOOKUP($C55,'SI - End Use'!$B$2:$B$82,'SI - End Use'!$C$2:$C$82, ""))</f>
        <v/>
      </c>
      <c r="E55" s="13"/>
      <c r="F55" s="6" t="str" cm="1">
        <f t="array" ref="F55">IF($B55="Transportation",  'SI - Units'!$B$9:$B$9, _xlfn.XLOOKUP(_xlfn.XLOOKUP($C55,'SI - Units'!$B$24:$B$106,'SI - Units'!$C$24:$C$106, ""),'SI - Units'!$A$2:$A$8,'SI - Units'!$B$2:$B$8, ""))</f>
        <v/>
      </c>
      <c r="G55" s="27"/>
      <c r="H55" s="27"/>
      <c r="I55" s="31" t="str">
        <f>IF(Table13[[#This Row],[Type]]="Co-product", "No", "")</f>
        <v/>
      </c>
      <c r="J55" s="6"/>
      <c r="K55" s="6" t="str">
        <f>IF(Table13[[#This Row],[Category]]="Transportation", _xlfn.XLOOKUP(Table13[[#This Row],[Resource]], 'SI - Payload'!$A$10:$A$38,'SI - Payload'!$B$10:$B$38,"",0), "")</f>
        <v/>
      </c>
      <c r="L55" s="6" t="str">
        <f>IF(Table13[[#This Row],[Category]]="Transportation", "ton", "")</f>
        <v/>
      </c>
      <c r="M55" s="6"/>
      <c r="N55" s="6"/>
      <c r="O55" s="6" t="str">
        <f>IF(OR(Table13[[#This Row],[Type]]="Main Product", Table13[[#This Row],[Type]]="Co-Product"), Table13[[#This Row],[Resource]], "")</f>
        <v/>
      </c>
      <c r="P55" s="6" t="str">
        <f>IF(_xlfn.XLOOKUP($O55,'SI - End Use'!$B$2:$B$82,'SI - End Use'!$C$2:$C$82, "")="", "", _xlfn.XLOOKUP($C55,'SI - End Use'!$B$2:$B$82,'SI - End Use'!$C$2:$C$82, ""))</f>
        <v/>
      </c>
      <c r="Q55" s="6"/>
      <c r="R55" s="6"/>
    </row>
    <row r="56" spans="1:18" x14ac:dyDescent="0.35">
      <c r="A56" s="6"/>
      <c r="B56" s="6"/>
      <c r="C56" s="6" t="str">
        <f>_xlfn.XLOOKUP($B56,'SI - Resources'!$A$1:$J$1,'SI - Resources'!$A$2:$J$2, "")</f>
        <v/>
      </c>
      <c r="D56" s="6" t="str">
        <f>IF(_xlfn.XLOOKUP($C56,'SI - End Use'!$B$2:$B$82,'SI - End Use'!$C$2:$C$82, "")="", "", _xlfn.XLOOKUP($C56,'SI - End Use'!$B$2:$B$82,'SI - End Use'!$C$2:$C$82, ""))</f>
        <v/>
      </c>
      <c r="E56" s="13"/>
      <c r="F56" s="6" t="str" cm="1">
        <f t="array" ref="F56">IF($B56="Transportation",  'SI - Units'!$B$9:$B$9, _xlfn.XLOOKUP(_xlfn.XLOOKUP($C56,'SI - Units'!$B$24:$B$106,'SI - Units'!$C$24:$C$106, ""),'SI - Units'!$A$2:$A$8,'SI - Units'!$B$2:$B$8, ""))</f>
        <v/>
      </c>
      <c r="G56" s="27"/>
      <c r="H56" s="27"/>
      <c r="I56" s="31" t="str">
        <f>IF(Table13[[#This Row],[Type]]="Co-product", "No", "")</f>
        <v/>
      </c>
      <c r="J56" s="6"/>
      <c r="K56" s="6" t="str">
        <f>IF(Table13[[#This Row],[Category]]="Transportation", _xlfn.XLOOKUP(Table13[[#This Row],[Resource]], 'SI - Payload'!$A$10:$A$38,'SI - Payload'!$B$10:$B$38,"",0), "")</f>
        <v/>
      </c>
      <c r="L56" s="6" t="str">
        <f>IF(Table13[[#This Row],[Category]]="Transportation", "ton", "")</f>
        <v/>
      </c>
      <c r="M56" s="6"/>
      <c r="N56" s="6"/>
      <c r="O56" s="6" t="str">
        <f>IF(OR(Table13[[#This Row],[Type]]="Main Product", Table13[[#This Row],[Type]]="Co-Product"), Table13[[#This Row],[Resource]], "")</f>
        <v/>
      </c>
      <c r="P56" s="6" t="str">
        <f>IF(_xlfn.XLOOKUP($O56,'SI - End Use'!$B$2:$B$82,'SI - End Use'!$C$2:$C$82, "")="", "", _xlfn.XLOOKUP($C56,'SI - End Use'!$B$2:$B$82,'SI - End Use'!$C$2:$C$82, ""))</f>
        <v/>
      </c>
      <c r="Q56" s="6"/>
      <c r="R56" s="6"/>
    </row>
    <row r="57" spans="1:18" x14ac:dyDescent="0.35">
      <c r="A57" s="6"/>
      <c r="B57" s="6"/>
      <c r="C57" s="6" t="str">
        <f>_xlfn.XLOOKUP($B57,'SI - Resources'!$A$1:$J$1,'SI - Resources'!$A$2:$J$2, "")</f>
        <v/>
      </c>
      <c r="D57" s="6" t="str">
        <f>IF(_xlfn.XLOOKUP($C57,'SI - End Use'!$B$2:$B$82,'SI - End Use'!$C$2:$C$82, "")="", "", _xlfn.XLOOKUP($C57,'SI - End Use'!$B$2:$B$82,'SI - End Use'!$C$2:$C$82, ""))</f>
        <v/>
      </c>
      <c r="E57" s="13"/>
      <c r="F57" s="6" t="str" cm="1">
        <f t="array" ref="F57">IF($B57="Transportation",  'SI - Units'!$B$9:$B$9, _xlfn.XLOOKUP(_xlfn.XLOOKUP($C57,'SI - Units'!$B$24:$B$106,'SI - Units'!$C$24:$C$106, ""),'SI - Units'!$A$2:$A$8,'SI - Units'!$B$2:$B$8, ""))</f>
        <v/>
      </c>
      <c r="G57" s="27"/>
      <c r="H57" s="27"/>
      <c r="I57" s="31" t="str">
        <f>IF(Table13[[#This Row],[Type]]="Co-product", "No", "")</f>
        <v/>
      </c>
      <c r="J57" s="6"/>
      <c r="K57" s="6" t="str">
        <f>IF(Table13[[#This Row],[Category]]="Transportation", _xlfn.XLOOKUP(Table13[[#This Row],[Resource]], 'SI - Payload'!$A$10:$A$38,'SI - Payload'!$B$10:$B$38,"",0), "")</f>
        <v/>
      </c>
      <c r="L57" s="6" t="str">
        <f>IF(Table13[[#This Row],[Category]]="Transportation", "ton", "")</f>
        <v/>
      </c>
      <c r="M57" s="6"/>
      <c r="N57" s="6"/>
      <c r="O57" s="6" t="str">
        <f>IF(OR(Table13[[#This Row],[Type]]="Main Product", Table13[[#This Row],[Type]]="Co-Product"), Table13[[#This Row],[Resource]], "")</f>
        <v/>
      </c>
      <c r="P57" s="6" t="str">
        <f>IF(_xlfn.XLOOKUP($O57,'SI - End Use'!$B$2:$B$82,'SI - End Use'!$C$2:$C$82, "")="", "", _xlfn.XLOOKUP($C57,'SI - End Use'!$B$2:$B$82,'SI - End Use'!$C$2:$C$82, ""))</f>
        <v/>
      </c>
      <c r="Q57" s="6"/>
      <c r="R57" s="6"/>
    </row>
    <row r="58" spans="1:18" x14ac:dyDescent="0.35">
      <c r="A58" s="6"/>
      <c r="B58" s="6"/>
      <c r="C58" s="6" t="str">
        <f>_xlfn.XLOOKUP($B58,'SI - Resources'!$A$1:$J$1,'SI - Resources'!$A$2:$J$2, "")</f>
        <v/>
      </c>
      <c r="D58" s="6" t="str">
        <f>IF(_xlfn.XLOOKUP($C58,'SI - End Use'!$B$2:$B$82,'SI - End Use'!$C$2:$C$82, "")="", "", _xlfn.XLOOKUP($C58,'SI - End Use'!$B$2:$B$82,'SI - End Use'!$C$2:$C$82, ""))</f>
        <v/>
      </c>
      <c r="E58" s="13"/>
      <c r="F58" s="6" t="str" cm="1">
        <f t="array" ref="F58">IF($B58="Transportation",  'SI - Units'!$B$9:$B$9, _xlfn.XLOOKUP(_xlfn.XLOOKUP($C58,'SI - Units'!$B$24:$B$106,'SI - Units'!$C$24:$C$106, ""),'SI - Units'!$A$2:$A$8,'SI - Units'!$B$2:$B$8, ""))</f>
        <v/>
      </c>
      <c r="G58" s="27"/>
      <c r="H58" s="27"/>
      <c r="I58" s="31" t="str">
        <f>IF(Table13[[#This Row],[Type]]="Co-product", "No", "")</f>
        <v/>
      </c>
      <c r="J58" s="6"/>
      <c r="K58" s="6" t="str">
        <f>IF(Table13[[#This Row],[Category]]="Transportation", _xlfn.XLOOKUP(Table13[[#This Row],[Resource]], 'SI - Payload'!$A$10:$A$38,'SI - Payload'!$B$10:$B$38,"",0), "")</f>
        <v/>
      </c>
      <c r="L58" s="6" t="str">
        <f>IF(Table13[[#This Row],[Category]]="Transportation", "ton", "")</f>
        <v/>
      </c>
      <c r="M58" s="6"/>
      <c r="N58" s="6"/>
      <c r="O58" s="6" t="str">
        <f>IF(OR(Table13[[#This Row],[Type]]="Main Product", Table13[[#This Row],[Type]]="Co-Product"), Table13[[#This Row],[Resource]], "")</f>
        <v/>
      </c>
      <c r="P58" s="6" t="str">
        <f>IF(_xlfn.XLOOKUP($O58,'SI - End Use'!$B$2:$B$82,'SI - End Use'!$C$2:$C$82, "")="", "", _xlfn.XLOOKUP($C58,'SI - End Use'!$B$2:$B$82,'SI - End Use'!$C$2:$C$82, ""))</f>
        <v/>
      </c>
      <c r="Q58" s="6"/>
      <c r="R58" s="6"/>
    </row>
    <row r="59" spans="1:18" x14ac:dyDescent="0.35">
      <c r="A59" s="6"/>
      <c r="B59" s="6"/>
      <c r="C59" s="6" t="str">
        <f>_xlfn.XLOOKUP($B59,'SI - Resources'!$A$1:$J$1,'SI - Resources'!$A$2:$J$2, "")</f>
        <v/>
      </c>
      <c r="D59" s="6" t="str">
        <f>IF(_xlfn.XLOOKUP($C59,'SI - End Use'!$B$2:$B$82,'SI - End Use'!$C$2:$C$82, "")="", "", _xlfn.XLOOKUP($C59,'SI - End Use'!$B$2:$B$82,'SI - End Use'!$C$2:$C$82, ""))</f>
        <v/>
      </c>
      <c r="E59" s="13"/>
      <c r="F59" s="6" t="str" cm="1">
        <f t="array" ref="F59">IF($B59="Transportation",  'SI - Units'!$B$9:$B$9, _xlfn.XLOOKUP(_xlfn.XLOOKUP($C59,'SI - Units'!$B$24:$B$106,'SI - Units'!$C$24:$C$106, ""),'SI - Units'!$A$2:$A$8,'SI - Units'!$B$2:$B$8, ""))</f>
        <v/>
      </c>
      <c r="G59" s="27"/>
      <c r="H59" s="27"/>
      <c r="I59" s="31" t="str">
        <f>IF(Table13[[#This Row],[Type]]="Co-product", "No", "")</f>
        <v/>
      </c>
      <c r="J59" s="6"/>
      <c r="K59" s="6" t="str">
        <f>IF(Table13[[#This Row],[Category]]="Transportation", _xlfn.XLOOKUP(Table13[[#This Row],[Resource]], 'SI - Payload'!$A$10:$A$38,'SI - Payload'!$B$10:$B$38,"",0), "")</f>
        <v/>
      </c>
      <c r="L59" s="6" t="str">
        <f>IF(Table13[[#This Row],[Category]]="Transportation", "ton", "")</f>
        <v/>
      </c>
      <c r="M59" s="6"/>
      <c r="N59" s="6"/>
      <c r="O59" s="6" t="str">
        <f>IF(OR(Table13[[#This Row],[Type]]="Main Product", Table13[[#This Row],[Type]]="Co-Product"), Table13[[#This Row],[Resource]], "")</f>
        <v/>
      </c>
      <c r="P59" s="6" t="str">
        <f>IF(_xlfn.XLOOKUP($O59,'SI - End Use'!$B$2:$B$82,'SI - End Use'!$C$2:$C$82, "")="", "", _xlfn.XLOOKUP($C59,'SI - End Use'!$B$2:$B$82,'SI - End Use'!$C$2:$C$82, ""))</f>
        <v/>
      </c>
      <c r="Q59" s="6"/>
      <c r="R59" s="6"/>
    </row>
    <row r="60" spans="1:18" x14ac:dyDescent="0.35">
      <c r="A60" s="6"/>
      <c r="B60" s="6"/>
      <c r="C60" s="6" t="str">
        <f>_xlfn.XLOOKUP($B60,'SI - Resources'!$A$1:$J$1,'SI - Resources'!$A$2:$J$2, "")</f>
        <v/>
      </c>
      <c r="D60" s="6" t="str">
        <f>IF(_xlfn.XLOOKUP($C60,'SI - End Use'!$B$2:$B$82,'SI - End Use'!$C$2:$C$82, "")="", "", _xlfn.XLOOKUP($C60,'SI - End Use'!$B$2:$B$82,'SI - End Use'!$C$2:$C$82, ""))</f>
        <v/>
      </c>
      <c r="E60" s="13"/>
      <c r="F60" s="6" t="str" cm="1">
        <f t="array" ref="F60">IF($B60="Transportation",  'SI - Units'!$B$9:$B$9, _xlfn.XLOOKUP(_xlfn.XLOOKUP($C60,'SI - Units'!$B$24:$B$106,'SI - Units'!$C$24:$C$106, ""),'SI - Units'!$A$2:$A$8,'SI - Units'!$B$2:$B$8, ""))</f>
        <v/>
      </c>
      <c r="G60" s="27"/>
      <c r="H60" s="27"/>
      <c r="I60" s="31" t="str">
        <f>IF(Table13[[#This Row],[Type]]="Co-product", "No", "")</f>
        <v/>
      </c>
      <c r="J60" s="6"/>
      <c r="K60" s="6" t="str">
        <f>IF(Table13[[#This Row],[Category]]="Transportation", _xlfn.XLOOKUP(Table13[[#This Row],[Resource]], 'SI - Payload'!$A$10:$A$38,'SI - Payload'!$B$10:$B$38,"",0), "")</f>
        <v/>
      </c>
      <c r="L60" s="6" t="str">
        <f>IF(Table13[[#This Row],[Category]]="Transportation", "ton", "")</f>
        <v/>
      </c>
      <c r="M60" s="6"/>
      <c r="N60" s="6"/>
      <c r="O60" s="6" t="str">
        <f>IF(OR(Table13[[#This Row],[Type]]="Main Product", Table13[[#This Row],[Type]]="Co-Product"), Table13[[#This Row],[Resource]], "")</f>
        <v/>
      </c>
      <c r="P60" s="6" t="str">
        <f>IF(_xlfn.XLOOKUP($O60,'SI - End Use'!$B$2:$B$82,'SI - End Use'!$C$2:$C$82, "")="", "", _xlfn.XLOOKUP($C60,'SI - End Use'!$B$2:$B$82,'SI - End Use'!$C$2:$C$82, ""))</f>
        <v/>
      </c>
      <c r="Q60" s="6"/>
      <c r="R60" s="6"/>
    </row>
    <row r="61" spans="1:18" x14ac:dyDescent="0.35">
      <c r="A61" s="6"/>
      <c r="B61" s="6"/>
      <c r="C61" s="6" t="str">
        <f>_xlfn.XLOOKUP($B61,'SI - Resources'!$A$1:$J$1,'SI - Resources'!$A$2:$J$2, "")</f>
        <v/>
      </c>
      <c r="D61" s="6" t="str">
        <f>IF(_xlfn.XLOOKUP($C61,'SI - End Use'!$B$2:$B$82,'SI - End Use'!$C$2:$C$82, "")="", "", _xlfn.XLOOKUP($C61,'SI - End Use'!$B$2:$B$82,'SI - End Use'!$C$2:$C$82, ""))</f>
        <v/>
      </c>
      <c r="E61" s="13"/>
      <c r="F61" s="6" t="str" cm="1">
        <f t="array" ref="F61">IF($B61="Transportation",  'SI - Units'!$B$9:$B$9, _xlfn.XLOOKUP(_xlfn.XLOOKUP($C61,'SI - Units'!$B$24:$B$106,'SI - Units'!$C$24:$C$106, ""),'SI - Units'!$A$2:$A$8,'SI - Units'!$B$2:$B$8, ""))</f>
        <v/>
      </c>
      <c r="G61" s="27"/>
      <c r="H61" s="27"/>
      <c r="I61" s="31" t="str">
        <f>IF(Table13[[#This Row],[Type]]="Co-product", "No", "")</f>
        <v/>
      </c>
      <c r="J61" s="6"/>
      <c r="K61" s="6" t="str">
        <f>IF(Table13[[#This Row],[Category]]="Transportation", _xlfn.XLOOKUP(Table13[[#This Row],[Resource]], 'SI - Payload'!$A$10:$A$38,'SI - Payload'!$B$10:$B$38,"",0), "")</f>
        <v/>
      </c>
      <c r="L61" s="6" t="str">
        <f>IF(Table13[[#This Row],[Category]]="Transportation", "ton", "")</f>
        <v/>
      </c>
      <c r="M61" s="6"/>
      <c r="N61" s="6"/>
      <c r="O61" s="6" t="str">
        <f>IF(OR(Table13[[#This Row],[Type]]="Main Product", Table13[[#This Row],[Type]]="Co-Product"), Table13[[#This Row],[Resource]], "")</f>
        <v/>
      </c>
      <c r="P61" s="6" t="str">
        <f>IF(_xlfn.XLOOKUP($O61,'SI - End Use'!$B$2:$B$82,'SI - End Use'!$C$2:$C$82, "")="", "", _xlfn.XLOOKUP($C61,'SI - End Use'!$B$2:$B$82,'SI - End Use'!$C$2:$C$82, ""))</f>
        <v/>
      </c>
      <c r="Q61" s="6"/>
      <c r="R61" s="6"/>
    </row>
    <row r="62" spans="1:18" x14ac:dyDescent="0.35">
      <c r="A62" s="6"/>
      <c r="B62" s="6"/>
      <c r="C62" s="6" t="str">
        <f>_xlfn.XLOOKUP($B62,'SI - Resources'!$A$1:$J$1,'SI - Resources'!$A$2:$J$2, "")</f>
        <v/>
      </c>
      <c r="D62" s="6" t="str">
        <f>IF(_xlfn.XLOOKUP($C62,'SI - End Use'!$B$2:$B$82,'SI - End Use'!$C$2:$C$82, "")="", "", _xlfn.XLOOKUP($C62,'SI - End Use'!$B$2:$B$82,'SI - End Use'!$C$2:$C$82, ""))</f>
        <v/>
      </c>
      <c r="E62" s="13"/>
      <c r="F62" s="6" t="str" cm="1">
        <f t="array" ref="F62">IF($B62="Transportation",  'SI - Units'!$B$9:$B$9, _xlfn.XLOOKUP(_xlfn.XLOOKUP($C62,'SI - Units'!$B$24:$B$106,'SI - Units'!$C$24:$C$106, ""),'SI - Units'!$A$2:$A$8,'SI - Units'!$B$2:$B$8, ""))</f>
        <v/>
      </c>
      <c r="G62" s="27"/>
      <c r="H62" s="27"/>
      <c r="I62" s="31" t="str">
        <f>IF(Table13[[#This Row],[Type]]="Co-product", "No", "")</f>
        <v/>
      </c>
      <c r="J62" s="6"/>
      <c r="K62" s="6" t="str">
        <f>IF(Table13[[#This Row],[Category]]="Transportation", _xlfn.XLOOKUP(Table13[[#This Row],[Resource]], 'SI - Payload'!$A$10:$A$38,'SI - Payload'!$B$10:$B$38,"",0), "")</f>
        <v/>
      </c>
      <c r="L62" s="6" t="str">
        <f>IF(Table13[[#This Row],[Category]]="Transportation", "ton", "")</f>
        <v/>
      </c>
      <c r="M62" s="6"/>
      <c r="N62" s="6"/>
      <c r="O62" s="6" t="str">
        <f>IF(OR(Table13[[#This Row],[Type]]="Main Product", Table13[[#This Row],[Type]]="Co-Product"), Table13[[#This Row],[Resource]], "")</f>
        <v/>
      </c>
      <c r="P62" s="6" t="str">
        <f>IF(_xlfn.XLOOKUP($O62,'SI - End Use'!$B$2:$B$82,'SI - End Use'!$C$2:$C$82, "")="", "", _xlfn.XLOOKUP($C62,'SI - End Use'!$B$2:$B$82,'SI - End Use'!$C$2:$C$82, ""))</f>
        <v/>
      </c>
      <c r="Q62" s="6"/>
      <c r="R62" s="6"/>
    </row>
    <row r="63" spans="1:18" x14ac:dyDescent="0.35">
      <c r="A63" s="6"/>
      <c r="B63" s="6"/>
      <c r="C63" s="6" t="str">
        <f>_xlfn.XLOOKUP($B63,'SI - Resources'!$A$1:$J$1,'SI - Resources'!$A$2:$J$2, "")</f>
        <v/>
      </c>
      <c r="D63" s="6" t="str">
        <f>IF(_xlfn.XLOOKUP($C63,'SI - End Use'!$B$2:$B$82,'SI - End Use'!$C$2:$C$82, "")="", "", _xlfn.XLOOKUP($C63,'SI - End Use'!$B$2:$B$82,'SI - End Use'!$C$2:$C$82, ""))</f>
        <v/>
      </c>
      <c r="E63" s="13"/>
      <c r="F63" s="6" t="str" cm="1">
        <f t="array" ref="F63">IF($B63="Transportation",  'SI - Units'!$B$9:$B$9, _xlfn.XLOOKUP(_xlfn.XLOOKUP($C63,'SI - Units'!$B$24:$B$106,'SI - Units'!$C$24:$C$106, ""),'SI - Units'!$A$2:$A$8,'SI - Units'!$B$2:$B$8, ""))</f>
        <v/>
      </c>
      <c r="G63" s="27"/>
      <c r="H63" s="27"/>
      <c r="I63" s="31" t="str">
        <f>IF(Table13[[#This Row],[Type]]="Co-product", "No", "")</f>
        <v/>
      </c>
      <c r="J63" s="6"/>
      <c r="K63" s="6" t="str">
        <f>IF(Table13[[#This Row],[Category]]="Transportation", _xlfn.XLOOKUP(Table13[[#This Row],[Resource]], 'SI - Payload'!$A$10:$A$38,'SI - Payload'!$B$10:$B$38,"",0), "")</f>
        <v/>
      </c>
      <c r="L63" s="6" t="str">
        <f>IF(Table13[[#This Row],[Category]]="Transportation", "ton", "")</f>
        <v/>
      </c>
      <c r="M63" s="6"/>
      <c r="N63" s="6"/>
      <c r="O63" s="6" t="str">
        <f>IF(OR(Table13[[#This Row],[Type]]="Main Product", Table13[[#This Row],[Type]]="Co-Product"), Table13[[#This Row],[Resource]], "")</f>
        <v/>
      </c>
      <c r="P63" s="6" t="str">
        <f>IF(_xlfn.XLOOKUP($O63,'SI - End Use'!$B$2:$B$82,'SI - End Use'!$C$2:$C$82, "")="", "", _xlfn.XLOOKUP($C63,'SI - End Use'!$B$2:$B$82,'SI - End Use'!$C$2:$C$82, ""))</f>
        <v/>
      </c>
      <c r="Q63" s="6"/>
      <c r="R63" s="6"/>
    </row>
    <row r="64" spans="1:18" x14ac:dyDescent="0.35">
      <c r="A64" s="6"/>
      <c r="B64" s="6"/>
      <c r="C64" s="6" t="str">
        <f>_xlfn.XLOOKUP($B64,'SI - Resources'!$A$1:$J$1,'SI - Resources'!$A$2:$J$2, "")</f>
        <v/>
      </c>
      <c r="D64" s="6" t="str">
        <f>IF(_xlfn.XLOOKUP($C64,'SI - End Use'!$B$2:$B$82,'SI - End Use'!$C$2:$C$82, "")="", "", _xlfn.XLOOKUP($C64,'SI - End Use'!$B$2:$B$82,'SI - End Use'!$C$2:$C$82, ""))</f>
        <v/>
      </c>
      <c r="E64" s="13"/>
      <c r="F64" s="6" t="str" cm="1">
        <f t="array" ref="F64">IF($B64="Transportation",  'SI - Units'!$B$9:$B$9, _xlfn.XLOOKUP(_xlfn.XLOOKUP($C64,'SI - Units'!$B$24:$B$106,'SI - Units'!$C$24:$C$106, ""),'SI - Units'!$A$2:$A$8,'SI - Units'!$B$2:$B$8, ""))</f>
        <v/>
      </c>
      <c r="G64" s="27"/>
      <c r="H64" s="27"/>
      <c r="I64" s="31" t="str">
        <f>IF(Table13[[#This Row],[Type]]="Co-product", "No", "")</f>
        <v/>
      </c>
      <c r="J64" s="6"/>
      <c r="K64" s="6" t="str">
        <f>IF(Table13[[#This Row],[Category]]="Transportation", _xlfn.XLOOKUP(Table13[[#This Row],[Resource]], 'SI - Payload'!$A$10:$A$38,'SI - Payload'!$B$10:$B$38,"",0), "")</f>
        <v/>
      </c>
      <c r="L64" s="6" t="str">
        <f>IF(Table13[[#This Row],[Category]]="Transportation", "ton", "")</f>
        <v/>
      </c>
      <c r="M64" s="6"/>
      <c r="N64" s="6"/>
      <c r="O64" s="6" t="str">
        <f>IF(OR(Table13[[#This Row],[Type]]="Main Product", Table13[[#This Row],[Type]]="Co-Product"), Table13[[#This Row],[Resource]], "")</f>
        <v/>
      </c>
      <c r="P64" s="6" t="str">
        <f>IF(_xlfn.XLOOKUP($O64,'SI - End Use'!$B$2:$B$82,'SI - End Use'!$C$2:$C$82, "")="", "", _xlfn.XLOOKUP($C64,'SI - End Use'!$B$2:$B$82,'SI - End Use'!$C$2:$C$82, ""))</f>
        <v/>
      </c>
      <c r="Q64" s="6"/>
      <c r="R64" s="6"/>
    </row>
    <row r="65" spans="1:18" x14ac:dyDescent="0.35">
      <c r="A65" s="6"/>
      <c r="B65" s="6"/>
      <c r="C65" s="6" t="str">
        <f>_xlfn.XLOOKUP($B65,'SI - Resources'!$A$1:$J$1,'SI - Resources'!$A$2:$J$2, "")</f>
        <v/>
      </c>
      <c r="D65" s="6" t="str">
        <f>IF(_xlfn.XLOOKUP($C65,'SI - End Use'!$B$2:$B$82,'SI - End Use'!$C$2:$C$82, "")="", "", _xlfn.XLOOKUP($C65,'SI - End Use'!$B$2:$B$82,'SI - End Use'!$C$2:$C$82, ""))</f>
        <v/>
      </c>
      <c r="E65" s="13"/>
      <c r="F65" s="6" t="str" cm="1">
        <f t="array" ref="F65">IF($B65="Transportation",  'SI - Units'!$B$9:$B$9, _xlfn.XLOOKUP(_xlfn.XLOOKUP($C65,'SI - Units'!$B$24:$B$106,'SI - Units'!$C$24:$C$106, ""),'SI - Units'!$A$2:$A$8,'SI - Units'!$B$2:$B$8, ""))</f>
        <v/>
      </c>
      <c r="G65" s="27"/>
      <c r="H65" s="27"/>
      <c r="I65" s="31" t="str">
        <f>IF(Table13[[#This Row],[Type]]="Co-product", "No", "")</f>
        <v/>
      </c>
      <c r="J65" s="6"/>
      <c r="K65" s="6" t="str">
        <f>IF(Table13[[#This Row],[Category]]="Transportation", _xlfn.XLOOKUP(Table13[[#This Row],[Resource]], 'SI - Payload'!$A$10:$A$38,'SI - Payload'!$B$10:$B$38,"",0), "")</f>
        <v/>
      </c>
      <c r="L65" s="6" t="str">
        <f>IF(Table13[[#This Row],[Category]]="Transportation", "ton", "")</f>
        <v/>
      </c>
      <c r="M65" s="6"/>
      <c r="N65" s="6"/>
      <c r="O65" s="6" t="str">
        <f>IF(OR(Table13[[#This Row],[Type]]="Main Product", Table13[[#This Row],[Type]]="Co-Product"), Table13[[#This Row],[Resource]], "")</f>
        <v/>
      </c>
      <c r="P65" s="6" t="str">
        <f>IF(_xlfn.XLOOKUP($O65,'SI - End Use'!$B$2:$B$82,'SI - End Use'!$C$2:$C$82, "")="", "", _xlfn.XLOOKUP($C65,'SI - End Use'!$B$2:$B$82,'SI - End Use'!$C$2:$C$82, ""))</f>
        <v/>
      </c>
      <c r="Q65" s="6"/>
      <c r="R65" s="6"/>
    </row>
    <row r="66" spans="1:18" x14ac:dyDescent="0.35">
      <c r="A66" s="6"/>
      <c r="B66" s="6"/>
      <c r="C66" s="6" t="str">
        <f>_xlfn.XLOOKUP($B66,'SI - Resources'!$A$1:$J$1,'SI - Resources'!$A$2:$J$2, "")</f>
        <v/>
      </c>
      <c r="D66" s="6" t="str">
        <f>IF(_xlfn.XLOOKUP($C66,'SI - End Use'!$B$2:$B$82,'SI - End Use'!$C$2:$C$82, "")="", "", _xlfn.XLOOKUP($C66,'SI - End Use'!$B$2:$B$82,'SI - End Use'!$C$2:$C$82, ""))</f>
        <v/>
      </c>
      <c r="E66" s="13"/>
      <c r="F66" s="6" t="str" cm="1">
        <f t="array" ref="F66">IF($B66="Transportation",  'SI - Units'!$B$9:$B$9, _xlfn.XLOOKUP(_xlfn.XLOOKUP($C66,'SI - Units'!$B$24:$B$106,'SI - Units'!$C$24:$C$106, ""),'SI - Units'!$A$2:$A$8,'SI - Units'!$B$2:$B$8, ""))</f>
        <v/>
      </c>
      <c r="G66" s="27"/>
      <c r="H66" s="27"/>
      <c r="I66" s="31" t="str">
        <f>IF(Table13[[#This Row],[Type]]="Co-product", "No", "")</f>
        <v/>
      </c>
      <c r="J66" s="6"/>
      <c r="K66" s="6" t="str">
        <f>IF(Table13[[#This Row],[Category]]="Transportation", _xlfn.XLOOKUP(Table13[[#This Row],[Resource]], 'SI - Payload'!$A$10:$A$38,'SI - Payload'!$B$10:$B$38,"",0), "")</f>
        <v/>
      </c>
      <c r="L66" s="6" t="str">
        <f>IF(Table13[[#This Row],[Category]]="Transportation", "ton", "")</f>
        <v/>
      </c>
      <c r="M66" s="6"/>
      <c r="N66" s="6"/>
      <c r="O66" s="6" t="str">
        <f>IF(OR(Table13[[#This Row],[Type]]="Main Product", Table13[[#This Row],[Type]]="Co-Product"), Table13[[#This Row],[Resource]], "")</f>
        <v/>
      </c>
      <c r="P66" s="6" t="str">
        <f>IF(_xlfn.XLOOKUP($O66,'SI - End Use'!$B$2:$B$82,'SI - End Use'!$C$2:$C$82, "")="", "", _xlfn.XLOOKUP($C66,'SI - End Use'!$B$2:$B$82,'SI - End Use'!$C$2:$C$82, ""))</f>
        <v/>
      </c>
      <c r="Q66" s="6"/>
      <c r="R66" s="6"/>
    </row>
    <row r="67" spans="1:18" x14ac:dyDescent="0.35">
      <c r="A67" s="6"/>
      <c r="B67" s="6"/>
      <c r="C67" s="6" t="str">
        <f>_xlfn.XLOOKUP($B67,'SI - Resources'!$A$1:$J$1,'SI - Resources'!$A$2:$J$2, "")</f>
        <v/>
      </c>
      <c r="D67" s="6" t="str">
        <f>IF(_xlfn.XLOOKUP($C67,'SI - End Use'!$B$2:$B$82,'SI - End Use'!$C$2:$C$82, "")="", "", _xlfn.XLOOKUP($C67,'SI - End Use'!$B$2:$B$82,'SI - End Use'!$C$2:$C$82, ""))</f>
        <v/>
      </c>
      <c r="E67" s="13"/>
      <c r="F67" s="6" t="str" cm="1">
        <f t="array" ref="F67">IF($B67="Transportation",  'SI - Units'!$B$9:$B$9, _xlfn.XLOOKUP(_xlfn.XLOOKUP($C67,'SI - Units'!$B$24:$B$106,'SI - Units'!$C$24:$C$106, ""),'SI - Units'!$A$2:$A$8,'SI - Units'!$B$2:$B$8, ""))</f>
        <v/>
      </c>
      <c r="G67" s="27"/>
      <c r="H67" s="27"/>
      <c r="I67" s="31" t="str">
        <f>IF(Table13[[#This Row],[Type]]="Co-product", "No", "")</f>
        <v/>
      </c>
      <c r="J67" s="6"/>
      <c r="K67" s="6" t="str">
        <f>IF(Table13[[#This Row],[Category]]="Transportation", _xlfn.XLOOKUP(Table13[[#This Row],[Resource]], 'SI - Payload'!$A$10:$A$38,'SI - Payload'!$B$10:$B$38,"",0), "")</f>
        <v/>
      </c>
      <c r="L67" s="6" t="str">
        <f>IF(Table13[[#This Row],[Category]]="Transportation", "ton", "")</f>
        <v/>
      </c>
      <c r="M67" s="6"/>
      <c r="N67" s="6"/>
      <c r="O67" s="6" t="str">
        <f>IF(OR(Table13[[#This Row],[Type]]="Main Product", Table13[[#This Row],[Type]]="Co-Product"), Table13[[#This Row],[Resource]], "")</f>
        <v/>
      </c>
      <c r="P67" s="6" t="str">
        <f>IF(_xlfn.XLOOKUP($O67,'SI - End Use'!$B$2:$B$82,'SI - End Use'!$C$2:$C$82, "")="", "", _xlfn.XLOOKUP($C67,'SI - End Use'!$B$2:$B$82,'SI - End Use'!$C$2:$C$82, ""))</f>
        <v/>
      </c>
      <c r="Q67" s="6"/>
      <c r="R67" s="6"/>
    </row>
    <row r="68" spans="1:18" x14ac:dyDescent="0.35">
      <c r="A68" s="6"/>
      <c r="B68" s="6"/>
      <c r="C68" s="6" t="str">
        <f>_xlfn.XLOOKUP($B68,'SI - Resources'!$A$1:$J$1,'SI - Resources'!$A$2:$J$2, "")</f>
        <v/>
      </c>
      <c r="D68" s="6" t="str">
        <f>IF(_xlfn.XLOOKUP($C68,'SI - End Use'!$B$2:$B$82,'SI - End Use'!$C$2:$C$82, "")="", "", _xlfn.XLOOKUP($C68,'SI - End Use'!$B$2:$B$82,'SI - End Use'!$C$2:$C$82, ""))</f>
        <v/>
      </c>
      <c r="E68" s="13"/>
      <c r="F68" s="6" t="str" cm="1">
        <f t="array" ref="F68">IF($B68="Transportation",  'SI - Units'!$B$9:$B$9, _xlfn.XLOOKUP(_xlfn.XLOOKUP($C68,'SI - Units'!$B$24:$B$106,'SI - Units'!$C$24:$C$106, ""),'SI - Units'!$A$2:$A$8,'SI - Units'!$B$2:$B$8, ""))</f>
        <v/>
      </c>
      <c r="G68" s="27"/>
      <c r="H68" s="27"/>
      <c r="I68" s="31" t="str">
        <f>IF(Table13[[#This Row],[Type]]="Co-product", "No", "")</f>
        <v/>
      </c>
      <c r="J68" s="6"/>
      <c r="K68" s="6" t="str">
        <f>IF(Table13[[#This Row],[Category]]="Transportation", _xlfn.XLOOKUP(Table13[[#This Row],[Resource]], 'SI - Payload'!$A$10:$A$38,'SI - Payload'!$B$10:$B$38,"",0), "")</f>
        <v/>
      </c>
      <c r="L68" s="6" t="str">
        <f>IF(Table13[[#This Row],[Category]]="Transportation", "ton", "")</f>
        <v/>
      </c>
      <c r="M68" s="6"/>
      <c r="N68" s="6"/>
      <c r="O68" s="6" t="str">
        <f>IF(OR(Table13[[#This Row],[Type]]="Main Product", Table13[[#This Row],[Type]]="Co-Product"), Table13[[#This Row],[Resource]], "")</f>
        <v/>
      </c>
      <c r="P68" s="6" t="str">
        <f>IF(_xlfn.XLOOKUP($O68,'SI - End Use'!$B$2:$B$82,'SI - End Use'!$C$2:$C$82, "")="", "", _xlfn.XLOOKUP($C68,'SI - End Use'!$B$2:$B$82,'SI - End Use'!$C$2:$C$82, ""))</f>
        <v/>
      </c>
      <c r="Q68" s="6"/>
      <c r="R68" s="6"/>
    </row>
    <row r="69" spans="1:18" x14ac:dyDescent="0.35">
      <c r="A69" s="6"/>
      <c r="B69" s="6"/>
      <c r="C69" s="6" t="str">
        <f>_xlfn.XLOOKUP($B69,'SI - Resources'!$A$1:$J$1,'SI - Resources'!$A$2:$J$2, "")</f>
        <v/>
      </c>
      <c r="D69" s="6" t="str">
        <f>IF(_xlfn.XLOOKUP($C69,'SI - End Use'!$B$2:$B$82,'SI - End Use'!$C$2:$C$82, "")="", "", _xlfn.XLOOKUP($C69,'SI - End Use'!$B$2:$B$82,'SI - End Use'!$C$2:$C$82, ""))</f>
        <v/>
      </c>
      <c r="E69" s="13"/>
      <c r="F69" s="6" t="str" cm="1">
        <f t="array" ref="F69">IF($B69="Transportation",  'SI - Units'!$B$9:$B$9, _xlfn.XLOOKUP(_xlfn.XLOOKUP($C69,'SI - Units'!$B$24:$B$106,'SI - Units'!$C$24:$C$106, ""),'SI - Units'!$A$2:$A$8,'SI - Units'!$B$2:$B$8, ""))</f>
        <v/>
      </c>
      <c r="G69" s="27"/>
      <c r="H69" s="27"/>
      <c r="I69" s="31" t="str">
        <f>IF(Table13[[#This Row],[Type]]="Co-product", "No", "")</f>
        <v/>
      </c>
      <c r="J69" s="6"/>
      <c r="K69" s="6" t="str">
        <f>IF(Table13[[#This Row],[Category]]="Transportation", _xlfn.XLOOKUP(Table13[[#This Row],[Resource]], 'SI - Payload'!$A$10:$A$38,'SI - Payload'!$B$10:$B$38,"",0), "")</f>
        <v/>
      </c>
      <c r="L69" s="6" t="str">
        <f>IF(Table13[[#This Row],[Category]]="Transportation", "ton", "")</f>
        <v/>
      </c>
      <c r="M69" s="6"/>
      <c r="N69" s="6"/>
      <c r="O69" s="6" t="str">
        <f>IF(OR(Table13[[#This Row],[Type]]="Main Product", Table13[[#This Row],[Type]]="Co-Product"), Table13[[#This Row],[Resource]], "")</f>
        <v/>
      </c>
      <c r="P69" s="6" t="str">
        <f>IF(_xlfn.XLOOKUP($O69,'SI - End Use'!$B$2:$B$82,'SI - End Use'!$C$2:$C$82, "")="", "", _xlfn.XLOOKUP($C69,'SI - End Use'!$B$2:$B$82,'SI - End Use'!$C$2:$C$82, ""))</f>
        <v/>
      </c>
      <c r="Q69" s="6"/>
      <c r="R69" s="6"/>
    </row>
    <row r="70" spans="1:18" x14ac:dyDescent="0.35">
      <c r="A70" s="6"/>
      <c r="B70" s="6"/>
      <c r="C70" s="6" t="str">
        <f>_xlfn.XLOOKUP($B70,'SI - Resources'!$A$1:$J$1,'SI - Resources'!$A$2:$J$2, "")</f>
        <v/>
      </c>
      <c r="D70" s="6" t="str">
        <f>IF(_xlfn.XLOOKUP($C70,'SI - End Use'!$B$2:$B$82,'SI - End Use'!$C$2:$C$82, "")="", "", _xlfn.XLOOKUP($C70,'SI - End Use'!$B$2:$B$82,'SI - End Use'!$C$2:$C$82, ""))</f>
        <v/>
      </c>
      <c r="E70" s="13"/>
      <c r="F70" s="6" t="str" cm="1">
        <f t="array" ref="F70">IF($B70="Transportation",  'SI - Units'!$B$9:$B$9, _xlfn.XLOOKUP(_xlfn.XLOOKUP($C70,'SI - Units'!$B$24:$B$106,'SI - Units'!$C$24:$C$106, ""),'SI - Units'!$A$2:$A$8,'SI - Units'!$B$2:$B$8, ""))</f>
        <v/>
      </c>
      <c r="G70" s="27"/>
      <c r="H70" s="27"/>
      <c r="I70" s="31" t="str">
        <f>IF(Table13[[#This Row],[Type]]="Co-product", "No", "")</f>
        <v/>
      </c>
      <c r="J70" s="6"/>
      <c r="K70" s="6" t="str">
        <f>IF(Table13[[#This Row],[Category]]="Transportation", _xlfn.XLOOKUP(Table13[[#This Row],[Resource]], 'SI - Payload'!$A$10:$A$38,'SI - Payload'!$B$10:$B$38,"",0), "")</f>
        <v/>
      </c>
      <c r="L70" s="6" t="str">
        <f>IF(Table13[[#This Row],[Category]]="Transportation", "ton", "")</f>
        <v/>
      </c>
      <c r="M70" s="6"/>
      <c r="N70" s="6"/>
      <c r="O70" s="6" t="str">
        <f>IF(OR(Table13[[#This Row],[Type]]="Main Product", Table13[[#This Row],[Type]]="Co-Product"), Table13[[#This Row],[Resource]], "")</f>
        <v/>
      </c>
      <c r="P70" s="6" t="str">
        <f>IF(_xlfn.XLOOKUP($O70,'SI - End Use'!$B$2:$B$82,'SI - End Use'!$C$2:$C$82, "")="", "", _xlfn.XLOOKUP($C70,'SI - End Use'!$B$2:$B$82,'SI - End Use'!$C$2:$C$82, ""))</f>
        <v/>
      </c>
      <c r="Q70" s="6"/>
      <c r="R70" s="6"/>
    </row>
    <row r="71" spans="1:18" x14ac:dyDescent="0.35">
      <c r="A71" s="6"/>
      <c r="B71" s="6"/>
      <c r="C71" s="6" t="str">
        <f>_xlfn.XLOOKUP($B71,'SI - Resources'!$A$1:$J$1,'SI - Resources'!$A$2:$J$2, "")</f>
        <v/>
      </c>
      <c r="D71" s="6" t="str">
        <f>IF(_xlfn.XLOOKUP($C71,'SI - End Use'!$B$2:$B$82,'SI - End Use'!$C$2:$C$82, "")="", "", _xlfn.XLOOKUP($C71,'SI - End Use'!$B$2:$B$82,'SI - End Use'!$C$2:$C$82, ""))</f>
        <v/>
      </c>
      <c r="E71" s="13"/>
      <c r="F71" s="6" t="str" cm="1">
        <f t="array" ref="F71">IF($B71="Transportation",  'SI - Units'!$B$9:$B$9, _xlfn.XLOOKUP(_xlfn.XLOOKUP($C71,'SI - Units'!$B$24:$B$106,'SI - Units'!$C$24:$C$106, ""),'SI - Units'!$A$2:$A$8,'SI - Units'!$B$2:$B$8, ""))</f>
        <v/>
      </c>
      <c r="G71" s="27"/>
      <c r="H71" s="27"/>
      <c r="I71" s="31" t="str">
        <f>IF(Table13[[#This Row],[Type]]="Co-product", "No", "")</f>
        <v/>
      </c>
      <c r="J71" s="6"/>
      <c r="K71" s="6" t="str">
        <f>IF(Table13[[#This Row],[Category]]="Transportation", _xlfn.XLOOKUP(Table13[[#This Row],[Resource]], 'SI - Payload'!$A$10:$A$38,'SI - Payload'!$B$10:$B$38,"",0), "")</f>
        <v/>
      </c>
      <c r="L71" s="6" t="str">
        <f>IF(Table13[[#This Row],[Category]]="Transportation", "ton", "")</f>
        <v/>
      </c>
      <c r="M71" s="6"/>
      <c r="N71" s="6"/>
      <c r="O71" s="6" t="str">
        <f>IF(OR(Table13[[#This Row],[Type]]="Main Product", Table13[[#This Row],[Type]]="Co-Product"), Table13[[#This Row],[Resource]], "")</f>
        <v/>
      </c>
      <c r="P71" s="6" t="str">
        <f>IF(_xlfn.XLOOKUP($O71,'SI - End Use'!$B$2:$B$82,'SI - End Use'!$C$2:$C$82, "")="", "", _xlfn.XLOOKUP($C71,'SI - End Use'!$B$2:$B$82,'SI - End Use'!$C$2:$C$82, ""))</f>
        <v/>
      </c>
      <c r="Q71" s="6"/>
      <c r="R71" s="6"/>
    </row>
    <row r="72" spans="1:18" x14ac:dyDescent="0.35">
      <c r="A72" s="6"/>
      <c r="B72" s="6"/>
      <c r="C72" s="6" t="str">
        <f>_xlfn.XLOOKUP($B72,'SI - Resources'!$A$1:$J$1,'SI - Resources'!$A$2:$J$2, "")</f>
        <v/>
      </c>
      <c r="D72" s="6" t="str">
        <f>IF(_xlfn.XLOOKUP($C72,'SI - End Use'!$B$2:$B$82,'SI - End Use'!$C$2:$C$82, "")="", "", _xlfn.XLOOKUP($C72,'SI - End Use'!$B$2:$B$82,'SI - End Use'!$C$2:$C$82, ""))</f>
        <v/>
      </c>
      <c r="E72" s="13"/>
      <c r="F72" s="6" t="str" cm="1">
        <f t="array" ref="F72">IF($B72="Transportation",  'SI - Units'!$B$9:$B$9, _xlfn.XLOOKUP(_xlfn.XLOOKUP($C72,'SI - Units'!$B$24:$B$106,'SI - Units'!$C$24:$C$106, ""),'SI - Units'!$A$2:$A$8,'SI - Units'!$B$2:$B$8, ""))</f>
        <v/>
      </c>
      <c r="G72" s="27"/>
      <c r="H72" s="27"/>
      <c r="I72" s="31" t="str">
        <f>IF(Table13[[#This Row],[Type]]="Co-product", "No", "")</f>
        <v/>
      </c>
      <c r="J72" s="6"/>
      <c r="K72" s="6" t="str">
        <f>IF(Table13[[#This Row],[Category]]="Transportation", _xlfn.XLOOKUP(Table13[[#This Row],[Resource]], 'SI - Payload'!$A$10:$A$38,'SI - Payload'!$B$10:$B$38,"",0), "")</f>
        <v/>
      </c>
      <c r="L72" s="6" t="str">
        <f>IF(Table13[[#This Row],[Category]]="Transportation", "ton", "")</f>
        <v/>
      </c>
      <c r="M72" s="6"/>
      <c r="N72" s="6"/>
      <c r="O72" s="6" t="str">
        <f>IF(OR(Table13[[#This Row],[Type]]="Main Product", Table13[[#This Row],[Type]]="Co-Product"), Table13[[#This Row],[Resource]], "")</f>
        <v/>
      </c>
      <c r="P72" s="6" t="str">
        <f>IF(_xlfn.XLOOKUP($O72,'SI - End Use'!$B$2:$B$82,'SI - End Use'!$C$2:$C$82, "")="", "", _xlfn.XLOOKUP($C72,'SI - End Use'!$B$2:$B$82,'SI - End Use'!$C$2:$C$82, ""))</f>
        <v/>
      </c>
      <c r="Q72" s="6"/>
      <c r="R72" s="6"/>
    </row>
    <row r="73" spans="1:18" x14ac:dyDescent="0.35">
      <c r="A73" s="6"/>
      <c r="B73" s="6"/>
      <c r="C73" s="6" t="str">
        <f>_xlfn.XLOOKUP($B73,'SI - Resources'!$A$1:$J$1,'SI - Resources'!$A$2:$J$2, "")</f>
        <v/>
      </c>
      <c r="D73" s="6" t="str">
        <f>IF(_xlfn.XLOOKUP($C73,'SI - End Use'!$B$2:$B$82,'SI - End Use'!$C$2:$C$82, "")="", "", _xlfn.XLOOKUP($C73,'SI - End Use'!$B$2:$B$82,'SI - End Use'!$C$2:$C$82, ""))</f>
        <v/>
      </c>
      <c r="E73" s="13"/>
      <c r="F73" s="6" t="str" cm="1">
        <f t="array" ref="F73">IF($B73="Transportation",  'SI - Units'!$B$9:$B$9, _xlfn.XLOOKUP(_xlfn.XLOOKUP($C73,'SI - Units'!$B$24:$B$106,'SI - Units'!$C$24:$C$106, ""),'SI - Units'!$A$2:$A$8,'SI - Units'!$B$2:$B$8, ""))</f>
        <v/>
      </c>
      <c r="G73" s="27"/>
      <c r="H73" s="27"/>
      <c r="I73" s="31" t="str">
        <f>IF(Table13[[#This Row],[Type]]="Co-product", "No", "")</f>
        <v/>
      </c>
      <c r="J73" s="6"/>
      <c r="K73" s="6" t="str">
        <f>IF(Table13[[#This Row],[Category]]="Transportation", _xlfn.XLOOKUP(Table13[[#This Row],[Resource]], 'SI - Payload'!$A$10:$A$38,'SI - Payload'!$B$10:$B$38,"",0), "")</f>
        <v/>
      </c>
      <c r="L73" s="6" t="str">
        <f>IF(Table13[[#This Row],[Category]]="Transportation", "ton", "")</f>
        <v/>
      </c>
      <c r="M73" s="6"/>
      <c r="N73" s="6"/>
      <c r="O73" s="6" t="str">
        <f>IF(OR(Table13[[#This Row],[Type]]="Main Product", Table13[[#This Row],[Type]]="Co-Product"), Table13[[#This Row],[Resource]], "")</f>
        <v/>
      </c>
      <c r="P73" s="6" t="str">
        <f>IF(_xlfn.XLOOKUP($O73,'SI - End Use'!$B$2:$B$82,'SI - End Use'!$C$2:$C$82, "")="", "", _xlfn.XLOOKUP($C73,'SI - End Use'!$B$2:$B$82,'SI - End Use'!$C$2:$C$82, ""))</f>
        <v/>
      </c>
      <c r="Q73" s="6"/>
      <c r="R73" s="6"/>
    </row>
    <row r="74" spans="1:18" x14ac:dyDescent="0.35">
      <c r="A74" s="6"/>
      <c r="B74" s="6"/>
      <c r="C74" s="6" t="str">
        <f>_xlfn.XLOOKUP($B74,'SI - Resources'!$A$1:$J$1,'SI - Resources'!$A$2:$J$2, "")</f>
        <v/>
      </c>
      <c r="D74" s="6" t="str">
        <f>IF(_xlfn.XLOOKUP($C74,'SI - End Use'!$B$2:$B$82,'SI - End Use'!$C$2:$C$82, "")="", "", _xlfn.XLOOKUP($C74,'SI - End Use'!$B$2:$B$82,'SI - End Use'!$C$2:$C$82, ""))</f>
        <v/>
      </c>
      <c r="E74" s="13"/>
      <c r="F74" s="6" t="str" cm="1">
        <f t="array" ref="F74">IF($B74="Transportation",  'SI - Units'!$B$9:$B$9, _xlfn.XLOOKUP(_xlfn.XLOOKUP($C74,'SI - Units'!$B$24:$B$106,'SI - Units'!$C$24:$C$106, ""),'SI - Units'!$A$2:$A$8,'SI - Units'!$B$2:$B$8, ""))</f>
        <v/>
      </c>
      <c r="G74" s="27"/>
      <c r="H74" s="27"/>
      <c r="I74" s="31" t="str">
        <f>IF(Table13[[#This Row],[Type]]="Co-product", "No", "")</f>
        <v/>
      </c>
      <c r="J74" s="6"/>
      <c r="K74" s="6" t="str">
        <f>IF(Table13[[#This Row],[Category]]="Transportation", _xlfn.XLOOKUP(Table13[[#This Row],[Resource]], 'SI - Payload'!$A$10:$A$38,'SI - Payload'!$B$10:$B$38,"",0), "")</f>
        <v/>
      </c>
      <c r="L74" s="6" t="str">
        <f>IF(Table13[[#This Row],[Category]]="Transportation", "ton", "")</f>
        <v/>
      </c>
      <c r="M74" s="6"/>
      <c r="N74" s="6"/>
      <c r="O74" s="6" t="str">
        <f>IF(OR(Table13[[#This Row],[Type]]="Main Product", Table13[[#This Row],[Type]]="Co-Product"), Table13[[#This Row],[Resource]], "")</f>
        <v/>
      </c>
      <c r="P74" s="6" t="str">
        <f>IF(_xlfn.XLOOKUP($O74,'SI - End Use'!$B$2:$B$82,'SI - End Use'!$C$2:$C$82, "")="", "", _xlfn.XLOOKUP($C74,'SI - End Use'!$B$2:$B$82,'SI - End Use'!$C$2:$C$82, ""))</f>
        <v/>
      </c>
      <c r="Q74" s="6"/>
      <c r="R74" s="6"/>
    </row>
    <row r="75" spans="1:18" x14ac:dyDescent="0.35">
      <c r="A75" s="6"/>
      <c r="B75" s="6"/>
      <c r="C75" s="6" t="str">
        <f>_xlfn.XLOOKUP($B75,'SI - Resources'!$A$1:$J$1,'SI - Resources'!$A$2:$J$2, "")</f>
        <v/>
      </c>
      <c r="D75" s="6" t="str">
        <f>IF(_xlfn.XLOOKUP($C75,'SI - End Use'!$B$2:$B$82,'SI - End Use'!$C$2:$C$82, "")="", "", _xlfn.XLOOKUP($C75,'SI - End Use'!$B$2:$B$82,'SI - End Use'!$C$2:$C$82, ""))</f>
        <v/>
      </c>
      <c r="E75" s="13"/>
      <c r="F75" s="6" t="str" cm="1">
        <f t="array" ref="F75">IF($B75="Transportation",  'SI - Units'!$B$9:$B$9, _xlfn.XLOOKUP(_xlfn.XLOOKUP($C75,'SI - Units'!$B$24:$B$106,'SI - Units'!$C$24:$C$106, ""),'SI - Units'!$A$2:$A$8,'SI - Units'!$B$2:$B$8, ""))</f>
        <v/>
      </c>
      <c r="G75" s="27"/>
      <c r="H75" s="27"/>
      <c r="I75" s="31" t="str">
        <f>IF(Table13[[#This Row],[Type]]="Co-product", "No", "")</f>
        <v/>
      </c>
      <c r="J75" s="6"/>
      <c r="K75" s="6" t="str">
        <f>IF(Table13[[#This Row],[Category]]="Transportation", _xlfn.XLOOKUP(Table13[[#This Row],[Resource]], 'SI - Payload'!$A$10:$A$38,'SI - Payload'!$B$10:$B$38,"",0), "")</f>
        <v/>
      </c>
      <c r="L75" s="6" t="str">
        <f>IF(Table13[[#This Row],[Category]]="Transportation", "ton", "")</f>
        <v/>
      </c>
      <c r="M75" s="6"/>
      <c r="N75" s="6"/>
      <c r="O75" s="6" t="str">
        <f>IF(OR(Table13[[#This Row],[Type]]="Main Product", Table13[[#This Row],[Type]]="Co-Product"), Table13[[#This Row],[Resource]], "")</f>
        <v/>
      </c>
      <c r="P75" s="6" t="str">
        <f>IF(_xlfn.XLOOKUP($O75,'SI - End Use'!$B$2:$B$82,'SI - End Use'!$C$2:$C$82, "")="", "", _xlfn.XLOOKUP($C75,'SI - End Use'!$B$2:$B$82,'SI - End Use'!$C$2:$C$82, ""))</f>
        <v/>
      </c>
      <c r="Q75" s="6"/>
      <c r="R75" s="6"/>
    </row>
    <row r="76" spans="1:18" x14ac:dyDescent="0.35">
      <c r="A76" s="6"/>
      <c r="B76" s="6"/>
      <c r="C76" s="6" t="str">
        <f>_xlfn.XLOOKUP($B76,'SI - Resources'!$A$1:$J$1,'SI - Resources'!$A$2:$J$2, "")</f>
        <v/>
      </c>
      <c r="D76" s="6" t="str">
        <f>IF(_xlfn.XLOOKUP($C76,'SI - End Use'!$B$2:$B$82,'SI - End Use'!$C$2:$C$82, "")="", "", _xlfn.XLOOKUP($C76,'SI - End Use'!$B$2:$B$82,'SI - End Use'!$C$2:$C$82, ""))</f>
        <v/>
      </c>
      <c r="E76" s="13"/>
      <c r="F76" s="6" t="str" cm="1">
        <f t="array" ref="F76">IF($B76="Transportation",  'SI - Units'!$B$9:$B$9, _xlfn.XLOOKUP(_xlfn.XLOOKUP($C76,'SI - Units'!$B$24:$B$106,'SI - Units'!$C$24:$C$106, ""),'SI - Units'!$A$2:$A$8,'SI - Units'!$B$2:$B$8, ""))</f>
        <v/>
      </c>
      <c r="G76" s="27"/>
      <c r="H76" s="27"/>
      <c r="I76" s="31" t="str">
        <f>IF(Table13[[#This Row],[Type]]="Co-product", "No", "")</f>
        <v/>
      </c>
      <c r="J76" s="6"/>
      <c r="K76" s="6" t="str">
        <f>IF(Table13[[#This Row],[Category]]="Transportation", _xlfn.XLOOKUP(Table13[[#This Row],[Resource]], 'SI - Payload'!$A$10:$A$38,'SI - Payload'!$B$10:$B$38,"",0), "")</f>
        <v/>
      </c>
      <c r="L76" s="6" t="str">
        <f>IF(Table13[[#This Row],[Category]]="Transportation", "ton", "")</f>
        <v/>
      </c>
      <c r="M76" s="6"/>
      <c r="N76" s="6"/>
      <c r="O76" s="6" t="str">
        <f>IF(OR(Table13[[#This Row],[Type]]="Main Product", Table13[[#This Row],[Type]]="Co-Product"), Table13[[#This Row],[Resource]], "")</f>
        <v/>
      </c>
      <c r="P76" s="6" t="str">
        <f>IF(_xlfn.XLOOKUP($O76,'SI - End Use'!$B$2:$B$82,'SI - End Use'!$C$2:$C$82, "")="", "", _xlfn.XLOOKUP($C76,'SI - End Use'!$B$2:$B$82,'SI - End Use'!$C$2:$C$82, ""))</f>
        <v/>
      </c>
      <c r="Q76" s="6"/>
      <c r="R76" s="6"/>
    </row>
    <row r="77" spans="1:18" x14ac:dyDescent="0.35">
      <c r="A77" s="6"/>
      <c r="B77" s="6"/>
      <c r="C77" s="6" t="str">
        <f>_xlfn.XLOOKUP($B77,'SI - Resources'!$A$1:$J$1,'SI - Resources'!$A$2:$J$2, "")</f>
        <v/>
      </c>
      <c r="D77" s="6" t="str">
        <f>IF(_xlfn.XLOOKUP($C77,'SI - End Use'!$B$2:$B$82,'SI - End Use'!$C$2:$C$82, "")="", "", _xlfn.XLOOKUP($C77,'SI - End Use'!$B$2:$B$82,'SI - End Use'!$C$2:$C$82, ""))</f>
        <v/>
      </c>
      <c r="E77" s="13"/>
      <c r="F77" s="6" t="str" cm="1">
        <f t="array" ref="F77">IF($B77="Transportation",  'SI - Units'!$B$9:$B$9, _xlfn.XLOOKUP(_xlfn.XLOOKUP($C77,'SI - Units'!$B$24:$B$106,'SI - Units'!$C$24:$C$106, ""),'SI - Units'!$A$2:$A$8,'SI - Units'!$B$2:$B$8, ""))</f>
        <v/>
      </c>
      <c r="G77" s="27"/>
      <c r="H77" s="27"/>
      <c r="I77" s="31" t="str">
        <f>IF(Table13[[#This Row],[Type]]="Co-product", "No", "")</f>
        <v/>
      </c>
      <c r="J77" s="6"/>
      <c r="K77" s="6" t="str">
        <f>IF(Table13[[#This Row],[Category]]="Transportation", _xlfn.XLOOKUP(Table13[[#This Row],[Resource]], 'SI - Payload'!$A$10:$A$38,'SI - Payload'!$B$10:$B$38,"",0), "")</f>
        <v/>
      </c>
      <c r="L77" s="6" t="str">
        <f>IF(Table13[[#This Row],[Category]]="Transportation", "ton", "")</f>
        <v/>
      </c>
      <c r="M77" s="6"/>
      <c r="N77" s="6"/>
      <c r="O77" s="6" t="str">
        <f>IF(OR(Table13[[#This Row],[Type]]="Main Product", Table13[[#This Row],[Type]]="Co-Product"), Table13[[#This Row],[Resource]], "")</f>
        <v/>
      </c>
      <c r="P77" s="6" t="str">
        <f>IF(_xlfn.XLOOKUP($O77,'SI - End Use'!$B$2:$B$82,'SI - End Use'!$C$2:$C$82, "")="", "", _xlfn.XLOOKUP($C77,'SI - End Use'!$B$2:$B$82,'SI - End Use'!$C$2:$C$82, ""))</f>
        <v/>
      </c>
      <c r="Q77" s="6"/>
      <c r="R77" s="6"/>
    </row>
    <row r="78" spans="1:18" x14ac:dyDescent="0.35">
      <c r="A78" s="6"/>
      <c r="B78" s="6"/>
      <c r="C78" s="6" t="str">
        <f>_xlfn.XLOOKUP($B78,'SI - Resources'!$A$1:$J$1,'SI - Resources'!$A$2:$J$2, "")</f>
        <v/>
      </c>
      <c r="D78" s="6" t="str">
        <f>IF(_xlfn.XLOOKUP($C78,'SI - End Use'!$B$2:$B$82,'SI - End Use'!$C$2:$C$82, "")="", "", _xlfn.XLOOKUP($C78,'SI - End Use'!$B$2:$B$82,'SI - End Use'!$C$2:$C$82, ""))</f>
        <v/>
      </c>
      <c r="E78" s="13"/>
      <c r="F78" s="6" t="str" cm="1">
        <f t="array" ref="F78">IF($B78="Transportation",  'SI - Units'!$B$9:$B$9, _xlfn.XLOOKUP(_xlfn.XLOOKUP($C78,'SI - Units'!$B$24:$B$106,'SI - Units'!$C$24:$C$106, ""),'SI - Units'!$A$2:$A$8,'SI - Units'!$B$2:$B$8, ""))</f>
        <v/>
      </c>
      <c r="G78" s="27"/>
      <c r="H78" s="27"/>
      <c r="I78" s="31" t="str">
        <f>IF(Table13[[#This Row],[Type]]="Co-product", "No", "")</f>
        <v/>
      </c>
      <c r="J78" s="6"/>
      <c r="K78" s="6" t="str">
        <f>IF(Table13[[#This Row],[Category]]="Transportation", _xlfn.XLOOKUP(Table13[[#This Row],[Resource]], 'SI - Payload'!$A$10:$A$38,'SI - Payload'!$B$10:$B$38,"",0), "")</f>
        <v/>
      </c>
      <c r="L78" s="6" t="str">
        <f>IF(Table13[[#This Row],[Category]]="Transportation", "ton", "")</f>
        <v/>
      </c>
      <c r="M78" s="6"/>
      <c r="N78" s="6"/>
      <c r="O78" s="6" t="str">
        <f>IF(OR(Table13[[#This Row],[Type]]="Main Product", Table13[[#This Row],[Type]]="Co-Product"), Table13[[#This Row],[Resource]], "")</f>
        <v/>
      </c>
      <c r="P78" s="6" t="str">
        <f>IF(_xlfn.XLOOKUP($O78,'SI - End Use'!$B$2:$B$82,'SI - End Use'!$C$2:$C$82, "")="", "", _xlfn.XLOOKUP($C78,'SI - End Use'!$B$2:$B$82,'SI - End Use'!$C$2:$C$82, ""))</f>
        <v/>
      </c>
      <c r="Q78" s="6"/>
      <c r="R78" s="6"/>
    </row>
    <row r="79" spans="1:18" x14ac:dyDescent="0.35">
      <c r="A79" s="6"/>
      <c r="B79" s="6"/>
      <c r="C79" s="6" t="str">
        <f>_xlfn.XLOOKUP($B79,'SI - Resources'!$A$1:$J$1,'SI - Resources'!$A$2:$J$2, "")</f>
        <v/>
      </c>
      <c r="D79" s="6" t="str">
        <f>IF(_xlfn.XLOOKUP($C79,'SI - End Use'!$B$2:$B$82,'SI - End Use'!$C$2:$C$82, "")="", "", _xlfn.XLOOKUP($C79,'SI - End Use'!$B$2:$B$82,'SI - End Use'!$C$2:$C$82, ""))</f>
        <v/>
      </c>
      <c r="E79" s="13"/>
      <c r="F79" s="6" t="str" cm="1">
        <f t="array" ref="F79">IF($B79="Transportation",  'SI - Units'!$B$9:$B$9, _xlfn.XLOOKUP(_xlfn.XLOOKUP($C79,'SI - Units'!$B$24:$B$106,'SI - Units'!$C$24:$C$106, ""),'SI - Units'!$A$2:$A$8,'SI - Units'!$B$2:$B$8, ""))</f>
        <v/>
      </c>
      <c r="G79" s="27"/>
      <c r="H79" s="27"/>
      <c r="I79" s="31" t="str">
        <f>IF(Table13[[#This Row],[Type]]="Co-product", "No", "")</f>
        <v/>
      </c>
      <c r="J79" s="6"/>
      <c r="K79" s="6" t="str">
        <f>IF(Table13[[#This Row],[Category]]="Transportation", _xlfn.XLOOKUP(Table13[[#This Row],[Resource]], 'SI - Payload'!$A$10:$A$38,'SI - Payload'!$B$10:$B$38,"",0), "")</f>
        <v/>
      </c>
      <c r="L79" s="6" t="str">
        <f>IF(Table13[[#This Row],[Category]]="Transportation", "ton", "")</f>
        <v/>
      </c>
      <c r="M79" s="6"/>
      <c r="N79" s="6"/>
      <c r="O79" s="6" t="str">
        <f>IF(OR(Table13[[#This Row],[Type]]="Main Product", Table13[[#This Row],[Type]]="Co-Product"), Table13[[#This Row],[Resource]], "")</f>
        <v/>
      </c>
      <c r="P79" s="6" t="str">
        <f>IF(_xlfn.XLOOKUP($O79,'SI - End Use'!$B$2:$B$82,'SI - End Use'!$C$2:$C$82, "")="", "", _xlfn.XLOOKUP($C79,'SI - End Use'!$B$2:$B$82,'SI - End Use'!$C$2:$C$82, ""))</f>
        <v/>
      </c>
      <c r="Q79" s="6"/>
      <c r="R79" s="6"/>
    </row>
    <row r="80" spans="1:18" x14ac:dyDescent="0.35">
      <c r="A80" s="6"/>
      <c r="B80" s="6"/>
      <c r="C80" s="6" t="str">
        <f>_xlfn.XLOOKUP($B80,'SI - Resources'!$A$1:$J$1,'SI - Resources'!$A$2:$J$2, "")</f>
        <v/>
      </c>
      <c r="D80" s="6" t="str">
        <f>IF(_xlfn.XLOOKUP($C80,'SI - End Use'!$B$2:$B$82,'SI - End Use'!$C$2:$C$82, "")="", "", _xlfn.XLOOKUP($C80,'SI - End Use'!$B$2:$B$82,'SI - End Use'!$C$2:$C$82, ""))</f>
        <v/>
      </c>
      <c r="E80" s="13"/>
      <c r="F80" s="6" t="str" cm="1">
        <f t="array" ref="F80">IF($B80="Transportation",  'SI - Units'!$B$9:$B$9, _xlfn.XLOOKUP(_xlfn.XLOOKUP($C80,'SI - Units'!$B$24:$B$106,'SI - Units'!$C$24:$C$106, ""),'SI - Units'!$A$2:$A$8,'SI - Units'!$B$2:$B$8, ""))</f>
        <v/>
      </c>
      <c r="G80" s="27"/>
      <c r="H80" s="27"/>
      <c r="I80" s="31" t="str">
        <f>IF(Table13[[#This Row],[Type]]="Co-product", "No", "")</f>
        <v/>
      </c>
      <c r="J80" s="6"/>
      <c r="K80" s="6" t="str">
        <f>IF(Table13[[#This Row],[Category]]="Transportation", _xlfn.XLOOKUP(Table13[[#This Row],[Resource]], 'SI - Payload'!$A$10:$A$38,'SI - Payload'!$B$10:$B$38,"",0), "")</f>
        <v/>
      </c>
      <c r="L80" s="6" t="str">
        <f>IF(Table13[[#This Row],[Category]]="Transportation", "ton", "")</f>
        <v/>
      </c>
      <c r="M80" s="6"/>
      <c r="N80" s="6"/>
      <c r="O80" s="6" t="str">
        <f>IF(OR(Table13[[#This Row],[Type]]="Main Product", Table13[[#This Row],[Type]]="Co-Product"), Table13[[#This Row],[Resource]], "")</f>
        <v/>
      </c>
      <c r="P80" s="6" t="str">
        <f>IF(_xlfn.XLOOKUP($O80,'SI - End Use'!$B$2:$B$82,'SI - End Use'!$C$2:$C$82, "")="", "", _xlfn.XLOOKUP($C80,'SI - End Use'!$B$2:$B$82,'SI - End Use'!$C$2:$C$82, ""))</f>
        <v/>
      </c>
      <c r="Q80" s="6"/>
      <c r="R80" s="6"/>
    </row>
    <row r="81" spans="1:18" x14ac:dyDescent="0.35">
      <c r="A81" s="6"/>
      <c r="B81" s="6"/>
      <c r="C81" s="6" t="str">
        <f>_xlfn.XLOOKUP($B81,'SI - Resources'!$A$1:$J$1,'SI - Resources'!$A$2:$J$2, "")</f>
        <v/>
      </c>
      <c r="D81" s="6" t="str">
        <f>IF(_xlfn.XLOOKUP($C81,'SI - End Use'!$B$2:$B$82,'SI - End Use'!$C$2:$C$82, "")="", "", _xlfn.XLOOKUP($C81,'SI - End Use'!$B$2:$B$82,'SI - End Use'!$C$2:$C$82, ""))</f>
        <v/>
      </c>
      <c r="E81" s="13"/>
      <c r="F81" s="6" t="str" cm="1">
        <f t="array" ref="F81">IF($B81="Transportation",  'SI - Units'!$B$9:$B$9, _xlfn.XLOOKUP(_xlfn.XLOOKUP($C81,'SI - Units'!$B$24:$B$106,'SI - Units'!$C$24:$C$106, ""),'SI - Units'!$A$2:$A$8,'SI - Units'!$B$2:$B$8, ""))</f>
        <v/>
      </c>
      <c r="G81" s="27"/>
      <c r="H81" s="27"/>
      <c r="I81" s="31" t="str">
        <f>IF(Table13[[#This Row],[Type]]="Co-product", "No", "")</f>
        <v/>
      </c>
      <c r="J81" s="6"/>
      <c r="K81" s="6" t="str">
        <f>IF(Table13[[#This Row],[Category]]="Transportation", _xlfn.XLOOKUP(Table13[[#This Row],[Resource]], 'SI - Payload'!$A$10:$A$38,'SI - Payload'!$B$10:$B$38,"",0), "")</f>
        <v/>
      </c>
      <c r="L81" s="6" t="str">
        <f>IF(Table13[[#This Row],[Category]]="Transportation", "ton", "")</f>
        <v/>
      </c>
      <c r="M81" s="6"/>
      <c r="N81" s="6"/>
      <c r="O81" s="6" t="str">
        <f>IF(OR(Table13[[#This Row],[Type]]="Main Product", Table13[[#This Row],[Type]]="Co-Product"), Table13[[#This Row],[Resource]], "")</f>
        <v/>
      </c>
      <c r="P81" s="6" t="str">
        <f>IF(_xlfn.XLOOKUP($O81,'SI - End Use'!$B$2:$B$82,'SI - End Use'!$C$2:$C$82, "")="", "", _xlfn.XLOOKUP($C81,'SI - End Use'!$B$2:$B$82,'SI - End Use'!$C$2:$C$82, ""))</f>
        <v/>
      </c>
      <c r="Q81" s="6"/>
      <c r="R81" s="6"/>
    </row>
    <row r="82" spans="1:18" x14ac:dyDescent="0.35">
      <c r="A82" s="6"/>
      <c r="B82" s="6"/>
      <c r="C82" s="6" t="str">
        <f>_xlfn.XLOOKUP($B82,'SI - Resources'!$A$1:$J$1,'SI - Resources'!$A$2:$J$2, "")</f>
        <v/>
      </c>
      <c r="D82" s="6" t="str">
        <f>IF(_xlfn.XLOOKUP($C82,'SI - End Use'!$B$2:$B$82,'SI - End Use'!$C$2:$C$82, "")="", "", _xlfn.XLOOKUP($C82,'SI - End Use'!$B$2:$B$82,'SI - End Use'!$C$2:$C$82, ""))</f>
        <v/>
      </c>
      <c r="E82" s="13"/>
      <c r="F82" s="6" t="str" cm="1">
        <f t="array" ref="F82">IF($B82="Transportation",  'SI - Units'!$B$9:$B$9, _xlfn.XLOOKUP(_xlfn.XLOOKUP($C82,'SI - Units'!$B$24:$B$106,'SI - Units'!$C$24:$C$106, ""),'SI - Units'!$A$2:$A$8,'SI - Units'!$B$2:$B$8, ""))</f>
        <v/>
      </c>
      <c r="G82" s="27"/>
      <c r="H82" s="27"/>
      <c r="I82" s="31" t="str">
        <f>IF(Table13[[#This Row],[Type]]="Co-product", "No", "")</f>
        <v/>
      </c>
      <c r="J82" s="6"/>
      <c r="K82" s="6" t="str">
        <f>IF(Table13[[#This Row],[Category]]="Transportation", _xlfn.XLOOKUP(Table13[[#This Row],[Resource]], 'SI - Payload'!$A$10:$A$38,'SI - Payload'!$B$10:$B$38,"",0), "")</f>
        <v/>
      </c>
      <c r="L82" s="6" t="str">
        <f>IF(Table13[[#This Row],[Category]]="Transportation", "ton", "")</f>
        <v/>
      </c>
      <c r="M82" s="6"/>
      <c r="N82" s="6"/>
      <c r="O82" s="6" t="str">
        <f>IF(OR(Table13[[#This Row],[Type]]="Main Product", Table13[[#This Row],[Type]]="Co-Product"), Table13[[#This Row],[Resource]], "")</f>
        <v/>
      </c>
      <c r="P82" s="6" t="str">
        <f>IF(_xlfn.XLOOKUP($O82,'SI - End Use'!$B$2:$B$82,'SI - End Use'!$C$2:$C$82, "")="", "", _xlfn.XLOOKUP($C82,'SI - End Use'!$B$2:$B$82,'SI - End Use'!$C$2:$C$82, ""))</f>
        <v/>
      </c>
      <c r="Q82" s="6"/>
      <c r="R82" s="6"/>
    </row>
    <row r="83" spans="1:18" x14ac:dyDescent="0.35">
      <c r="A83" s="6"/>
      <c r="B83" s="6"/>
      <c r="C83" s="6" t="str">
        <f>_xlfn.XLOOKUP($B83,'SI - Resources'!$A$1:$J$1,'SI - Resources'!$A$2:$J$2, "")</f>
        <v/>
      </c>
      <c r="D83" s="6" t="str">
        <f>IF(_xlfn.XLOOKUP($C83,'SI - End Use'!$B$2:$B$82,'SI - End Use'!$C$2:$C$82, "")="", "", _xlfn.XLOOKUP($C83,'SI - End Use'!$B$2:$B$82,'SI - End Use'!$C$2:$C$82, ""))</f>
        <v/>
      </c>
      <c r="E83" s="13"/>
      <c r="F83" s="6" t="str" cm="1">
        <f t="array" ref="F83">IF($B83="Transportation",  'SI - Units'!$B$9:$B$9, _xlfn.XLOOKUP(_xlfn.XLOOKUP($C83,'SI - Units'!$B$24:$B$106,'SI - Units'!$C$24:$C$106, ""),'SI - Units'!$A$2:$A$8,'SI - Units'!$B$2:$B$8, ""))</f>
        <v/>
      </c>
      <c r="G83" s="27"/>
      <c r="H83" s="27"/>
      <c r="I83" s="31" t="str">
        <f>IF(Table13[[#This Row],[Type]]="Co-product", "No", "")</f>
        <v/>
      </c>
      <c r="J83" s="6"/>
      <c r="K83" s="6" t="str">
        <f>IF(Table13[[#This Row],[Category]]="Transportation", _xlfn.XLOOKUP(Table13[[#This Row],[Resource]], 'SI - Payload'!$A$10:$A$38,'SI - Payload'!$B$10:$B$38,"",0), "")</f>
        <v/>
      </c>
      <c r="L83" s="6" t="str">
        <f>IF(Table13[[#This Row],[Category]]="Transportation", "ton", "")</f>
        <v/>
      </c>
      <c r="M83" s="6"/>
      <c r="N83" s="6"/>
      <c r="O83" s="6" t="str">
        <f>IF(OR(Table13[[#This Row],[Type]]="Main Product", Table13[[#This Row],[Type]]="Co-Product"), Table13[[#This Row],[Resource]], "")</f>
        <v/>
      </c>
      <c r="P83" s="6" t="str">
        <f>IF(_xlfn.XLOOKUP($O83,'SI - End Use'!$B$2:$B$82,'SI - End Use'!$C$2:$C$82, "")="", "", _xlfn.XLOOKUP($C83,'SI - End Use'!$B$2:$B$82,'SI - End Use'!$C$2:$C$82, ""))</f>
        <v/>
      </c>
      <c r="Q83" s="6"/>
      <c r="R83" s="6"/>
    </row>
    <row r="84" spans="1:18" x14ac:dyDescent="0.35">
      <c r="A84" s="6"/>
      <c r="B84" s="6"/>
      <c r="C84" s="6" t="str">
        <f>_xlfn.XLOOKUP($B84,'SI - Resources'!$A$1:$J$1,'SI - Resources'!$A$2:$J$2, "")</f>
        <v/>
      </c>
      <c r="D84" s="6" t="str">
        <f>IF(_xlfn.XLOOKUP($C84,'SI - End Use'!$B$2:$B$82,'SI - End Use'!$C$2:$C$82, "")="", "", _xlfn.XLOOKUP($C84,'SI - End Use'!$B$2:$B$82,'SI - End Use'!$C$2:$C$82, ""))</f>
        <v/>
      </c>
      <c r="E84" s="13"/>
      <c r="F84" s="6" t="str" cm="1">
        <f t="array" ref="F84">IF($B84="Transportation",  'SI - Units'!$B$9:$B$9, _xlfn.XLOOKUP(_xlfn.XLOOKUP($C84,'SI - Units'!$B$24:$B$106,'SI - Units'!$C$24:$C$106, ""),'SI - Units'!$A$2:$A$8,'SI - Units'!$B$2:$B$8, ""))</f>
        <v/>
      </c>
      <c r="G84" s="27"/>
      <c r="H84" s="27"/>
      <c r="I84" s="31" t="str">
        <f>IF(Table13[[#This Row],[Type]]="Co-product", "No", "")</f>
        <v/>
      </c>
      <c r="J84" s="6"/>
      <c r="K84" s="6" t="str">
        <f>IF(Table13[[#This Row],[Category]]="Transportation", _xlfn.XLOOKUP(Table13[[#This Row],[Resource]], 'SI - Payload'!$A$10:$A$38,'SI - Payload'!$B$10:$B$38,"",0), "")</f>
        <v/>
      </c>
      <c r="L84" s="6" t="str">
        <f>IF(Table13[[#This Row],[Category]]="Transportation", "ton", "")</f>
        <v/>
      </c>
      <c r="M84" s="6"/>
      <c r="N84" s="6"/>
      <c r="O84" s="6" t="str">
        <f>IF(OR(Table13[[#This Row],[Type]]="Main Product", Table13[[#This Row],[Type]]="Co-Product"), Table13[[#This Row],[Resource]], "")</f>
        <v/>
      </c>
      <c r="P84" s="6" t="str">
        <f>IF(_xlfn.XLOOKUP($O84,'SI - End Use'!$B$2:$B$82,'SI - End Use'!$C$2:$C$82, "")="", "", _xlfn.XLOOKUP($C84,'SI - End Use'!$B$2:$B$82,'SI - End Use'!$C$2:$C$82, ""))</f>
        <v/>
      </c>
      <c r="Q84" s="6"/>
      <c r="R84" s="6"/>
    </row>
    <row r="85" spans="1:18" x14ac:dyDescent="0.35">
      <c r="A85" s="6"/>
      <c r="B85" s="6"/>
      <c r="C85" s="6" t="str">
        <f>_xlfn.XLOOKUP($B85,'SI - Resources'!$A$1:$J$1,'SI - Resources'!$A$2:$J$2, "")</f>
        <v/>
      </c>
      <c r="D85" s="6" t="str">
        <f>IF(_xlfn.XLOOKUP($C85,'SI - End Use'!$B$2:$B$82,'SI - End Use'!$C$2:$C$82, "")="", "", _xlfn.XLOOKUP($C85,'SI - End Use'!$B$2:$B$82,'SI - End Use'!$C$2:$C$82, ""))</f>
        <v/>
      </c>
      <c r="E85" s="13"/>
      <c r="F85" s="6" t="str" cm="1">
        <f t="array" ref="F85">IF($B85="Transportation",  'SI - Units'!$B$9:$B$9, _xlfn.XLOOKUP(_xlfn.XLOOKUP($C85,'SI - Units'!$B$24:$B$106,'SI - Units'!$C$24:$C$106, ""),'SI - Units'!$A$2:$A$8,'SI - Units'!$B$2:$B$8, ""))</f>
        <v/>
      </c>
      <c r="G85" s="27"/>
      <c r="H85" s="27"/>
      <c r="I85" s="31" t="str">
        <f>IF(Table13[[#This Row],[Type]]="Co-product", "No", "")</f>
        <v/>
      </c>
      <c r="J85" s="6"/>
      <c r="K85" s="6" t="str">
        <f>IF(Table13[[#This Row],[Category]]="Transportation", _xlfn.XLOOKUP(Table13[[#This Row],[Resource]], 'SI - Payload'!$A$10:$A$38,'SI - Payload'!$B$10:$B$38,"",0), "")</f>
        <v/>
      </c>
      <c r="L85" s="6" t="str">
        <f>IF(Table13[[#This Row],[Category]]="Transportation", "ton", "")</f>
        <v/>
      </c>
      <c r="M85" s="6"/>
      <c r="N85" s="6"/>
      <c r="O85" s="6" t="str">
        <f>IF(OR(Table13[[#This Row],[Type]]="Main Product", Table13[[#This Row],[Type]]="Co-Product"), Table13[[#This Row],[Resource]], "")</f>
        <v/>
      </c>
      <c r="P85" s="6" t="str">
        <f>IF(_xlfn.XLOOKUP($O85,'SI - End Use'!$B$2:$B$82,'SI - End Use'!$C$2:$C$82, "")="", "", _xlfn.XLOOKUP($C85,'SI - End Use'!$B$2:$B$82,'SI - End Use'!$C$2:$C$82, ""))</f>
        <v/>
      </c>
      <c r="Q85" s="6"/>
      <c r="R85" s="6"/>
    </row>
    <row r="86" spans="1:18" x14ac:dyDescent="0.35">
      <c r="A86" s="6"/>
      <c r="B86" s="6"/>
      <c r="C86" s="6" t="str">
        <f>_xlfn.XLOOKUP($B86,'SI - Resources'!$A$1:$J$1,'SI - Resources'!$A$2:$J$2, "")</f>
        <v/>
      </c>
      <c r="D86" s="6" t="str">
        <f>IF(_xlfn.XLOOKUP($C86,'SI - End Use'!$B$2:$B$82,'SI - End Use'!$C$2:$C$82, "")="", "", _xlfn.XLOOKUP($C86,'SI - End Use'!$B$2:$B$82,'SI - End Use'!$C$2:$C$82, ""))</f>
        <v/>
      </c>
      <c r="E86" s="13"/>
      <c r="F86" s="6" t="str" cm="1">
        <f t="array" ref="F86">IF($B86="Transportation",  'SI - Units'!$B$9:$B$9, _xlfn.XLOOKUP(_xlfn.XLOOKUP($C86,'SI - Units'!$B$24:$B$106,'SI - Units'!$C$24:$C$106, ""),'SI - Units'!$A$2:$A$8,'SI - Units'!$B$2:$B$8, ""))</f>
        <v/>
      </c>
      <c r="G86" s="27"/>
      <c r="H86" s="27"/>
      <c r="I86" s="31" t="str">
        <f>IF(Table13[[#This Row],[Type]]="Co-product", "No", "")</f>
        <v/>
      </c>
      <c r="J86" s="6"/>
      <c r="K86" s="6" t="str">
        <f>IF(Table13[[#This Row],[Category]]="Transportation", _xlfn.XLOOKUP(Table13[[#This Row],[Resource]], 'SI - Payload'!$A$10:$A$38,'SI - Payload'!$B$10:$B$38,"",0), "")</f>
        <v/>
      </c>
      <c r="L86" s="6" t="str">
        <f>IF(Table13[[#This Row],[Category]]="Transportation", "ton", "")</f>
        <v/>
      </c>
      <c r="M86" s="6"/>
      <c r="N86" s="6"/>
      <c r="O86" s="6" t="str">
        <f>IF(OR(Table13[[#This Row],[Type]]="Main Product", Table13[[#This Row],[Type]]="Co-Product"), Table13[[#This Row],[Resource]], "")</f>
        <v/>
      </c>
      <c r="P86" s="6" t="str">
        <f>IF(_xlfn.XLOOKUP($O86,'SI - End Use'!$B$2:$B$82,'SI - End Use'!$C$2:$C$82, "")="", "", _xlfn.XLOOKUP($C86,'SI - End Use'!$B$2:$B$82,'SI - End Use'!$C$2:$C$82, ""))</f>
        <v/>
      </c>
      <c r="Q86" s="6"/>
      <c r="R86" s="6"/>
    </row>
    <row r="87" spans="1:18" x14ac:dyDescent="0.35">
      <c r="A87" s="6"/>
      <c r="B87" s="6"/>
      <c r="C87" s="6" t="str">
        <f>_xlfn.XLOOKUP($B87,'SI - Resources'!$A$1:$J$1,'SI - Resources'!$A$2:$J$2, "")</f>
        <v/>
      </c>
      <c r="D87" s="6" t="str">
        <f>IF(_xlfn.XLOOKUP($C87,'SI - End Use'!$B$2:$B$82,'SI - End Use'!$C$2:$C$82, "")="", "", _xlfn.XLOOKUP($C87,'SI - End Use'!$B$2:$B$82,'SI - End Use'!$C$2:$C$82, ""))</f>
        <v/>
      </c>
      <c r="E87" s="13"/>
      <c r="F87" s="6" t="str" cm="1">
        <f t="array" ref="F87">IF($B87="Transportation",  'SI - Units'!$B$9:$B$9, _xlfn.XLOOKUP(_xlfn.XLOOKUP($C87,'SI - Units'!$B$24:$B$106,'SI - Units'!$C$24:$C$106, ""),'SI - Units'!$A$2:$A$8,'SI - Units'!$B$2:$B$8, ""))</f>
        <v/>
      </c>
      <c r="G87" s="27"/>
      <c r="H87" s="27"/>
      <c r="I87" s="31" t="str">
        <f>IF(Table13[[#This Row],[Type]]="Co-product", "No", "")</f>
        <v/>
      </c>
      <c r="J87" s="6"/>
      <c r="K87" s="6" t="str">
        <f>IF(Table13[[#This Row],[Category]]="Transportation", _xlfn.XLOOKUP(Table13[[#This Row],[Resource]], 'SI - Payload'!$A$10:$A$38,'SI - Payload'!$B$10:$B$38,"",0), "")</f>
        <v/>
      </c>
      <c r="L87" s="6" t="str">
        <f>IF(Table13[[#This Row],[Category]]="Transportation", "ton", "")</f>
        <v/>
      </c>
      <c r="M87" s="6"/>
      <c r="N87" s="6"/>
      <c r="O87" s="6" t="str">
        <f>IF(OR(Table13[[#This Row],[Type]]="Main Product", Table13[[#This Row],[Type]]="Co-Product"), Table13[[#This Row],[Resource]], "")</f>
        <v/>
      </c>
      <c r="P87" s="6" t="str">
        <f>IF(_xlfn.XLOOKUP($O87,'SI - End Use'!$B$2:$B$82,'SI - End Use'!$C$2:$C$82, "")="", "", _xlfn.XLOOKUP($C87,'SI - End Use'!$B$2:$B$82,'SI - End Use'!$C$2:$C$82, ""))</f>
        <v/>
      </c>
      <c r="Q87" s="6"/>
      <c r="R87" s="6"/>
    </row>
    <row r="88" spans="1:18" x14ac:dyDescent="0.35">
      <c r="A88" s="6"/>
      <c r="B88" s="6"/>
      <c r="C88" s="6" t="str">
        <f>_xlfn.XLOOKUP($B88,'SI - Resources'!$A$1:$J$1,'SI - Resources'!$A$2:$J$2, "")</f>
        <v/>
      </c>
      <c r="D88" s="6" t="str">
        <f>IF(_xlfn.XLOOKUP($C88,'SI - End Use'!$B$2:$B$82,'SI - End Use'!$C$2:$C$82, "")="", "", _xlfn.XLOOKUP($C88,'SI - End Use'!$B$2:$B$82,'SI - End Use'!$C$2:$C$82, ""))</f>
        <v/>
      </c>
      <c r="E88" s="13"/>
      <c r="F88" s="6" t="str" cm="1">
        <f t="array" ref="F88">IF($B88="Transportation",  'SI - Units'!$B$9:$B$9, _xlfn.XLOOKUP(_xlfn.XLOOKUP($C88,'SI - Units'!$B$24:$B$106,'SI - Units'!$C$24:$C$106, ""),'SI - Units'!$A$2:$A$8,'SI - Units'!$B$2:$B$8, ""))</f>
        <v/>
      </c>
      <c r="G88" s="27"/>
      <c r="H88" s="27"/>
      <c r="I88" s="31" t="str">
        <f>IF(Table13[[#This Row],[Type]]="Co-product", "No", "")</f>
        <v/>
      </c>
      <c r="J88" s="6"/>
      <c r="K88" s="6" t="str">
        <f>IF(Table13[[#This Row],[Category]]="Transportation", _xlfn.XLOOKUP(Table13[[#This Row],[Resource]], 'SI - Payload'!$A$10:$A$38,'SI - Payload'!$B$10:$B$38,"",0), "")</f>
        <v/>
      </c>
      <c r="L88" s="6" t="str">
        <f>IF(Table13[[#This Row],[Category]]="Transportation", "ton", "")</f>
        <v/>
      </c>
      <c r="M88" s="6"/>
      <c r="N88" s="6"/>
      <c r="O88" s="6" t="str">
        <f>IF(OR(Table13[[#This Row],[Type]]="Main Product", Table13[[#This Row],[Type]]="Co-Product"), Table13[[#This Row],[Resource]], "")</f>
        <v/>
      </c>
      <c r="P88" s="6" t="str">
        <f>IF(_xlfn.XLOOKUP($O88,'SI - End Use'!$B$2:$B$82,'SI - End Use'!$C$2:$C$82, "")="", "", _xlfn.XLOOKUP($C88,'SI - End Use'!$B$2:$B$82,'SI - End Use'!$C$2:$C$82, ""))</f>
        <v/>
      </c>
      <c r="Q88" s="6"/>
      <c r="R88" s="6"/>
    </row>
    <row r="89" spans="1:18" x14ac:dyDescent="0.35">
      <c r="A89" s="6"/>
      <c r="B89" s="6"/>
      <c r="C89" s="6" t="str">
        <f>_xlfn.XLOOKUP($B89,'SI - Resources'!$A$1:$J$1,'SI - Resources'!$A$2:$J$2, "")</f>
        <v/>
      </c>
      <c r="D89" s="6" t="str">
        <f>IF(_xlfn.XLOOKUP($C89,'SI - End Use'!$B$2:$B$82,'SI - End Use'!$C$2:$C$82, "")="", "", _xlfn.XLOOKUP($C89,'SI - End Use'!$B$2:$B$82,'SI - End Use'!$C$2:$C$82, ""))</f>
        <v/>
      </c>
      <c r="E89" s="13"/>
      <c r="F89" s="6" t="str" cm="1">
        <f t="array" ref="F89">IF($B89="Transportation",  'SI - Units'!$B$9:$B$9, _xlfn.XLOOKUP(_xlfn.XLOOKUP($C89,'SI - Units'!$B$24:$B$106,'SI - Units'!$C$24:$C$106, ""),'SI - Units'!$A$2:$A$8,'SI - Units'!$B$2:$B$8, ""))</f>
        <v/>
      </c>
      <c r="G89" s="27"/>
      <c r="H89" s="27"/>
      <c r="I89" s="31" t="str">
        <f>IF(Table13[[#This Row],[Type]]="Co-product", "No", "")</f>
        <v/>
      </c>
      <c r="J89" s="6"/>
      <c r="K89" s="6" t="str">
        <f>IF(Table13[[#This Row],[Category]]="Transportation", _xlfn.XLOOKUP(Table13[[#This Row],[Resource]], 'SI - Payload'!$A$10:$A$38,'SI - Payload'!$B$10:$B$38,"",0), "")</f>
        <v/>
      </c>
      <c r="L89" s="6" t="str">
        <f>IF(Table13[[#This Row],[Category]]="Transportation", "ton", "")</f>
        <v/>
      </c>
      <c r="M89" s="6"/>
      <c r="N89" s="6"/>
      <c r="O89" s="6" t="str">
        <f>IF(OR(Table13[[#This Row],[Type]]="Main Product", Table13[[#This Row],[Type]]="Co-Product"), Table13[[#This Row],[Resource]], "")</f>
        <v/>
      </c>
      <c r="P89" s="6" t="str">
        <f>IF(_xlfn.XLOOKUP($O89,'SI - End Use'!$B$2:$B$82,'SI - End Use'!$C$2:$C$82, "")="", "", _xlfn.XLOOKUP($C89,'SI - End Use'!$B$2:$B$82,'SI - End Use'!$C$2:$C$82, ""))</f>
        <v/>
      </c>
      <c r="Q89" s="6"/>
      <c r="R89" s="6"/>
    </row>
    <row r="90" spans="1:18" x14ac:dyDescent="0.35">
      <c r="A90" s="6"/>
      <c r="B90" s="6"/>
      <c r="C90" s="6" t="str">
        <f>_xlfn.XLOOKUP($B90,'SI - Resources'!$A$1:$J$1,'SI - Resources'!$A$2:$J$2, "")</f>
        <v/>
      </c>
      <c r="D90" s="6" t="str">
        <f>IF(_xlfn.XLOOKUP($C90,'SI - End Use'!$B$2:$B$82,'SI - End Use'!$C$2:$C$82, "")="", "", _xlfn.XLOOKUP($C90,'SI - End Use'!$B$2:$B$82,'SI - End Use'!$C$2:$C$82, ""))</f>
        <v/>
      </c>
      <c r="E90" s="13"/>
      <c r="F90" s="6" t="str" cm="1">
        <f t="array" ref="F90">IF($B90="Transportation",  'SI - Units'!$B$9:$B$9, _xlfn.XLOOKUP(_xlfn.XLOOKUP($C90,'SI - Units'!$B$24:$B$106,'SI - Units'!$C$24:$C$106, ""),'SI - Units'!$A$2:$A$8,'SI - Units'!$B$2:$B$8, ""))</f>
        <v/>
      </c>
      <c r="G90" s="27"/>
      <c r="H90" s="27"/>
      <c r="I90" s="31" t="str">
        <f>IF(Table13[[#This Row],[Type]]="Co-product", "No", "")</f>
        <v/>
      </c>
      <c r="J90" s="6"/>
      <c r="K90" s="6" t="str">
        <f>IF(Table13[[#This Row],[Category]]="Transportation", _xlfn.XLOOKUP(Table13[[#This Row],[Resource]], 'SI - Payload'!$A$10:$A$38,'SI - Payload'!$B$10:$B$38,"",0), "")</f>
        <v/>
      </c>
      <c r="L90" s="6" t="str">
        <f>IF(Table13[[#This Row],[Category]]="Transportation", "ton", "")</f>
        <v/>
      </c>
      <c r="M90" s="6"/>
      <c r="N90" s="6"/>
      <c r="O90" s="6" t="str">
        <f>IF(OR(Table13[[#This Row],[Type]]="Main Product", Table13[[#This Row],[Type]]="Co-Product"), Table13[[#This Row],[Resource]], "")</f>
        <v/>
      </c>
      <c r="P90" s="6" t="str">
        <f>IF(_xlfn.XLOOKUP($O90,'SI - End Use'!$B$2:$B$82,'SI - End Use'!$C$2:$C$82, "")="", "", _xlfn.XLOOKUP($C90,'SI - End Use'!$B$2:$B$82,'SI - End Use'!$C$2:$C$82, ""))</f>
        <v/>
      </c>
      <c r="Q90" s="6"/>
      <c r="R90" s="6"/>
    </row>
    <row r="91" spans="1:18" x14ac:dyDescent="0.35">
      <c r="A91" s="6"/>
      <c r="B91" s="6"/>
      <c r="C91" s="6" t="str">
        <f>_xlfn.XLOOKUP($B91,'SI - Resources'!$A$1:$J$1,'SI - Resources'!$A$2:$J$2, "")</f>
        <v/>
      </c>
      <c r="D91" s="6" t="str">
        <f>IF(_xlfn.XLOOKUP($C91,'SI - End Use'!$B$2:$B$82,'SI - End Use'!$C$2:$C$82, "")="", "", _xlfn.XLOOKUP($C91,'SI - End Use'!$B$2:$B$82,'SI - End Use'!$C$2:$C$82, ""))</f>
        <v/>
      </c>
      <c r="E91" s="13"/>
      <c r="F91" s="6" t="str" cm="1">
        <f t="array" ref="F91">IF($B91="Transportation",  'SI - Units'!$B$9:$B$9, _xlfn.XLOOKUP(_xlfn.XLOOKUP($C91,'SI - Units'!$B$24:$B$106,'SI - Units'!$C$24:$C$106, ""),'SI - Units'!$A$2:$A$8,'SI - Units'!$B$2:$B$8, ""))</f>
        <v/>
      </c>
      <c r="G91" s="27"/>
      <c r="H91" s="27"/>
      <c r="I91" s="31" t="str">
        <f>IF(Table13[[#This Row],[Type]]="Co-product", "No", "")</f>
        <v/>
      </c>
      <c r="J91" s="6"/>
      <c r="K91" s="6" t="str">
        <f>IF(Table13[[#This Row],[Category]]="Transportation", _xlfn.XLOOKUP(Table13[[#This Row],[Resource]], 'SI - Payload'!$A$10:$A$38,'SI - Payload'!$B$10:$B$38,"",0), "")</f>
        <v/>
      </c>
      <c r="L91" s="6" t="str">
        <f>IF(Table13[[#This Row],[Category]]="Transportation", "ton", "")</f>
        <v/>
      </c>
      <c r="M91" s="6"/>
      <c r="N91" s="6"/>
      <c r="O91" s="6" t="str">
        <f>IF(OR(Table13[[#This Row],[Type]]="Main Product", Table13[[#This Row],[Type]]="Co-Product"), Table13[[#This Row],[Resource]], "")</f>
        <v/>
      </c>
      <c r="P91" s="6" t="str">
        <f>IF(_xlfn.XLOOKUP($O91,'SI - End Use'!$B$2:$B$82,'SI - End Use'!$C$2:$C$82, "")="", "", _xlfn.XLOOKUP($C91,'SI - End Use'!$B$2:$B$82,'SI - End Use'!$C$2:$C$82, ""))</f>
        <v/>
      </c>
      <c r="Q91" s="6"/>
      <c r="R91" s="6"/>
    </row>
    <row r="92" spans="1:18" x14ac:dyDescent="0.35">
      <c r="A92" s="6"/>
      <c r="B92" s="6"/>
      <c r="C92" s="6" t="str">
        <f>_xlfn.XLOOKUP($B92,'SI - Resources'!$A$1:$J$1,'SI - Resources'!$A$2:$J$2, "")</f>
        <v/>
      </c>
      <c r="D92" s="6" t="str">
        <f>IF(_xlfn.XLOOKUP($C92,'SI - End Use'!$B$2:$B$82,'SI - End Use'!$C$2:$C$82, "")="", "", _xlfn.XLOOKUP($C92,'SI - End Use'!$B$2:$B$82,'SI - End Use'!$C$2:$C$82, ""))</f>
        <v/>
      </c>
      <c r="E92" s="13"/>
      <c r="F92" s="6" t="str" cm="1">
        <f t="array" ref="F92">IF($B92="Transportation",  'SI - Units'!$B$9:$B$9, _xlfn.XLOOKUP(_xlfn.XLOOKUP($C92,'SI - Units'!$B$24:$B$106,'SI - Units'!$C$24:$C$106, ""),'SI - Units'!$A$2:$A$8,'SI - Units'!$B$2:$B$8, ""))</f>
        <v/>
      </c>
      <c r="G92" s="27"/>
      <c r="H92" s="27"/>
      <c r="I92" s="31" t="str">
        <f>IF(Table13[[#This Row],[Type]]="Co-product", "No", "")</f>
        <v/>
      </c>
      <c r="J92" s="6"/>
      <c r="K92" s="6" t="str">
        <f>IF(Table13[[#This Row],[Category]]="Transportation", _xlfn.XLOOKUP(Table13[[#This Row],[Resource]], 'SI - Payload'!$A$10:$A$38,'SI - Payload'!$B$10:$B$38,"",0), "")</f>
        <v/>
      </c>
      <c r="L92" s="6" t="str">
        <f>IF(Table13[[#This Row],[Category]]="Transportation", "ton", "")</f>
        <v/>
      </c>
      <c r="M92" s="6"/>
      <c r="N92" s="6"/>
      <c r="O92" s="6" t="str">
        <f>IF(OR(Table13[[#This Row],[Type]]="Main Product", Table13[[#This Row],[Type]]="Co-Product"), Table13[[#This Row],[Resource]], "")</f>
        <v/>
      </c>
      <c r="P92" s="6" t="str">
        <f>IF(_xlfn.XLOOKUP($O92,'SI - End Use'!$B$2:$B$82,'SI - End Use'!$C$2:$C$82, "")="", "", _xlfn.XLOOKUP($C92,'SI - End Use'!$B$2:$B$82,'SI - End Use'!$C$2:$C$82, ""))</f>
        <v/>
      </c>
      <c r="Q92" s="6"/>
      <c r="R92" s="6"/>
    </row>
    <row r="93" spans="1:18" x14ac:dyDescent="0.35">
      <c r="A93" s="6"/>
      <c r="B93" s="6"/>
      <c r="C93" s="6" t="str">
        <f>_xlfn.XLOOKUP($B93,'SI - Resources'!$A$1:$J$1,'SI - Resources'!$A$2:$J$2, "")</f>
        <v/>
      </c>
      <c r="D93" s="6" t="str">
        <f>IF(_xlfn.XLOOKUP($C93,'SI - End Use'!$B$2:$B$82,'SI - End Use'!$C$2:$C$82, "")="", "", _xlfn.XLOOKUP($C93,'SI - End Use'!$B$2:$B$82,'SI - End Use'!$C$2:$C$82, ""))</f>
        <v/>
      </c>
      <c r="E93" s="13"/>
      <c r="F93" s="6" t="str" cm="1">
        <f t="array" ref="F93">IF($B93="Transportation",  'SI - Units'!$B$9:$B$9, _xlfn.XLOOKUP(_xlfn.XLOOKUP($C93,'SI - Units'!$B$24:$B$106,'SI - Units'!$C$24:$C$106, ""),'SI - Units'!$A$2:$A$8,'SI - Units'!$B$2:$B$8, ""))</f>
        <v/>
      </c>
      <c r="G93" s="27"/>
      <c r="H93" s="27"/>
      <c r="I93" s="31" t="str">
        <f>IF(Table13[[#This Row],[Type]]="Co-product", "No", "")</f>
        <v/>
      </c>
      <c r="J93" s="6"/>
      <c r="K93" s="6" t="str">
        <f>IF(Table13[[#This Row],[Category]]="Transportation", _xlfn.XLOOKUP(Table13[[#This Row],[Resource]], 'SI - Payload'!$A$10:$A$38,'SI - Payload'!$B$10:$B$38,"",0), "")</f>
        <v/>
      </c>
      <c r="L93" s="6" t="str">
        <f>IF(Table13[[#This Row],[Category]]="Transportation", "ton", "")</f>
        <v/>
      </c>
      <c r="M93" s="6"/>
      <c r="N93" s="6"/>
      <c r="O93" s="6" t="str">
        <f>IF(OR(Table13[[#This Row],[Type]]="Main Product", Table13[[#This Row],[Type]]="Co-Product"), Table13[[#This Row],[Resource]], "")</f>
        <v/>
      </c>
      <c r="P93" s="6" t="str">
        <f>IF(_xlfn.XLOOKUP($O93,'SI - End Use'!$B$2:$B$82,'SI - End Use'!$C$2:$C$82, "")="", "", _xlfn.XLOOKUP($C93,'SI - End Use'!$B$2:$B$82,'SI - End Use'!$C$2:$C$82, ""))</f>
        <v/>
      </c>
      <c r="Q93" s="6"/>
      <c r="R93" s="6"/>
    </row>
    <row r="94" spans="1:18" x14ac:dyDescent="0.35">
      <c r="A94" s="6"/>
      <c r="B94" s="6"/>
      <c r="C94" s="6" t="str">
        <f>_xlfn.XLOOKUP($B94,'SI - Resources'!$A$1:$J$1,'SI - Resources'!$A$2:$J$2, "")</f>
        <v/>
      </c>
      <c r="D94" s="6" t="str">
        <f>IF(_xlfn.XLOOKUP($C94,'SI - End Use'!$B$2:$B$82,'SI - End Use'!$C$2:$C$82, "")="", "", _xlfn.XLOOKUP($C94,'SI - End Use'!$B$2:$B$82,'SI - End Use'!$C$2:$C$82, ""))</f>
        <v/>
      </c>
      <c r="E94" s="13"/>
      <c r="F94" s="6" t="str" cm="1">
        <f t="array" ref="F94">IF($B94="Transportation",  'SI - Units'!$B$9:$B$9, _xlfn.XLOOKUP(_xlfn.XLOOKUP($C94,'SI - Units'!$B$24:$B$106,'SI - Units'!$C$24:$C$106, ""),'SI - Units'!$A$2:$A$8,'SI - Units'!$B$2:$B$8, ""))</f>
        <v/>
      </c>
      <c r="G94" s="27"/>
      <c r="H94" s="27"/>
      <c r="I94" s="31" t="str">
        <f>IF(Table13[[#This Row],[Type]]="Co-product", "No", "")</f>
        <v/>
      </c>
      <c r="J94" s="6"/>
      <c r="K94" s="6" t="str">
        <f>IF(Table13[[#This Row],[Category]]="Transportation", _xlfn.XLOOKUP(Table13[[#This Row],[Resource]], 'SI - Payload'!$A$10:$A$38,'SI - Payload'!$B$10:$B$38,"",0), "")</f>
        <v/>
      </c>
      <c r="L94" s="6" t="str">
        <f>IF(Table13[[#This Row],[Category]]="Transportation", "ton", "")</f>
        <v/>
      </c>
      <c r="M94" s="6"/>
      <c r="N94" s="6"/>
      <c r="O94" s="6" t="str">
        <f>IF(OR(Table13[[#This Row],[Type]]="Main Product", Table13[[#This Row],[Type]]="Co-Product"), Table13[[#This Row],[Resource]], "")</f>
        <v/>
      </c>
      <c r="P94" s="6" t="str">
        <f>IF(_xlfn.XLOOKUP($O94,'SI - End Use'!$B$2:$B$82,'SI - End Use'!$C$2:$C$82, "")="", "", _xlfn.XLOOKUP($C94,'SI - End Use'!$B$2:$B$82,'SI - End Use'!$C$2:$C$82, ""))</f>
        <v/>
      </c>
      <c r="Q94" s="6"/>
      <c r="R94" s="6"/>
    </row>
    <row r="95" spans="1:18" x14ac:dyDescent="0.35">
      <c r="A95" s="6"/>
      <c r="B95" s="6"/>
      <c r="C95" s="6" t="str">
        <f>_xlfn.XLOOKUP($B95,'SI - Resources'!$A$1:$J$1,'SI - Resources'!$A$2:$J$2, "")</f>
        <v/>
      </c>
      <c r="D95" s="6" t="str">
        <f>IF(_xlfn.XLOOKUP($C95,'SI - End Use'!$B$2:$B$82,'SI - End Use'!$C$2:$C$82, "")="", "", _xlfn.XLOOKUP($C95,'SI - End Use'!$B$2:$B$82,'SI - End Use'!$C$2:$C$82, ""))</f>
        <v/>
      </c>
      <c r="E95" s="13"/>
      <c r="F95" s="6" t="str" cm="1">
        <f t="array" ref="F95">IF($B95="Transportation",  'SI - Units'!$B$9:$B$9, _xlfn.XLOOKUP(_xlfn.XLOOKUP($C95,'SI - Units'!$B$24:$B$106,'SI - Units'!$C$24:$C$106, ""),'SI - Units'!$A$2:$A$8,'SI - Units'!$B$2:$B$8, ""))</f>
        <v/>
      </c>
      <c r="G95" s="27"/>
      <c r="H95" s="27"/>
      <c r="I95" s="31" t="str">
        <f>IF(Table13[[#This Row],[Type]]="Co-product", "No", "")</f>
        <v/>
      </c>
      <c r="J95" s="6"/>
      <c r="K95" s="6" t="str">
        <f>IF(Table13[[#This Row],[Category]]="Transportation", _xlfn.XLOOKUP(Table13[[#This Row],[Resource]], 'SI - Payload'!$A$10:$A$38,'SI - Payload'!$B$10:$B$38,"",0), "")</f>
        <v/>
      </c>
      <c r="L95" s="6" t="str">
        <f>IF(Table13[[#This Row],[Category]]="Transportation", "ton", "")</f>
        <v/>
      </c>
      <c r="M95" s="6"/>
      <c r="N95" s="6"/>
      <c r="O95" s="6" t="str">
        <f>IF(OR(Table13[[#This Row],[Type]]="Main Product", Table13[[#This Row],[Type]]="Co-Product"), Table13[[#This Row],[Resource]], "")</f>
        <v/>
      </c>
      <c r="P95" s="6" t="str">
        <f>IF(_xlfn.XLOOKUP($O95,'SI - End Use'!$B$2:$B$82,'SI - End Use'!$C$2:$C$82, "")="", "", _xlfn.XLOOKUP($C95,'SI - End Use'!$B$2:$B$82,'SI - End Use'!$C$2:$C$82, ""))</f>
        <v/>
      </c>
      <c r="Q95" s="6"/>
      <c r="R95" s="6"/>
    </row>
    <row r="96" spans="1:18" x14ac:dyDescent="0.35">
      <c r="A96" s="6"/>
      <c r="B96" s="6"/>
      <c r="C96" s="6" t="str">
        <f>_xlfn.XLOOKUP($B96,'SI - Resources'!$A$1:$J$1,'SI - Resources'!$A$2:$J$2, "")</f>
        <v/>
      </c>
      <c r="D96" s="6" t="str">
        <f>IF(_xlfn.XLOOKUP($C96,'SI - End Use'!$B$2:$B$82,'SI - End Use'!$C$2:$C$82, "")="", "", _xlfn.XLOOKUP($C96,'SI - End Use'!$B$2:$B$82,'SI - End Use'!$C$2:$C$82, ""))</f>
        <v/>
      </c>
      <c r="E96" s="13"/>
      <c r="F96" s="6" t="str" cm="1">
        <f t="array" ref="F96">IF($B96="Transportation",  'SI - Units'!$B$9:$B$9, _xlfn.XLOOKUP(_xlfn.XLOOKUP($C96,'SI - Units'!$B$24:$B$106,'SI - Units'!$C$24:$C$106, ""),'SI - Units'!$A$2:$A$8,'SI - Units'!$B$2:$B$8, ""))</f>
        <v/>
      </c>
      <c r="G96" s="27"/>
      <c r="H96" s="27"/>
      <c r="I96" s="31" t="str">
        <f>IF(Table13[[#This Row],[Type]]="Co-product", "No", "")</f>
        <v/>
      </c>
      <c r="J96" s="6"/>
      <c r="K96" s="6" t="str">
        <f>IF(Table13[[#This Row],[Category]]="Transportation", _xlfn.XLOOKUP(Table13[[#This Row],[Resource]], 'SI - Payload'!$A$10:$A$38,'SI - Payload'!$B$10:$B$38,"",0), "")</f>
        <v/>
      </c>
      <c r="L96" s="6" t="str">
        <f>IF(Table13[[#This Row],[Category]]="Transportation", "ton", "")</f>
        <v/>
      </c>
      <c r="M96" s="6"/>
      <c r="N96" s="6"/>
      <c r="O96" s="6" t="str">
        <f>IF(OR(Table13[[#This Row],[Type]]="Main Product", Table13[[#This Row],[Type]]="Co-Product"), Table13[[#This Row],[Resource]], "")</f>
        <v/>
      </c>
      <c r="P96" s="6" t="str">
        <f>IF(_xlfn.XLOOKUP($O96,'SI - End Use'!$B$2:$B$82,'SI - End Use'!$C$2:$C$82, "")="", "", _xlfn.XLOOKUP($C96,'SI - End Use'!$B$2:$B$82,'SI - End Use'!$C$2:$C$82, ""))</f>
        <v/>
      </c>
      <c r="Q96" s="6"/>
      <c r="R96" s="6"/>
    </row>
    <row r="97" spans="1:18" x14ac:dyDescent="0.35">
      <c r="A97" s="6"/>
      <c r="B97" s="6"/>
      <c r="C97" s="6" t="str">
        <f>_xlfn.XLOOKUP($B97,'SI - Resources'!$A$1:$J$1,'SI - Resources'!$A$2:$J$2, "")</f>
        <v/>
      </c>
      <c r="D97" s="6" t="str">
        <f>IF(_xlfn.XLOOKUP($C97,'SI - End Use'!$B$2:$B$82,'SI - End Use'!$C$2:$C$82, "")="", "", _xlfn.XLOOKUP($C97,'SI - End Use'!$B$2:$B$82,'SI - End Use'!$C$2:$C$82, ""))</f>
        <v/>
      </c>
      <c r="E97" s="13"/>
      <c r="F97" s="6" t="str" cm="1">
        <f t="array" ref="F97">IF($B97="Transportation",  'SI - Units'!$B$9:$B$9, _xlfn.XLOOKUP(_xlfn.XLOOKUP($C97,'SI - Units'!$B$24:$B$106,'SI - Units'!$C$24:$C$106, ""),'SI - Units'!$A$2:$A$8,'SI - Units'!$B$2:$B$8, ""))</f>
        <v/>
      </c>
      <c r="G97" s="27"/>
      <c r="H97" s="27"/>
      <c r="I97" s="31" t="str">
        <f>IF(Table13[[#This Row],[Type]]="Co-product", "No", "")</f>
        <v/>
      </c>
      <c r="J97" s="6"/>
      <c r="K97" s="6" t="str">
        <f>IF(Table13[[#This Row],[Category]]="Transportation", _xlfn.XLOOKUP(Table13[[#This Row],[Resource]], 'SI - Payload'!$A$10:$A$38,'SI - Payload'!$B$10:$B$38,"",0), "")</f>
        <v/>
      </c>
      <c r="L97" s="6" t="str">
        <f>IF(Table13[[#This Row],[Category]]="Transportation", "ton", "")</f>
        <v/>
      </c>
      <c r="M97" s="6"/>
      <c r="N97" s="6"/>
      <c r="O97" s="6" t="str">
        <f>IF(OR(Table13[[#This Row],[Type]]="Main Product", Table13[[#This Row],[Type]]="Co-Product"), Table13[[#This Row],[Resource]], "")</f>
        <v/>
      </c>
      <c r="P97" s="6" t="str">
        <f>IF(_xlfn.XLOOKUP($O97,'SI - End Use'!$B$2:$B$82,'SI - End Use'!$C$2:$C$82, "")="", "", _xlfn.XLOOKUP($C97,'SI - End Use'!$B$2:$B$82,'SI - End Use'!$C$2:$C$82, ""))</f>
        <v/>
      </c>
      <c r="Q97" s="6"/>
      <c r="R97" s="6"/>
    </row>
    <row r="98" spans="1:18" x14ac:dyDescent="0.35">
      <c r="A98" s="6"/>
      <c r="B98" s="6"/>
      <c r="C98" s="6" t="str">
        <f>_xlfn.XLOOKUP($B98,'SI - Resources'!$A$1:$J$1,'SI - Resources'!$A$2:$J$2, "")</f>
        <v/>
      </c>
      <c r="D98" s="6" t="str">
        <f>IF(_xlfn.XLOOKUP($C98,'SI - End Use'!$B$2:$B$82,'SI - End Use'!$C$2:$C$82, "")="", "", _xlfn.XLOOKUP($C98,'SI - End Use'!$B$2:$B$82,'SI - End Use'!$C$2:$C$82, ""))</f>
        <v/>
      </c>
      <c r="E98" s="13"/>
      <c r="F98" s="6" t="str" cm="1">
        <f t="array" ref="F98">IF($B98="Transportation",  'SI - Units'!$B$9:$B$9, _xlfn.XLOOKUP(_xlfn.XLOOKUP($C98,'SI - Units'!$B$24:$B$106,'SI - Units'!$C$24:$C$106, ""),'SI - Units'!$A$2:$A$8,'SI - Units'!$B$2:$B$8, ""))</f>
        <v/>
      </c>
      <c r="G98" s="27"/>
      <c r="H98" s="27"/>
      <c r="I98" s="31" t="str">
        <f>IF(Table13[[#This Row],[Type]]="Co-product", "No", "")</f>
        <v/>
      </c>
      <c r="J98" s="6"/>
      <c r="K98" s="6" t="str">
        <f>IF(Table13[[#This Row],[Category]]="Transportation", _xlfn.XLOOKUP(Table13[[#This Row],[Resource]], 'SI - Payload'!$A$10:$A$38,'SI - Payload'!$B$10:$B$38,"",0), "")</f>
        <v/>
      </c>
      <c r="L98" s="6" t="str">
        <f>IF(Table13[[#This Row],[Category]]="Transportation", "ton", "")</f>
        <v/>
      </c>
      <c r="M98" s="6"/>
      <c r="N98" s="6"/>
      <c r="O98" s="6" t="str">
        <f>IF(OR(Table13[[#This Row],[Type]]="Main Product", Table13[[#This Row],[Type]]="Co-Product"), Table13[[#This Row],[Resource]], "")</f>
        <v/>
      </c>
      <c r="P98" s="6" t="str">
        <f>IF(_xlfn.XLOOKUP($O98,'SI - End Use'!$B$2:$B$82,'SI - End Use'!$C$2:$C$82, "")="", "", _xlfn.XLOOKUP($C98,'SI - End Use'!$B$2:$B$82,'SI - End Use'!$C$2:$C$82, ""))</f>
        <v/>
      </c>
      <c r="Q98" s="6"/>
      <c r="R98" s="6"/>
    </row>
    <row r="99" spans="1:18" x14ac:dyDescent="0.35">
      <c r="A99" s="6"/>
      <c r="B99" s="6"/>
      <c r="C99" s="6" t="str">
        <f>_xlfn.XLOOKUP($B99,'SI - Resources'!$A$1:$J$1,'SI - Resources'!$A$2:$J$2, "")</f>
        <v/>
      </c>
      <c r="D99" s="6" t="str">
        <f>IF(_xlfn.XLOOKUP($C99,'SI - End Use'!$B$2:$B$82,'SI - End Use'!$C$2:$C$82, "")="", "", _xlfn.XLOOKUP($C99,'SI - End Use'!$B$2:$B$82,'SI - End Use'!$C$2:$C$82, ""))</f>
        <v/>
      </c>
      <c r="E99" s="13"/>
      <c r="F99" s="6" t="str" cm="1">
        <f t="array" ref="F99">IF($B99="Transportation",  'SI - Units'!$B$9:$B$9, _xlfn.XLOOKUP(_xlfn.XLOOKUP($C99,'SI - Units'!$B$24:$B$106,'SI - Units'!$C$24:$C$106, ""),'SI - Units'!$A$2:$A$8,'SI - Units'!$B$2:$B$8, ""))</f>
        <v/>
      </c>
      <c r="G99" s="27"/>
      <c r="H99" s="27"/>
      <c r="I99" s="31" t="str">
        <f>IF(Table13[[#This Row],[Type]]="Co-product", "No", "")</f>
        <v/>
      </c>
      <c r="J99" s="6"/>
      <c r="K99" s="6" t="str">
        <f>IF(Table13[[#This Row],[Category]]="Transportation", _xlfn.XLOOKUP(Table13[[#This Row],[Resource]], 'SI - Payload'!$A$10:$A$38,'SI - Payload'!$B$10:$B$38,"",0), "")</f>
        <v/>
      </c>
      <c r="L99" s="6" t="str">
        <f>IF(Table13[[#This Row],[Category]]="Transportation", "ton", "")</f>
        <v/>
      </c>
      <c r="M99" s="6"/>
      <c r="N99" s="6"/>
      <c r="O99" s="6" t="str">
        <f>IF(OR(Table13[[#This Row],[Type]]="Main Product", Table13[[#This Row],[Type]]="Co-Product"), Table13[[#This Row],[Resource]], "")</f>
        <v/>
      </c>
      <c r="P99" s="6" t="str">
        <f>IF(_xlfn.XLOOKUP($O99,'SI - End Use'!$B$2:$B$82,'SI - End Use'!$C$2:$C$82, "")="", "", _xlfn.XLOOKUP($C99,'SI - End Use'!$B$2:$B$82,'SI - End Use'!$C$2:$C$82, ""))</f>
        <v/>
      </c>
      <c r="Q99" s="6"/>
      <c r="R99" s="6"/>
    </row>
    <row r="100" spans="1:18" x14ac:dyDescent="0.35">
      <c r="A100" s="30"/>
      <c r="B100" s="16"/>
      <c r="C100" s="16" t="str">
        <f>_xlfn.XLOOKUP($B100,'SI - Resources'!$A$1:$J$1,'SI - Resources'!$A$2:$J$2, "")</f>
        <v/>
      </c>
      <c r="D100" s="16" t="str">
        <f>IF(_xlfn.XLOOKUP($C100,'SI - End Use'!$B$2:$B$82,'SI - End Use'!$C$2:$C$82, "")="", "", _xlfn.XLOOKUP($C100,'SI - End Use'!$B$2:$B$82,'SI - End Use'!$C$2:$C$82, ""))</f>
        <v/>
      </c>
      <c r="E100" s="28"/>
      <c r="F100" s="16" t="str" cm="1">
        <f t="array" ref="F100">IF($B100="Transportation",  'SI - Units'!$B$9:$B$9, _xlfn.XLOOKUP(_xlfn.XLOOKUP($C100,'SI - Units'!$B$24:$B$106,'SI - Units'!$C$24:$C$106, ""),'SI - Units'!$A$2:$A$8,'SI - Units'!$B$2:$B$8, ""))</f>
        <v/>
      </c>
      <c r="G100" s="29"/>
      <c r="H100" s="29"/>
      <c r="I100" s="32" t="str">
        <f>IF(Table13[[#This Row],[Type]]="Co-product", "No", "")</f>
        <v/>
      </c>
      <c r="J100" s="16"/>
      <c r="K100" s="16" t="str">
        <f>IF(Table13[[#This Row],[Category]]="Transportation", _xlfn.XLOOKUP(Table13[[#This Row],[Resource]], 'SI - Payload'!$A$10:$A$38,'SI - Payload'!$B$10:$B$38,"",0), "")</f>
        <v/>
      </c>
      <c r="L100" s="16" t="str">
        <f>IF(Table13[[#This Row],[Category]]="Transportation", "ton", "")</f>
        <v/>
      </c>
      <c r="M100" s="16"/>
      <c r="N100" s="16"/>
      <c r="O100" s="16" t="str">
        <f>IF(OR(Table13[[#This Row],[Type]]="Main Product", Table13[[#This Row],[Type]]="Co-Product"), Table13[[#This Row],[Resource]], "")</f>
        <v/>
      </c>
      <c r="P100" s="16" t="str">
        <f>IF(_xlfn.XLOOKUP($O100,'SI - End Use'!$B$2:$B$82,'SI - End Use'!$C$2:$C$82, "")="", "", _xlfn.XLOOKUP($C100,'SI - End Use'!$B$2:$B$82,'SI - End Use'!$C$2:$C$82, ""))</f>
        <v/>
      </c>
      <c r="Q100" s="16"/>
      <c r="R100" s="16"/>
    </row>
  </sheetData>
  <dataValidations count="6">
    <dataValidation type="list" allowBlank="1" showInputMessage="1" showErrorMessage="1" sqref="O5:O100" xr:uid="{68C9768B-9806-4339-90C0-7BD94BCFA6B7}">
      <formula1>" =XLOOKUP($B5,'SI - Resources'!$A$1:$I$1,INDIRECT(""Resource""))"</formula1>
    </dataValidation>
    <dataValidation type="decimal" operator="greaterThan" allowBlank="1" showInputMessage="1" showErrorMessage="1" error="Please type a positive number." sqref="K5:K100" xr:uid="{4D03F6DE-50B3-4C81-BA99-750A09223E55}">
      <formula1>0</formula1>
    </dataValidation>
    <dataValidation type="decimal" operator="greaterThan" allowBlank="1" showInputMessage="1" showErrorMessage="1" error="Please type a positive price." sqref="M5:M100" xr:uid="{6A9E1DC4-D7F8-4A90-9592-6268767BEEC7}">
      <formula1>0</formula1>
    </dataValidation>
    <dataValidation type="decimal" allowBlank="1" showInputMessage="1" showErrorMessage="1" error="Please type a number between 0 and 1." sqref="G5:G100" xr:uid="{51DF99B1-7E4D-4908-8E10-3633B0D3BAE3}">
      <formula1>0</formula1>
      <formula2>1</formula2>
    </dataValidation>
    <dataValidation type="custom" allowBlank="1" showInputMessage="1" showErrorMessage="1" sqref="E5:E100" xr:uid="{60F02D76-C111-4DBD-AC48-F193DC7F5ED8}">
      <formula1>ISNUMBER(E5)</formula1>
    </dataValidation>
    <dataValidation type="list" allowBlank="1" showInputMessage="1" showErrorMessage="1" sqref="C2" xr:uid="{54A9D3C2-949C-4BE3-B366-C0F7145FA1F8}">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516C354F-B84C-4F40-B5C8-53F6F3F72654}">
          <x14:formula1>
            <xm:f>IF($B5="Transportation",  'SI - Units'!$B$9:$E$9, _xlfn.XLOOKUP(_xlfn.XLOOKUP($C5,'SI - Units'!$B$24:$B$106,'SI - Units'!$C$24:$C$106),'SI - Units'!$A$2:$A$8,'SI - Units'!$B$2:$R$8))</xm:f>
          </x14:formula1>
          <xm:sqref>F5:F100</xm:sqref>
        </x14:dataValidation>
        <x14:dataValidation type="list" allowBlank="1" showInputMessage="1" showErrorMessage="1" xr:uid="{DCAAEC73-75EB-419D-8E56-2C577630E6D4}">
          <x14:formula1>
            <xm:f>_xlfn.XLOOKUP($O5,'SI - End Use'!$B$2:$B$82,'SI - End Use'!$C$2:$O$82)</xm:f>
          </x14:formula1>
          <xm:sqref>P5:P100</xm:sqref>
        </x14:dataValidation>
        <x14:dataValidation type="list" allowBlank="1" showInputMessage="1" xr:uid="{311BC0C8-C9A4-4CEC-A3F2-D63A188F16C8}">
          <x14:formula1>
            <xm:f>_xlfn.XLOOKUP($C5,'SI - End Use'!$B$2:$B$82,'SI - End Use'!$C$2:$O$82)</xm:f>
          </x14:formula1>
          <xm:sqref>D5:D100</xm:sqref>
        </x14:dataValidation>
        <x14:dataValidation type="list" allowBlank="1" showInputMessage="1" showErrorMessage="1" xr:uid="{D65B10EA-8281-4A92-BD09-239197EF5E39}">
          <x14:formula1>
            <xm:f>'SI - Co-products'!$B$2:$B$6</xm:f>
          </x14:formula1>
          <xm:sqref>A5:A100</xm:sqref>
        </x14:dataValidation>
        <x14:dataValidation type="list" allowBlank="1" showInputMessage="1" showErrorMessage="1" xr:uid="{AD906E01-257F-470F-BE20-A05A3BB5080A}">
          <x14:formula1>
            <xm:f>_xlfn.XLOOKUP($B5,'SI - Resources'!$A$1:$J$1,INDIRECT("Resource"))</xm:f>
          </x14:formula1>
          <xm:sqref>C5:C100</xm:sqref>
        </x14:dataValidation>
        <x14:dataValidation type="list" allowBlank="1" showInputMessage="1" showErrorMessage="1" xr:uid="{13204B3E-71D1-4D04-BBEC-A007C4D564D0}">
          <x14:formula1>
            <xm:f>'SI - Resources'!$A$1:$J$1</xm:f>
          </x14:formula1>
          <xm:sqref>B5:B100</xm:sqref>
        </x14:dataValidation>
        <x14:dataValidation type="list" allowBlank="1" showInputMessage="1" showErrorMessage="1" xr:uid="{ACFEE761-D4D3-4C28-9912-222D5000E593}">
          <x14:formula1>
            <xm:f>'SI - Units'!$B$10:$F$10</xm:f>
          </x14:formula1>
          <xm:sqref>L5:L100</xm:sqref>
        </x14:dataValidation>
        <x14:dataValidation type="list" allowBlank="1" showInputMessage="1" showErrorMessage="1" xr:uid="{87AA323E-B588-49DB-ABF8-1E5D45AD55B6}">
          <x14:formula1>
            <xm:f>IF($B5="Transportation",  'SI - Units'!$B$20:$E$20, _xlfn.XLOOKUP(_xlfn.XLOOKUP($C5,'SI - Units'!$B$24:$B$106,'SI - Units'!$C$24:$C$106),'SI - Units'!$A$13:$A$19,'SI - Units'!$B$13:$R$19))</xm:f>
          </x14:formula1>
          <xm:sqref>N5:N100</xm:sqref>
        </x14:dataValidation>
        <x14:dataValidation type="list" allowBlank="1" showInputMessage="1" showErrorMessage="1" xr:uid="{AA612412-9598-41F8-90A6-1D7E6B077222}">
          <x14:formula1>
            <xm:f>'SI - Co-products'!$C$2:$C$4</xm:f>
          </x14:formula1>
          <xm:sqref>I5:I100</xm:sqref>
        </x14:dataValidation>
        <x14:dataValidation type="list" allowBlank="1" showInputMessage="1" showErrorMessage="1" xr:uid="{EEFB38DE-4DEA-4869-B681-4C8E42DF81D2}">
          <x14:formula1>
            <xm:f>'SI - Co-products'!$A$2:$A$5</xm:f>
          </x14:formula1>
          <xm:sqref>J5:J100</xm:sqref>
        </x14:dataValidation>
        <x14:dataValidation type="list" allowBlank="1" showInputMessage="1" showErrorMessage="1" xr:uid="{78AD9D58-2649-4E5B-93CC-87D76CB19670}">
          <x14:formula1>
            <xm:f>_xlfn.XLOOKUP(_xlfn.XLOOKUP(#REF!,'SI - Units'!$B$24:$B$106,'SI - Units'!$C$24:$C$106),'SI - Units'!$A$2:$A$8,'SI - Units'!$B$2:$R$8)</xm:f>
          </x14:formula1>
          <xm:sqref>F4</xm:sqref>
        </x14:dataValidation>
        <x14:dataValidation type="list" allowBlank="1" showInputMessage="1" showErrorMessage="1" xr:uid="{295349B7-D5C2-4705-86DD-CBC75FE513E1}">
          <x14:formula1>
            <xm:f>'SI - Co-products'!$D$2:$D$8</xm:f>
          </x14:formula1>
          <xm:sqref>C1</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Introduction</vt:lpstr>
      <vt:lpstr>Template</vt:lpstr>
      <vt:lpstr>SI - Payload</vt:lpstr>
      <vt:lpstr>SI - Resources</vt:lpstr>
      <vt:lpstr>SI - End Use</vt:lpstr>
      <vt:lpstr>SI - Units</vt:lpstr>
      <vt:lpstr>SI - Co-products</vt:lpstr>
      <vt:lpstr>Algae growth</vt:lpstr>
      <vt:lpstr>Algae transportation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oulongwen</cp:lastModifiedBy>
  <dcterms:created xsi:type="dcterms:W3CDTF">2022-01-12T18:09:17Z</dcterms:created>
  <dcterms:modified xsi:type="dcterms:W3CDTF">2022-10-21T16:20:49Z</dcterms:modified>
</cp:coreProperties>
</file>