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764D5ED6-93E2-4AC7-AB33-3104184D5E1A}"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CO2 delivery" sheetId="25" r:id="rId8"/>
    <sheet name="Algae growth" sheetId="26" r:id="rId9"/>
    <sheet name="Fuel production" sheetId="27" r:id="rId10"/>
    <sheet name="Fuel combustion" sheetId="28"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8" l="1"/>
  <c r="Q100" i="28" s="1"/>
  <c r="M100" i="28"/>
  <c r="L100" i="28"/>
  <c r="I100" i="28"/>
  <c r="D100" i="28"/>
  <c r="C100" i="28"/>
  <c r="F100" i="28" s="1" a="1"/>
  <c r="F100" i="28" s="1"/>
  <c r="P99" i="28"/>
  <c r="Q99" i="28" s="1"/>
  <c r="M99" i="28"/>
  <c r="L99" i="28"/>
  <c r="I99" i="28"/>
  <c r="F99" i="28" a="1"/>
  <c r="F99" i="28" s="1"/>
  <c r="D99" i="28"/>
  <c r="C99" i="28"/>
  <c r="Q98" i="28"/>
  <c r="P98" i="28"/>
  <c r="M98" i="28"/>
  <c r="L98" i="28"/>
  <c r="I98" i="28"/>
  <c r="C98" i="28"/>
  <c r="F98" i="28" s="1" a="1"/>
  <c r="F98" i="28" s="1"/>
  <c r="P97" i="28"/>
  <c r="Q97" i="28" s="1"/>
  <c r="M97" i="28"/>
  <c r="L97" i="28"/>
  <c r="I97" i="28"/>
  <c r="D97" i="28"/>
  <c r="C97" i="28"/>
  <c r="F97" i="28" s="1" a="1"/>
  <c r="F97" i="28" s="1"/>
  <c r="P96" i="28"/>
  <c r="Q96" i="28" s="1"/>
  <c r="M96" i="28"/>
  <c r="L96" i="28"/>
  <c r="I96" i="28"/>
  <c r="F96" i="28" a="1"/>
  <c r="F96" i="28" s="1"/>
  <c r="C96" i="28"/>
  <c r="D96" i="28" s="1"/>
  <c r="Q95" i="28"/>
  <c r="P95" i="28"/>
  <c r="M95" i="28"/>
  <c r="L95" i="28"/>
  <c r="I95" i="28"/>
  <c r="C95" i="28"/>
  <c r="F95" i="28" s="1" a="1"/>
  <c r="F95" i="28" s="1"/>
  <c r="P94" i="28"/>
  <c r="Q94" i="28" s="1"/>
  <c r="M94" i="28"/>
  <c r="L94" i="28"/>
  <c r="I94" i="28"/>
  <c r="F94" i="28" a="1"/>
  <c r="F94" i="28" s="1"/>
  <c r="D94" i="28"/>
  <c r="C94" i="28"/>
  <c r="Q93" i="28"/>
  <c r="P93" i="28"/>
  <c r="M93" i="28"/>
  <c r="L93" i="28"/>
  <c r="I93" i="28"/>
  <c r="C93" i="28"/>
  <c r="F93" i="28" s="1" a="1"/>
  <c r="F93" i="28" s="1"/>
  <c r="Q92" i="28"/>
  <c r="P92" i="28"/>
  <c r="M92" i="28"/>
  <c r="L92" i="28"/>
  <c r="I92" i="28"/>
  <c r="D92" i="28"/>
  <c r="C92" i="28"/>
  <c r="F92" i="28" s="1" a="1"/>
  <c r="F92" i="28" s="1"/>
  <c r="P91" i="28"/>
  <c r="Q91" i="28" s="1"/>
  <c r="M91" i="28"/>
  <c r="L91" i="28"/>
  <c r="I91" i="28"/>
  <c r="F91" i="28" a="1"/>
  <c r="F91" i="28" s="1"/>
  <c r="D91" i="28"/>
  <c r="C91" i="28"/>
  <c r="Q90" i="28"/>
  <c r="P90" i="28"/>
  <c r="M90" i="28"/>
  <c r="L90" i="28"/>
  <c r="I90" i="28"/>
  <c r="C90" i="28"/>
  <c r="F90" i="28" s="1" a="1"/>
  <c r="F90" i="28" s="1"/>
  <c r="P89" i="28"/>
  <c r="Q89" i="28" s="1"/>
  <c r="M89" i="28"/>
  <c r="L89" i="28"/>
  <c r="I89" i="28"/>
  <c r="D89" i="28"/>
  <c r="C89" i="28"/>
  <c r="F89" i="28" s="1" a="1"/>
  <c r="F89" i="28" s="1"/>
  <c r="Q88" i="28"/>
  <c r="P88" i="28"/>
  <c r="M88" i="28"/>
  <c r="L88" i="28"/>
  <c r="I88" i="28"/>
  <c r="F88" i="28" a="1"/>
  <c r="F88" i="28" s="1"/>
  <c r="C88" i="28"/>
  <c r="D88" i="28" s="1"/>
  <c r="Q87" i="28"/>
  <c r="P87" i="28"/>
  <c r="M87" i="28"/>
  <c r="L87" i="28"/>
  <c r="I87" i="28"/>
  <c r="D87" i="28"/>
  <c r="C87" i="28"/>
  <c r="F87" i="28" s="1" a="1"/>
  <c r="F87" i="28" s="1"/>
  <c r="P86" i="28"/>
  <c r="Q86" i="28" s="1"/>
  <c r="M86" i="28"/>
  <c r="L86" i="28"/>
  <c r="I86" i="28"/>
  <c r="F86" i="28" a="1"/>
  <c r="F86" i="28" s="1"/>
  <c r="D86" i="28"/>
  <c r="C86" i="28"/>
  <c r="Q85" i="28"/>
  <c r="P85" i="28"/>
  <c r="M85" i="28"/>
  <c r="L85" i="28"/>
  <c r="I85" i="28"/>
  <c r="C85" i="28"/>
  <c r="F85" i="28" s="1" a="1"/>
  <c r="F85" i="28" s="1"/>
  <c r="Q84" i="28"/>
  <c r="P84" i="28"/>
  <c r="M84" i="28"/>
  <c r="L84" i="28"/>
  <c r="I84" i="28"/>
  <c r="D84" i="28"/>
  <c r="C84" i="28"/>
  <c r="F84" i="28" s="1" a="1"/>
  <c r="F84" i="28" s="1"/>
  <c r="P83" i="28"/>
  <c r="Q83" i="28" s="1"/>
  <c r="M83" i="28"/>
  <c r="L83" i="28"/>
  <c r="I83" i="28"/>
  <c r="F83" i="28" a="1"/>
  <c r="F83" i="28" s="1"/>
  <c r="D83" i="28"/>
  <c r="C83" i="28"/>
  <c r="Q82" i="28"/>
  <c r="P82" i="28"/>
  <c r="M82" i="28"/>
  <c r="L82" i="28"/>
  <c r="I82" i="28"/>
  <c r="C82" i="28"/>
  <c r="F82" i="28" s="1" a="1"/>
  <c r="F82" i="28" s="1"/>
  <c r="P81" i="28"/>
  <c r="Q81" i="28" s="1"/>
  <c r="M81" i="28"/>
  <c r="L81" i="28"/>
  <c r="I81" i="28"/>
  <c r="D81" i="28"/>
  <c r="C81" i="28"/>
  <c r="F81" i="28" s="1" a="1"/>
  <c r="F81" i="28" s="1"/>
  <c r="Q80" i="28"/>
  <c r="P80" i="28"/>
  <c r="M80" i="28"/>
  <c r="L80" i="28"/>
  <c r="I80" i="28"/>
  <c r="F80" i="28" a="1"/>
  <c r="F80" i="28" s="1"/>
  <c r="C80" i="28"/>
  <c r="D80" i="28" s="1"/>
  <c r="Q79" i="28"/>
  <c r="P79" i="28"/>
  <c r="M79" i="28"/>
  <c r="L79" i="28"/>
  <c r="I79" i="28"/>
  <c r="D79" i="28"/>
  <c r="C79" i="28"/>
  <c r="F79" i="28" s="1" a="1"/>
  <c r="F79" i="28" s="1"/>
  <c r="P78" i="28"/>
  <c r="Q78" i="28" s="1"/>
  <c r="M78" i="28"/>
  <c r="L78" i="28"/>
  <c r="I78" i="28"/>
  <c r="F78" i="28" a="1"/>
  <c r="F78" i="28" s="1"/>
  <c r="D78" i="28"/>
  <c r="C78" i="28"/>
  <c r="Q77" i="28"/>
  <c r="P77" i="28"/>
  <c r="M77" i="28"/>
  <c r="L77" i="28"/>
  <c r="I77" i="28"/>
  <c r="C77" i="28"/>
  <c r="F77" i="28" s="1" a="1"/>
  <c r="F77" i="28" s="1"/>
  <c r="Q76" i="28"/>
  <c r="P76" i="28"/>
  <c r="M76" i="28"/>
  <c r="L76" i="28"/>
  <c r="I76" i="28"/>
  <c r="D76" i="28"/>
  <c r="C76" i="28"/>
  <c r="F76" i="28" s="1" a="1"/>
  <c r="F76" i="28" s="1"/>
  <c r="P75" i="28"/>
  <c r="Q75" i="28" s="1"/>
  <c r="M75" i="28"/>
  <c r="L75" i="28"/>
  <c r="I75" i="28"/>
  <c r="F75" i="28" a="1"/>
  <c r="F75" i="28" s="1"/>
  <c r="D75" i="28"/>
  <c r="C75" i="28"/>
  <c r="Q74" i="28"/>
  <c r="P74" i="28"/>
  <c r="M74" i="28"/>
  <c r="L74" i="28"/>
  <c r="I74" i="28"/>
  <c r="C74" i="28"/>
  <c r="F74" i="28" s="1" a="1"/>
  <c r="F74" i="28" s="1"/>
  <c r="P73" i="28"/>
  <c r="Q73" i="28" s="1"/>
  <c r="M73" i="28"/>
  <c r="L73" i="28"/>
  <c r="I73" i="28"/>
  <c r="F73" i="28" a="1"/>
  <c r="F73" i="28" s="1"/>
  <c r="D73" i="28"/>
  <c r="C73" i="28"/>
  <c r="Q72" i="28"/>
  <c r="P72" i="28"/>
  <c r="M72" i="28"/>
  <c r="L72" i="28"/>
  <c r="I72" i="28"/>
  <c r="F72" i="28" a="1"/>
  <c r="F72" i="28" s="1"/>
  <c r="C72" i="28"/>
  <c r="D72" i="28" s="1"/>
  <c r="Q71" i="28"/>
  <c r="P71" i="28"/>
  <c r="M71" i="28"/>
  <c r="L71" i="28"/>
  <c r="I71" i="28"/>
  <c r="D71" i="28"/>
  <c r="C71" i="28"/>
  <c r="F71" i="28" s="1" a="1"/>
  <c r="F71" i="28" s="1"/>
  <c r="P70" i="28"/>
  <c r="Q70" i="28" s="1"/>
  <c r="M70" i="28"/>
  <c r="L70" i="28"/>
  <c r="I70" i="28"/>
  <c r="F70" i="28" a="1"/>
  <c r="F70" i="28" s="1"/>
  <c r="D70" i="28"/>
  <c r="C70" i="28"/>
  <c r="Q69" i="28"/>
  <c r="P69" i="28"/>
  <c r="M69" i="28"/>
  <c r="L69" i="28"/>
  <c r="I69" i="28"/>
  <c r="C69" i="28"/>
  <c r="F69" i="28" s="1" a="1"/>
  <c r="F69" i="28" s="1"/>
  <c r="P68" i="28"/>
  <c r="Q68" i="28" s="1"/>
  <c r="M68" i="28"/>
  <c r="L68" i="28"/>
  <c r="I68" i="28"/>
  <c r="D68" i="28"/>
  <c r="C68" i="28"/>
  <c r="F68" i="28" s="1" a="1"/>
  <c r="F68" i="28" s="1"/>
  <c r="P67" i="28"/>
  <c r="Q67" i="28" s="1"/>
  <c r="M67" i="28"/>
  <c r="L67" i="28"/>
  <c r="I67" i="28"/>
  <c r="F67" i="28" a="1"/>
  <c r="F67" i="28" s="1"/>
  <c r="C67" i="28"/>
  <c r="D67" i="28" s="1"/>
  <c r="Q66" i="28"/>
  <c r="P66" i="28"/>
  <c r="M66" i="28"/>
  <c r="L66" i="28"/>
  <c r="I66" i="28"/>
  <c r="C66" i="28"/>
  <c r="F66" i="28" s="1" a="1"/>
  <c r="F66" i="28" s="1"/>
  <c r="P65" i="28"/>
  <c r="Q65" i="28" s="1"/>
  <c r="M65" i="28"/>
  <c r="L65" i="28"/>
  <c r="I65" i="28"/>
  <c r="F65" i="28" a="1"/>
  <c r="F65" i="28" s="1"/>
  <c r="D65" i="28"/>
  <c r="C65" i="28"/>
  <c r="Q64" i="28"/>
  <c r="P64" i="28"/>
  <c r="M64" i="28"/>
  <c r="L64" i="28"/>
  <c r="I64" i="28"/>
  <c r="F64" i="28" a="1"/>
  <c r="F64" i="28" s="1"/>
  <c r="C64" i="28"/>
  <c r="D64" i="28" s="1"/>
  <c r="Q63" i="28"/>
  <c r="P63" i="28"/>
  <c r="M63" i="28"/>
  <c r="L63" i="28"/>
  <c r="I63" i="28"/>
  <c r="D63" i="28"/>
  <c r="C63" i="28"/>
  <c r="F63" i="28" s="1" a="1"/>
  <c r="F63" i="28" s="1"/>
  <c r="P62" i="28"/>
  <c r="Q62" i="28" s="1"/>
  <c r="M62" i="28"/>
  <c r="L62" i="28"/>
  <c r="I62" i="28"/>
  <c r="F62" i="28" a="1"/>
  <c r="F62" i="28" s="1"/>
  <c r="D62" i="28"/>
  <c r="C62" i="28"/>
  <c r="Q61" i="28"/>
  <c r="P61" i="28"/>
  <c r="M61" i="28"/>
  <c r="L61" i="28"/>
  <c r="I61" i="28"/>
  <c r="C61" i="28"/>
  <c r="F61" i="28" s="1" a="1"/>
  <c r="F61" i="28" s="1"/>
  <c r="P60" i="28"/>
  <c r="Q60" i="28" s="1"/>
  <c r="M60" i="28"/>
  <c r="L60" i="28"/>
  <c r="I60" i="28"/>
  <c r="D60" i="28"/>
  <c r="C60" i="28"/>
  <c r="F60" i="28" s="1" a="1"/>
  <c r="F60" i="28" s="1"/>
  <c r="P59" i="28"/>
  <c r="Q59" i="28" s="1"/>
  <c r="M59" i="28"/>
  <c r="L59" i="28"/>
  <c r="I59" i="28"/>
  <c r="F59" i="28" a="1"/>
  <c r="F59" i="28" s="1"/>
  <c r="C59" i="28"/>
  <c r="D59" i="28" s="1"/>
  <c r="Q58" i="28"/>
  <c r="P58" i="28"/>
  <c r="M58" i="28"/>
  <c r="L58" i="28"/>
  <c r="I58" i="28"/>
  <c r="C58" i="28"/>
  <c r="F58" i="28" s="1" a="1"/>
  <c r="F58" i="28" s="1"/>
  <c r="P57" i="28"/>
  <c r="Q57" i="28" s="1"/>
  <c r="M57" i="28"/>
  <c r="L57" i="28"/>
  <c r="I57" i="28"/>
  <c r="F57" i="28" a="1"/>
  <c r="F57" i="28" s="1"/>
  <c r="D57" i="28"/>
  <c r="C57" i="28"/>
  <c r="Q56" i="28"/>
  <c r="P56" i="28"/>
  <c r="M56" i="28"/>
  <c r="L56" i="28"/>
  <c r="I56" i="28"/>
  <c r="F56" i="28" a="1"/>
  <c r="F56" i="28" s="1"/>
  <c r="C56" i="28"/>
  <c r="D56" i="28" s="1"/>
  <c r="Q55" i="28"/>
  <c r="P55" i="28"/>
  <c r="M55" i="28"/>
  <c r="L55" i="28"/>
  <c r="I55" i="28"/>
  <c r="D55" i="28"/>
  <c r="C55" i="28"/>
  <c r="F55" i="28" s="1" a="1"/>
  <c r="F55" i="28" s="1"/>
  <c r="P54" i="28"/>
  <c r="Q54" i="28" s="1"/>
  <c r="M54" i="28"/>
  <c r="L54" i="28"/>
  <c r="I54" i="28"/>
  <c r="F54" i="28" a="1"/>
  <c r="F54" i="28" s="1"/>
  <c r="D54" i="28"/>
  <c r="C54" i="28"/>
  <c r="Q53" i="28"/>
  <c r="P53" i="28"/>
  <c r="M53" i="28"/>
  <c r="L53" i="28"/>
  <c r="I53" i="28"/>
  <c r="C53" i="28"/>
  <c r="F53" i="28" s="1" a="1"/>
  <c r="F53" i="28" s="1"/>
  <c r="P52" i="28"/>
  <c r="Q52" i="28" s="1"/>
  <c r="M52" i="28"/>
  <c r="L52" i="28"/>
  <c r="I52" i="28"/>
  <c r="D52" i="28"/>
  <c r="C52" i="28"/>
  <c r="F52" i="28" s="1" a="1"/>
  <c r="F52" i="28" s="1"/>
  <c r="P51" i="28"/>
  <c r="Q51" i="28" s="1"/>
  <c r="M51" i="28"/>
  <c r="L51" i="28"/>
  <c r="I51" i="28"/>
  <c r="F51" i="28" a="1"/>
  <c r="F51" i="28" s="1"/>
  <c r="C51" i="28"/>
  <c r="D51" i="28" s="1"/>
  <c r="Q50" i="28"/>
  <c r="P50" i="28"/>
  <c r="M50" i="28"/>
  <c r="L50" i="28"/>
  <c r="I50" i="28"/>
  <c r="C50" i="28"/>
  <c r="F50" i="28" s="1" a="1"/>
  <c r="F50" i="28" s="1"/>
  <c r="P49" i="28"/>
  <c r="Q49" i="28" s="1"/>
  <c r="M49" i="28"/>
  <c r="L49" i="28"/>
  <c r="I49" i="28"/>
  <c r="F49" i="28" a="1"/>
  <c r="F49" i="28" s="1"/>
  <c r="D49" i="28"/>
  <c r="C49" i="28"/>
  <c r="Q48" i="28"/>
  <c r="P48" i="28"/>
  <c r="M48" i="28"/>
  <c r="L48" i="28"/>
  <c r="I48" i="28"/>
  <c r="F48" i="28" a="1"/>
  <c r="F48" i="28" s="1"/>
  <c r="C48" i="28"/>
  <c r="D48" i="28" s="1"/>
  <c r="Q47" i="28"/>
  <c r="P47" i="28"/>
  <c r="M47" i="28"/>
  <c r="L47" i="28"/>
  <c r="I47" i="28"/>
  <c r="D47" i="28"/>
  <c r="C47" i="28"/>
  <c r="F47" i="28" s="1" a="1"/>
  <c r="F47" i="28" s="1"/>
  <c r="P46" i="28"/>
  <c r="Q46" i="28" s="1"/>
  <c r="M46" i="28"/>
  <c r="L46" i="28"/>
  <c r="I46" i="28"/>
  <c r="F46" i="28" a="1"/>
  <c r="F46" i="28" s="1"/>
  <c r="D46" i="28"/>
  <c r="C46" i="28"/>
  <c r="Q45" i="28"/>
  <c r="P45" i="28"/>
  <c r="M45" i="28"/>
  <c r="L45" i="28"/>
  <c r="I45" i="28"/>
  <c r="C45" i="28"/>
  <c r="F45" i="28" s="1" a="1"/>
  <c r="F45" i="28" s="1"/>
  <c r="P44" i="28"/>
  <c r="Q44" i="28" s="1"/>
  <c r="M44" i="28"/>
  <c r="L44" i="28"/>
  <c r="I44" i="28"/>
  <c r="D44" i="28"/>
  <c r="C44" i="28"/>
  <c r="F44" i="28" s="1" a="1"/>
  <c r="F44" i="28" s="1"/>
  <c r="P43" i="28"/>
  <c r="Q43" i="28" s="1"/>
  <c r="M43" i="28"/>
  <c r="L43" i="28"/>
  <c r="I43" i="28"/>
  <c r="C43" i="28"/>
  <c r="D43" i="28" s="1"/>
  <c r="Q42" i="28"/>
  <c r="P42" i="28"/>
  <c r="M42" i="28"/>
  <c r="L42" i="28"/>
  <c r="I42" i="28"/>
  <c r="C42" i="28"/>
  <c r="F42" i="28" s="1" a="1"/>
  <c r="F42" i="28" s="1"/>
  <c r="P41" i="28"/>
  <c r="Q41" i="28" s="1"/>
  <c r="M41" i="28"/>
  <c r="L41" i="28"/>
  <c r="I41" i="28"/>
  <c r="F41" i="28" a="1"/>
  <c r="F41" i="28" s="1"/>
  <c r="D41" i="28"/>
  <c r="C41" i="28"/>
  <c r="Q40" i="28"/>
  <c r="P40" i="28"/>
  <c r="M40" i="28"/>
  <c r="L40" i="28"/>
  <c r="I40" i="28"/>
  <c r="C40" i="28"/>
  <c r="D40" i="28" s="1"/>
  <c r="Q39" i="28"/>
  <c r="P39" i="28"/>
  <c r="M39" i="28"/>
  <c r="L39" i="28"/>
  <c r="I39" i="28"/>
  <c r="D39" i="28"/>
  <c r="C39" i="28"/>
  <c r="F39" i="28" s="1" a="1"/>
  <c r="F39" i="28" s="1"/>
  <c r="P38" i="28"/>
  <c r="Q38" i="28" s="1"/>
  <c r="M38" i="28"/>
  <c r="L38" i="28"/>
  <c r="I38" i="28"/>
  <c r="F38" i="28" a="1"/>
  <c r="F38" i="28" s="1"/>
  <c r="D38" i="28"/>
  <c r="C38" i="28"/>
  <c r="Q37" i="28"/>
  <c r="P37" i="28"/>
  <c r="M37" i="28"/>
  <c r="L37" i="28"/>
  <c r="I37" i="28"/>
  <c r="C37" i="28"/>
  <c r="F37" i="28" s="1" a="1"/>
  <c r="F37" i="28" s="1"/>
  <c r="P36" i="28"/>
  <c r="Q36" i="28" s="1"/>
  <c r="M36" i="28"/>
  <c r="L36" i="28"/>
  <c r="I36" i="28"/>
  <c r="D36" i="28"/>
  <c r="C36" i="28"/>
  <c r="F36" i="28" s="1" a="1"/>
  <c r="F36" i="28" s="1"/>
  <c r="P35" i="28"/>
  <c r="Q35" i="28" s="1"/>
  <c r="M35" i="28"/>
  <c r="L35" i="28"/>
  <c r="I35" i="28"/>
  <c r="C35" i="28"/>
  <c r="D35" i="28" s="1"/>
  <c r="Q34" i="28"/>
  <c r="P34" i="28"/>
  <c r="M34" i="28"/>
  <c r="L34" i="28"/>
  <c r="I34" i="28"/>
  <c r="C34" i="28"/>
  <c r="F34" i="28" s="1" a="1"/>
  <c r="F34" i="28" s="1"/>
  <c r="P33" i="28"/>
  <c r="Q33" i="28" s="1"/>
  <c r="M33" i="28"/>
  <c r="L33" i="28"/>
  <c r="I33" i="28"/>
  <c r="F33" i="28" a="1"/>
  <c r="F33" i="28" s="1"/>
  <c r="D33" i="28"/>
  <c r="C33" i="28"/>
  <c r="Q32" i="28"/>
  <c r="P32" i="28"/>
  <c r="M32" i="28"/>
  <c r="L32" i="28"/>
  <c r="I32" i="28"/>
  <c r="C32" i="28"/>
  <c r="D32" i="28" s="1"/>
  <c r="Q31" i="28"/>
  <c r="P31" i="28"/>
  <c r="M31" i="28"/>
  <c r="L31" i="28"/>
  <c r="I31" i="28"/>
  <c r="D31" i="28"/>
  <c r="C31" i="28"/>
  <c r="F31" i="28" s="1" a="1"/>
  <c r="F31" i="28" s="1"/>
  <c r="P30" i="28"/>
  <c r="Q30" i="28" s="1"/>
  <c r="M30" i="28"/>
  <c r="L30" i="28"/>
  <c r="I30" i="28"/>
  <c r="F30" i="28" a="1"/>
  <c r="F30" i="28" s="1"/>
  <c r="D30" i="28"/>
  <c r="C30" i="28"/>
  <c r="Q29" i="28"/>
  <c r="P29" i="28"/>
  <c r="M29" i="28"/>
  <c r="L29" i="28"/>
  <c r="I29" i="28"/>
  <c r="C29" i="28"/>
  <c r="F29" i="28" s="1" a="1"/>
  <c r="F29" i="28" s="1"/>
  <c r="P28" i="28"/>
  <c r="Q28" i="28" s="1"/>
  <c r="M28" i="28"/>
  <c r="L28" i="28"/>
  <c r="I28" i="28"/>
  <c r="D28" i="28"/>
  <c r="C28" i="28"/>
  <c r="F28" i="28" s="1" a="1"/>
  <c r="F28" i="28" s="1"/>
  <c r="P27" i="28"/>
  <c r="Q27" i="28" s="1"/>
  <c r="M27" i="28"/>
  <c r="L27" i="28"/>
  <c r="I27" i="28"/>
  <c r="C27" i="28"/>
  <c r="D27" i="28" s="1"/>
  <c r="Q26" i="28"/>
  <c r="P26" i="28"/>
  <c r="M26" i="28"/>
  <c r="L26" i="28"/>
  <c r="I26" i="28"/>
  <c r="C26" i="28"/>
  <c r="F26" i="28" s="1" a="1"/>
  <c r="F26" i="28" s="1"/>
  <c r="P25" i="28"/>
  <c r="Q25" i="28" s="1"/>
  <c r="M25" i="28"/>
  <c r="L25" i="28"/>
  <c r="I25" i="28"/>
  <c r="F25" i="28" a="1"/>
  <c r="F25" i="28" s="1"/>
  <c r="D25" i="28"/>
  <c r="C25" i="28"/>
  <c r="Q24" i="28"/>
  <c r="P24" i="28"/>
  <c r="M24" i="28"/>
  <c r="L24" i="28"/>
  <c r="I24" i="28"/>
  <c r="C24" i="28"/>
  <c r="D24" i="28" s="1"/>
  <c r="Q23" i="28"/>
  <c r="P23" i="28"/>
  <c r="M23" i="28"/>
  <c r="L23" i="28"/>
  <c r="I23" i="28"/>
  <c r="D23" i="28"/>
  <c r="C23" i="28"/>
  <c r="F23" i="28" s="1" a="1"/>
  <c r="F23" i="28" s="1"/>
  <c r="P22" i="28"/>
  <c r="Q22" i="28" s="1"/>
  <c r="M22" i="28"/>
  <c r="L22" i="28"/>
  <c r="I22" i="28"/>
  <c r="F22" i="28" a="1"/>
  <c r="F22" i="28" s="1"/>
  <c r="D22" i="28"/>
  <c r="C22" i="28"/>
  <c r="Q21" i="28"/>
  <c r="P21" i="28"/>
  <c r="M21" i="28"/>
  <c r="L21" i="28"/>
  <c r="I21" i="28"/>
  <c r="C21" i="28"/>
  <c r="F21" i="28" s="1" a="1"/>
  <c r="F21" i="28" s="1"/>
  <c r="P20" i="28"/>
  <c r="Q20" i="28" s="1"/>
  <c r="M20" i="28"/>
  <c r="L20" i="28"/>
  <c r="I20" i="28"/>
  <c r="D20" i="28"/>
  <c r="C20" i="28"/>
  <c r="F20" i="28" s="1" a="1"/>
  <c r="F20" i="28" s="1"/>
  <c r="P19" i="28"/>
  <c r="Q19" i="28" s="1"/>
  <c r="M19" i="28"/>
  <c r="L19" i="28"/>
  <c r="I19" i="28"/>
  <c r="C19" i="28"/>
  <c r="D19" i="28" s="1"/>
  <c r="Q18" i="28"/>
  <c r="P18" i="28"/>
  <c r="M18" i="28"/>
  <c r="L18" i="28"/>
  <c r="I18" i="28"/>
  <c r="C18" i="28"/>
  <c r="F18" i="28" s="1" a="1"/>
  <c r="F18" i="28" s="1"/>
  <c r="P17" i="28"/>
  <c r="Q17" i="28" s="1"/>
  <c r="M17" i="28"/>
  <c r="L17" i="28"/>
  <c r="I17" i="28"/>
  <c r="F17" i="28" a="1"/>
  <c r="F17" i="28" s="1"/>
  <c r="D17" i="28"/>
  <c r="C17" i="28"/>
  <c r="Q16" i="28"/>
  <c r="P16" i="28"/>
  <c r="M16" i="28"/>
  <c r="L16" i="28"/>
  <c r="I16" i="28"/>
  <c r="C16" i="28"/>
  <c r="D16" i="28" s="1"/>
  <c r="Q15" i="28"/>
  <c r="P15" i="28"/>
  <c r="M15" i="28"/>
  <c r="L15" i="28"/>
  <c r="I15" i="28"/>
  <c r="D15" i="28"/>
  <c r="C15" i="28"/>
  <c r="F15" i="28" s="1" a="1"/>
  <c r="F15" i="28" s="1"/>
  <c r="P14" i="28"/>
  <c r="Q14" i="28" s="1"/>
  <c r="M14" i="28"/>
  <c r="L14" i="28"/>
  <c r="I14" i="28"/>
  <c r="F14" i="28" a="1"/>
  <c r="F14" i="28" s="1"/>
  <c r="D14" i="28"/>
  <c r="C14" i="28"/>
  <c r="Q13" i="28"/>
  <c r="P13" i="28"/>
  <c r="M13" i="28"/>
  <c r="L13" i="28"/>
  <c r="I13" i="28"/>
  <c r="C13" i="28"/>
  <c r="F13" i="28" s="1" a="1"/>
  <c r="F13" i="28" s="1"/>
  <c r="P12" i="28"/>
  <c r="Q12" i="28" s="1"/>
  <c r="M12" i="28"/>
  <c r="L12" i="28"/>
  <c r="I12" i="28"/>
  <c r="D12" i="28"/>
  <c r="C12" i="28"/>
  <c r="F12" i="28" s="1" a="1"/>
  <c r="F12" i="28" s="1"/>
  <c r="P11" i="28"/>
  <c r="Q11" i="28" s="1"/>
  <c r="M11" i="28"/>
  <c r="L11" i="28"/>
  <c r="I11" i="28"/>
  <c r="C11" i="28"/>
  <c r="D11" i="28" s="1"/>
  <c r="Q10" i="28"/>
  <c r="P10" i="28"/>
  <c r="M10" i="28"/>
  <c r="L10" i="28"/>
  <c r="I10" i="28"/>
  <c r="C10" i="28"/>
  <c r="F10" i="28" s="1" a="1"/>
  <c r="F10" i="28" s="1"/>
  <c r="P9" i="28"/>
  <c r="Q9" i="28" s="1"/>
  <c r="M9" i="28"/>
  <c r="L9" i="28"/>
  <c r="I9" i="28"/>
  <c r="F9" i="28" a="1"/>
  <c r="F9" i="28" s="1"/>
  <c r="D9" i="28"/>
  <c r="C9" i="28"/>
  <c r="Q8" i="28"/>
  <c r="P8" i="28"/>
  <c r="M8" i="28"/>
  <c r="L8" i="28"/>
  <c r="I8" i="28"/>
  <c r="C8" i="28"/>
  <c r="D8" i="28" s="1"/>
  <c r="M7" i="28"/>
  <c r="L7" i="28"/>
  <c r="I7" i="28"/>
  <c r="P6" i="28"/>
  <c r="Q6" i="28" s="1"/>
  <c r="M6" i="28"/>
  <c r="L6" i="28"/>
  <c r="I6" i="28"/>
  <c r="E44" i="27"/>
  <c r="E40" i="27"/>
  <c r="E33" i="27"/>
  <c r="E32" i="27"/>
  <c r="E31" i="27"/>
  <c r="E30" i="27"/>
  <c r="E29" i="27"/>
  <c r="E28" i="27"/>
  <c r="E19" i="27"/>
  <c r="F24" i="28" l="1" a="1"/>
  <c r="F24" i="28" s="1"/>
  <c r="D26" i="28"/>
  <c r="F19" i="28" a="1"/>
  <c r="F19" i="28" s="1"/>
  <c r="F27" i="28" a="1"/>
  <c r="F27" i="28" s="1"/>
  <c r="F35" i="28" a="1"/>
  <c r="F35" i="28" s="1"/>
  <c r="F16" i="28" a="1"/>
  <c r="F16" i="28" s="1"/>
  <c r="F32" i="28" a="1"/>
  <c r="F32" i="28" s="1"/>
  <c r="F40" i="28" a="1"/>
  <c r="F40" i="28" s="1"/>
  <c r="D18" i="28"/>
  <c r="F11" i="28" a="1"/>
  <c r="F11" i="28" s="1"/>
  <c r="F43" i="28" a="1"/>
  <c r="F43" i="28" s="1"/>
  <c r="D13" i="28"/>
  <c r="D21" i="28"/>
  <c r="D29" i="28"/>
  <c r="D37" i="28"/>
  <c r="D45" i="28"/>
  <c r="D53" i="28"/>
  <c r="D61" i="28"/>
  <c r="D69" i="28"/>
  <c r="D77" i="28"/>
  <c r="D85" i="28"/>
  <c r="D93" i="28"/>
  <c r="F8" i="28" a="1"/>
  <c r="F8" i="28" s="1"/>
  <c r="D10" i="28"/>
  <c r="D95" i="28"/>
  <c r="D74" i="28"/>
  <c r="D82" i="28"/>
  <c r="D90" i="28"/>
  <c r="D98" i="28"/>
  <c r="D34" i="28"/>
  <c r="D42" i="28"/>
  <c r="D50" i="28"/>
  <c r="D58" i="28"/>
  <c r="D66" i="28"/>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<sst xmlns="http://schemas.openxmlformats.org/spreadsheetml/2006/main" count="1311" uniqueCount="351">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</sst>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4EB1C76-5F3C-4E48-BF9C-EE8D380B7A10}" name="Table111" displayName="Table111" ref="A5:T100" totalsRowShown="0" headerRowDxfId="22" dataDxfId="21" tableBorderDxfId="20" dataCellStyle="Percent">
  <autoFilter ref="A5:T100" xr:uid="{1644AED8-49DE-4A1D-989C-1566C9A522B9}"/>
  <tableColumns count="20">
    <tableColumn id="1" xr3:uid="{C80D6101-9951-48FC-81F9-D0AAE61D7143}" name="Type" dataDxfId="19"/>
    <tableColumn id="2" xr3:uid="{0BE8CA9C-6DD2-4254-B859-8FD90AB9CE77}" name="Category" dataDxfId="18"/>
    <tableColumn id="3" xr3:uid="{CDB67940-0610-42F7-9EF4-C72B90CFBD80}" name="Resource" dataDxfId="17">
      <calculatedColumnFormula>_xlfn.XLOOKUP($B6,'SI - Resources'!$A$1:$J$1,'SI - Resources'!$A$2:$J$2, "")</calculatedColumnFormula>
    </tableColumn>
    <tableColumn id="4" xr3:uid="{2910918F-13CF-492C-96F5-767E0B2B7606}" name="End Use" dataDxfId="16">
      <calculatedColumnFormula>IF(_xlfn.XLOOKUP($C6,'SI - End Use'!$B$2:$B$6,'SI - End Use'!$C$2:$C$6, "")="", "", _xlfn.XLOOKUP($C6,'SI - End Use'!$B$2:$B$6,'SI - End Use'!$C$2:$C$6, ""))</calculatedColumnFormula>
    </tableColumn>
    <tableColumn id="5" xr3:uid="{925C49B4-6CCD-4227-9B4C-D54200A2C2B0}" name="Amount" dataDxfId="15" dataCellStyle="Comma"/>
    <tableColumn id="6" xr3:uid="{06BEE6CF-BC77-45E7-A62E-545EDD98170F}" name="Unit" dataDxfId="14">
      <calculatedColumnFormula array="1">IF($B6="Transportation",  'SI - Units'!$B$9:$B$9, _xlfn.XLOOKUP(_xlfn.XLOOKUP($C6,'SI - Units'!$B$24:$B$109,'SI - Units'!$C$24:$C$109, ""),'SI - Units'!$A$2:$A$8,'SI - Units'!$B$2:$B$8, ""))</calculatedColumnFormula>
    </tableColumn>
    <tableColumn id="7" xr3:uid="{5A396A23-2F2B-4588-8087-1004300A9916}" name="Moisture" dataDxfId="13" dataCellStyle="Percent"/>
    <tableColumn id="8" xr3:uid="{50C232B9-49B9-409F-BC8D-E0D9C938DC88}" name="Previous Stage" dataDxfId="12" dataCellStyle="Percent"/>
    <tableColumn id="9" xr3:uid="{351E685D-7135-4E18-8E91-68919C9969EC}" name="Always Use Displacement Method for Co-Product?" dataDxfId="11" dataCellStyle="Percent">
      <calculatedColumnFormula>IF(Table111[[#This Row],[Type]]="Co-product", "No", "")</calculatedColumnFormula>
    </tableColumn>
    <tableColumn id="19" xr3:uid="{F6458074-B525-45BE-8ECE-01A0BFB32CB8}" name="Urban Share" dataDxfId="10" dataCellStyle="Percent"/>
    <tableColumn id="10" xr3:uid="{E292492E-0E06-48B8-B1E9-706DD8602F34}" name="Product Train" dataDxfId="9"/>
    <tableColumn id="14" xr3:uid="{63542D4A-AC94-4614-A249-91F59ACE56B1}" name="Payload" dataDxfId="8">
      <calculatedColumnFormula>IF(Table111[[#This Row],[Category]]="Transportation", _xlfn.XLOOKUP(Table111[[#This Row],[Resource]], 'SI - Payload'!$A$10:$A$38,'SI - Payload'!$B$10:$B$38,"",0), "")</calculatedColumnFormula>
    </tableColumn>
    <tableColumn id="15" xr3:uid="{47E9758A-D28E-4D87-8670-BB50539CD238}" name="Payload Unit" dataDxfId="7">
      <calculatedColumnFormula>IF(Table111[[#This Row],[Category]]="Transportation", "ton", "")</calculatedColumnFormula>
    </tableColumn>
    <tableColumn id="16" xr3:uid="{F27D9481-3F4B-4DE7-A692-E3EEDDF382D2}" name="Market Price" dataDxfId="6"/>
    <tableColumn id="17" xr3:uid="{F7EABDAA-B85A-4A40-9336-5AF98756C8A1}" name="Market Price Unit" dataDxfId="5"/>
    <tableColumn id="12" xr3:uid="{AC9D26E5-D0ED-456D-AD3A-5D55A84E2E50}" name="Incumbent Product" dataDxfId="4">
      <calculatedColumnFormula>IF(OR(Table111[[#This Row],[Type]]="Main Product", Table111[[#This Row],[Type]]="Co-Product"), Table111[[#This Row],[Resource]], "")</calculatedColumnFormula>
    </tableColumn>
    <tableColumn id="13" xr3:uid="{0D9E4634-FA27-448F-8E5A-852895B9592F}" name="End Use of Incumbent Product" dataDxfId="3">
      <calculatedColumnFormula>IF(_xlfn.XLOOKUP($P6,'SI - End Use'!$B$2:$B$6,'SI - End Use'!$C$2:$C$6, "")="", "", _xlfn.XLOOKUP($C6,'SI - End Use'!$B$2:$B$6,'SI - End Use'!$C$2:$C$6, ""))</calculatedColumnFormula>
    </tableColumn>
    <tableColumn id="20" xr3:uid="{127D93EA-C472-44FC-B308-296C2AE760AE}" name="Surrogate For" dataDxfId="2"/>
    <tableColumn id="18" xr3:uid="{01C0E293-ACB9-43BC-9F14-4687B358E86C}" name="Process" dataDxfId="1"/>
    <tableColumn id="11" xr3:uid="{1FC7D5D6-B316-4652-B9E9-71D9EF60CA6B}"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 activePane="bottomLeft" state="frozen"/>
      <selection pane="bottomLeft" activeCell="A34" sqref="A34"/>
    </sheetView>
  </sheetViews>
  <sheetFormatPr defaultRowHeight="14.5"/>
  <cols>
    <col min="1" max="1" width="46.1796875" customWidth="1"/>
    <col min="2" max="2" width="139.54296875" customWidth="1"/>
  </cols>
  <sheetData>
    <row r="1" spans="1:3" ht="64" customHeight="1"/>
    <row r="2" spans="1:3" ht="103.5" customHeight="1">
      <c r="A2" s="65" t="s">
        <v>261</v>
      </c>
      <c r="B2" s="65"/>
    </row>
    <row r="3" spans="1:3" ht="29.15" customHeight="1">
      <c r="A3" s="67" t="s">
        <v>274</v>
      </c>
      <c r="B3" s="67"/>
    </row>
    <row r="4" spans="1:3" ht="28" customHeight="1">
      <c r="A4" s="19"/>
      <c r="B4" s="19"/>
    </row>
    <row r="5" spans="1:3" ht="28" customHeight="1">
      <c r="A5" s="66" t="s">
        <v>260</v>
      </c>
      <c r="B5" s="66"/>
    </row>
    <row r="6" spans="1:3" ht="28" customHeight="1">
      <c r="A6" s="21" t="s">
        <v>119</v>
      </c>
      <c r="B6" s="20"/>
    </row>
    <row r="7" spans="1:3">
      <c r="A7" s="23" t="s">
        <v>125</v>
      </c>
      <c r="B7" s="15" t="s">
        <v>256</v>
      </c>
    </row>
    <row r="8" spans="1:3">
      <c r="A8" s="23" t="s">
        <v>262</v>
      </c>
      <c r="B8" s="22" t="s">
        <v>263</v>
      </c>
      <c r="C8" s="14"/>
    </row>
    <row r="9" spans="1:3" ht="21">
      <c r="A9" s="20"/>
      <c r="B9" s="20"/>
    </row>
    <row r="10" spans="1:3" ht="28" customHeight="1">
      <c r="A10" s="21" t="s">
        <v>120</v>
      </c>
      <c r="B10" s="20"/>
    </row>
    <row r="11" spans="1:3">
      <c r="A11" s="16" t="s">
        <v>6</v>
      </c>
      <c r="B11" s="15" t="s">
        <v>264</v>
      </c>
    </row>
    <row r="12" spans="1:3">
      <c r="A12" s="18" t="s">
        <v>0</v>
      </c>
      <c r="B12" s="15" t="s">
        <v>115</v>
      </c>
    </row>
    <row r="13" spans="1:3">
      <c r="A13" s="18" t="s">
        <v>265</v>
      </c>
      <c r="B13" s="15" t="s">
        <v>273</v>
      </c>
    </row>
    <row r="14" spans="1:3" ht="58">
      <c r="A14" s="18" t="s">
        <v>113</v>
      </c>
      <c r="B14" s="15" t="s">
        <v>266</v>
      </c>
    </row>
    <row r="15" spans="1:3" ht="87">
      <c r="A15" s="18" t="s">
        <v>85</v>
      </c>
      <c r="B15" s="15" t="s">
        <v>267</v>
      </c>
    </row>
    <row r="16" spans="1:3" ht="43.5">
      <c r="A16" s="18" t="s">
        <v>240</v>
      </c>
      <c r="B16" s="15" t="s">
        <v>268</v>
      </c>
    </row>
    <row r="17" spans="1:2">
      <c r="A17" s="17" t="s">
        <v>1</v>
      </c>
      <c r="B17" s="15" t="s">
        <v>247</v>
      </c>
    </row>
    <row r="18" spans="1:2">
      <c r="A18" s="17" t="s">
        <v>35</v>
      </c>
      <c r="B18" s="15" t="s">
        <v>116</v>
      </c>
    </row>
    <row r="19" spans="1:2" ht="43.5">
      <c r="A19" s="17" t="s">
        <v>5</v>
      </c>
      <c r="B19" s="15" t="s">
        <v>269</v>
      </c>
    </row>
    <row r="20" spans="1:2">
      <c r="A20" s="17" t="s">
        <v>7</v>
      </c>
      <c r="B20" s="15" t="s">
        <v>118</v>
      </c>
    </row>
    <row r="21" spans="1:2">
      <c r="A21" s="17" t="s">
        <v>8</v>
      </c>
      <c r="B21" s="15" t="s">
        <v>117</v>
      </c>
    </row>
    <row r="22" spans="1:2" ht="29">
      <c r="A22" s="17" t="s">
        <v>111</v>
      </c>
      <c r="B22" s="15" t="s">
        <v>270</v>
      </c>
    </row>
    <row r="23" spans="1:2" ht="29">
      <c r="A23" s="17" t="s">
        <v>258</v>
      </c>
      <c r="B23" s="15" t="s">
        <v>271</v>
      </c>
    </row>
    <row r="24" spans="1:2" ht="58">
      <c r="A24" s="17" t="s">
        <v>122</v>
      </c>
      <c r="B24" s="15" t="s">
        <v>272</v>
      </c>
    </row>
    <row r="25" spans="1:2" ht="29">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29">
      <c r="A30" s="17" t="s">
        <v>137</v>
      </c>
      <c r="B30" s="15" t="s">
        <v>253</v>
      </c>
    </row>
    <row r="31" spans="1:2">
      <c r="A31" s="17" t="s">
        <v>138</v>
      </c>
      <c r="B31" t="s">
        <v>254</v>
      </c>
    </row>
    <row r="32" spans="1:2" ht="58">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I2" sqref="I2"/>
    </sheetView>
  </sheetViews>
  <sheetFormatPr defaultRowHeight="14.5"/>
  <cols>
    <col min="1" max="1" width="25" bestFit="1" customWidth="1"/>
    <col min="7" max="7" width="8.81640625" bestFit="1" customWidth="1"/>
  </cols>
  <sheetData>
    <row r="1" spans="1:78" ht="65.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4.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7" workbookViewId="0">
      <selection activeCell="G30" sqref="G30"/>
    </sheetView>
  </sheetViews>
  <sheetFormatPr defaultRowHeight="14.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3</v>
      </c>
      <c r="G30" s="3" t="s">
        <v>350</v>
      </c>
      <c r="H30" s="3"/>
      <c r="I30" s="3"/>
      <c r="J30" s="3"/>
      <c r="K30" s="3"/>
      <c r="L30" s="3"/>
    </row>
    <row r="31" spans="1:23">
      <c r="A31" s="2"/>
      <c r="B31" s="1" t="s">
        <v>309</v>
      </c>
      <c r="C31" t="s">
        <v>52</v>
      </c>
      <c r="F31" s="1" t="s">
        <v>71</v>
      </c>
      <c r="G31" s="3" t="s">
        <v>331</v>
      </c>
      <c r="H31" s="3"/>
      <c r="I31" s="3"/>
      <c r="J31" s="3"/>
      <c r="K31" s="3"/>
      <c r="L31" s="3"/>
    </row>
    <row r="32" spans="1:23">
      <c r="A32" s="2"/>
      <c r="B32" s="1" t="s">
        <v>71</v>
      </c>
      <c r="C32" t="s">
        <v>52</v>
      </c>
      <c r="F32" s="1" t="s">
        <v>276</v>
      </c>
      <c r="G32" s="3" t="s">
        <v>331</v>
      </c>
      <c r="H32" s="3"/>
      <c r="I32" s="3"/>
      <c r="J32" s="3"/>
      <c r="K32" s="3"/>
      <c r="L32" s="3"/>
    </row>
    <row r="33" spans="1:7">
      <c r="A33" s="2"/>
      <c r="B33" s="1" t="s">
        <v>276</v>
      </c>
      <c r="C33" t="s">
        <v>52</v>
      </c>
      <c r="F33" s="1" t="s">
        <v>277</v>
      </c>
      <c r="G33" s="3" t="s">
        <v>331</v>
      </c>
    </row>
    <row r="34" spans="1:7">
      <c r="A34" s="2"/>
      <c r="B34" s="1" t="s">
        <v>277</v>
      </c>
      <c r="C34" t="s">
        <v>52</v>
      </c>
      <c r="F34" t="s">
        <v>312</v>
      </c>
      <c r="G34" s="3" t="s">
        <v>331</v>
      </c>
    </row>
    <row r="35" spans="1:7">
      <c r="A35" s="2"/>
      <c r="B35" t="s">
        <v>312</v>
      </c>
      <c r="C35" t="s">
        <v>52</v>
      </c>
      <c r="F35" t="s">
        <v>313</v>
      </c>
      <c r="G35" s="3" t="s">
        <v>331</v>
      </c>
    </row>
    <row r="36" spans="1:7">
      <c r="A36" s="2"/>
      <c r="B36" t="s">
        <v>313</v>
      </c>
      <c r="C36" t="s">
        <v>52</v>
      </c>
      <c r="F36" s="1" t="s">
        <v>87</v>
      </c>
      <c r="G36" s="3" t="s">
        <v>331</v>
      </c>
    </row>
    <row r="37" spans="1:7">
      <c r="A37" s="2"/>
      <c r="B37" s="1" t="s">
        <v>87</v>
      </c>
      <c r="C37" t="s">
        <v>52</v>
      </c>
      <c r="F37" t="s">
        <v>29</v>
      </c>
      <c r="G37" s="3" t="s">
        <v>332</v>
      </c>
    </row>
    <row r="38" spans="1:7">
      <c r="A38" s="2" t="s">
        <v>37</v>
      </c>
      <c r="B38" t="s">
        <v>13</v>
      </c>
      <c r="C38" t="s">
        <v>56</v>
      </c>
      <c r="G38" s="3"/>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7">
      <c r="B81" s="56" t="s">
        <v>305</v>
      </c>
      <c r="C81" s="52" t="s">
        <v>56</v>
      </c>
    </row>
    <row r="82" spans="1:7">
      <c r="B82" s="56" t="s">
        <v>306</v>
      </c>
      <c r="C82" s="52" t="s">
        <v>56</v>
      </c>
    </row>
    <row r="83" spans="1:7">
      <c r="B83" s="56" t="s">
        <v>307</v>
      </c>
      <c r="C83" s="52" t="s">
        <v>56</v>
      </c>
    </row>
    <row r="84" spans="1:7">
      <c r="B84" s="56" t="s">
        <v>308</v>
      </c>
      <c r="C84" s="52" t="s">
        <v>56</v>
      </c>
    </row>
    <row r="85" spans="1:7">
      <c r="B85" s="52" t="s">
        <v>310</v>
      </c>
      <c r="C85" s="52" t="s">
        <v>56</v>
      </c>
    </row>
    <row r="86" spans="1:7">
      <c r="B86" s="52" t="s">
        <v>311</v>
      </c>
      <c r="C86" s="52" t="s">
        <v>56</v>
      </c>
    </row>
    <row r="87" spans="1:7">
      <c r="B87" s="52" t="s">
        <v>314</v>
      </c>
      <c r="C87" s="52" t="s">
        <v>56</v>
      </c>
    </row>
    <row r="88" spans="1:7">
      <c r="B88" s="52" t="s">
        <v>315</v>
      </c>
      <c r="C88" s="52" t="s">
        <v>56</v>
      </c>
    </row>
    <row r="89" spans="1:7">
      <c r="B89" s="52" t="s">
        <v>316</v>
      </c>
      <c r="C89" s="52" t="s">
        <v>56</v>
      </c>
    </row>
    <row r="90" spans="1:7">
      <c r="B90" t="s">
        <v>238</v>
      </c>
      <c r="C90" t="s">
        <v>56</v>
      </c>
    </row>
    <row r="91" spans="1:7" s="52" customFormat="1">
      <c r="A91" s="53" t="s">
        <v>282</v>
      </c>
      <c r="B91" s="52" t="s">
        <v>283</v>
      </c>
      <c r="C91" s="52" t="s">
        <v>56</v>
      </c>
      <c r="F91"/>
      <c r="G91"/>
    </row>
    <row r="92" spans="1:7" s="52" customFormat="1">
      <c r="B92" s="52" t="s">
        <v>284</v>
      </c>
      <c r="C92" s="52" t="s">
        <v>56</v>
      </c>
    </row>
    <row r="93" spans="1:7" s="52" customFormat="1">
      <c r="B93" s="52" t="s">
        <v>285</v>
      </c>
      <c r="C93" s="52" t="s">
        <v>56</v>
      </c>
    </row>
    <row r="94" spans="1:7" s="52" customFormat="1">
      <c r="B94" s="52" t="s">
        <v>286</v>
      </c>
      <c r="C94" s="52" t="s">
        <v>56</v>
      </c>
    </row>
    <row r="95" spans="1:7">
      <c r="A95" s="2" t="s">
        <v>245</v>
      </c>
      <c r="B95" t="s">
        <v>218</v>
      </c>
      <c r="C95" t="s">
        <v>56</v>
      </c>
      <c r="F95" s="52"/>
      <c r="G95" s="52"/>
    </row>
    <row r="96" spans="1:7">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cols>
    <col min="1" max="1" width="12.1796875" bestFit="1" customWidth="1"/>
    <col min="2" max="2" width="26.453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abSelected="1" workbookViewId="0">
      <pane ySplit="5" topLeftCell="A6" activePane="bottomLeft" state="frozen"/>
      <selection activeCell="C19" sqref="C19"/>
      <selection pane="bottomLeft" activeCell="E7" sqref="E7"/>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1.6131362008370734E-3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1D35C0AA-4A81-4DD1-A6DE-736475DAFCCF}">
          <x14:formula1>
            <xm:f>'SI - Co-products'!$D$2:$D$8</xm:f>
          </x14:formula1>
          <xm:sqref>C1</xm:sqref>
        </x14:dataValidation>
        <x14:dataValidation type="list" allowBlank="1" showInputMessage="1" showErrorMessage="1" xr:uid="{7DBB683E-7E25-4D3C-B29B-4216CA2230A2}">
          <x14:formula1>
            <xm:f>IF($B6="Transportation",  transport_units, INDIRECT(_xlfn.XLOOKUP($C6, 'SI - Units'!$F$26:$F$37,'SI - Units'!$G$26:$G$37,"mass",0)))</xm:f>
          </x14:formula1>
          <xm:sqref>F6:F100</xm:sqref>
        </x14:dataValidation>
        <x14:dataValidation type="list" allowBlank="1" showInputMessage="1" showErrorMessage="1" xr:uid="{79B97F4B-5F40-4183-ADA9-21F00B7A13C9}">
          <x14:formula1>
            <xm:f>INDIRECT("p_"&amp;_xlfn.XLOOKUP($C6,'SI - Units'!$F$26:$F$37,'SI - Units'!$G$26:$G$37,"mass",0))</xm:f>
          </x14:formula1>
          <xm:sqref>O6:O100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workbookViewId="0">
      <pane ySplit="5" topLeftCell="A6" activePane="bottomLeft" state="frozen"/>
      <selection activeCell="C19" sqref="C19"/>
      <selection pane="bottomLeft" activeCell="C6" sqref="C6"/>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2.3104888708995054E-2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9.2419554835980206E-4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5.1754950708148917E-3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3.2346844192593072E-3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0.588844051028378</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2.2202551418901328</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2.0111950013017445E-2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9.6979953137203857E-3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E74721EE-D1AF-48BA-B8DF-15C32B5F9A84}">
          <x14:formula1>
            <xm:f>'SI - Co-products'!$D$2:$D$8</xm:f>
          </x14:formula1>
          <xm:sqref>C1</xm:sqref>
        </x14:dataValidation>
        <x14:dataValidation type="list" allowBlank="1" showInputMessage="1" showErrorMessage="1" xr:uid="{93BB1276-217E-41F9-B373-28DB8109F6F6}">
          <x14:formula1>
            <xm:f>IF($B6="Transportation",  transport_units, INDIRECT(_xlfn.XLOOKUP($C6, 'SI - Units'!$F$26:$F$37,'SI - Units'!$G$26:$G$37,"mass",0)))</xm:f>
          </x14:formula1>
          <xm:sqref>F6:F100</xm:sqref>
        </x14:dataValidation>
        <x14:dataValidation type="list" allowBlank="1" showInputMessage="1" showErrorMessage="1" xr:uid="{605CB9F0-213D-469A-ACEE-2C11A6CB59F8}">
          <x14:formula1>
            <xm:f>INDIRECT("p_"&amp;_xlfn.XLOOKUP($C6,'SI - Units'!$F$26:$F$37,'SI - Units'!$G$26:$G$37,"mass",0))</xm:f>
          </x14:formula1>
          <xm:sqref>O6:O100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workbookViewId="0">
      <pane ySplit="5" topLeftCell="A18" activePane="bottomLeft" state="frozen"/>
      <selection activeCell="C19" sqref="C19"/>
      <selection pane="bottomLeft" activeCell="D37" sqref="D37"/>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127</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15987</v>
      </c>
      <c r="F6" s="6" t="s">
        <v>58</v>
      </c>
      <c r="G6" s="25"/>
      <c r="H6" s="25" t="s">
        <v>340</v>
      </c>
      <c r="I6" s="26" t="s">
        <v>337</v>
      </c>
      <c r="J6" s="25"/>
      <c r="K6" s="6"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v>1420</v>
      </c>
      <c r="F7" s="6" t="s">
        <v>58</v>
      </c>
      <c r="G7" s="25">
        <v>7.0000000000000007E-2</v>
      </c>
      <c r="H7" s="25"/>
      <c r="I7" s="26" t="s">
        <v>337</v>
      </c>
      <c r="J7" s="25"/>
      <c r="K7" s="6"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459</v>
      </c>
      <c r="F8" s="6" t="s">
        <v>58</v>
      </c>
      <c r="G8" s="25"/>
      <c r="H8" s="25"/>
      <c r="I8" s="26" t="s">
        <v>337</v>
      </c>
      <c r="J8" s="25"/>
      <c r="K8" s="6"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84</v>
      </c>
      <c r="F9" s="6" t="s">
        <v>58</v>
      </c>
      <c r="G9" s="25"/>
      <c r="H9" s="25"/>
      <c r="I9" s="26" t="s">
        <v>337</v>
      </c>
      <c r="J9" s="25"/>
      <c r="K9" s="6"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34</v>
      </c>
      <c r="F10" s="6" t="s">
        <v>58</v>
      </c>
      <c r="G10" s="25"/>
      <c r="H10" s="25"/>
      <c r="I10" s="26" t="s">
        <v>337</v>
      </c>
      <c r="J10" s="25"/>
      <c r="K10" s="6"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46</v>
      </c>
      <c r="F11" s="6" t="s">
        <v>58</v>
      </c>
      <c r="G11" s="25"/>
      <c r="H11" s="25"/>
      <c r="I11" s="26" t="s">
        <v>337</v>
      </c>
      <c r="J11" s="25"/>
      <c r="K11" s="6"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5</v>
      </c>
      <c r="F12" s="6" t="s">
        <v>58</v>
      </c>
      <c r="G12" s="25"/>
      <c r="H12" s="25"/>
      <c r="I12" s="26" t="s">
        <v>337</v>
      </c>
      <c r="J12" s="25"/>
      <c r="K12" s="6"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9</v>
      </c>
      <c r="F13" s="6" t="s">
        <v>58</v>
      </c>
      <c r="G13" s="25"/>
      <c r="H13" s="25"/>
      <c r="I13" s="26" t="s">
        <v>337</v>
      </c>
      <c r="J13" s="25"/>
      <c r="K13" s="6"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107</v>
      </c>
      <c r="F14" s="6" t="s">
        <v>58</v>
      </c>
      <c r="G14" s="25"/>
      <c r="H14" s="25"/>
      <c r="I14" s="26" t="s">
        <v>337</v>
      </c>
      <c r="J14" s="25"/>
      <c r="K14" s="6"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13</v>
      </c>
      <c r="F15" s="6" t="s">
        <v>58</v>
      </c>
      <c r="G15" s="25"/>
      <c r="H15" s="25"/>
      <c r="I15" s="26" t="s">
        <v>337</v>
      </c>
      <c r="J15" s="25"/>
      <c r="K15" s="6"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64</v>
      </c>
      <c r="F16" s="6" t="s">
        <v>58</v>
      </c>
      <c r="G16" s="25"/>
      <c r="H16" s="25"/>
      <c r="I16" s="26" t="s">
        <v>337</v>
      </c>
      <c r="J16" s="25"/>
      <c r="K16" s="6"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7.0000000000000007E-2</v>
      </c>
      <c r="F17" s="6" t="s">
        <v>58</v>
      </c>
      <c r="G17" s="25"/>
      <c r="H17" s="25"/>
      <c r="I17" s="26" t="s">
        <v>337</v>
      </c>
      <c r="J17" s="25"/>
      <c r="K17" s="6"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0.13</v>
      </c>
      <c r="F18" s="6" t="s">
        <v>58</v>
      </c>
      <c r="G18" s="25"/>
      <c r="H18" s="25"/>
      <c r="I18" s="26" t="s">
        <v>337</v>
      </c>
      <c r="J18" s="25"/>
      <c r="K18" s="6"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89+97</f>
        <v>186</v>
      </c>
      <c r="F19" s="6" t="s">
        <v>58</v>
      </c>
      <c r="G19" s="25"/>
      <c r="H19" s="25"/>
      <c r="I19" s="26" t="s">
        <v>337</v>
      </c>
      <c r="J19" s="25"/>
      <c r="K19" s="6"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0.25</v>
      </c>
      <c r="F20" s="6" t="s">
        <v>58</v>
      </c>
      <c r="G20" s="25"/>
      <c r="H20" s="25"/>
      <c r="I20" s="26" t="s">
        <v>337</v>
      </c>
      <c r="J20" s="25"/>
      <c r="K20" s="6"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347</v>
      </c>
      <c r="F21" s="6" t="s">
        <v>58</v>
      </c>
      <c r="G21" s="25"/>
      <c r="H21" s="25"/>
      <c r="I21" s="26" t="s">
        <v>337</v>
      </c>
      <c r="J21" s="25"/>
      <c r="K21" s="6"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549</v>
      </c>
      <c r="F22" s="6" t="s">
        <v>58</v>
      </c>
      <c r="G22" s="25"/>
      <c r="H22" s="25"/>
      <c r="I22" s="26" t="s">
        <v>337</v>
      </c>
      <c r="J22" s="25"/>
      <c r="K22" s="6"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52</v>
      </c>
      <c r="F23" s="6" t="s">
        <v>58</v>
      </c>
      <c r="G23" s="25"/>
      <c r="H23" s="25"/>
      <c r="I23" s="26" t="s">
        <v>337</v>
      </c>
      <c r="J23" s="25"/>
      <c r="K23" s="6"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953</v>
      </c>
      <c r="F24" s="6" t="s">
        <v>58</v>
      </c>
      <c r="G24" s="25"/>
      <c r="H24" s="25"/>
      <c r="I24" s="26" t="s">
        <v>337</v>
      </c>
      <c r="J24" s="25"/>
      <c r="K24" s="6"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6"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17</v>
      </c>
      <c r="F26" s="6" t="s">
        <v>58</v>
      </c>
      <c r="G26" s="25"/>
      <c r="H26" s="25"/>
      <c r="I26" s="26" t="s">
        <v>337</v>
      </c>
      <c r="J26" s="25"/>
      <c r="K26" s="6"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6"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1280*0.5</f>
        <v>640</v>
      </c>
      <c r="F28" s="6" t="s">
        <v>58</v>
      </c>
      <c r="G28" s="25"/>
      <c r="H28" s="25"/>
      <c r="I28" s="26" t="s">
        <v>337</v>
      </c>
      <c r="J28" s="25"/>
      <c r="K28" s="6"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756*0.5</f>
        <v>378</v>
      </c>
      <c r="F29" s="6" t="s">
        <v>58</v>
      </c>
      <c r="G29" s="25"/>
      <c r="H29" s="25"/>
      <c r="I29" s="26" t="s">
        <v>337</v>
      </c>
      <c r="J29" s="25"/>
      <c r="K29" s="6"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1210*0.5</f>
        <v>605</v>
      </c>
      <c r="F30" s="6" t="s">
        <v>58</v>
      </c>
      <c r="G30" s="25"/>
      <c r="H30" s="25"/>
      <c r="I30" s="26" t="s">
        <v>337</v>
      </c>
      <c r="J30" s="25"/>
      <c r="K30" s="6"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1280*0.5</f>
        <v>640</v>
      </c>
      <c r="F31" s="6" t="s">
        <v>58</v>
      </c>
      <c r="G31" s="25"/>
      <c r="H31" s="25"/>
      <c r="I31" s="26" t="s">
        <v>337</v>
      </c>
      <c r="J31" s="25"/>
      <c r="K31" s="6"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756*0.5</f>
        <v>378</v>
      </c>
      <c r="F32" s="6" t="s">
        <v>58</v>
      </c>
      <c r="G32" s="25"/>
      <c r="H32" s="25"/>
      <c r="I32" s="26" t="s">
        <v>337</v>
      </c>
      <c r="J32" s="25"/>
      <c r="K32" s="6"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1210*0.5</f>
        <v>605</v>
      </c>
      <c r="F33" s="6" t="s">
        <v>58</v>
      </c>
      <c r="G33" s="25"/>
      <c r="H33" s="25"/>
      <c r="I33" s="26" t="s">
        <v>337</v>
      </c>
      <c r="J33" s="25"/>
      <c r="K33" s="6"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54374</v>
      </c>
      <c r="F34" s="6" t="s">
        <v>58</v>
      </c>
      <c r="G34" s="25"/>
      <c r="H34" s="25"/>
      <c r="I34" s="26" t="s">
        <v>337</v>
      </c>
      <c r="J34" s="25"/>
      <c r="K34" s="6"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31814</v>
      </c>
      <c r="F35" s="6" t="s">
        <v>58</v>
      </c>
      <c r="G35" s="25"/>
      <c r="H35" s="25"/>
      <c r="I35" s="26" t="s">
        <v>337</v>
      </c>
      <c r="J35" s="25"/>
      <c r="K35" s="6"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17766</v>
      </c>
      <c r="F36" s="6" t="s">
        <v>58</v>
      </c>
      <c r="G36" s="25"/>
      <c r="H36" s="25"/>
      <c r="I36" s="26" t="s">
        <v>337</v>
      </c>
      <c r="J36" s="25"/>
      <c r="K36" s="6"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c r="E37" s="12">
        <v>134.32035893999998</v>
      </c>
      <c r="F37" s="6" t="s">
        <v>70</v>
      </c>
      <c r="G37" s="25"/>
      <c r="H37" s="25"/>
      <c r="I37" s="26" t="s">
        <v>337</v>
      </c>
      <c r="J37" s="25"/>
      <c r="K37" s="6" t="s">
        <v>113</v>
      </c>
      <c r="L37" s="6" t="s">
        <v>337</v>
      </c>
      <c r="M37" s="6"/>
      <c r="N37" s="6">
        <v>21.535015935911794</v>
      </c>
      <c r="O37" s="6" t="s">
        <v>341</v>
      </c>
      <c r="P37" s="6" t="s">
        <v>2</v>
      </c>
      <c r="Q37" s="6" t="s">
        <v>83</v>
      </c>
      <c r="R37" s="6"/>
      <c r="S37" s="6"/>
      <c r="T37" s="6"/>
    </row>
    <row r="38" spans="1:20">
      <c r="A38" s="6" t="s">
        <v>85</v>
      </c>
      <c r="B38" s="6" t="s">
        <v>3</v>
      </c>
      <c r="C38" s="6" t="s">
        <v>3</v>
      </c>
      <c r="D38" s="6" t="s">
        <v>10</v>
      </c>
      <c r="E38" s="12">
        <v>5846</v>
      </c>
      <c r="F38" s="6" t="s">
        <v>68</v>
      </c>
      <c r="G38" s="25"/>
      <c r="H38" s="25"/>
      <c r="I38" s="26" t="s">
        <v>124</v>
      </c>
      <c r="J38" s="25"/>
      <c r="K38" s="6" t="s">
        <v>86</v>
      </c>
      <c r="L38" s="6" t="s">
        <v>337</v>
      </c>
      <c r="M38" s="6"/>
      <c r="N38" s="6"/>
      <c r="O38" s="6"/>
      <c r="P38" s="6" t="s">
        <v>3</v>
      </c>
      <c r="Q38" s="6" t="s">
        <v>10</v>
      </c>
      <c r="R38" s="6"/>
      <c r="S38" s="6"/>
      <c r="T38" s="6" t="s">
        <v>343</v>
      </c>
    </row>
    <row r="39" spans="1:20">
      <c r="A39" s="6" t="s">
        <v>85</v>
      </c>
      <c r="B39" s="6" t="s">
        <v>37</v>
      </c>
      <c r="C39" s="6" t="s">
        <v>308</v>
      </c>
      <c r="D39" s="6" t="s">
        <v>337</v>
      </c>
      <c r="E39" s="12">
        <v>3593</v>
      </c>
      <c r="F39" s="6" t="s">
        <v>58</v>
      </c>
      <c r="G39" s="25"/>
      <c r="H39" s="25"/>
      <c r="I39" s="26" t="s">
        <v>114</v>
      </c>
      <c r="J39" s="25"/>
      <c r="K39" s="6" t="s">
        <v>85</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6380.2136991999987</v>
      </c>
      <c r="F40" s="6" t="s">
        <v>58</v>
      </c>
      <c r="G40" s="25"/>
      <c r="H40" s="25"/>
      <c r="I40" s="26" t="s">
        <v>337</v>
      </c>
      <c r="J40" s="25"/>
      <c r="K40" s="6" t="s">
        <v>85</v>
      </c>
      <c r="L40" s="6" t="s">
        <v>337</v>
      </c>
      <c r="M40" s="6"/>
      <c r="N40" s="6"/>
      <c r="O40" s="6"/>
      <c r="P40" s="6" t="s">
        <v>337</v>
      </c>
      <c r="Q40" s="6" t="s">
        <v>337</v>
      </c>
      <c r="R40" s="6"/>
      <c r="S40" s="6"/>
      <c r="T40" s="6" t="s">
        <v>344</v>
      </c>
    </row>
    <row r="41" spans="1:20">
      <c r="A41" s="6" t="s">
        <v>85</v>
      </c>
      <c r="B41" s="6" t="s">
        <v>37</v>
      </c>
      <c r="C41" s="6" t="s">
        <v>311</v>
      </c>
      <c r="D41" s="6" t="s">
        <v>337</v>
      </c>
      <c r="E41" s="12">
        <v>18</v>
      </c>
      <c r="F41" s="6" t="s">
        <v>58</v>
      </c>
      <c r="G41" s="25"/>
      <c r="H41" s="25"/>
      <c r="I41" s="26" t="s">
        <v>124</v>
      </c>
      <c r="J41" s="25"/>
      <c r="K41" s="6" t="s">
        <v>86</v>
      </c>
      <c r="L41" s="6" t="s">
        <v>337</v>
      </c>
      <c r="M41" s="6"/>
      <c r="N41" s="6"/>
      <c r="O41" s="6"/>
      <c r="P41" s="6" t="s">
        <v>311</v>
      </c>
      <c r="Q41" s="6" t="s">
        <v>337</v>
      </c>
      <c r="R41" s="6"/>
      <c r="S41" s="6"/>
      <c r="T41" s="6" t="s">
        <v>345</v>
      </c>
    </row>
    <row r="42" spans="1:20">
      <c r="A42" s="6" t="s">
        <v>85</v>
      </c>
      <c r="B42" s="6" t="s">
        <v>37</v>
      </c>
      <c r="C42" s="6" t="s">
        <v>14</v>
      </c>
      <c r="D42" s="6" t="s">
        <v>337</v>
      </c>
      <c r="E42" s="12">
        <v>228</v>
      </c>
      <c r="F42" s="6" t="s">
        <v>58</v>
      </c>
      <c r="G42" s="25"/>
      <c r="H42" s="25"/>
      <c r="I42" s="26" t="s">
        <v>124</v>
      </c>
      <c r="J42" s="25"/>
      <c r="K42" s="6" t="s">
        <v>86</v>
      </c>
      <c r="L42" s="6" t="s">
        <v>337</v>
      </c>
      <c r="M42" s="6"/>
      <c r="N42" s="6"/>
      <c r="O42" s="6"/>
      <c r="P42" s="6" t="s">
        <v>14</v>
      </c>
      <c r="Q42" s="6" t="s">
        <v>337</v>
      </c>
      <c r="R42" s="6"/>
      <c r="S42" s="6"/>
      <c r="T42" s="6" t="s">
        <v>346</v>
      </c>
    </row>
    <row r="43" spans="1:20">
      <c r="A43" s="6" t="s">
        <v>85</v>
      </c>
      <c r="B43" s="6" t="s">
        <v>37</v>
      </c>
      <c r="C43" s="6" t="s">
        <v>287</v>
      </c>
      <c r="D43" s="6" t="s">
        <v>337</v>
      </c>
      <c r="E43" s="12">
        <v>81</v>
      </c>
      <c r="F43" s="6" t="s">
        <v>58</v>
      </c>
      <c r="G43" s="25"/>
      <c r="H43" s="25"/>
      <c r="I43" s="26" t="s">
        <v>124</v>
      </c>
      <c r="J43" s="25"/>
      <c r="K43" s="6" t="s">
        <v>86</v>
      </c>
      <c r="L43" s="6" t="s">
        <v>337</v>
      </c>
      <c r="M43" s="6"/>
      <c r="N43" s="6"/>
      <c r="O43" s="6"/>
      <c r="P43" s="6" t="s">
        <v>287</v>
      </c>
      <c r="Q43" s="6" t="s">
        <v>337</v>
      </c>
      <c r="R43" s="6"/>
      <c r="S43" s="6"/>
      <c r="T43" s="6" t="s">
        <v>347</v>
      </c>
    </row>
    <row r="44" spans="1:20">
      <c r="A44" s="6" t="s">
        <v>257</v>
      </c>
      <c r="B44" s="6" t="s">
        <v>245</v>
      </c>
      <c r="C44" s="6" t="s">
        <v>228</v>
      </c>
      <c r="D44" s="6" t="s">
        <v>337</v>
      </c>
      <c r="E44" s="12">
        <f>-(8981+9467)</f>
        <v>-18448</v>
      </c>
      <c r="F44" s="6" t="s">
        <v>58</v>
      </c>
      <c r="G44" s="25"/>
      <c r="H44" s="25" t="s">
        <v>339</v>
      </c>
      <c r="I44" s="26" t="s">
        <v>337</v>
      </c>
      <c r="J44" s="25"/>
      <c r="K44" s="6"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D3C98786-984D-47F9-BDD8-C9D74F1A2EBD}">
          <x14:formula1>
            <xm:f>'SI - Co-products'!$D$2:$D$8</xm:f>
          </x14:formula1>
          <xm:sqref>C1</xm:sqref>
        </x14:dataValidation>
        <x14:dataValidation type="list" allowBlank="1" showInputMessage="1" showErrorMessage="1" xr:uid="{FDB571AC-D21A-4CBB-97FC-35508FA1121F}">
          <x14:formula1>
            <xm:f>IF($B6="Transportation",  transport_units, INDIRECT(_xlfn.XLOOKUP($C6, 'SI - Units'!$F$26:$F$37,'SI - Units'!$G$26:$G$37,"mass",0)))</xm:f>
          </x14:formula1>
          <xm:sqref>F6:F100</xm:sqref>
        </x14:dataValidation>
        <x14:dataValidation type="list" allowBlank="1" showInputMessage="1" showErrorMessage="1" xr:uid="{58A7A455-AD74-43F7-AA25-2FA982F6AC44}">
          <x14:formula1>
            <xm:f>INDIRECT("p_"&amp;_xlfn.XLOOKUP($C6,'SI - Units'!$F$26:$F$37,'SI - Units'!$G$26:$G$37,"mass",0))</xm:f>
          </x14:formula1>
          <xm:sqref>O6:O36 P37:P43 O44:O100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F0DB2-9B5C-4D55-A170-79BF9525920C}">
  <sheetPr codeName="Sheet13"/>
  <dimension ref="A1:T100"/>
  <sheetViews>
    <sheetView topLeftCell="I1" workbookViewId="0">
      <pane ySplit="5" topLeftCell="A6" activePane="bottomLeft" state="frozen"/>
      <selection activeCell="C19" sqref="C19"/>
      <selection pane="bottomLeft" activeCell="C2" sqref="C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124</v>
      </c>
    </row>
    <row r="3" spans="1:20">
      <c r="A3" s="13" t="s">
        <v>334</v>
      </c>
      <c r="C3" s="57">
        <v>0.7</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244</v>
      </c>
      <c r="C6" s="6" t="s">
        <v>312</v>
      </c>
      <c r="D6" s="6" t="s">
        <v>242</v>
      </c>
      <c r="E6" s="12">
        <v>1</v>
      </c>
      <c r="F6" s="6" t="s">
        <v>70</v>
      </c>
      <c r="G6" s="25"/>
      <c r="H6" s="25" t="s">
        <v>349</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c r="A7" s="6" t="s">
        <v>113</v>
      </c>
      <c r="B7" s="6" t="s">
        <v>244</v>
      </c>
      <c r="C7" s="6" t="s">
        <v>312</v>
      </c>
      <c r="D7" s="6" t="s">
        <v>83</v>
      </c>
      <c r="E7" s="12">
        <v>1</v>
      </c>
      <c r="F7" s="6" t="s">
        <v>70</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
        <v>2</v>
      </c>
      <c r="Q7" s="6" t="s">
        <v>83</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722BB61-C100-47AB-B41E-CB7983D47CA2}">
      <formula1>0</formula1>
      <formula2>1</formula2>
    </dataValidation>
    <dataValidation type="list" allowBlank="1" showInputMessage="1" showErrorMessage="1" sqref="M6:M100" xr:uid="{C2D5DE60-46F7-41D7-9830-E30CD32F435E}">
      <formula1>payload_units</formula1>
    </dataValidation>
    <dataValidation type="decimal" operator="greaterThan" allowBlank="1" showInputMessage="1" showErrorMessage="1" error="Please type a positive number." sqref="L6:L100" xr:uid="{12C48AB8-D595-49A4-9438-373823C92E50}">
      <formula1>0</formula1>
    </dataValidation>
    <dataValidation type="decimal" operator="greaterThan" allowBlank="1" showInputMessage="1" showErrorMessage="1" error="Please type a positive price." sqref="N6:N100" xr:uid="{4BF7ABE5-5C1A-4232-94C4-E29301F98C3E}">
      <formula1>0</formula1>
    </dataValidation>
    <dataValidation type="decimal" allowBlank="1" showInputMessage="1" showErrorMessage="1" error="Please type a number between 0 and 1." sqref="G6:G100" xr:uid="{377ED0F3-0FEF-42C0-924C-5AB05B564267}">
      <formula1>0</formula1>
      <formula2>1</formula2>
    </dataValidation>
    <dataValidation type="custom" allowBlank="1" showInputMessage="1" showErrorMessage="1" sqref="E6:E100" xr:uid="{EFF5889A-807C-4EFD-9309-044A4F781FB7}">
      <formula1>ISNUMBER(E6)</formula1>
    </dataValidation>
    <dataValidation type="list" allowBlank="1" showInputMessage="1" showErrorMessage="1" sqref="C2" xr:uid="{22950FE1-54CA-407E-80AD-8F3FBC4C280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08D2E2-40A5-4323-A585-B85418167C40}">
          <x14:formula1>
            <xm:f>INDIRECT(_xlfn.XLOOKUP($P6,'SI - End Use'!$A$11:$A$17,'SI - End Use'!$B$11:$B$17,"other_end_use",0))</xm:f>
          </x14:formula1>
          <xm:sqref>Q6:R100</xm:sqref>
        </x14:dataValidation>
        <x14:dataValidation type="list" allowBlank="1" showInputMessage="1" xr:uid="{3B9EDBF2-5F08-4B65-8CAB-69C55B418585}">
          <x14:formula1>
            <xm:f>INDIRECT(_xlfn.XLOOKUP($C6,'SI - End Use'!$A$11:$A$17,'SI - End Use'!$B$11:$B$17,"other_end_use",0))</xm:f>
          </x14:formula1>
          <xm:sqref>D6:D100</xm:sqref>
        </x14:dataValidation>
        <x14:dataValidation type="list" allowBlank="1" showInputMessage="1" showErrorMessage="1" xr:uid="{5735C834-79DD-4AEA-8FE1-FC64C50F892C}">
          <x14:formula1>
            <xm:f>INDIRECT(_xlfn.XLOOKUP($B6, 'SI - Resources'!$R$1:$R$10,'SI - Resources'!$S$1:$S$10, "placeholder_resource", 0))</xm:f>
          </x14:formula1>
          <xm:sqref>P6:P100 C6:C100</xm:sqref>
        </x14:dataValidation>
        <x14:dataValidation type="list" allowBlank="1" showInputMessage="1" showErrorMessage="1" xr:uid="{7417DE62-8B04-449C-920B-99E308A46D3D}">
          <x14:formula1>
            <xm:f>'SI - Co-products'!$B$2:$B$6</xm:f>
          </x14:formula1>
          <xm:sqref>A6:A100</xm:sqref>
        </x14:dataValidation>
        <x14:dataValidation type="list" allowBlank="1" showInputMessage="1" showErrorMessage="1" xr:uid="{3D3048EE-6EFF-4D08-832C-359800E1F46B}">
          <x14:formula1>
            <xm:f>'SI - Resources'!$A$1:$J$1</xm:f>
          </x14:formula1>
          <xm:sqref>B6:B100</xm:sqref>
        </x14:dataValidation>
        <x14:dataValidation type="list" allowBlank="1" showInputMessage="1" showErrorMessage="1" xr:uid="{7DBF26CF-B99A-44FE-BA00-0F6AE1C8D3EB}">
          <x14:formula1>
            <xm:f>'SI - Co-products'!$C$2:$C$4</xm:f>
          </x14:formula1>
          <xm:sqref>I6:I100</xm:sqref>
        </x14:dataValidation>
        <x14:dataValidation type="list" allowBlank="1" showInputMessage="1" showErrorMessage="1" xr:uid="{3784C656-8ED5-4F8A-A74C-F3208B6BE4B1}">
          <x14:formula1>
            <xm:f>'SI - Co-products'!$A$2:$A$5</xm:f>
          </x14:formula1>
          <xm:sqref>K6:K100</xm:sqref>
        </x14:dataValidation>
        <x14:dataValidation type="list" allowBlank="1" showInputMessage="1" showErrorMessage="1" xr:uid="{32A4DF18-CFB4-4536-BDE8-8D383635B370}">
          <x14:formula1>
            <xm:f>'SI - Co-products'!$D$2:$D$8</xm:f>
          </x14:formula1>
          <xm:sqref>C1</xm:sqref>
        </x14:dataValidation>
        <x14:dataValidation type="list" allowBlank="1" showInputMessage="1" showErrorMessage="1" xr:uid="{A372C754-C9BD-4AAE-98DE-9A01D8C0F65C}">
          <x14:formula1>
            <xm:f>IF($B6="Transportation",  transport_units, INDIRECT(_xlfn.XLOOKUP($C6, 'SI - Units'!$F$26:$F$37,'SI - Units'!$G$26:$G$37,"mass",0)))</xm:f>
          </x14:formula1>
          <xm:sqref>F6:F100</xm:sqref>
        </x14:dataValidation>
        <x14:dataValidation type="list" allowBlank="1" showInputMessage="1" showErrorMessage="1" xr:uid="{F3C7AEDB-4B19-4363-B001-F206E34B129F}">
          <x14:formula1>
            <xm:f>INDIRECT("p_"&amp;_xlfn.XLOOKUP($C6,'SI - Units'!$F$26:$F$37,'SI - Units'!$G$26:$G$37,"mass",0))</xm:f>
          </x14:formula1>
          <xm:sqref>O6:O100</xm:sqref>
        </x14:dataValidation>
        <x14:dataValidation type="list" allowBlank="1" showInputMessage="1" showErrorMessage="1" xr:uid="{333527E1-D397-4A33-8937-3F83C9D115FA}">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2023-02-17T16:36:15Z</dcterms:modified>
</cp:coreProperties>
</file>