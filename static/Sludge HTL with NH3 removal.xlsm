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66FB92B0-3E83-49F4-999A-09DD258E990F}" xr6:coauthVersionLast="47" xr6:coauthVersionMax="47" xr10:uidLastSave="{00000000-0000-0000-0000-000000000000}"/>
  <bookViews>
    <workbookView xWindow="-110" yWindow="-110" windowWidth="22780" windowHeight="14660" tabRatio="744" activeTab="8"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6"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6" i="26" l="1"/>
  <c r="O7" i="26"/>
  <c r="O8" i="26"/>
  <c r="P8" i="26" s="1"/>
  <c r="O9" i="26"/>
  <c r="O10" i="26"/>
  <c r="O11" i="26"/>
  <c r="O12" i="26"/>
  <c r="O13" i="26"/>
  <c r="O15" i="26"/>
  <c r="O16" i="26"/>
  <c r="O17" i="26"/>
  <c r="O18" i="26"/>
  <c r="O19" i="26"/>
  <c r="O20" i="26"/>
  <c r="O21" i="26"/>
  <c r="O22" i="26"/>
  <c r="O23" i="26"/>
  <c r="O24" i="26"/>
  <c r="O25" i="26"/>
  <c r="O26" i="26"/>
  <c r="O27" i="26"/>
  <c r="O28" i="26"/>
  <c r="O29" i="26"/>
  <c r="O30" i="26"/>
  <c r="O31" i="26"/>
  <c r="O32" i="26"/>
  <c r="O33" i="26"/>
  <c r="O34" i="26"/>
  <c r="O35" i="26"/>
  <c r="O36" i="26"/>
  <c r="O37" i="26"/>
  <c r="O38" i="26"/>
  <c r="O39" i="26"/>
  <c r="O40" i="26"/>
  <c r="O41" i="26"/>
  <c r="O42" i="26"/>
  <c r="O43" i="26"/>
  <c r="O44" i="26"/>
  <c r="O45" i="26"/>
  <c r="O46" i="26"/>
  <c r="O47" i="26"/>
  <c r="O48" i="26"/>
  <c r="O49" i="26"/>
  <c r="O50" i="26"/>
  <c r="O51" i="26"/>
  <c r="O52" i="26"/>
  <c r="O53" i="26"/>
  <c r="O54" i="26"/>
  <c r="O55" i="26"/>
  <c r="O56" i="26"/>
  <c r="O57" i="26"/>
  <c r="O58" i="26"/>
  <c r="O59" i="26"/>
  <c r="O60" i="26"/>
  <c r="O61" i="26"/>
  <c r="O62" i="26"/>
  <c r="O63" i="26"/>
  <c r="O64" i="26"/>
  <c r="O65" i="26"/>
  <c r="O66" i="26"/>
  <c r="O67" i="26"/>
  <c r="O68" i="26"/>
  <c r="O69" i="26"/>
  <c r="O70" i="26"/>
  <c r="O71" i="26"/>
  <c r="O72" i="26"/>
  <c r="O73" i="26"/>
  <c r="O74" i="26"/>
  <c r="O75" i="26"/>
  <c r="O76" i="26"/>
  <c r="O77" i="26"/>
  <c r="O78" i="26"/>
  <c r="O79" i="26"/>
  <c r="O80" i="26"/>
  <c r="O81" i="26"/>
  <c r="O82" i="26"/>
  <c r="O83" i="26"/>
  <c r="O84" i="26"/>
  <c r="O85" i="26"/>
  <c r="O86" i="26"/>
  <c r="O87" i="26"/>
  <c r="O88" i="26"/>
  <c r="O89" i="26"/>
  <c r="O90" i="26"/>
  <c r="O91" i="26"/>
  <c r="O92" i="26"/>
  <c r="O93" i="26"/>
  <c r="O94" i="26"/>
  <c r="O95" i="26"/>
  <c r="O96" i="26"/>
  <c r="O97" i="26"/>
  <c r="O98" i="26"/>
  <c r="O99" i="26"/>
  <c r="O100" i="26"/>
  <c r="O5" i="26"/>
  <c r="O5" i="25"/>
  <c r="O6" i="25"/>
  <c r="O7" i="25"/>
  <c r="O8" i="25"/>
  <c r="O9" i="25"/>
  <c r="P9" i="25" s="1"/>
  <c r="O10" i="25"/>
  <c r="O11" i="25"/>
  <c r="O12" i="25"/>
  <c r="O13" i="25"/>
  <c r="O14" i="25"/>
  <c r="O15" i="25"/>
  <c r="O16" i="25"/>
  <c r="P16" i="25" s="1"/>
  <c r="O17" i="25"/>
  <c r="O18" i="25"/>
  <c r="O19" i="25"/>
  <c r="O20" i="25"/>
  <c r="O21" i="25"/>
  <c r="O22" i="25"/>
  <c r="O23" i="25"/>
  <c r="O24" i="25"/>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76" i="25"/>
  <c r="O77" i="25"/>
  <c r="O78" i="25"/>
  <c r="O79" i="25"/>
  <c r="O80" i="25"/>
  <c r="O81" i="25"/>
  <c r="O82" i="25"/>
  <c r="O83" i="25"/>
  <c r="O84" i="25"/>
  <c r="O85" i="25"/>
  <c r="O86" i="25"/>
  <c r="O87" i="25"/>
  <c r="O88" i="25"/>
  <c r="O89" i="25"/>
  <c r="O90" i="25"/>
  <c r="O91" i="25"/>
  <c r="O92" i="25"/>
  <c r="O93" i="25"/>
  <c r="O94" i="25"/>
  <c r="O95" i="25"/>
  <c r="O96" i="25"/>
  <c r="O97" i="25"/>
  <c r="O98" i="25"/>
  <c r="O99" i="25"/>
  <c r="O100" i="25"/>
  <c r="O101" i="25"/>
  <c r="O102" i="25"/>
  <c r="B15" i="24"/>
  <c r="B14" i="24"/>
  <c r="E15" i="25"/>
  <c r="D15" i="25"/>
  <c r="I15" i="25"/>
  <c r="K15" i="25"/>
  <c r="L15" i="25"/>
  <c r="L14" i="25"/>
  <c r="K14" i="25"/>
  <c r="L100" i="26"/>
  <c r="K100" i="26"/>
  <c r="I100" i="26"/>
  <c r="C100" i="26"/>
  <c r="P100" i="26" s="1"/>
  <c r="L99" i="26"/>
  <c r="K99" i="26"/>
  <c r="I99" i="26"/>
  <c r="C99" i="26"/>
  <c r="F99" i="26" s="1" a="1"/>
  <c r="F99" i="26" s="1"/>
  <c r="L98" i="26"/>
  <c r="K98" i="26"/>
  <c r="I98" i="26"/>
  <c r="F98" i="26" a="1"/>
  <c r="F98" i="26" s="1"/>
  <c r="C98" i="26"/>
  <c r="D98" i="26" s="1"/>
  <c r="L97" i="26"/>
  <c r="K97" i="26"/>
  <c r="I97" i="26"/>
  <c r="C97" i="26"/>
  <c r="P97" i="26" s="1"/>
  <c r="L96" i="26"/>
  <c r="K96" i="26"/>
  <c r="I96" i="26"/>
  <c r="C96" i="26"/>
  <c r="L95" i="26"/>
  <c r="K95" i="26"/>
  <c r="I95" i="26"/>
  <c r="C95" i="26"/>
  <c r="F95" i="26" s="1" a="1"/>
  <c r="F95" i="26" s="1"/>
  <c r="L94" i="26"/>
  <c r="K94" i="26"/>
  <c r="I94" i="26"/>
  <c r="C94" i="26"/>
  <c r="D94" i="26" s="1"/>
  <c r="L93" i="26"/>
  <c r="K93" i="26"/>
  <c r="I93" i="26"/>
  <c r="C93" i="26"/>
  <c r="P93" i="26" s="1"/>
  <c r="L92" i="26"/>
  <c r="K92" i="26"/>
  <c r="I92" i="26"/>
  <c r="C92" i="26"/>
  <c r="L91" i="26"/>
  <c r="K91" i="26"/>
  <c r="I91" i="26"/>
  <c r="C91" i="26"/>
  <c r="F91" i="26" s="1" a="1"/>
  <c r="F91" i="26" s="1"/>
  <c r="L90" i="26"/>
  <c r="K90" i="26"/>
  <c r="I90" i="26"/>
  <c r="C90" i="26"/>
  <c r="D90" i="26" s="1"/>
  <c r="L89" i="26"/>
  <c r="K89" i="26"/>
  <c r="I89" i="26"/>
  <c r="C89" i="26"/>
  <c r="P89" i="26" s="1"/>
  <c r="L88" i="26"/>
  <c r="K88" i="26"/>
  <c r="I88" i="26"/>
  <c r="C88" i="26"/>
  <c r="L87" i="26"/>
  <c r="K87" i="26"/>
  <c r="I87" i="26"/>
  <c r="C87" i="26"/>
  <c r="F87" i="26" s="1" a="1"/>
  <c r="F87" i="26" s="1"/>
  <c r="L86" i="26"/>
  <c r="K86" i="26"/>
  <c r="I86" i="26"/>
  <c r="C86" i="26"/>
  <c r="D86" i="26" s="1"/>
  <c r="L85" i="26"/>
  <c r="K85" i="26"/>
  <c r="I85" i="26"/>
  <c r="C85" i="26"/>
  <c r="P85" i="26" s="1"/>
  <c r="L84" i="26"/>
  <c r="K84" i="26"/>
  <c r="I84" i="26"/>
  <c r="C84" i="26"/>
  <c r="L83" i="26"/>
  <c r="K83" i="26"/>
  <c r="I83" i="26"/>
  <c r="C83" i="26"/>
  <c r="F83" i="26" s="1" a="1"/>
  <c r="F83" i="26" s="1"/>
  <c r="L82" i="26"/>
  <c r="K82" i="26"/>
  <c r="I82" i="26"/>
  <c r="F82" i="26" a="1"/>
  <c r="F82" i="26" s="1"/>
  <c r="C82" i="26"/>
  <c r="D82" i="26" s="1"/>
  <c r="L81" i="26"/>
  <c r="K81" i="26"/>
  <c r="I81" i="26"/>
  <c r="C81" i="26"/>
  <c r="P81" i="26" s="1"/>
  <c r="L80" i="26"/>
  <c r="K80" i="26"/>
  <c r="I80" i="26"/>
  <c r="C80" i="26"/>
  <c r="L79" i="26"/>
  <c r="K79" i="26"/>
  <c r="I79" i="26"/>
  <c r="C79" i="26"/>
  <c r="F79" i="26" s="1" a="1"/>
  <c r="F79" i="26" s="1"/>
  <c r="L78" i="26"/>
  <c r="K78" i="26"/>
  <c r="I78" i="26"/>
  <c r="C78" i="26"/>
  <c r="D78" i="26" s="1"/>
  <c r="L77" i="26"/>
  <c r="K77" i="26"/>
  <c r="I77" i="26"/>
  <c r="C77" i="26"/>
  <c r="P77" i="26" s="1"/>
  <c r="L76" i="26"/>
  <c r="K76" i="26"/>
  <c r="I76" i="26"/>
  <c r="C76" i="26"/>
  <c r="L75" i="26"/>
  <c r="K75" i="26"/>
  <c r="I75" i="26"/>
  <c r="C75" i="26"/>
  <c r="F75" i="26" s="1" a="1"/>
  <c r="F75" i="26" s="1"/>
  <c r="L74" i="26"/>
  <c r="K74" i="26"/>
  <c r="I74" i="26"/>
  <c r="F74" i="26" a="1"/>
  <c r="F74" i="26" s="1"/>
  <c r="C74" i="26"/>
  <c r="D74" i="26" s="1"/>
  <c r="L73" i="26"/>
  <c r="K73" i="26"/>
  <c r="I73" i="26"/>
  <c r="C73" i="26"/>
  <c r="L72" i="26"/>
  <c r="K72" i="26"/>
  <c r="I72" i="26"/>
  <c r="C72" i="26"/>
  <c r="L71" i="26"/>
  <c r="K71" i="26"/>
  <c r="I71" i="26"/>
  <c r="C71" i="26"/>
  <c r="F71" i="26" s="1" a="1"/>
  <c r="F71" i="26" s="1"/>
  <c r="L70" i="26"/>
  <c r="K70" i="26"/>
  <c r="I70" i="26"/>
  <c r="C70" i="26"/>
  <c r="D70" i="26" s="1"/>
  <c r="L69" i="26"/>
  <c r="K69" i="26"/>
  <c r="I69" i="26"/>
  <c r="C69" i="26"/>
  <c r="P69" i="26" s="1"/>
  <c r="L68" i="26"/>
  <c r="K68" i="26"/>
  <c r="I68" i="26"/>
  <c r="C68" i="26"/>
  <c r="L67" i="26"/>
  <c r="K67" i="26"/>
  <c r="I67" i="26"/>
  <c r="C67" i="26"/>
  <c r="F67" i="26" s="1" a="1"/>
  <c r="F67" i="26" s="1"/>
  <c r="L66" i="26"/>
  <c r="K66" i="26"/>
  <c r="I66" i="26"/>
  <c r="F66" i="26" a="1"/>
  <c r="F66" i="26" s="1"/>
  <c r="C66" i="26"/>
  <c r="D66" i="26" s="1"/>
  <c r="L65" i="26"/>
  <c r="K65" i="26"/>
  <c r="I65" i="26"/>
  <c r="C65" i="26"/>
  <c r="P65" i="26" s="1"/>
  <c r="L64" i="26"/>
  <c r="K64" i="26"/>
  <c r="I64" i="26"/>
  <c r="C64" i="26"/>
  <c r="P64" i="26" s="1"/>
  <c r="L63" i="26"/>
  <c r="K63" i="26"/>
  <c r="I63" i="26"/>
  <c r="C63" i="26"/>
  <c r="F63" i="26" s="1" a="1"/>
  <c r="F63" i="26" s="1"/>
  <c r="L62" i="26"/>
  <c r="K62" i="26"/>
  <c r="I62" i="26"/>
  <c r="C62" i="26"/>
  <c r="D62" i="26" s="1"/>
  <c r="L61" i="26"/>
  <c r="K61" i="26"/>
  <c r="I61" i="26"/>
  <c r="C61" i="26"/>
  <c r="P61" i="26" s="1"/>
  <c r="L60" i="26"/>
  <c r="K60" i="26"/>
  <c r="I60" i="26"/>
  <c r="C60" i="26"/>
  <c r="L59" i="26"/>
  <c r="K59" i="26"/>
  <c r="I59" i="26"/>
  <c r="C59" i="26"/>
  <c r="F59" i="26" s="1" a="1"/>
  <c r="F59" i="26" s="1"/>
  <c r="L58" i="26"/>
  <c r="K58" i="26"/>
  <c r="I58" i="26"/>
  <c r="C58" i="26"/>
  <c r="D58" i="26" s="1"/>
  <c r="L57" i="26"/>
  <c r="K57" i="26"/>
  <c r="I57" i="26"/>
  <c r="C57" i="26"/>
  <c r="P57" i="26" s="1"/>
  <c r="L56" i="26"/>
  <c r="K56" i="26"/>
  <c r="I56" i="26"/>
  <c r="C56" i="26"/>
  <c r="P56" i="26" s="1"/>
  <c r="L55" i="26"/>
  <c r="K55" i="26"/>
  <c r="I55" i="26"/>
  <c r="C55" i="26"/>
  <c r="F55" i="26" s="1" a="1"/>
  <c r="F55" i="26" s="1"/>
  <c r="L54" i="26"/>
  <c r="K54" i="26"/>
  <c r="I54" i="26"/>
  <c r="C54" i="26"/>
  <c r="D54" i="26" s="1"/>
  <c r="L53" i="26"/>
  <c r="K53" i="26"/>
  <c r="I53" i="26"/>
  <c r="C53" i="26"/>
  <c r="P53" i="26" s="1"/>
  <c r="L52" i="26"/>
  <c r="K52" i="26"/>
  <c r="I52" i="26"/>
  <c r="C52" i="26"/>
  <c r="P52" i="26" s="1"/>
  <c r="L51" i="26"/>
  <c r="K51" i="26"/>
  <c r="I51" i="26"/>
  <c r="C51" i="26"/>
  <c r="F51" i="26" s="1" a="1"/>
  <c r="F51" i="26" s="1"/>
  <c r="L50" i="26"/>
  <c r="K50" i="26"/>
  <c r="I50" i="26"/>
  <c r="C50" i="26"/>
  <c r="D50" i="26" s="1"/>
  <c r="L49" i="26"/>
  <c r="K49" i="26"/>
  <c r="I49" i="26"/>
  <c r="C49" i="26"/>
  <c r="P49" i="26" s="1"/>
  <c r="L48" i="26"/>
  <c r="K48" i="26"/>
  <c r="I48" i="26"/>
  <c r="C48" i="26"/>
  <c r="P48" i="26" s="1"/>
  <c r="L47" i="26"/>
  <c r="K47" i="26"/>
  <c r="I47" i="26"/>
  <c r="C47" i="26"/>
  <c r="F47" i="26" s="1" a="1"/>
  <c r="F47" i="26" s="1"/>
  <c r="L46" i="26"/>
  <c r="K46" i="26"/>
  <c r="I46" i="26"/>
  <c r="F46" i="26" a="1"/>
  <c r="F46" i="26" s="1"/>
  <c r="C46" i="26"/>
  <c r="D46" i="26" s="1"/>
  <c r="L45" i="26"/>
  <c r="K45" i="26"/>
  <c r="I45" i="26"/>
  <c r="C45" i="26"/>
  <c r="P45" i="26" s="1"/>
  <c r="L44" i="26"/>
  <c r="K44" i="26"/>
  <c r="I44" i="26"/>
  <c r="C44" i="26"/>
  <c r="P44" i="26" s="1"/>
  <c r="L43" i="26"/>
  <c r="K43" i="26"/>
  <c r="I43" i="26"/>
  <c r="C43" i="26"/>
  <c r="F43" i="26" s="1" a="1"/>
  <c r="F43" i="26" s="1"/>
  <c r="L42" i="26"/>
  <c r="K42" i="26"/>
  <c r="I42" i="26"/>
  <c r="C42" i="26"/>
  <c r="D42" i="26" s="1"/>
  <c r="L41" i="26"/>
  <c r="K41" i="26"/>
  <c r="I41" i="26"/>
  <c r="C41" i="26"/>
  <c r="L40" i="26"/>
  <c r="K40" i="26"/>
  <c r="I40" i="26"/>
  <c r="C40" i="26"/>
  <c r="P40" i="26" s="1"/>
  <c r="L39" i="26"/>
  <c r="K39" i="26"/>
  <c r="I39" i="26"/>
  <c r="C39" i="26"/>
  <c r="F39" i="26" s="1" a="1"/>
  <c r="F39" i="26" s="1"/>
  <c r="L38" i="26"/>
  <c r="K38" i="26"/>
  <c r="I38" i="26"/>
  <c r="C38" i="26"/>
  <c r="D38" i="26" s="1"/>
  <c r="L37" i="26"/>
  <c r="K37" i="26"/>
  <c r="I37" i="26"/>
  <c r="C37" i="26"/>
  <c r="P37" i="26" s="1"/>
  <c r="L36" i="26"/>
  <c r="K36" i="26"/>
  <c r="I36" i="26"/>
  <c r="C36" i="26"/>
  <c r="P36" i="26" s="1"/>
  <c r="L35" i="26"/>
  <c r="K35" i="26"/>
  <c r="I35" i="26"/>
  <c r="C35" i="26"/>
  <c r="F35" i="26" s="1" a="1"/>
  <c r="F35" i="26" s="1"/>
  <c r="L34" i="26"/>
  <c r="K34" i="26"/>
  <c r="I34" i="26"/>
  <c r="C34" i="26"/>
  <c r="D34" i="26" s="1"/>
  <c r="L33" i="26"/>
  <c r="K33" i="26"/>
  <c r="I33" i="26"/>
  <c r="C33" i="26"/>
  <c r="L32" i="26"/>
  <c r="K32" i="26"/>
  <c r="I32" i="26"/>
  <c r="C32" i="26"/>
  <c r="P32" i="26" s="1"/>
  <c r="L31" i="26"/>
  <c r="K31" i="26"/>
  <c r="I31" i="26"/>
  <c r="C31" i="26"/>
  <c r="F31" i="26" s="1" a="1"/>
  <c r="F31" i="26" s="1"/>
  <c r="L30" i="26"/>
  <c r="K30" i="26"/>
  <c r="I30" i="26"/>
  <c r="F30" i="26" a="1"/>
  <c r="F30" i="26" s="1"/>
  <c r="C30" i="26"/>
  <c r="D30" i="26" s="1"/>
  <c r="L29" i="26"/>
  <c r="K29" i="26"/>
  <c r="I29" i="26"/>
  <c r="C29" i="26"/>
  <c r="P29" i="26" s="1"/>
  <c r="L28" i="26"/>
  <c r="K28" i="26"/>
  <c r="I28" i="26"/>
  <c r="C28" i="26"/>
  <c r="P28" i="26" s="1"/>
  <c r="L27" i="26"/>
  <c r="K27" i="26"/>
  <c r="I27" i="26"/>
  <c r="C27" i="26"/>
  <c r="F27" i="26" s="1" a="1"/>
  <c r="F27" i="26" s="1"/>
  <c r="L26" i="26"/>
  <c r="K26" i="26"/>
  <c r="I26" i="26"/>
  <c r="C26" i="26"/>
  <c r="D26" i="26" s="1"/>
  <c r="L25" i="26"/>
  <c r="K25" i="26"/>
  <c r="I25" i="26"/>
  <c r="C25" i="26"/>
  <c r="L24" i="26"/>
  <c r="K24" i="26"/>
  <c r="I24" i="26"/>
  <c r="C24" i="26"/>
  <c r="P24" i="26" s="1"/>
  <c r="L23" i="26"/>
  <c r="K23" i="26"/>
  <c r="I23" i="26"/>
  <c r="C23" i="26"/>
  <c r="F23" i="26" s="1" a="1"/>
  <c r="F23" i="26" s="1"/>
  <c r="L22" i="26"/>
  <c r="K22" i="26"/>
  <c r="I22" i="26"/>
  <c r="C22" i="26"/>
  <c r="D22" i="26" s="1"/>
  <c r="L21" i="26"/>
  <c r="K21" i="26"/>
  <c r="I21" i="26"/>
  <c r="C21" i="26"/>
  <c r="P21" i="26" s="1"/>
  <c r="L20" i="26"/>
  <c r="K20" i="26"/>
  <c r="I20" i="26"/>
  <c r="C20" i="26"/>
  <c r="P20" i="26" s="1"/>
  <c r="L19" i="26"/>
  <c r="K19" i="26"/>
  <c r="I19" i="26"/>
  <c r="C19" i="26"/>
  <c r="F19" i="26" s="1" a="1"/>
  <c r="F19" i="26" s="1"/>
  <c r="L18" i="26"/>
  <c r="K18" i="26"/>
  <c r="I18" i="26"/>
  <c r="C18" i="26"/>
  <c r="D18" i="26" s="1"/>
  <c r="L17" i="26"/>
  <c r="K17" i="26"/>
  <c r="I17" i="26"/>
  <c r="C17" i="26"/>
  <c r="L16" i="26"/>
  <c r="K16" i="26"/>
  <c r="I16" i="26"/>
  <c r="C16" i="26"/>
  <c r="P16" i="26" s="1"/>
  <c r="L15" i="26"/>
  <c r="K15" i="26"/>
  <c r="I15" i="26"/>
  <c r="C15" i="26"/>
  <c r="F15" i="26" s="1" a="1"/>
  <c r="F15" i="26" s="1"/>
  <c r="L14" i="26"/>
  <c r="K14" i="26"/>
  <c r="I14" i="26"/>
  <c r="L13" i="26"/>
  <c r="K13" i="26"/>
  <c r="I13" i="26"/>
  <c r="P13" i="26"/>
  <c r="L12" i="26"/>
  <c r="K12" i="26"/>
  <c r="I12" i="26"/>
  <c r="P12" i="26"/>
  <c r="L11" i="26"/>
  <c r="K11" i="26"/>
  <c r="I11" i="26"/>
  <c r="L10" i="26"/>
  <c r="K10" i="26"/>
  <c r="I10" i="26"/>
  <c r="D10" i="26"/>
  <c r="L9" i="26"/>
  <c r="K9" i="26"/>
  <c r="I9" i="26"/>
  <c r="P9" i="26"/>
  <c r="L8" i="26"/>
  <c r="K8" i="26"/>
  <c r="I8" i="26"/>
  <c r="L7" i="26"/>
  <c r="K7" i="26"/>
  <c r="I7" i="26"/>
  <c r="L6" i="26"/>
  <c r="K6" i="26"/>
  <c r="I6" i="26"/>
  <c r="L5" i="26"/>
  <c r="K5" i="26"/>
  <c r="I5" i="26"/>
  <c r="C5" i="26"/>
  <c r="P5" i="26" s="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5" i="25"/>
  <c r="K13" i="25"/>
  <c r="K5" i="25"/>
  <c r="K6" i="25"/>
  <c r="K7" i="25"/>
  <c r="K8" i="25"/>
  <c r="K9" i="25"/>
  <c r="K10" i="25"/>
  <c r="K11" i="25"/>
  <c r="K12"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I102" i="25"/>
  <c r="C102" i="25"/>
  <c r="P102" i="25" s="1"/>
  <c r="I101" i="25"/>
  <c r="C101" i="25"/>
  <c r="P101" i="25" s="1"/>
  <c r="I100" i="25"/>
  <c r="C100" i="25"/>
  <c r="P100" i="25" s="1"/>
  <c r="I99" i="25"/>
  <c r="D99" i="25"/>
  <c r="C99" i="25"/>
  <c r="P99" i="25" s="1"/>
  <c r="I98" i="25"/>
  <c r="C98" i="25"/>
  <c r="I97" i="25"/>
  <c r="C97" i="25"/>
  <c r="F97" i="25" s="1" a="1"/>
  <c r="F97" i="25" s="1"/>
  <c r="I96" i="25"/>
  <c r="C96" i="25"/>
  <c r="P96" i="25" s="1"/>
  <c r="I95" i="25"/>
  <c r="C95" i="25"/>
  <c r="D95" i="25" s="1"/>
  <c r="I94" i="25"/>
  <c r="C94" i="25"/>
  <c r="I93" i="25"/>
  <c r="C93" i="25"/>
  <c r="P93" i="25" s="1"/>
  <c r="I92" i="25"/>
  <c r="C92" i="25"/>
  <c r="P92" i="25" s="1"/>
  <c r="I91" i="25"/>
  <c r="C91" i="25"/>
  <c r="P91" i="25" s="1"/>
  <c r="I90" i="25"/>
  <c r="C90" i="25"/>
  <c r="I89" i="25"/>
  <c r="C89" i="25"/>
  <c r="F89" i="25" s="1" a="1"/>
  <c r="F89" i="25" s="1"/>
  <c r="I88" i="25"/>
  <c r="C88" i="25"/>
  <c r="P88" i="25" s="1"/>
  <c r="I87" i="25"/>
  <c r="C87" i="25"/>
  <c r="D87" i="25" s="1"/>
  <c r="I86" i="25"/>
  <c r="C86" i="25"/>
  <c r="I85" i="25"/>
  <c r="C85" i="25"/>
  <c r="P85" i="25" s="1"/>
  <c r="I84" i="25"/>
  <c r="C84" i="25"/>
  <c r="P84" i="25" s="1"/>
  <c r="I83" i="25"/>
  <c r="C83" i="25"/>
  <c r="P83" i="25" s="1"/>
  <c r="I82" i="25"/>
  <c r="C82" i="25"/>
  <c r="I81" i="25"/>
  <c r="C81" i="25"/>
  <c r="F81" i="25" s="1" a="1"/>
  <c r="F81" i="25" s="1"/>
  <c r="I80" i="25"/>
  <c r="C80" i="25"/>
  <c r="P80" i="25" s="1"/>
  <c r="I79" i="25"/>
  <c r="C79" i="25"/>
  <c r="D79" i="25" s="1"/>
  <c r="I78" i="25"/>
  <c r="C78" i="25"/>
  <c r="I77" i="25"/>
  <c r="C77" i="25"/>
  <c r="P77" i="25" s="1"/>
  <c r="I76" i="25"/>
  <c r="C76" i="25"/>
  <c r="P76" i="25" s="1"/>
  <c r="I75" i="25"/>
  <c r="C75" i="25"/>
  <c r="P75" i="25" s="1"/>
  <c r="I74" i="25"/>
  <c r="C74" i="25"/>
  <c r="I73" i="25"/>
  <c r="C73" i="25"/>
  <c r="F73" i="25" s="1" a="1"/>
  <c r="F73" i="25" s="1"/>
  <c r="I72" i="25"/>
  <c r="C72" i="25"/>
  <c r="P72" i="25" s="1"/>
  <c r="I71" i="25"/>
  <c r="C71" i="25"/>
  <c r="D71" i="25" s="1"/>
  <c r="I70" i="25"/>
  <c r="C70" i="25"/>
  <c r="I69" i="25"/>
  <c r="C69" i="25"/>
  <c r="F69" i="25" s="1" a="1"/>
  <c r="F69" i="25" s="1"/>
  <c r="I68" i="25"/>
  <c r="C68" i="25"/>
  <c r="F68" i="25" s="1" a="1"/>
  <c r="F68" i="25" s="1"/>
  <c r="I67" i="25"/>
  <c r="C67" i="25"/>
  <c r="F67" i="25" s="1" a="1"/>
  <c r="F67" i="25" s="1"/>
  <c r="I66" i="25"/>
  <c r="C66" i="25"/>
  <c r="I65" i="25"/>
  <c r="C65" i="25"/>
  <c r="F65" i="25" s="1" a="1"/>
  <c r="F65" i="25" s="1"/>
  <c r="I64" i="25"/>
  <c r="C64" i="25"/>
  <c r="P64" i="25" s="1"/>
  <c r="I63" i="25"/>
  <c r="C63" i="25"/>
  <c r="F63" i="25" s="1" a="1"/>
  <c r="F63" i="25" s="1"/>
  <c r="I62" i="25"/>
  <c r="C62" i="25"/>
  <c r="P62" i="25" s="1"/>
  <c r="I61" i="25"/>
  <c r="C61" i="25"/>
  <c r="F61" i="25" s="1" a="1"/>
  <c r="F61" i="25" s="1"/>
  <c r="I60" i="25"/>
  <c r="C60" i="25"/>
  <c r="P60" i="25" s="1"/>
  <c r="I59" i="25"/>
  <c r="C59" i="25"/>
  <c r="P59" i="25" s="1"/>
  <c r="I58" i="25"/>
  <c r="C58" i="25"/>
  <c r="I57" i="25"/>
  <c r="C57" i="25"/>
  <c r="F57" i="25" s="1" a="1"/>
  <c r="F57" i="25" s="1"/>
  <c r="I56" i="25"/>
  <c r="C56" i="25"/>
  <c r="D56" i="25" s="1"/>
  <c r="I55" i="25"/>
  <c r="C55" i="25"/>
  <c r="F55" i="25" s="1" a="1"/>
  <c r="F55" i="25" s="1"/>
  <c r="I54" i="25"/>
  <c r="C54" i="25"/>
  <c r="P54" i="25" s="1"/>
  <c r="I53" i="25"/>
  <c r="C53" i="25"/>
  <c r="F53" i="25" s="1" a="1"/>
  <c r="F53" i="25" s="1"/>
  <c r="I52" i="25"/>
  <c r="C52" i="25"/>
  <c r="P52" i="25" s="1"/>
  <c r="I51" i="25"/>
  <c r="C51" i="25"/>
  <c r="P51" i="25" s="1"/>
  <c r="I50" i="25"/>
  <c r="C50" i="25"/>
  <c r="F50" i="25" s="1" a="1"/>
  <c r="F50" i="25" s="1"/>
  <c r="I49" i="25"/>
  <c r="C49" i="25"/>
  <c r="F49" i="25" s="1" a="1"/>
  <c r="F49" i="25" s="1"/>
  <c r="I48" i="25"/>
  <c r="C48" i="25"/>
  <c r="P48" i="25" s="1"/>
  <c r="I47" i="25"/>
  <c r="C47" i="25"/>
  <c r="F47" i="25" s="1" a="1"/>
  <c r="F47" i="25" s="1"/>
  <c r="I46" i="25"/>
  <c r="C46" i="25"/>
  <c r="I45" i="25"/>
  <c r="C45" i="25"/>
  <c r="F45" i="25" s="1" a="1"/>
  <c r="F45" i="25" s="1"/>
  <c r="I44" i="25"/>
  <c r="C44" i="25"/>
  <c r="P44" i="25" s="1"/>
  <c r="I43" i="25"/>
  <c r="C43" i="25"/>
  <c r="P43" i="25" s="1"/>
  <c r="I42" i="25"/>
  <c r="C42" i="25"/>
  <c r="I41" i="25"/>
  <c r="C41" i="25"/>
  <c r="F41" i="25" s="1" a="1"/>
  <c r="F41" i="25" s="1"/>
  <c r="I40" i="25"/>
  <c r="C40" i="25"/>
  <c r="D40" i="25" s="1"/>
  <c r="I39" i="25"/>
  <c r="C39" i="25"/>
  <c r="F39" i="25" s="1" a="1"/>
  <c r="F39" i="25" s="1"/>
  <c r="I38" i="25"/>
  <c r="C38" i="25"/>
  <c r="P38" i="25" s="1"/>
  <c r="I37" i="25"/>
  <c r="C37" i="25"/>
  <c r="F37" i="25" s="1" a="1"/>
  <c r="F37" i="25" s="1"/>
  <c r="I36" i="25"/>
  <c r="C36" i="25"/>
  <c r="D36" i="25" s="1"/>
  <c r="I35" i="25"/>
  <c r="C35" i="25"/>
  <c r="F35" i="25" s="1" a="1"/>
  <c r="F35" i="25" s="1"/>
  <c r="I34" i="25"/>
  <c r="C34" i="25"/>
  <c r="I33" i="25"/>
  <c r="C33" i="25"/>
  <c r="I32" i="25"/>
  <c r="C32" i="25"/>
  <c r="P32" i="25" s="1"/>
  <c r="I31" i="25"/>
  <c r="C31" i="25"/>
  <c r="F31" i="25" s="1" a="1"/>
  <c r="F31" i="25" s="1"/>
  <c r="I30" i="25"/>
  <c r="C30" i="25"/>
  <c r="I29" i="25"/>
  <c r="C29" i="25"/>
  <c r="F29" i="25" s="1" a="1"/>
  <c r="F29" i="25" s="1"/>
  <c r="I28" i="25"/>
  <c r="C28" i="25"/>
  <c r="D28" i="25" s="1"/>
  <c r="I27" i="25"/>
  <c r="C27" i="25"/>
  <c r="P27" i="25" s="1"/>
  <c r="I26" i="25"/>
  <c r="C26" i="25"/>
  <c r="I25" i="25"/>
  <c r="C25" i="25"/>
  <c r="I24" i="25"/>
  <c r="C24" i="25"/>
  <c r="P24" i="25" s="1"/>
  <c r="I23" i="25"/>
  <c r="C23" i="25"/>
  <c r="F23" i="25" s="1" a="1"/>
  <c r="F23" i="25" s="1"/>
  <c r="I22" i="25"/>
  <c r="C22" i="25"/>
  <c r="F22" i="25" s="1" a="1"/>
  <c r="F22" i="25" s="1"/>
  <c r="I21" i="25"/>
  <c r="C21" i="25"/>
  <c r="D21" i="25" s="1"/>
  <c r="I20" i="25"/>
  <c r="C20" i="25"/>
  <c r="F20" i="25" s="1" a="1"/>
  <c r="F20" i="25" s="1"/>
  <c r="I19" i="25"/>
  <c r="C19" i="25"/>
  <c r="F19" i="25" s="1" a="1"/>
  <c r="F19" i="25" s="1"/>
  <c r="I18" i="25"/>
  <c r="C18" i="25"/>
  <c r="I17" i="25"/>
  <c r="C17" i="25"/>
  <c r="I16" i="25"/>
  <c r="D16" i="25"/>
  <c r="I13" i="25"/>
  <c r="P13" i="25"/>
  <c r="P12" i="25"/>
  <c r="I12" i="25"/>
  <c r="D12" i="25"/>
  <c r="P11" i="25"/>
  <c r="I11" i="25"/>
  <c r="D11" i="25"/>
  <c r="P10" i="25"/>
  <c r="I10" i="25"/>
  <c r="D10" i="25"/>
  <c r="I9" i="25"/>
  <c r="D9" i="25"/>
  <c r="P8" i="25"/>
  <c r="I8" i="25"/>
  <c r="D8" i="25"/>
  <c r="P7" i="25"/>
  <c r="I7" i="25"/>
  <c r="P6" i="25"/>
  <c r="I6" i="25"/>
  <c r="P5" i="25"/>
  <c r="I5" i="25"/>
  <c r="P18" i="25" l="1"/>
  <c r="P26" i="25"/>
  <c r="P34" i="25"/>
  <c r="P74" i="25"/>
  <c r="P82" i="25"/>
  <c r="P90" i="25"/>
  <c r="P98" i="25"/>
  <c r="P33" i="26"/>
  <c r="P41" i="26"/>
  <c r="P84" i="26"/>
  <c r="P88" i="26"/>
  <c r="P92" i="26"/>
  <c r="P96" i="26"/>
  <c r="P73" i="26"/>
  <c r="P60" i="26"/>
  <c r="P17" i="25"/>
  <c r="P25" i="25"/>
  <c r="P33" i="25"/>
  <c r="P68" i="26"/>
  <c r="P72" i="26"/>
  <c r="P17" i="26"/>
  <c r="P25" i="26"/>
  <c r="P76" i="26"/>
  <c r="P80" i="26"/>
  <c r="F26" i="26" a="1"/>
  <c r="F26" i="26" s="1"/>
  <c r="F90" i="26" a="1"/>
  <c r="F90" i="26" s="1"/>
  <c r="D85" i="25"/>
  <c r="F42" i="26" a="1"/>
  <c r="F42" i="26" s="1"/>
  <c r="F58" i="26" a="1"/>
  <c r="F58" i="26" s="1"/>
  <c r="P31" i="25"/>
  <c r="D84" i="25"/>
  <c r="F50" i="26" a="1"/>
  <c r="F50" i="26" s="1"/>
  <c r="F94" i="26" a="1"/>
  <c r="F94" i="26" s="1"/>
  <c r="F18" i="26" a="1"/>
  <c r="F18" i="26" s="1"/>
  <c r="F62" i="26" a="1"/>
  <c r="F62" i="26" s="1"/>
  <c r="P95" i="25"/>
  <c r="F34" i="26" a="1"/>
  <c r="F34" i="26" s="1"/>
  <c r="F78" i="26" a="1"/>
  <c r="F78" i="26" s="1"/>
  <c r="D44" i="25"/>
  <c r="P55" i="25"/>
  <c r="P56" i="25"/>
  <c r="D90" i="25"/>
  <c r="F22" i="26" a="1"/>
  <c r="F22" i="26" s="1"/>
  <c r="F54" i="26" a="1"/>
  <c r="F54" i="26" s="1"/>
  <c r="F86" i="26" a="1"/>
  <c r="F86" i="26" s="1"/>
  <c r="F90" i="25" a="1"/>
  <c r="F90" i="25" s="1"/>
  <c r="D65" i="25"/>
  <c r="P28" i="25"/>
  <c r="P69" i="25"/>
  <c r="F95" i="25" a="1"/>
  <c r="F95" i="25" s="1"/>
  <c r="F38" i="26" a="1"/>
  <c r="F38" i="26" s="1"/>
  <c r="F70" i="26" a="1"/>
  <c r="F70" i="26" s="1"/>
  <c r="D60" i="25"/>
  <c r="P19" i="25"/>
  <c r="P29" i="25"/>
  <c r="F82" i="25" a="1"/>
  <c r="F82" i="25" s="1"/>
  <c r="P23" i="25"/>
  <c r="F21" i="26" a="1"/>
  <c r="F21" i="26" s="1"/>
  <c r="F37" i="26" a="1"/>
  <c r="F37" i="26" s="1"/>
  <c r="F53" i="26" a="1"/>
  <c r="F53" i="26" s="1"/>
  <c r="F69" i="26" a="1"/>
  <c r="F69" i="26" s="1"/>
  <c r="F85" i="26" a="1"/>
  <c r="F85" i="26" s="1"/>
  <c r="F24" i="25" a="1"/>
  <c r="F24" i="25" s="1"/>
  <c r="F25" i="26" a="1"/>
  <c r="F25" i="26" s="1"/>
  <c r="F41" i="26" a="1"/>
  <c r="F41" i="26" s="1"/>
  <c r="F57" i="26" a="1"/>
  <c r="F57" i="26" s="1"/>
  <c r="F73" i="26" a="1"/>
  <c r="F73" i="26" s="1"/>
  <c r="F89" i="26" a="1"/>
  <c r="F89" i="26" s="1"/>
  <c r="F29" i="26" a="1"/>
  <c r="F29" i="26" s="1"/>
  <c r="F45" i="26" a="1"/>
  <c r="F45" i="26" s="1"/>
  <c r="F61" i="26" a="1"/>
  <c r="F61" i="26" s="1"/>
  <c r="F77" i="26" a="1"/>
  <c r="F77" i="26" s="1"/>
  <c r="F93" i="26" a="1"/>
  <c r="F93" i="26" s="1"/>
  <c r="D35" i="25"/>
  <c r="F32" i="25" a="1"/>
  <c r="F32" i="25" s="1"/>
  <c r="D82" i="25"/>
  <c r="D88" i="25"/>
  <c r="F17" i="26" a="1"/>
  <c r="F17" i="26" s="1"/>
  <c r="F33" i="26" a="1"/>
  <c r="F33" i="26" s="1"/>
  <c r="F49" i="26" a="1"/>
  <c r="F49" i="26" s="1"/>
  <c r="F65" i="26" a="1"/>
  <c r="F65" i="26" s="1"/>
  <c r="F81" i="26" a="1"/>
  <c r="F81" i="26" s="1"/>
  <c r="F97" i="26" a="1"/>
  <c r="F97" i="26" s="1"/>
  <c r="F56" i="25" a="1"/>
  <c r="F56" i="25" s="1"/>
  <c r="F21" i="25" a="1"/>
  <c r="F21" i="25" s="1"/>
  <c r="D43" i="25"/>
  <c r="F48" i="25" a="1"/>
  <c r="F48" i="25" s="1"/>
  <c r="F79" i="25" a="1"/>
  <c r="F79" i="25" s="1"/>
  <c r="F87" i="25" a="1"/>
  <c r="F87" i="25" s="1"/>
  <c r="F100" i="25" a="1"/>
  <c r="F100" i="25" s="1"/>
  <c r="D48" i="25"/>
  <c r="P39" i="25"/>
  <c r="F96" i="25" a="1"/>
  <c r="F96" i="25" s="1"/>
  <c r="P15" i="25"/>
  <c r="P79" i="25"/>
  <c r="D34" i="25"/>
  <c r="F74" i="25" a="1"/>
  <c r="F74" i="25" s="1"/>
  <c r="F40" i="25" a="1"/>
  <c r="F40" i="25" s="1"/>
  <c r="D19" i="25"/>
  <c r="P67" i="25"/>
  <c r="D72" i="25"/>
  <c r="D76" i="25"/>
  <c r="F80" i="25" a="1"/>
  <c r="F80" i="25" s="1"/>
  <c r="F84" i="25" a="1"/>
  <c r="F84" i="25" s="1"/>
  <c r="F88" i="25" a="1"/>
  <c r="F88" i="25" s="1"/>
  <c r="F28" i="25" a="1"/>
  <c r="F28" i="25" s="1"/>
  <c r="D32" i="25"/>
  <c r="P40" i="25"/>
  <c r="P63" i="25"/>
  <c r="F72" i="25" a="1"/>
  <c r="F72" i="25" s="1"/>
  <c r="D98" i="25"/>
  <c r="D64" i="25"/>
  <c r="D77" i="25"/>
  <c r="F17" i="25" a="1"/>
  <c r="F17" i="25" s="1"/>
  <c r="D20" i="25"/>
  <c r="D24" i="25"/>
  <c r="D41" i="25"/>
  <c r="D57" i="25"/>
  <c r="F64" i="25" a="1"/>
  <c r="F64" i="25" s="1"/>
  <c r="F71" i="25" a="1"/>
  <c r="F71" i="25" s="1"/>
  <c r="D74" i="25"/>
  <c r="F76" i="25" a="1"/>
  <c r="F76" i="25" s="1"/>
  <c r="D80" i="25"/>
  <c r="F98" i="25" a="1"/>
  <c r="F98" i="25" s="1"/>
  <c r="D18" i="25"/>
  <c r="D45" i="25"/>
  <c r="D51" i="25"/>
  <c r="P71" i="25"/>
  <c r="D83" i="25"/>
  <c r="D92" i="25"/>
  <c r="D101" i="25"/>
  <c r="F18" i="25" a="1"/>
  <c r="F18" i="25" s="1"/>
  <c r="F51" i="25" a="1"/>
  <c r="F51" i="25" s="1"/>
  <c r="F83" i="25" a="1"/>
  <c r="F83" i="25" s="1"/>
  <c r="F92" i="25" a="1"/>
  <c r="F92" i="25" s="1"/>
  <c r="D96" i="25"/>
  <c r="P45" i="25"/>
  <c r="D25" i="25"/>
  <c r="F43" i="25" a="1"/>
  <c r="F43" i="25" s="1"/>
  <c r="D49" i="25"/>
  <c r="D59" i="25"/>
  <c r="D69" i="25"/>
  <c r="D75" i="25"/>
  <c r="P87" i="25"/>
  <c r="D93" i="25"/>
  <c r="F99" i="25" a="1"/>
  <c r="F99" i="25" s="1"/>
  <c r="F25" i="25" a="1"/>
  <c r="F25" i="25" s="1"/>
  <c r="F36" i="25" a="1"/>
  <c r="F36" i="25" s="1"/>
  <c r="F59" i="25" a="1"/>
  <c r="F59" i="25" s="1"/>
  <c r="F75" i="25" a="1"/>
  <c r="F75" i="25" s="1"/>
  <c r="D17" i="25"/>
  <c r="D33" i="25"/>
  <c r="D67" i="25"/>
  <c r="D91" i="25"/>
  <c r="F33" i="25" a="1"/>
  <c r="F33" i="25" s="1"/>
  <c r="F91" i="25" a="1"/>
  <c r="F91" i="25" s="1"/>
  <c r="D100" i="25"/>
  <c r="P47" i="25"/>
  <c r="D5" i="26"/>
  <c r="P7" i="26"/>
  <c r="D9" i="26"/>
  <c r="P11" i="26"/>
  <c r="D13" i="26"/>
  <c r="P15" i="26"/>
  <c r="D17" i="26"/>
  <c r="P19" i="26"/>
  <c r="D21" i="26"/>
  <c r="P23" i="26"/>
  <c r="D25" i="26"/>
  <c r="P27" i="26"/>
  <c r="D29" i="26"/>
  <c r="P31" i="26"/>
  <c r="D33" i="26"/>
  <c r="P35" i="26"/>
  <c r="D37" i="26"/>
  <c r="P39" i="26"/>
  <c r="D41" i="26"/>
  <c r="P43" i="26"/>
  <c r="D45" i="26"/>
  <c r="P47" i="26"/>
  <c r="D49" i="26"/>
  <c r="P51" i="26"/>
  <c r="D53" i="26"/>
  <c r="P55" i="26"/>
  <c r="D57" i="26"/>
  <c r="P59" i="26"/>
  <c r="D61" i="26"/>
  <c r="P63" i="26"/>
  <c r="D65" i="26"/>
  <c r="P67" i="26"/>
  <c r="D69" i="26"/>
  <c r="P71" i="26"/>
  <c r="D73" i="26"/>
  <c r="P75" i="26"/>
  <c r="D77" i="26"/>
  <c r="P79" i="26"/>
  <c r="D81" i="26"/>
  <c r="P83" i="26"/>
  <c r="D85" i="26"/>
  <c r="P87" i="26"/>
  <c r="D89" i="26"/>
  <c r="P91" i="26"/>
  <c r="D93" i="26"/>
  <c r="P95" i="26"/>
  <c r="D97" i="26"/>
  <c r="P99" i="26"/>
  <c r="P6" i="26"/>
  <c r="D8" i="26"/>
  <c r="P10" i="26"/>
  <c r="D12" i="26"/>
  <c r="D16" i="26"/>
  <c r="P18" i="26"/>
  <c r="D20" i="26"/>
  <c r="P22" i="26"/>
  <c r="D24" i="26"/>
  <c r="P26" i="26"/>
  <c r="D28" i="26"/>
  <c r="P30" i="26"/>
  <c r="D32" i="26"/>
  <c r="P34" i="26"/>
  <c r="D36" i="26"/>
  <c r="P38" i="26"/>
  <c r="D40" i="26"/>
  <c r="P42" i="26"/>
  <c r="D44" i="26"/>
  <c r="P46" i="26"/>
  <c r="D48" i="26"/>
  <c r="P50" i="26"/>
  <c r="D52" i="26"/>
  <c r="P54" i="26"/>
  <c r="D56" i="26"/>
  <c r="P58" i="26"/>
  <c r="D60" i="26"/>
  <c r="P62" i="26"/>
  <c r="D64" i="26"/>
  <c r="P66" i="26"/>
  <c r="D68" i="26"/>
  <c r="P70" i="26"/>
  <c r="D72" i="26"/>
  <c r="P74" i="26"/>
  <c r="D76" i="26"/>
  <c r="P78" i="26"/>
  <c r="D80" i="26"/>
  <c r="P82" i="26"/>
  <c r="D84" i="26"/>
  <c r="P86" i="26"/>
  <c r="D88" i="26"/>
  <c r="P90" i="26"/>
  <c r="D92" i="26"/>
  <c r="P94" i="26"/>
  <c r="D96" i="26"/>
  <c r="P98" i="26"/>
  <c r="D100" i="26"/>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80" i="26" a="1"/>
  <c r="F80" i="26" s="1"/>
  <c r="F84" i="26" a="1"/>
  <c r="F84" i="26" s="1"/>
  <c r="F88" i="26" a="1"/>
  <c r="F88" i="26" s="1"/>
  <c r="F92" i="26" a="1"/>
  <c r="F92" i="26" s="1"/>
  <c r="F96" i="26" a="1"/>
  <c r="F96" i="26" s="1"/>
  <c r="F100" i="26" a="1"/>
  <c r="F100" i="26" s="1"/>
  <c r="D11" i="26"/>
  <c r="D15" i="26"/>
  <c r="D19" i="26"/>
  <c r="D23" i="26"/>
  <c r="D27" i="26"/>
  <c r="D31" i="26"/>
  <c r="D35" i="26"/>
  <c r="D39" i="26"/>
  <c r="D43" i="26"/>
  <c r="D47" i="26"/>
  <c r="D51" i="26"/>
  <c r="D55" i="26"/>
  <c r="D59" i="26"/>
  <c r="D63" i="26"/>
  <c r="D67" i="26"/>
  <c r="D71" i="26"/>
  <c r="D75" i="26"/>
  <c r="D79" i="26"/>
  <c r="D83" i="26"/>
  <c r="D87" i="26"/>
  <c r="D91" i="26"/>
  <c r="D95" i="26"/>
  <c r="D99" i="26"/>
  <c r="D58" i="25"/>
  <c r="P58" i="25"/>
  <c r="P22" i="25"/>
  <c r="D26" i="25"/>
  <c r="D27" i="25"/>
  <c r="P37" i="25"/>
  <c r="F46" i="25" a="1"/>
  <c r="F46" i="25" s="1"/>
  <c r="D46" i="25"/>
  <c r="D53" i="25"/>
  <c r="F58" i="25" a="1"/>
  <c r="F58" i="25" s="1"/>
  <c r="F60" i="25" a="1"/>
  <c r="F60" i="25" s="1"/>
  <c r="P70" i="25"/>
  <c r="F70" i="25" a="1"/>
  <c r="F70" i="25" s="1"/>
  <c r="D70" i="25"/>
  <c r="P20" i="25"/>
  <c r="P21" i="25"/>
  <c r="F26" i="25" a="1"/>
  <c r="F26" i="25" s="1"/>
  <c r="F27" i="25" a="1"/>
  <c r="F27" i="25" s="1"/>
  <c r="D29" i="25"/>
  <c r="P35" i="25"/>
  <c r="P36" i="25"/>
  <c r="D50" i="25"/>
  <c r="P50" i="25"/>
  <c r="D52" i="25"/>
  <c r="P78" i="25"/>
  <c r="F78" i="25" a="1"/>
  <c r="F78" i="25" s="1"/>
  <c r="D78" i="25"/>
  <c r="F30" i="25" a="1"/>
  <c r="F30" i="25" s="1"/>
  <c r="D30" i="25"/>
  <c r="D38" i="25"/>
  <c r="F38" i="25" a="1"/>
  <c r="F38" i="25" s="1"/>
  <c r="F52" i="25" a="1"/>
  <c r="F52" i="25" s="1"/>
  <c r="P61" i="25"/>
  <c r="P86" i="25"/>
  <c r="F86" i="25" a="1"/>
  <c r="F86" i="25" s="1"/>
  <c r="D86" i="25"/>
  <c r="P94" i="25"/>
  <c r="F94" i="25" a="1"/>
  <c r="F94" i="25" s="1"/>
  <c r="D94" i="25"/>
  <c r="D42" i="25"/>
  <c r="P42" i="25"/>
  <c r="F13" i="25" a="1"/>
  <c r="F13" i="25" s="1"/>
  <c r="D13" i="25"/>
  <c r="P30" i="25"/>
  <c r="D22" i="25"/>
  <c r="F34" i="25" a="1"/>
  <c r="F34" i="25" s="1"/>
  <c r="D37" i="25"/>
  <c r="F42" i="25" a="1"/>
  <c r="F42" i="25" s="1"/>
  <c r="F44" i="25" a="1"/>
  <c r="F44" i="25" s="1"/>
  <c r="P46" i="25"/>
  <c r="P53" i="25"/>
  <c r="F62" i="25" a="1"/>
  <c r="F62" i="25" s="1"/>
  <c r="D62" i="25"/>
  <c r="D68" i="25"/>
  <c r="P68" i="25"/>
  <c r="D66" i="25"/>
  <c r="P66" i="25"/>
  <c r="D54" i="25"/>
  <c r="F54" i="25" a="1"/>
  <c r="F54" i="25" s="1"/>
  <c r="D61" i="25"/>
  <c r="F66" i="25" a="1"/>
  <c r="F66" i="25" s="1"/>
  <c r="F77" i="25" a="1"/>
  <c r="F77" i="25" s="1"/>
  <c r="F85" i="25" a="1"/>
  <c r="F85" i="25" s="1"/>
  <c r="F93" i="25" a="1"/>
  <c r="F93" i="25" s="1"/>
  <c r="F101" i="25" a="1"/>
  <c r="F101" i="25" s="1"/>
  <c r="D102" i="25"/>
  <c r="D23" i="25"/>
  <c r="D31" i="25"/>
  <c r="D39" i="25"/>
  <c r="P41" i="25"/>
  <c r="D47" i="25"/>
  <c r="P49" i="25"/>
  <c r="D55" i="25"/>
  <c r="P57" i="25"/>
  <c r="D63" i="25"/>
  <c r="P65" i="25"/>
  <c r="P73" i="25"/>
  <c r="P81" i="25"/>
  <c r="P89" i="25"/>
  <c r="P97" i="25"/>
  <c r="F102" i="25" a="1"/>
  <c r="F102" i="25" s="1"/>
  <c r="D73" i="25"/>
  <c r="D81" i="25"/>
  <c r="D89" i="25"/>
  <c r="D97"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<sst xmlns="http://schemas.openxmlformats.org/spreadsheetml/2006/main" count="767" uniqueCount="289">
  <si>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</si>
  <si>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</si>
  <si>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</si>
  <si>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</si>
  <si>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</si>
  <si>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</si>
  <si>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</si>
  <si>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</si>
  <si>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</si>
  <si>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</si>
  <si>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</si>
  <si>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</si>
  <si>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</si>
  <si>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</si>
  <si>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</si>
  <si>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</si>
  <si>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</si>
  <si>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</si>
  <si>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</si>
  <si>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</si>
  <si>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</si>
  <si>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</si>
  <si>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</si>
  <si>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</si>
  <si>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</si>
  <si>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</si>
  <si>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</si>
  <si>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</si>
  <si>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</si>
  <si>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</si>
  <si>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</si>
  <si>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</si>
  <si>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</si>
  <si>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</si>
  <si>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</si>
  <si>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</si>
  <si>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</si>
  <si>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</si>
  <si>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</si>
  <si>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</si>
  <si>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</si>
  <si>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</si>
  <si>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</si>
  <si>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</si>
  <si>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</si>
  <si>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</si>
  <si>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</si>
  <si>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</si>
  <si>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</si>
  <si>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</si>
  <si>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</si>
  <si>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</si>
  <si>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</si>
  <si>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</si>
  <si>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</si>
  <si>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</si>
  <si>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</si>
  <si>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</si>
  <si>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</si>
  <si>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</si>
  <si>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</si>
  <si>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</si>
  <si>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</si>
  <si>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</si>
  <si>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</si>
  <si>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</si>
  <si>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</si>
  <si>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</si>
  <si>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</si>
  <si>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</si>
  <si>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</si>
  <si>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</si>
  <si>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</si>
  <si>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</si>
  <si>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</si>
  <si>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</si>
  <si>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</si>
  <si>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</si>
  <si>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</si>
  <si>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</si>
  <si>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</si>
  <si>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</si>
  <si>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</si>
  <si>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</si>
  <si>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</si>
  <si>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</si>
  <si>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</si>
  <si>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</si>
  <si>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</si>
  <si>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</si>
  <si>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</si>
  <si>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</si>
  <si>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</si>
  <si>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</si>
  <si>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</si>
  <si>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</si>
  <si>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</si>
  <si>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</si>
  <si>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</si>
  <si>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</si>
  <si>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</si>
  <si>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</si>
  <si>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</si>
  <si>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</si>
  <si>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</si>
  <si>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</si>
  <si>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</si>
  <si>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</si>
  <si>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</si>
  <si>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</si>
  <si>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</si>
  <si>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</si>
  <si>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</si>
  <si>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</si>
  <si>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</si>
  <si>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</si>
  <si>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</si>
  <si>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</si>
  <si>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</si>
  <si>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</si>
  <si>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</si>
  <si>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</si>
  <si>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</si>
  <si>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</si>
  <si>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</si>
  <si>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</si>
  <si>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</si>
  <si>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</si>
  <si>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</si>
  <si>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</si>
  <si>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</si>
  <si>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</si>
  <si>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</si>
  <si>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</si>
  <si>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</si>
  <si>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</si>
  <si>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</si>
  <si>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</si>
  <si>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</si>
  <si>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</si>
  <si>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</si>
  <si>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</si>
  <si>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</si>
  <si>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</si>
  <si>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</si>
  <si>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</si>
  <si>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</si>
  <si>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</si>
  <si>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</si>
  <si>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</si>
  <si>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</si>
  <si>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</si>
  <si>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</si>
  <si>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</si>
  <si>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</si>
  <si>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</si>
  <si>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</si>
  <si>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</si>
  <si>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</si>
  <si>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</si>
  <si>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</si>
  <si>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</si>
  <si>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</si>
  <si>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</si>
  <si>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</si>
  <si>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</si>
  <si>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</si>
  <si>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</si>
  <si>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</si>
  <si>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</si>
  <si>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</si>
  <si>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</si>
  <si>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</si>
  <si>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</si>
  <si>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</si>
  <si>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</si>
  <si>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</si>
  <si>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</si>
  <si>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</si>
  <si>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</si>
  <si>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</si>
  <si>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</si>
  <si>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</si>
  <si>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</si>
  <si>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</si>
  <si>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</si>
  <si>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</si>
  <si>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</si>
  <si>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</si>
  <si>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</si>
  <si>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</si>
  <si>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</si>
  <si>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</si>
  <si>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</si>
  <si>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</si>
  <si>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</si>
  <si>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</si>
  <si>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</si>
  <si>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</si>
  <si>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</si>
  <si>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</si>
  <si>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</si>
  <si>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</si>
  <si>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</si>
  <si>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</si>
  <si>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</si>
  <si>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</si>
  <si>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</si>
  <si>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</si>
  <si>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</si>
  <si>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</si>
  <si>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</si>
  <si>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</si>
  <si>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</si>
  <si>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</si>
  <si>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</si>
  <si>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</si>
  <si>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</si>
  <si>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</si>
  <si>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</si>
  <si>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</si>
  <si>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</si>
  <si>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</si>
  <si>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</si>
  <si>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</si>
  <si>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</si>
  <si>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</si>
  <si>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</si>
  <si>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</si>
  <si>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</si>
  <si>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</si>
  <si>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</si>
  <si>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</si>
  <si>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</si>
  <si>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</si>
  <si>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</si>
  <si>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</si>
  <si>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</si>
  <si>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</si>
  <si>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</si>
  <si>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</si>
  <si>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</si>
  <si>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</si>
  <si>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</si>
  <si>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</si>
  <si>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</si>
  <si>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HTL</t>
  </si>
  <si>
    <t>CO2 sequestered in landfilled CaCO3.</t>
  </si>
  <si>
    <t>Fuel Distribution</t>
  </si>
  <si>
    <t>Fuel Distribution and Vehicle Operation</t>
  </si>
  <si>
    <t>Solids from Aqueous Treatment</t>
  </si>
  <si>
    <t>Process fuel</t>
  </si>
  <si>
    <t>Emissions and sequestration</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</si>
  <si>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</si>
  <si>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</si>
  <si>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</si>
  <si>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</si>
  <si>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</si>
  <si>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</si>
  <si>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</si>
  <si>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</si>
  <si>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</si>
  <si>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</si>
  <si>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</si>
  <si>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</si>
  <si>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</si>
  <si>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</si>
  <si>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</si>
  <si>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</si>
  <si>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</si>
  <si>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</si>
  <si>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</si>
  <si>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</si>
  <si>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</si>
  <si>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</si>
  <si>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</si>
  <si>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</si>
  <si>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</si>
  <si>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</si>
  <si>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</si>
  <si>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</si>
  <si>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Input from Another Stage</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</si>
  <si>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</si>
  <si>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</si>
  <si>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</si>
  <si>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</si>
  <si>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</si>
  <si>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</si>
  <si>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=IF(OR([@Type]="Main Product", [@Type]="Co-Product"), [@Resource],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</si>
</sst>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4">
    <xf numFmtId="0" fontId="0" fillId="0" borderId="0" xfId="0"/>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164" fontId="0" fillId="0" borderId="0" xfId="0" applyNumberFormat="1"/>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xf numFmtId="0" fontId="0" fillId="0" borderId="0" xfId="0" quotePrefix="1"/>
  </cellXfs>
  <cellStyles count="3">
    <cellStyle name="Comma" xfId="1" builtinId="3"/>
    <cellStyle name="Normal" xfId="0" builtinId="0"/>
    <cellStyle name="Percent" xfId="2" builtinId="5"/>
  </cellStyles>
  <dxfs count="89">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406400</xdr:colOff>
          <xdr:row>0</xdr:row>
          <xdr:rowOff>266700</xdr:rowOff>
        </xdr:from>
        <xdr:to>
          <xdr:col>1</xdr:col>
          <xdr:colOff>1809750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120650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8" dataDxfId="87" tableBorderDxfId="86" dataCellStyle="Percent">
  <autoFilter ref="A4:R100" xr:uid="{1644AED8-49DE-4A1D-989C-1566C9A522B9}"/>
  <tableColumns count="18">
    <tableColumn id="1" xr3:uid="{3C4E83C1-4DAF-4B93-AE9A-B658DBA43631}" name="Type" dataDxfId="85"/>
    <tableColumn id="2" xr3:uid="{7AC9B54E-C457-49EC-A7D6-0ED656B6CFE9}" name="Category" dataDxfId="84"/>
    <tableColumn id="3" xr3:uid="{350F9A14-F368-49FE-AF21-19555EB999FB}" name="Resource" dataDxfId="83">
      <calculatedColumnFormula>_xlfn.XLOOKUP($B5,'SI - Resources'!$A$1:$I$1,'SI - Resources'!$A$2:$I$2, "")</calculatedColumnFormula>
    </tableColumn>
    <tableColumn id="4" xr3:uid="{A0B55D89-6640-4C29-88AC-93188C5097C5}" name="End Use" dataDxfId="82">
      <calculatedColumnFormula>IF(_xlfn.XLOOKUP($C5,'SI - End Use'!$B$2:$B$53,'SI - End Use'!$C$2:$C$53, "")="", "", _xlfn.XLOOKUP($C5,'SI - End Use'!$B$2:$B$53,'SI - End Use'!$C$2:$C$53, ""))</calculatedColumnFormula>
    </tableColumn>
    <tableColumn id="5" xr3:uid="{5ADDDF1D-4510-4428-A882-8D5C8F52BE8C}" name="Amount" dataDxfId="81" dataCellStyle="Comma"/>
    <tableColumn id="6" xr3:uid="{341D427F-5F42-4F22-98AD-9D6883E4330B}" name="Unit" dataDxfId="80">
      <calculatedColumnFormula array="1">IF($B5="Transportation",  'SI - Units'!$B$9:$B$9, _xlfn.XLOOKUP(_xlfn.XLOOKUP($C5,'SI - Units'!$B$24:$B$74,'SI - Units'!$C$24:$C$74, ""),'SI - Units'!$A$2:$A$8,'SI - Units'!$B$2:$B$8, ""))</calculatedColumnFormula>
    </tableColumn>
    <tableColumn id="7" xr3:uid="{515C4DB0-B187-40B1-8F47-45FF3483AEC1}" name="Moisture" dataDxfId="79" dataCellStyle="Percent"/>
    <tableColumn id="8" xr3:uid="{294BC856-42BB-4049-BD49-6A865E88E771}" name="Previous Stage" dataDxfId="78" dataCellStyle="Percent"/>
    <tableColumn id="9" xr3:uid="{CDA23678-EB57-4035-9101-F29AA45C63EE}" name="Always Use Displacement Method for Co-Product?" dataDxfId="77" dataCellStyle="Percent">
      <calculatedColumnFormula>IF(Table1[[#This Row],[Type]]="Co-product", "No", "")</calculatedColumnFormula>
    </tableColumn>
    <tableColumn id="10" xr3:uid="{0E5BF4B8-8667-40EE-B9EF-BC9E06D72AAB}" name="Product Train" dataDxfId="76"/>
    <tableColumn id="14" xr3:uid="{D99A9C54-A8C3-4803-A70D-4659D5193A9A}" name="Payload" dataDxfId="75">
      <calculatedColumnFormula>IF(Table1[[#This Row],[Type]]="Transportation", _xlfn.XLOOKUP(Table1[[#This Row],[Resource]], 'SI - Payload'!$A$10:$A$37,'SI - Payload'!$B$10:$B$37,"",0), "")</calculatedColumnFormula>
    </tableColumn>
    <tableColumn id="15" xr3:uid="{3BF278AE-6D04-4ABA-AACE-E651957B5676}" name="Payload Unit" dataDxfId="74">
      <calculatedColumnFormula>IF(Table1[[#This Row],[Type]]="Transportation", "ton", "")</calculatedColumnFormula>
    </tableColumn>
    <tableColumn id="16" xr3:uid="{B4587E16-116C-48C2-B897-34EA45D2B5E2}" name="Market Price" dataDxfId="73"/>
    <tableColumn id="17" xr3:uid="{CFF030DD-8740-4448-85CE-69419CA7344D}" name="Market Price Unit" dataDxfId="72"/>
    <tableColumn id="12" xr3:uid="{0A5A1CE9-5C17-482C-ACCA-BB3BA789761E}" name="Incumbent Product" dataDxfId="0">
      <calculatedColumnFormula>IF(OR(Table1[[#This Row],[Type]]="Main Product", Table1[[#This Row],[Type]]="Co-Product"), Table1[[#This Row],[Resource]], "")</calculatedColumnFormula>
    </tableColumn>
    <tableColumn id="13" xr3:uid="{A8C514D4-4EE9-4BFC-A5D9-1A3B1C61CAF3}" name="End Use of Incumbent Product" dataDxfId="71">
      <calculatedColumnFormula>IF(_xlfn.XLOOKUP($O5,'SI - End Use'!$B$2:$B$53,'SI - End Use'!$C$2:$C$53, "")="", "", _xlfn.XLOOKUP($C5,'SI - End Use'!$B$2:$B$53,'SI - End Use'!$C$2:$C$53, ""))</calculatedColumnFormula>
    </tableColumn>
    <tableColumn id="18" xr3:uid="{1AFBF91D-E45D-442D-BA06-D58B0AE7953E}" name="Process" dataDxfId="70"/>
    <tableColumn id="11" xr3:uid="{34D8D993-53F9-46B7-8FE9-32F1A6F2DFD2}" name="Note" dataDxfId="6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5" totalsRowShown="0" headerRowDxfId="68">
  <autoFilter ref="A1:I25" xr:uid="{BF352F56-F627-4A8D-9B22-DA497E2644FC}"/>
  <tableColumns count="9">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67"/>
    <tableColumn id="4" xr3:uid="{CA7E12F4-CA42-4C30-8167-75EC0AE0646A}" name="Water"/>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3" totalsRowShown="0">
  <autoFilter ref="A1:N53" xr:uid="{A2520818-4902-482A-9E88-A7A4D5A1D5DD}"/>
  <tableColumns count="14">
    <tableColumn id="1" xr3:uid="{75A5F75F-64ED-4232-9A1E-4D41B091D006}" name="Column1"/>
    <tableColumn id="2" xr3:uid="{18B5F0AA-5D76-44C7-A951-0327634C6CCB}" name="Column2"/>
    <tableColumn id="3" xr3:uid="{ECDC9495-57EB-459F-8C28-D2BCDB1550C0}" name="Column3" dataDxfId="66"/>
    <tableColumn id="4" xr3:uid="{066E5028-FE97-46DD-94DD-3F5362889CC8}" name="Column4" dataDxfId="65"/>
    <tableColumn id="5" xr3:uid="{518CF11D-9FC1-41DC-A48E-08F72F35ADAA}" name="Column5" dataDxfId="6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3">
  <autoFilter ref="A1:R10" xr:uid="{A38095DD-9874-4EE7-A8C2-2706165CCEBD}"/>
  <tableColumns count="18">
    <tableColumn id="1" xr3:uid="{65B7BBF3-4BCE-43A4-9B03-83AE412598EC}" name="Column1"/>
    <tableColumn id="2" xr3:uid="{FFDF068B-D532-4DC4-904E-48D00A60A52E}" name="Column2" dataDxfId="62"/>
    <tableColumn id="3" xr3:uid="{22885E79-E7D2-4EEE-B0A6-74B1C5779681}" name="Column3" dataDxfId="61"/>
    <tableColumn id="4" xr3:uid="{C1DEFD79-EA05-47FD-8251-B29B3BCC06B2}" name="Column4" dataDxfId="60"/>
    <tableColumn id="5" xr3:uid="{29AEEBB1-E43B-4691-B73C-A8FA6D80443C}" name="Column5" dataDxfId="59"/>
    <tableColumn id="6" xr3:uid="{CC08C1F9-C485-4200-A0F9-C8E59BA65B97}" name="Column6" dataDxfId="58"/>
    <tableColumn id="7" xr3:uid="{6C28381F-6253-4E2E-A800-FF075582292A}" name="Column7" dataDxfId="57"/>
    <tableColumn id="8" xr3:uid="{CA3D0B6B-B24F-4751-A1CE-28D7D0B98174}" name="Column8" dataDxfId="56"/>
    <tableColumn id="9" xr3:uid="{7057E753-ED12-407E-950F-CC59E808A2BF}" name="Column9" dataDxfId="5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4" totalsRowShown="0" dataDxfId="54">
  <autoFilter ref="B23:C74" xr:uid="{09147A22-E822-45D3-B3C2-ABDDF48EE5E6}"/>
  <tableColumns count="2">
    <tableColumn id="1" xr3:uid="{CDC0A0AC-3BED-4650-82CE-403A1BF28367}" name="Column1" dataDxfId="53"/>
    <tableColumn id="2" xr3:uid="{B6F8A3B9-3868-4A35-8F6E-BA3E60A1529E}" name="Column2"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1">
  <autoFilter ref="A12:R20" xr:uid="{B01EA81C-1645-4ED3-BEC5-6C5396237E43}"/>
  <tableColumns count="18">
    <tableColumn id="1" xr3:uid="{821EE498-6278-4E39-82EF-1F47FBA85A36}" name="Column1"/>
    <tableColumn id="2" xr3:uid="{E81954FF-60B7-4ABD-BC14-40676F73AA3E}" name="Column2" dataDxfId="50">
      <calculatedColumnFormula>IF(B2&lt;&gt;"","$/"&amp;B2, "")</calculatedColumnFormula>
    </tableColumn>
    <tableColumn id="3" xr3:uid="{A15329FC-BC0D-46AE-9A0E-F4CFE0FF184A}" name="Column3" dataDxfId="49">
      <calculatedColumnFormula>IF(C2&lt;&gt;"","$/"&amp;C2, "")</calculatedColumnFormula>
    </tableColumn>
    <tableColumn id="4" xr3:uid="{2197BCF8-40A1-4D22-B05E-D0E1CBFBA215}" name="Column4" dataDxfId="48">
      <calculatedColumnFormula>IF(D2&lt;&gt;"","$/"&amp;D2, "")</calculatedColumnFormula>
    </tableColumn>
    <tableColumn id="5" xr3:uid="{3DAF72F2-745A-4FCF-BD44-BDC825984018}" name="Column5" dataDxfId="47">
      <calculatedColumnFormula>IF(E2&lt;&gt;"","$/"&amp;E2, "")</calculatedColumnFormula>
    </tableColumn>
    <tableColumn id="6" xr3:uid="{820E7353-19C6-4D63-B444-F7CAC7BF01AA}" name="Column6" dataDxfId="46">
      <calculatedColumnFormula>IF(F2&lt;&gt;"","$/"&amp;F2, "")</calculatedColumnFormula>
    </tableColumn>
    <tableColumn id="7" xr3:uid="{91F510E8-B638-43EB-BA78-D4632DA66CD4}" name="Column7" dataDxfId="45">
      <calculatedColumnFormula>IF(G2&lt;&gt;"","$/"&amp;G2, "")</calculatedColumnFormula>
    </tableColumn>
    <tableColumn id="8" xr3:uid="{9CD4EFF6-953E-4257-A2B2-041DCDDBD0BB}" name="Column8" dataDxfId="44">
      <calculatedColumnFormula>IF(H2&lt;&gt;"","$/"&amp;H2, "")</calculatedColumnFormula>
    </tableColumn>
    <tableColumn id="9" xr3:uid="{E1D1E2ED-A567-4428-8C9E-5EE867B5D225}" name="Column9" dataDxfId="4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2" totalsRowShown="0" headerRowDxfId="42" dataDxfId="41" tableBorderDxfId="40" dataCellStyle="Percent">
  <autoFilter ref="A4:R102" xr:uid="{1644AED8-49DE-4A1D-989C-1566C9A522B9}"/>
  <tableColumns count="18">
    <tableColumn id="1" xr3:uid="{EA0D8D9A-D8F3-4647-973C-A55563535E28}" name="Type" dataDxfId="39"/>
    <tableColumn id="2" xr3:uid="{E0848CC5-14ED-4E3C-B737-F2C7D69FBE85}" name="Category" dataDxfId="38"/>
    <tableColumn id="3" xr3:uid="{BD09FFF1-B969-4EA9-A296-69A97760FAB6}" name="Resource" dataDxfId="37">
      <calculatedColumnFormula>_xlfn.XLOOKUP($B5,'SI - Resources'!$A$1:$I$1,'SI - Resources'!$A$2:$I$2, "")</calculatedColumnFormula>
    </tableColumn>
    <tableColumn id="4" xr3:uid="{63E0444E-4234-48DB-8BA1-0E2F184F0F2C}" name="End Use" dataDxfId="36">
      <calculatedColumnFormula>IF(_xlfn.XLOOKUP($C5,'SI - End Use'!$B$2:$B$53,'SI - End Use'!$C$2:$C$53, "")="", "", _xlfn.XLOOKUP($C5,'SI - End Use'!$B$2:$B$53,'SI - End Use'!$C$2:$C$53, ""))</calculatedColumnFormula>
    </tableColumn>
    <tableColumn id="5" xr3:uid="{FDCDBAE4-3267-46EE-BD81-CD1317C667D4}" name="Amount" dataDxfId="35" dataCellStyle="Comma"/>
    <tableColumn id="6" xr3:uid="{BA3E2B4B-648C-43ED-A4AB-567FF5F61331}" name="Unit" dataDxfId="34">
      <calculatedColumnFormula array="1">IF($B5="Transportation",  'SI - Units'!$B$9:$B$9, _xlfn.XLOOKUP(_xlfn.XLOOKUP($C5,'SI - Units'!$B$24:$B$74,'SI - Units'!$C$24:$C$74, ""),'SI - Units'!$A$2:$A$8,'SI - Units'!$B$2:$B$8, ""))</calculatedColumnFormula>
    </tableColumn>
    <tableColumn id="7" xr3:uid="{20DC254D-03AF-49A8-B577-55979CC6EDD9}" name="Moisture" dataDxfId="33" dataCellStyle="Percent"/>
    <tableColumn id="8" xr3:uid="{BE822FD4-9AF0-480E-A846-CCDE55B22405}" name="Previous Stage" dataDxfId="32" dataCellStyle="Percent"/>
    <tableColumn id="9" xr3:uid="{72D8C8DD-72A7-4620-8C5F-36BBEE8338E6}" name="Always Use Displacement Method for Co-Product?" dataDxfId="31" dataCellStyle="Percent">
      <calculatedColumnFormula>IF(Table13[[#This Row],[Type]]="Co-product", "No", "")</calculatedColumnFormula>
    </tableColumn>
    <tableColumn id="10" xr3:uid="{AC884B49-0A3C-41B2-A3E9-60AACB54A3D4}" name="Product Train" dataDxfId="30"/>
    <tableColumn id="14" xr3:uid="{1B6105B8-1C88-4901-A42E-00373AABEE4D}" name="Payload" dataDxfId="29">
      <calculatedColumnFormula>IF(Table13[[#This Row],[Category]]="Transportation", _xlfn.XLOOKUP(Table13[[#This Row],[Resource]], 'SI - Payload'!$A$10:$A$37,'SI - Payload'!$B$10:$B$37,"",0), "")</calculatedColumnFormula>
    </tableColumn>
    <tableColumn id="15" xr3:uid="{83CAF168-54DF-450C-8D22-3744C9D6AC66}" name="Payload Unit" dataDxfId="28">
      <calculatedColumnFormula>IF(Table13[[#This Row],[Category]]="Transportation", "ton", "")</calculatedColumnFormula>
    </tableColumn>
    <tableColumn id="16" xr3:uid="{A3E1D12D-E6C1-4296-8160-D1DEDED5C33B}" name="Market Price" dataDxfId="27"/>
    <tableColumn id="17" xr3:uid="{7AE24249-BC7A-40D0-B971-14B85C8009F3}" name="Market Price Unit" dataDxfId="26"/>
    <tableColumn id="12" xr3:uid="{19ED780F-4A54-4674-900E-6F165E508F03}" name="Incumbent Product" dataDxfId="1">
      <calculatedColumnFormula>IF(OR(Table13[[#This Row],[Type]]="Main Product", Table13[[#This Row],[Type]]="Co-Product"), Table13[[#This Row],[Resource]], "")</calculatedColumnFormula>
    </tableColumn>
    <tableColumn id="13" xr3:uid="{6DAD2582-55D2-41DB-AFFC-79D862C4651C}" name="End Use of Incumbent Product" dataDxfId="25">
      <calculatedColumnFormula>IF(_xlfn.XLOOKUP($O5,'SI - End Use'!$B$2:$B$53,'SI - End Use'!$C$2:$C$53, "")="", "", _xlfn.XLOOKUP($C5,'SI - End Use'!$B$2:$B$53,'SI - End Use'!$C$2:$C$53, ""))</calculatedColumnFormula>
    </tableColumn>
    <tableColumn id="18" xr3:uid="{ACB996D2-1882-4720-B13D-0ED6952AB67D}" name="Process" dataDxfId="24"/>
    <tableColumn id="11" xr3:uid="{950E539C-0CEE-404A-BB9D-0CE474740878}" name="Note" dataDxfId="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E969A0-8C09-4EE6-880E-E87F910F4373}" name="Table16" displayName="Table16" ref="A4:R100" totalsRowShown="0" headerRowDxfId="22" dataDxfId="21" tableBorderDxfId="20" dataCellStyle="Percent">
  <autoFilter ref="A4:R100" xr:uid="{1644AED8-49DE-4A1D-989C-1566C9A522B9}"/>
  <tableColumns count="18">
    <tableColumn id="1" xr3:uid="{104BF81D-6B97-48D7-BABC-97BE4192A4A4}" name="Type" dataDxfId="19"/>
    <tableColumn id="2" xr3:uid="{3ABF3987-2366-406A-8995-06E7293E10C5}" name="Category" dataDxfId="18"/>
    <tableColumn id="3" xr3:uid="{A500F8A4-AF1F-47F4-9741-9807FE880C26}" name="Resource" dataDxfId="17">
      <calculatedColumnFormula>_xlfn.XLOOKUP($B5,'SI - Resources'!$A$1:$I$1,'SI - Resources'!$A$2:$I$2, "")</calculatedColumnFormula>
    </tableColumn>
    <tableColumn id="4" xr3:uid="{2D010005-0DDD-4AB0-A4A7-44E0FDFB0F92}" name="End Use" dataDxfId="16">
      <calculatedColumnFormula>IF(_xlfn.XLOOKUP($C5,'SI - End Use'!$B$2:$B$53,'SI - End Use'!$C$2:$C$53, "")="", "", _xlfn.XLOOKUP($C5,'SI - End Use'!$B$2:$B$53,'SI - End Use'!$C$2:$C$53, ""))</calculatedColumnFormula>
    </tableColumn>
    <tableColumn id="5" xr3:uid="{BEA04741-2A1C-4999-8B73-8C78487A36ED}" name="Amount" dataDxfId="15" dataCellStyle="Comma"/>
    <tableColumn id="6" xr3:uid="{DB1FC58A-AE08-445D-8A8D-7EDC1C3E668A}" name="Unit" dataDxfId="14">
      <calculatedColumnFormula array="1">IF($B5="Transportation",  'SI - Units'!$B$9:$B$9, _xlfn.XLOOKUP(_xlfn.XLOOKUP($C5,'SI - Units'!$B$24:$B$74,'SI - Units'!$C$24:$C$74, ""),'SI - Units'!$A$2:$A$8,'SI - Units'!$B$2:$B$8, ""))</calculatedColumnFormula>
    </tableColumn>
    <tableColumn id="7" xr3:uid="{B4066291-CBE7-4565-813A-A183A1FF3A30}" name="Moisture" dataDxfId="13" dataCellStyle="Percent"/>
    <tableColumn id="8" xr3:uid="{00119A1F-1B29-4320-BAE6-4BCC06703C1F}" name="Previous Stage" dataDxfId="12" dataCellStyle="Percent"/>
    <tableColumn id="9" xr3:uid="{C45C9AF7-A2BC-4485-80B4-D575F41D9972}" name="Always Use Displacement Method for Co-Product?" dataDxfId="11" dataCellStyle="Percent">
      <calculatedColumnFormula>IF(Table16[[#This Row],[Type]]="Co-product", "No", "")</calculatedColumnFormula>
    </tableColumn>
    <tableColumn id="10" xr3:uid="{44D8B9C6-EC3D-4B38-B2ED-3E8AB5CD4B07}" name="Product Train" dataDxfId="10"/>
    <tableColumn id="14" xr3:uid="{A4239FC0-E850-4B2D-83B0-8D2A85C85DED}" name="Payload" dataDxfId="9">
      <calculatedColumnFormula>IF(Table16[[#This Row],[Type]]="Transportation", _xlfn.XLOOKUP(Table16[[#This Row],[Resource]], 'SI - Payload'!$A$10:$A$37,'SI - Payload'!$B$10:$B$37,"",0), "")</calculatedColumnFormula>
    </tableColumn>
    <tableColumn id="15" xr3:uid="{3AF073F1-0C54-4DD6-95F3-1CE0903EC7EB}" name="Payload Unit" dataDxfId="8">
      <calculatedColumnFormula>IF(Table16[[#This Row],[Type]]="Transportation", "ton", "")</calculatedColumnFormula>
    </tableColumn>
    <tableColumn id="16" xr3:uid="{1B815C19-531E-477A-9AB4-9F64401A1190}" name="Market Price" dataDxfId="7"/>
    <tableColumn id="17" xr3:uid="{2E90EF08-C0CE-4A4A-A179-645265ED0975}" name="Market Price Unit" dataDxfId="6"/>
    <tableColumn id="12" xr3:uid="{9921B7F2-7A94-4068-A2D1-8B0BC7B0DF7C}" name="Incumbent Product" dataDxfId="5">
      <calculatedColumnFormula>IF(OR(Table16[[#This Row],[Type]]="Main Product", Table16[[#This Row],[Type]]="Co-Product"), Table16[[#This Row],[Resource]], "")</calculatedColumnFormula>
    </tableColumn>
    <tableColumn id="13" xr3:uid="{D8403357-C60D-40BD-A550-C4BB2212EDE3}" name="End Use of Incumbent Product" dataDxfId="4">
      <calculatedColumnFormula>IF(_xlfn.XLOOKUP($O5,'SI - End Use'!$B$2:$B$53,'SI - End Use'!$C$2:$C$53, "")="", "", _xlfn.XLOOKUP($C5,'SI - End Use'!$B$2:$B$53,'SI - End Use'!$C$2:$C$53, ""))</calculatedColumnFormula>
    </tableColumn>
    <tableColumn id="18" xr3:uid="{7C5F2273-479B-4C3D-8D0A-113A8825E51D}" name="Process" dataDxfId="3"/>
    <tableColumn id="11" xr3:uid="{69F5FBD9-7469-4E31-8DE6-B6F3209317C6}" name="Note"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0" activePane="bottomLeft" state="frozen"/>
      <selection pane="bottomLeft" activeCell="B32" sqref="B3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0" t="s">
        <v>256</v>
      </c>
      <c r="B2" s="70"/>
    </row>
    <row r="3" spans="1:3" ht="28" customHeight="1" x14ac:dyDescent="0.35">
      <c r="A3" s="71" t="s">
        <v>257</v>
      </c>
      <c r="B3" s="71"/>
    </row>
    <row r="4" spans="1:3" ht="28" customHeight="1" x14ac:dyDescent="0.35">
      <c r="A4" s="64"/>
      <c r="B4" s="64"/>
    </row>
    <row r="5" spans="1:3" ht="28" customHeight="1" x14ac:dyDescent="0.35">
      <c r="A5" s="72" t="s">
        <v>258</v>
      </c>
      <c r="B5" s="72"/>
    </row>
    <row r="6" spans="1:3" ht="21" x14ac:dyDescent="0.35">
      <c r="A6" s="28" t="s">
        <v>124</v>
      </c>
      <c r="B6" s="65"/>
      <c r="C6" s="23"/>
    </row>
    <row r="7" spans="1:3" x14ac:dyDescent="0.35">
      <c r="A7" s="30" t="s">
        <v>130</v>
      </c>
      <c r="B7" s="27" t="s">
        <v>259</v>
      </c>
    </row>
    <row r="8" spans="1:3" ht="28" customHeight="1" x14ac:dyDescent="0.35">
      <c r="A8" s="30" t="s">
        <v>260</v>
      </c>
      <c r="B8" s="29" t="s">
        <v>261</v>
      </c>
    </row>
    <row r="9" spans="1:3" ht="21" x14ac:dyDescent="0.35">
      <c r="A9" s="65"/>
      <c r="B9" s="65"/>
    </row>
    <row r="10" spans="1:3" ht="21" x14ac:dyDescent="0.35">
      <c r="A10" s="28" t="s">
        <v>125</v>
      </c>
      <c r="B10" s="65"/>
    </row>
    <row r="11" spans="1:3" x14ac:dyDescent="0.35">
      <c r="A11" s="66" t="s">
        <v>6</v>
      </c>
      <c r="B11" s="27" t="s">
        <v>262</v>
      </c>
    </row>
    <row r="12" spans="1:3" x14ac:dyDescent="0.35">
      <c r="A12" s="67" t="s">
        <v>0</v>
      </c>
      <c r="B12" s="27" t="s">
        <v>120</v>
      </c>
    </row>
    <row r="13" spans="1:3" x14ac:dyDescent="0.35">
      <c r="A13" s="67" t="s">
        <v>263</v>
      </c>
      <c r="B13" s="27" t="s">
        <v>264</v>
      </c>
    </row>
    <row r="14" spans="1:3" ht="58" x14ac:dyDescent="0.35">
      <c r="A14" s="67" t="s">
        <v>118</v>
      </c>
      <c r="B14" s="27" t="s">
        <v>265</v>
      </c>
    </row>
    <row r="15" spans="1:3" ht="87" x14ac:dyDescent="0.35">
      <c r="A15" s="67" t="s">
        <v>89</v>
      </c>
      <c r="B15" s="27" t="s">
        <v>266</v>
      </c>
    </row>
    <row r="16" spans="1:3" ht="43.5" x14ac:dyDescent="0.35">
      <c r="A16" s="67" t="s">
        <v>245</v>
      </c>
      <c r="B16" s="27" t="s">
        <v>267</v>
      </c>
    </row>
    <row r="17" spans="1:2" x14ac:dyDescent="0.35">
      <c r="A17" s="68" t="s">
        <v>1</v>
      </c>
      <c r="B17" s="27" t="s">
        <v>268</v>
      </c>
    </row>
    <row r="18" spans="1:2" x14ac:dyDescent="0.35">
      <c r="A18" s="68" t="s">
        <v>36</v>
      </c>
      <c r="B18" s="27" t="s">
        <v>121</v>
      </c>
    </row>
    <row r="19" spans="1:2" ht="43.5" x14ac:dyDescent="0.35">
      <c r="A19" s="68" t="s">
        <v>5</v>
      </c>
      <c r="B19" s="27" t="s">
        <v>269</v>
      </c>
    </row>
    <row r="20" spans="1:2" x14ac:dyDescent="0.35">
      <c r="A20" s="68" t="s">
        <v>7</v>
      </c>
      <c r="B20" s="27" t="s">
        <v>123</v>
      </c>
    </row>
    <row r="21" spans="1:2" x14ac:dyDescent="0.35">
      <c r="A21" s="68" t="s">
        <v>8</v>
      </c>
      <c r="B21" s="27" t="s">
        <v>122</v>
      </c>
    </row>
    <row r="22" spans="1:2" ht="29" x14ac:dyDescent="0.35">
      <c r="A22" s="68" t="s">
        <v>116</v>
      </c>
      <c r="B22" s="27" t="s">
        <v>270</v>
      </c>
    </row>
    <row r="23" spans="1:2" ht="29" x14ac:dyDescent="0.35">
      <c r="A23" s="68" t="s">
        <v>271</v>
      </c>
      <c r="B23" s="27" t="s">
        <v>272</v>
      </c>
    </row>
    <row r="24" spans="1:2" ht="58" x14ac:dyDescent="0.35">
      <c r="A24" s="68" t="s">
        <v>127</v>
      </c>
      <c r="B24" s="27" t="s">
        <v>273</v>
      </c>
    </row>
    <row r="25" spans="1:2" ht="29" x14ac:dyDescent="0.35">
      <c r="A25" s="68" t="s">
        <v>88</v>
      </c>
      <c r="B25" s="27" t="s">
        <v>274</v>
      </c>
    </row>
    <row r="26" spans="1:2" x14ac:dyDescent="0.35">
      <c r="A26" s="68" t="s">
        <v>138</v>
      </c>
      <c r="B26" s="27" t="s">
        <v>275</v>
      </c>
    </row>
    <row r="27" spans="1:2" x14ac:dyDescent="0.35">
      <c r="A27" s="68" t="s">
        <v>139</v>
      </c>
      <c r="B27" t="s">
        <v>276</v>
      </c>
    </row>
    <row r="28" spans="1:2" x14ac:dyDescent="0.35">
      <c r="A28" s="68" t="s">
        <v>140</v>
      </c>
      <c r="B28" s="27" t="s">
        <v>277</v>
      </c>
    </row>
    <row r="29" spans="1:2" x14ac:dyDescent="0.35">
      <c r="A29" s="68" t="s">
        <v>141</v>
      </c>
      <c r="B29" t="s">
        <v>278</v>
      </c>
    </row>
    <row r="30" spans="1:2" ht="29" x14ac:dyDescent="0.35">
      <c r="A30" s="68" t="s">
        <v>142</v>
      </c>
      <c r="B30" s="27" t="s">
        <v>279</v>
      </c>
    </row>
    <row r="31" spans="1:2" x14ac:dyDescent="0.35">
      <c r="A31" s="68" t="s">
        <v>143</v>
      </c>
      <c r="B31" t="s">
        <v>280</v>
      </c>
    </row>
    <row r="32" spans="1:2" ht="58" x14ac:dyDescent="0.35">
      <c r="A32" s="68" t="s">
        <v>255</v>
      </c>
      <c r="B32" s="27" t="s">
        <v>282</v>
      </c>
    </row>
    <row r="33" spans="1:2" x14ac:dyDescent="0.35">
      <c r="A33" s="68" t="s">
        <v>4</v>
      </c>
      <c r="B33" s="27" t="s">
        <v>126</v>
      </c>
    </row>
  </sheetData>
  <mergeCells count="3">
    <mergeCell ref="A2:B2"/>
    <mergeCell ref="A3:B3"/>
    <mergeCell ref="A5:B5"/>
  </mergeCells>
  <dataValidations disablePrompts="1" count="1">
    <dataValidation type="custom" allowBlank="1" showInputMessage="1" showErrorMessage="1" sqref="A22" xr:uid="{152AD798-BD97-40A6-9CF6-8DE87B9150E5}">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406400</xdr:colOff>
                    <xdr:row>0</xdr:row>
                    <xdr:rowOff>266700</xdr:rowOff>
                  </from>
                  <to>
                    <xdr:col>1</xdr:col>
                    <xdr:colOff>1809750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H8" sqref="H8"/>
      <selection pane="bottomLeft" activeCell="M11" sqref="M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254</v>
      </c>
      <c r="B2" s="22"/>
      <c r="C2" s="23" t="s">
        <v>119</v>
      </c>
    </row>
    <row r="4" spans="1:18" x14ac:dyDescent="0.35">
      <c r="A4" s="10" t="s">
        <v>6</v>
      </c>
      <c r="B4" s="11" t="s">
        <v>1</v>
      </c>
      <c r="C4" s="11" t="s">
        <v>36</v>
      </c>
      <c r="D4" s="11" t="s">
        <v>5</v>
      </c>
      <c r="E4" s="11" t="s">
        <v>7</v>
      </c>
      <c r="F4" s="11" t="s">
        <v>8</v>
      </c>
      <c r="G4" s="11" t="s">
        <v>116</v>
      </c>
      <c r="H4" s="11" t="s">
        <v>271</v>
      </c>
      <c r="I4" s="11" t="s">
        <v>127</v>
      </c>
      <c r="J4" s="11" t="s">
        <v>117</v>
      </c>
      <c r="K4" s="12" t="s">
        <v>138</v>
      </c>
      <c r="L4" s="12" t="s">
        <v>139</v>
      </c>
      <c r="M4" s="12" t="s">
        <v>140</v>
      </c>
      <c r="N4" s="12" t="s">
        <v>141</v>
      </c>
      <c r="O4" s="11" t="s">
        <v>142</v>
      </c>
      <c r="P4" s="11" t="s">
        <v>143</v>
      </c>
      <c r="Q4" s="11" t="s">
        <v>255</v>
      </c>
      <c r="R4" s="11" t="s">
        <v>4</v>
      </c>
    </row>
    <row r="5" spans="1:18" x14ac:dyDescent="0.35">
      <c r="A5" s="9"/>
      <c r="B5" s="9"/>
      <c r="C5" s="9" t="str">
        <f>_xlfn.XLOOKUP($B5,'SI - Resources'!$A$1:$I$1,'SI - Resources'!$A$2:$I$2, "")</f>
        <v/>
      </c>
      <c r="D5" s="25" t="str">
        <f>IF(_xlfn.XLOOKUP($C5,'SI - End Use'!$B$2:$B$53,'SI - End Use'!$C$2:$C$53, "")="", "", _xlfn.XLOOKUP($C5,'SI - End Use'!$B$2:$B$53,'SI - End Use'!$C$2:$C$53, ""))</f>
        <v/>
      </c>
      <c r="E5" s="21"/>
      <c r="F5" s="25" t="str" cm="1">
        <f t="array" ref="F5">IF($B5="Transportation",  'SI - Units'!$B$9:$B$9, _xlfn.XLOOKUP(_xlfn.XLOOKUP($C5,'SI - Units'!$B$24:$B$74,'SI - Units'!$C$24:$C$74, ""),'SI - Units'!$A$2:$A$8,'SI - Units'!$B$2:$B$8, ""))</f>
        <v/>
      </c>
      <c r="G5" s="32"/>
      <c r="H5" s="32"/>
      <c r="I5" s="36" t="str">
        <f>IF(Table1[[#This Row],[Type]]="Co-product", "No", "")</f>
        <v/>
      </c>
      <c r="J5" s="9"/>
      <c r="K5" s="9" t="str">
        <f>IF(Table1[[#This Row],[Type]]="Transportation", _xlfn.XLOOKUP(Table1[[#This Row],[Resource]], 'SI - Payload'!$A$10:$A$37,'SI - Payload'!$B$10:$B$37,"",0), "")</f>
        <v/>
      </c>
      <c r="L5" s="9" t="str">
        <f>IF(Table1[[#This Row],[Type]]="Transportation", "ton", "")</f>
        <v/>
      </c>
      <c r="M5" s="9"/>
      <c r="N5" s="9"/>
      <c r="O5" s="9" t="str">
        <f>IF(OR(Table1[[#This Row],[Type]]="Main Product", Table1[[#This Row],[Type]]="Co-Product"), Table1[[#This Row],[Resource]], "")</f>
        <v/>
      </c>
      <c r="P5" s="9" t="str">
        <f>IF(_xlfn.XLOOKUP($O5,'SI - End Use'!$B$2:$B$53,'SI - End Use'!$C$2:$C$53, "")="", "", _xlfn.XLOOKUP($C5,'SI - End Use'!$B$2:$B$53,'SI - End Use'!$C$2:$C$53, ""))</f>
        <v/>
      </c>
      <c r="Q5" s="9"/>
      <c r="R5" s="9"/>
    </row>
    <row r="6" spans="1:18" x14ac:dyDescent="0.35">
      <c r="A6" s="9"/>
      <c r="B6" s="9"/>
      <c r="C6" s="9" t="str">
        <f>_xlfn.XLOOKUP($B6,'SI - Resources'!$A$1:$I$1,'SI - Resources'!$A$2:$I$2, "")</f>
        <v/>
      </c>
      <c r="D6" s="25" t="str">
        <f>IF(_xlfn.XLOOKUP($C6,'SI - End Use'!$B$2:$B$53,'SI - End Use'!$C$2:$C$53, "")="", "", _xlfn.XLOOKUP($C6,'SI - End Use'!$B$2:$B$53,'SI - End Use'!$C$2:$C$53, ""))</f>
        <v/>
      </c>
      <c r="E6" s="21"/>
      <c r="F6" s="25" t="str" cm="1">
        <f t="array" ref="F6">IF($B6="Transportation",  'SI - Units'!$B$9:$B$9, _xlfn.XLOOKUP(_xlfn.XLOOKUP($C6,'SI - Units'!$B$24:$B$74,'SI - Units'!$C$24:$C$74, ""),'SI - Units'!$A$2:$A$8,'SI - Units'!$B$2:$B$8, ""))</f>
        <v/>
      </c>
      <c r="G6" s="32"/>
      <c r="H6" s="32"/>
      <c r="I6" s="36" t="str">
        <f>IF(Table1[[#This Row],[Type]]="Co-product", "No", "")</f>
        <v/>
      </c>
      <c r="J6" s="9"/>
      <c r="K6" s="9" t="str">
        <f>IF(Table1[[#This Row],[Type]]="Transportation", _xlfn.XLOOKUP(Table1[[#This Row],[Resource]], 'SI - Payload'!$A$10:$A$37,'SI - Payload'!$B$10:$B$37,"",0), "")</f>
        <v/>
      </c>
      <c r="L6" s="9" t="str">
        <f>IF(Table1[[#This Row],[Type]]="Transportation", "ton", "")</f>
        <v/>
      </c>
      <c r="M6" s="9"/>
      <c r="N6" s="9"/>
      <c r="O6" s="9" t="str">
        <f>IF(OR(Table1[[#This Row],[Type]]="Main Product", Table1[[#This Row],[Type]]="Co-Product"), Table1[[#This Row],[Resource]], "")</f>
        <v/>
      </c>
      <c r="P6" s="9" t="str">
        <f>IF(_xlfn.XLOOKUP($O6,'SI - End Use'!$B$2:$B$53,'SI - End Use'!$C$2:$C$53, "")="", "", _xlfn.XLOOKUP($C6,'SI - End Use'!$B$2:$B$53,'SI - End Use'!$C$2:$C$53, ""))</f>
        <v/>
      </c>
      <c r="Q6" s="9"/>
      <c r="R6" s="9"/>
    </row>
    <row r="7" spans="1:18" x14ac:dyDescent="0.35">
      <c r="A7" s="9"/>
      <c r="B7" s="9"/>
      <c r="C7" s="9" t="str">
        <f>_xlfn.XLOOKUP($B7,'SI - Resources'!$A$1:$I$1,'SI - Resources'!$A$2:$I$2, "")</f>
        <v/>
      </c>
      <c r="D7" s="25" t="str">
        <f>IF(_xlfn.XLOOKUP($C7,'SI - End Use'!$B$2:$B$53,'SI - End Use'!$C$2:$C$53, "")="", "", _xlfn.XLOOKUP($C7,'SI - End Use'!$B$2:$B$53,'SI - End Use'!$C$2:$C$53, ""))</f>
        <v/>
      </c>
      <c r="E7" s="21"/>
      <c r="F7" s="25" t="str" cm="1">
        <f t="array" ref="F7">IF($B7="Transportation",  'SI - Units'!$B$9:$B$9, _xlfn.XLOOKUP(_xlfn.XLOOKUP($C7,'SI - Units'!$B$24:$B$74,'SI - Units'!$C$24:$C$74, ""),'SI - Units'!$A$2:$A$8,'SI - Units'!$B$2:$B$8, ""))</f>
        <v/>
      </c>
      <c r="G7" s="32"/>
      <c r="H7" s="32"/>
      <c r="I7" s="36" t="str">
        <f>IF(Table1[[#This Row],[Type]]="Co-product", "No", "")</f>
        <v/>
      </c>
      <c r="J7" s="9"/>
      <c r="K7" s="9" t="str">
        <f>IF(Table1[[#This Row],[Type]]="Transportation", _xlfn.XLOOKUP(Table1[[#This Row],[Resource]], 'SI - Payload'!$A$10:$A$37,'SI - Payload'!$B$10:$B$37,"",0), "")</f>
        <v/>
      </c>
      <c r="L7" s="9" t="str">
        <f>IF(Table1[[#This Row],[Type]]="Transportation", "ton", "")</f>
        <v/>
      </c>
      <c r="M7" s="9"/>
      <c r="N7" s="9"/>
      <c r="O7" s="9" t="str">
        <f>IF(OR(Table1[[#This Row],[Type]]="Main Product", Table1[[#This Row],[Type]]="Co-Product"), Table1[[#This Row],[Resource]], "")</f>
        <v/>
      </c>
      <c r="P7" s="9" t="str">
        <f>IF(_xlfn.XLOOKUP($O7,'SI - End Use'!$B$2:$B$53,'SI - End Use'!$C$2:$C$53, "")="", "", _xlfn.XLOOKUP($C7,'SI - End Use'!$B$2:$B$53,'SI - End Use'!$C$2:$C$53, ""))</f>
        <v/>
      </c>
      <c r="Q7" s="9"/>
      <c r="R7" s="9"/>
    </row>
    <row r="8" spans="1:18" x14ac:dyDescent="0.35">
      <c r="A8" s="9"/>
      <c r="B8" s="9"/>
      <c r="C8" s="9" t="str">
        <f>_xlfn.XLOOKUP($B8,'SI - Resources'!$A$1:$I$1,'SI - Resources'!$A$2:$I$2, "")</f>
        <v/>
      </c>
      <c r="D8" s="25" t="str">
        <f>IF(_xlfn.XLOOKUP($C8,'SI - End Use'!$B$2:$B$53,'SI - End Use'!$C$2:$C$53, "")="", "", _xlfn.XLOOKUP($C8,'SI - End Use'!$B$2:$B$53,'SI - End Use'!$C$2:$C$53, ""))</f>
        <v/>
      </c>
      <c r="E8" s="21"/>
      <c r="F8" s="25" t="str" cm="1">
        <f t="array" ref="F8">IF($B8="Transportation",  'SI - Units'!$B$9:$B$9, _xlfn.XLOOKUP(_xlfn.XLOOKUP($C8,'SI - Units'!$B$24:$B$74,'SI - Units'!$C$24:$C$74, ""),'SI - Units'!$A$2:$A$8,'SI - Units'!$B$2:$B$8, ""))</f>
        <v/>
      </c>
      <c r="G8" s="32"/>
      <c r="H8" s="32"/>
      <c r="I8" s="36" t="str">
        <f>IF(Table1[[#This Row],[Type]]="Co-product", "No", "")</f>
        <v/>
      </c>
      <c r="J8" s="9"/>
      <c r="K8" s="9" t="str">
        <f>IF(Table1[[#This Row],[Type]]="Transportation", _xlfn.XLOOKUP(Table1[[#This Row],[Resource]], 'SI - Payload'!$A$10:$A$37,'SI - Payload'!$B$10:$B$37,"",0), "")</f>
        <v/>
      </c>
      <c r="L8" s="9" t="str">
        <f>IF(Table1[[#This Row],[Type]]="Transportation", "ton", "")</f>
        <v/>
      </c>
      <c r="M8" s="9"/>
      <c r="N8" s="9"/>
      <c r="O8" s="9" t="str">
        <f>IF(OR(Table1[[#This Row],[Type]]="Main Product", Table1[[#This Row],[Type]]="Co-Product"), Table1[[#This Row],[Resource]], "")</f>
        <v/>
      </c>
      <c r="P8" s="9" t="str">
        <f>IF(_xlfn.XLOOKUP($O8,'SI - End Use'!$B$2:$B$53,'SI - End Use'!$C$2:$C$53, "")="", "", _xlfn.XLOOKUP($C8,'SI - End Use'!$B$2:$B$53,'SI - End Use'!$C$2:$C$53, ""))</f>
        <v/>
      </c>
      <c r="Q8" s="9"/>
      <c r="R8" s="9"/>
    </row>
    <row r="9" spans="1:18" x14ac:dyDescent="0.35">
      <c r="A9" s="9"/>
      <c r="B9" s="9"/>
      <c r="C9" s="9" t="str">
        <f>_xlfn.XLOOKUP($B9,'SI - Resources'!$A$1:$I$1,'SI - Resources'!$A$2:$I$2, "")</f>
        <v/>
      </c>
      <c r="D9" s="25" t="str">
        <f>IF(_xlfn.XLOOKUP($C9,'SI - End Use'!$B$2:$B$53,'SI - End Use'!$C$2:$C$53, "")="", "", _xlfn.XLOOKUP($C9,'SI - End Use'!$B$2:$B$53,'SI - End Use'!$C$2:$C$53, ""))</f>
        <v/>
      </c>
      <c r="E9" s="21"/>
      <c r="F9" s="25" t="str" cm="1">
        <f t="array" ref="F9">IF($B9="Transportation",  'SI - Units'!$B$9:$B$9, _xlfn.XLOOKUP(_xlfn.XLOOKUP($C9,'SI - Units'!$B$24:$B$74,'SI - Units'!$C$24:$C$74, ""),'SI - Units'!$A$2:$A$8,'SI - Units'!$B$2:$B$8, ""))</f>
        <v/>
      </c>
      <c r="G9" s="32"/>
      <c r="H9" s="32"/>
      <c r="I9" s="36" t="str">
        <f>IF(Table1[[#This Row],[Type]]="Co-product", "No", "")</f>
        <v/>
      </c>
      <c r="J9" s="9"/>
      <c r="K9" s="9" t="str">
        <f>IF(Table1[[#This Row],[Type]]="Transportation", _xlfn.XLOOKUP(Table1[[#This Row],[Resource]], 'SI - Payload'!$A$10:$A$37,'SI - Payload'!$B$10:$B$37,"",0), "")</f>
        <v/>
      </c>
      <c r="L9" s="9" t="str">
        <f>IF(Table1[[#This Row],[Type]]="Transportation", "ton", "")</f>
        <v/>
      </c>
      <c r="M9" s="9"/>
      <c r="N9" s="9"/>
      <c r="O9" s="9" t="str">
        <f>IF(OR(Table1[[#This Row],[Type]]="Main Product", Table1[[#This Row],[Type]]="Co-Product"), Table1[[#This Row],[Resource]], "")</f>
        <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IF(Table1[[#This Row],[Type]]="Co-product", "No", "")</f>
        <v/>
      </c>
      <c r="J10" s="9"/>
      <c r="K10" s="9" t="str">
        <f>IF(Table1[[#This Row],[Type]]="Transportation", _xlfn.XLOOKUP(Table1[[#This Row],[Resource]], 'SI - Payload'!$A$10:$A$37,'SI - Payload'!$B$10:$B$37,"",0), "")</f>
        <v/>
      </c>
      <c r="L10" s="9" t="str">
        <f>IF(Table1[[#This Row],[Type]]="Transportation", "ton", "")</f>
        <v/>
      </c>
      <c r="M10" s="9"/>
      <c r="N10" s="9"/>
      <c r="O10" s="9" t="str">
        <f>IF(OR(Table1[[#This Row],[Type]]="Main Product", Table1[[#This Row],[Type]]="Co-Product"), Table1[[#This Row],[Resource]], "")</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IF(Table1[[#This Row],[Type]]="Co-product", "No", "")</f>
        <v/>
      </c>
      <c r="J11" s="9"/>
      <c r="K11" s="9" t="str">
        <f>IF(Table1[[#This Row],[Type]]="Transportation", _xlfn.XLOOKUP(Table1[[#This Row],[Resource]], 'SI - Payload'!$A$10:$A$37,'SI - Payload'!$B$10:$B$37,"",0), "")</f>
        <v/>
      </c>
      <c r="L11" s="9" t="str">
        <f>IF(Table1[[#This Row],[Type]]="Transportation", "ton", "")</f>
        <v/>
      </c>
      <c r="M11" s="9"/>
      <c r="N11" s="9"/>
      <c r="O11" s="9" t="str">
        <f>IF(OR(Table1[[#This Row],[Type]]="Main Product", Table1[[#This Row],[Type]]="Co-Product"), Table1[[#This Row],[Resource]], "")</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IF(Table1[[#This Row],[Type]]="Co-product", "No", "")</f>
        <v/>
      </c>
      <c r="J12" s="9"/>
      <c r="K12" s="9" t="str">
        <f>IF(Table1[[#This Row],[Type]]="Transportation", _xlfn.XLOOKUP(Table1[[#This Row],[Resource]], 'SI - Payload'!$A$10:$A$37,'SI - Payload'!$B$10:$B$37,"",0), "")</f>
        <v/>
      </c>
      <c r="L12" s="9" t="str">
        <f>IF(Table1[[#This Row],[Type]]="Transportation", "ton", "")</f>
        <v/>
      </c>
      <c r="M12" s="9"/>
      <c r="N12" s="9"/>
      <c r="O12" s="9" t="str">
        <f>IF(OR(Table1[[#This Row],[Type]]="Main Product", Table1[[#This Row],[Type]]="Co-Product"), Table1[[#This Row],[Resource]], "")</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IF(Table1[[#This Row],[Type]]="Co-product", "No", "")</f>
        <v/>
      </c>
      <c r="J13" s="9"/>
      <c r="K13" s="9" t="str">
        <f>IF(Table1[[#This Row],[Type]]="Transportation", _xlfn.XLOOKUP(Table1[[#This Row],[Resource]], 'SI - Payload'!$A$10:$A$37,'SI - Payload'!$B$10:$B$37,"",0), "")</f>
        <v/>
      </c>
      <c r="L13" s="9" t="str">
        <f>IF(Table1[[#This Row],[Type]]="Transportation", "ton", "")</f>
        <v/>
      </c>
      <c r="M13" s="9"/>
      <c r="N13" s="9"/>
      <c r="O13" s="9" t="str">
        <f>IF(OR(Table1[[#This Row],[Type]]="Main Product", Table1[[#This Row],[Type]]="Co-Product"), Table1[[#This Row],[Resource]], "")</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IF(Table1[[#This Row],[Type]]="Co-product", "No", "")</f>
        <v/>
      </c>
      <c r="J14" s="9"/>
      <c r="K14" s="9" t="str">
        <f>IF(Table1[[#This Row],[Type]]="Transportation", _xlfn.XLOOKUP(Table1[[#This Row],[Resource]], 'SI - Payload'!$A$10:$A$37,'SI - Payload'!$B$10:$B$37,"",0), "")</f>
        <v/>
      </c>
      <c r="L14" s="9" t="str">
        <f>IF(Table1[[#This Row],[Type]]="Transportation", "ton", "")</f>
        <v/>
      </c>
      <c r="M14" s="9"/>
      <c r="N14" s="9"/>
      <c r="O14" s="9" t="str">
        <f>IF(OR(Table1[[#This Row],[Type]]="Main Product", Table1[[#This Row],[Type]]="Co-Product"), Table1[[#This Row],[Resource]], "")</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IF(Table1[[#This Row],[Type]]="Co-product", "No", "")</f>
        <v/>
      </c>
      <c r="J15" s="9"/>
      <c r="K15" s="9" t="str">
        <f>IF(Table1[[#This Row],[Type]]="Transportation", _xlfn.XLOOKUP(Table1[[#This Row],[Resource]], 'SI - Payload'!$A$10:$A$37,'SI - Payload'!$B$10:$B$37,"",0), "")</f>
        <v/>
      </c>
      <c r="L15" s="9" t="str">
        <f>IF(Table1[[#This Row],[Type]]="Transportation", "ton", "")</f>
        <v/>
      </c>
      <c r="M15" s="9"/>
      <c r="N15" s="9"/>
      <c r="O15" s="9" t="str">
        <f>IF(OR(Table1[[#This Row],[Type]]="Main Product", Table1[[#This Row],[Type]]="Co-Product"), Table1[[#This Row],[Resource]], "")</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IF(Table1[[#This Row],[Type]]="Co-product", "No", "")</f>
        <v/>
      </c>
      <c r="J16" s="9"/>
      <c r="K16" s="9" t="str">
        <f>IF(Table1[[#This Row],[Type]]="Transportation", _xlfn.XLOOKUP(Table1[[#This Row],[Resource]], 'SI - Payload'!$A$10:$A$37,'SI - Payload'!$B$10:$B$37,"",0), "")</f>
        <v/>
      </c>
      <c r="L16" s="9" t="str">
        <f>IF(Table1[[#This Row],[Type]]="Transportation", "ton", "")</f>
        <v/>
      </c>
      <c r="M16" s="9"/>
      <c r="N16" s="9"/>
      <c r="O16" s="9" t="str">
        <f>IF(OR(Table1[[#This Row],[Type]]="Main Product", Table1[[#This Row],[Type]]="Co-Product"), Table1[[#This Row],[Resource]], "")</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IF(Table1[[#This Row],[Type]]="Co-product", "No", "")</f>
        <v/>
      </c>
      <c r="J17" s="9"/>
      <c r="K17" s="9" t="str">
        <f>IF(Table1[[#This Row],[Type]]="Transportation", _xlfn.XLOOKUP(Table1[[#This Row],[Resource]], 'SI - Payload'!$A$10:$A$37,'SI - Payload'!$B$10:$B$37,"",0), "")</f>
        <v/>
      </c>
      <c r="L17" s="9" t="str">
        <f>IF(Table1[[#This Row],[Type]]="Transportation", "ton", "")</f>
        <v/>
      </c>
      <c r="M17" s="9"/>
      <c r="N17" s="9"/>
      <c r="O17" s="9" t="str">
        <f>IF(OR(Table1[[#This Row],[Type]]="Main Product", Table1[[#This Row],[Type]]="Co-Product"), Table1[[#This Row],[Resource]], "")</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IF(Table1[[#This Row],[Type]]="Co-product", "No", "")</f>
        <v/>
      </c>
      <c r="J18" s="9"/>
      <c r="K18" s="9" t="str">
        <f>IF(Table1[[#This Row],[Type]]="Transportation", _xlfn.XLOOKUP(Table1[[#This Row],[Resource]], 'SI - Payload'!$A$10:$A$37,'SI - Payload'!$B$10:$B$37,"",0), "")</f>
        <v/>
      </c>
      <c r="L18" s="9" t="str">
        <f>IF(Table1[[#This Row],[Type]]="Transportation", "ton", "")</f>
        <v/>
      </c>
      <c r="M18" s="9"/>
      <c r="N18" s="9"/>
      <c r="O18" s="9" t="str">
        <f>IF(OR(Table1[[#This Row],[Type]]="Main Product", Table1[[#This Row],[Type]]="Co-Product"), Table1[[#This Row],[Resource]], "")</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IF(Table1[[#This Row],[Type]]="Co-product", "No", "")</f>
        <v/>
      </c>
      <c r="J19" s="9"/>
      <c r="K19" s="9" t="str">
        <f>IF(Table1[[#This Row],[Type]]="Transportation", _xlfn.XLOOKUP(Table1[[#This Row],[Resource]], 'SI - Payload'!$A$10:$A$37,'SI - Payload'!$B$10:$B$37,"",0), "")</f>
        <v/>
      </c>
      <c r="L19" s="9" t="str">
        <f>IF(Table1[[#This Row],[Type]]="Transportation", "ton", "")</f>
        <v/>
      </c>
      <c r="M19" s="9"/>
      <c r="N19" s="9"/>
      <c r="O19" s="9" t="str">
        <f>IF(OR(Table1[[#This Row],[Type]]="Main Product", Table1[[#This Row],[Type]]="Co-Product"), Table1[[#This Row],[Resource]], "")</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IF(Table1[[#This Row],[Type]]="Co-product", "No", "")</f>
        <v/>
      </c>
      <c r="J20" s="9"/>
      <c r="K20" s="9" t="str">
        <f>IF(Table1[[#This Row],[Type]]="Transportation", _xlfn.XLOOKUP(Table1[[#This Row],[Resource]], 'SI - Payload'!$A$10:$A$37,'SI - Payload'!$B$10:$B$37,"",0), "")</f>
        <v/>
      </c>
      <c r="L20" s="9" t="str">
        <f>IF(Table1[[#This Row],[Type]]="Transportation", "ton", "")</f>
        <v/>
      </c>
      <c r="M20" s="9"/>
      <c r="N20" s="9"/>
      <c r="O20" s="9" t="str">
        <f>IF(OR(Table1[[#This Row],[Type]]="Main Product", Table1[[#This Row],[Type]]="Co-Product"), Table1[[#This Row],[Resource]], "")</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IF(Table1[[#This Row],[Type]]="Co-product", "No", "")</f>
        <v/>
      </c>
      <c r="J21" s="9"/>
      <c r="K21" s="9" t="str">
        <f>IF(Table1[[#This Row],[Type]]="Transportation", _xlfn.XLOOKUP(Table1[[#This Row],[Resource]], 'SI - Payload'!$A$10:$A$37,'SI - Payload'!$B$10:$B$37,"",0), "")</f>
        <v/>
      </c>
      <c r="L21" s="9" t="str">
        <f>IF(Table1[[#This Row],[Type]]="Transportation", "ton", "")</f>
        <v/>
      </c>
      <c r="M21" s="9"/>
      <c r="N21" s="9"/>
      <c r="O21" s="9" t="str">
        <f>IF(OR(Table1[[#This Row],[Type]]="Main Product", Table1[[#This Row],[Type]]="Co-Product"), Table1[[#This Row],[Resource]], "")</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IF(Table1[[#This Row],[Type]]="Co-product", "No", "")</f>
        <v/>
      </c>
      <c r="J22" s="9"/>
      <c r="K22" s="9" t="str">
        <f>IF(Table1[[#This Row],[Type]]="Transportation", _xlfn.XLOOKUP(Table1[[#This Row],[Resource]], 'SI - Payload'!$A$10:$A$37,'SI - Payload'!$B$10:$B$37,"",0), "")</f>
        <v/>
      </c>
      <c r="L22" s="9" t="str">
        <f>IF(Table1[[#This Row],[Type]]="Transportation", "ton", "")</f>
        <v/>
      </c>
      <c r="M22" s="9"/>
      <c r="N22" s="9"/>
      <c r="O22" s="9" t="str">
        <f>IF(OR(Table1[[#This Row],[Type]]="Main Product", Table1[[#This Row],[Type]]="Co-Product"), Table1[[#This Row],[Resource]], "")</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IF(Table1[[#This Row],[Type]]="Co-product", "No", "")</f>
        <v/>
      </c>
      <c r="J23" s="9"/>
      <c r="K23" s="9" t="str">
        <f>IF(Table1[[#This Row],[Type]]="Transportation", _xlfn.XLOOKUP(Table1[[#This Row],[Resource]], 'SI - Payload'!$A$10:$A$37,'SI - Payload'!$B$10:$B$37,"",0), "")</f>
        <v/>
      </c>
      <c r="L23" s="9" t="str">
        <f>IF(Table1[[#This Row],[Type]]="Transportation", "ton", "")</f>
        <v/>
      </c>
      <c r="M23" s="9"/>
      <c r="N23" s="9"/>
      <c r="O23" s="9" t="str">
        <f>IF(OR(Table1[[#This Row],[Type]]="Main Product", Table1[[#This Row],[Type]]="Co-Product"), Table1[[#This Row],[Resource]], "")</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IF(Table1[[#This Row],[Type]]="Co-product", "No", "")</f>
        <v/>
      </c>
      <c r="J24" s="9"/>
      <c r="K24" s="9" t="str">
        <f>IF(Table1[[#This Row],[Type]]="Transportation", _xlfn.XLOOKUP(Table1[[#This Row],[Resource]], 'SI - Payload'!$A$10:$A$37,'SI - Payload'!$B$10:$B$37,"",0), "")</f>
        <v/>
      </c>
      <c r="L24" s="9" t="str">
        <f>IF(Table1[[#This Row],[Type]]="Transportation", "ton", "")</f>
        <v/>
      </c>
      <c r="M24" s="9"/>
      <c r="N24" s="9"/>
      <c r="O24" s="9" t="str">
        <f>IF(OR(Table1[[#This Row],[Type]]="Main Product", Table1[[#This Row],[Type]]="Co-Product"), Table1[[#This Row],[Resource]], "")</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IF(Table1[[#This Row],[Type]]="Co-product", "No", "")</f>
        <v/>
      </c>
      <c r="J25" s="9"/>
      <c r="K25" s="9" t="str">
        <f>IF(Table1[[#This Row],[Type]]="Transportation", _xlfn.XLOOKUP(Table1[[#This Row],[Resource]], 'SI - Payload'!$A$10:$A$37,'SI - Payload'!$B$10:$B$37,"",0), "")</f>
        <v/>
      </c>
      <c r="L25" s="9" t="str">
        <f>IF(Table1[[#This Row],[Type]]="Transportation", "ton", "")</f>
        <v/>
      </c>
      <c r="M25" s="9"/>
      <c r="N25" s="9"/>
      <c r="O25" s="9" t="str">
        <f>IF(OR(Table1[[#This Row],[Type]]="Main Product", Table1[[#This Row],[Type]]="Co-Product"), Table1[[#This Row],[Resource]], "")</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IF(Table1[[#This Row],[Type]]="Co-product", "No", "")</f>
        <v/>
      </c>
      <c r="J26" s="9"/>
      <c r="K26" s="9" t="str">
        <f>IF(Table1[[#This Row],[Type]]="Transportation", _xlfn.XLOOKUP(Table1[[#This Row],[Resource]], 'SI - Payload'!$A$10:$A$37,'SI - Payload'!$B$10:$B$37,"",0), "")</f>
        <v/>
      </c>
      <c r="L26" s="9" t="str">
        <f>IF(Table1[[#This Row],[Type]]="Transportation", "ton", "")</f>
        <v/>
      </c>
      <c r="M26" s="9"/>
      <c r="N26" s="9"/>
      <c r="O26" s="9" t="str">
        <f>IF(OR(Table1[[#This Row],[Type]]="Main Product", Table1[[#This Row],[Type]]="Co-Product"), Table1[[#This Row],[Resource]], "")</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IF(Table1[[#This Row],[Type]]="Co-product", "No", "")</f>
        <v/>
      </c>
      <c r="J27" s="9"/>
      <c r="K27" s="9" t="str">
        <f>IF(Table1[[#This Row],[Type]]="Transportation", _xlfn.XLOOKUP(Table1[[#This Row],[Resource]], 'SI - Payload'!$A$10:$A$37,'SI - Payload'!$B$10:$B$37,"",0), "")</f>
        <v/>
      </c>
      <c r="L27" s="9" t="str">
        <f>IF(Table1[[#This Row],[Type]]="Transportation", "ton", "")</f>
        <v/>
      </c>
      <c r="M27" s="9"/>
      <c r="N27" s="9"/>
      <c r="O27" s="9" t="str">
        <f>IF(OR(Table1[[#This Row],[Type]]="Main Product", Table1[[#This Row],[Type]]="Co-Product"), Table1[[#This Row],[Resource]], "")</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IF(Table1[[#This Row],[Type]]="Co-product", "No", "")</f>
        <v/>
      </c>
      <c r="J28" s="9"/>
      <c r="K28" s="9" t="str">
        <f>IF(Table1[[#This Row],[Type]]="Transportation", _xlfn.XLOOKUP(Table1[[#This Row],[Resource]], 'SI - Payload'!$A$10:$A$37,'SI - Payload'!$B$10:$B$37,"",0), "")</f>
        <v/>
      </c>
      <c r="L28" s="9" t="str">
        <f>IF(Table1[[#This Row],[Type]]="Transportation", "ton", "")</f>
        <v/>
      </c>
      <c r="M28" s="9"/>
      <c r="N28" s="9"/>
      <c r="O28" s="9" t="str">
        <f>IF(OR(Table1[[#This Row],[Type]]="Main Product", Table1[[#This Row],[Type]]="Co-Product"), Table1[[#This Row],[Resource]], "")</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IF(Table1[[#This Row],[Type]]="Co-product", "No", "")</f>
        <v/>
      </c>
      <c r="J29" s="9"/>
      <c r="K29" s="9" t="str">
        <f>IF(Table1[[#This Row],[Type]]="Transportation", _xlfn.XLOOKUP(Table1[[#This Row],[Resource]], 'SI - Payload'!$A$10:$A$37,'SI - Payload'!$B$10:$B$37,"",0), "")</f>
        <v/>
      </c>
      <c r="L29" s="9" t="str">
        <f>IF(Table1[[#This Row],[Type]]="Transportation", "ton", "")</f>
        <v/>
      </c>
      <c r="M29" s="9"/>
      <c r="N29" s="9"/>
      <c r="O29" s="9" t="str">
        <f>IF(OR(Table1[[#This Row],[Type]]="Main Product", Table1[[#This Row],[Type]]="Co-Product"), Table1[[#This Row],[Resource]], "")</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IF(Table1[[#This Row],[Type]]="Co-product", "No", "")</f>
        <v/>
      </c>
      <c r="J30" s="9"/>
      <c r="K30" s="9" t="str">
        <f>IF(Table1[[#This Row],[Type]]="Transportation", _xlfn.XLOOKUP(Table1[[#This Row],[Resource]], 'SI - Payload'!$A$10:$A$37,'SI - Payload'!$B$10:$B$37,"",0), "")</f>
        <v/>
      </c>
      <c r="L30" s="9" t="str">
        <f>IF(Table1[[#This Row],[Type]]="Transportation", "ton", "")</f>
        <v/>
      </c>
      <c r="M30" s="9"/>
      <c r="N30" s="9"/>
      <c r="O30" s="9" t="str">
        <f>IF(OR(Table1[[#This Row],[Type]]="Main Product", Table1[[#This Row],[Type]]="Co-Product"), Table1[[#This Row],[Resource]], "")</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IF(Table1[[#This Row],[Type]]="Co-product", "No", "")</f>
        <v/>
      </c>
      <c r="J31" s="9"/>
      <c r="K31" s="9" t="str">
        <f>IF(Table1[[#This Row],[Type]]="Transportation", _xlfn.XLOOKUP(Table1[[#This Row],[Resource]], 'SI - Payload'!$A$10:$A$37,'SI - Payload'!$B$10:$B$37,"",0), "")</f>
        <v/>
      </c>
      <c r="L31" s="9" t="str">
        <f>IF(Table1[[#This Row],[Type]]="Transportation", "ton", "")</f>
        <v/>
      </c>
      <c r="M31" s="9"/>
      <c r="N31" s="9"/>
      <c r="O31" s="9" t="str">
        <f>IF(OR(Table1[[#This Row],[Type]]="Main Product", Table1[[#This Row],[Type]]="Co-Product"), Table1[[#This Row],[Resource]], "")</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IF(Table1[[#This Row],[Type]]="Co-product", "No", "")</f>
        <v/>
      </c>
      <c r="J32" s="9"/>
      <c r="K32" s="9" t="str">
        <f>IF(Table1[[#This Row],[Type]]="Transportation", _xlfn.XLOOKUP(Table1[[#This Row],[Resource]], 'SI - Payload'!$A$10:$A$37,'SI - Payload'!$B$10:$B$37,"",0), "")</f>
        <v/>
      </c>
      <c r="L32" s="9" t="str">
        <f>IF(Table1[[#This Row],[Type]]="Transportation", "ton", "")</f>
        <v/>
      </c>
      <c r="M32" s="9"/>
      <c r="N32" s="9"/>
      <c r="O32" s="9" t="str">
        <f>IF(OR(Table1[[#This Row],[Type]]="Main Product", Table1[[#This Row],[Type]]="Co-Product"), Table1[[#This Row],[Resource]], "")</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IF(Table1[[#This Row],[Type]]="Co-product", "No", "")</f>
        <v/>
      </c>
      <c r="J33" s="9"/>
      <c r="K33" s="9" t="str">
        <f>IF(Table1[[#This Row],[Type]]="Transportation", _xlfn.XLOOKUP(Table1[[#This Row],[Resource]], 'SI - Payload'!$A$10:$A$37,'SI - Payload'!$B$10:$B$37,"",0), "")</f>
        <v/>
      </c>
      <c r="L33" s="9" t="str">
        <f>IF(Table1[[#This Row],[Type]]="Transportation", "ton", "")</f>
        <v/>
      </c>
      <c r="M33" s="9"/>
      <c r="N33" s="9"/>
      <c r="O33" s="9" t="str">
        <f>IF(OR(Table1[[#This Row],[Type]]="Main Product", Table1[[#This Row],[Type]]="Co-Product"), Table1[[#This Row],[Resource]], "")</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IF(Table1[[#This Row],[Type]]="Co-product", "No", "")</f>
        <v/>
      </c>
      <c r="J34" s="9"/>
      <c r="K34" s="9" t="str">
        <f>IF(Table1[[#This Row],[Type]]="Transportation", _xlfn.XLOOKUP(Table1[[#This Row],[Resource]], 'SI - Payload'!$A$10:$A$37,'SI - Payload'!$B$10:$B$37,"",0), "")</f>
        <v/>
      </c>
      <c r="L34" s="9" t="str">
        <f>IF(Table1[[#This Row],[Type]]="Transportation", "ton", "")</f>
        <v/>
      </c>
      <c r="M34" s="9"/>
      <c r="N34" s="9"/>
      <c r="O34" s="9" t="str">
        <f>IF(OR(Table1[[#This Row],[Type]]="Main Product", Table1[[#This Row],[Type]]="Co-Product"), Table1[[#This Row],[Resource]], "")</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IF(Table1[[#This Row],[Type]]="Co-product", "No", "")</f>
        <v/>
      </c>
      <c r="J35" s="9"/>
      <c r="K35" s="9" t="str">
        <f>IF(Table1[[#This Row],[Type]]="Transportation", _xlfn.XLOOKUP(Table1[[#This Row],[Resource]], 'SI - Payload'!$A$10:$A$37,'SI - Payload'!$B$10:$B$37,"",0), "")</f>
        <v/>
      </c>
      <c r="L35" s="9" t="str">
        <f>IF(Table1[[#This Row],[Type]]="Transportation", "ton", "")</f>
        <v/>
      </c>
      <c r="M35" s="9"/>
      <c r="N35" s="9"/>
      <c r="O35" s="9" t="str">
        <f>IF(OR(Table1[[#This Row],[Type]]="Main Product", Table1[[#This Row],[Type]]="Co-Product"), Table1[[#This Row],[Resource]], "")</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IF(Table1[[#This Row],[Type]]="Co-product", "No", "")</f>
        <v/>
      </c>
      <c r="J36" s="9"/>
      <c r="K36" s="9" t="str">
        <f>IF(Table1[[#This Row],[Type]]="Transportation", _xlfn.XLOOKUP(Table1[[#This Row],[Resource]], 'SI - Payload'!$A$10:$A$37,'SI - Payload'!$B$10:$B$37,"",0), "")</f>
        <v/>
      </c>
      <c r="L36" s="9" t="str">
        <f>IF(Table1[[#This Row],[Type]]="Transportation", "ton", "")</f>
        <v/>
      </c>
      <c r="M36" s="9"/>
      <c r="N36" s="9"/>
      <c r="O36" s="9" t="str">
        <f>IF(OR(Table1[[#This Row],[Type]]="Main Product", Table1[[#This Row],[Type]]="Co-Product"), Table1[[#This Row],[Resource]], "")</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IF(Table1[[#This Row],[Type]]="Co-product", "No", "")</f>
        <v/>
      </c>
      <c r="J37" s="9"/>
      <c r="K37" s="9" t="str">
        <f>IF(Table1[[#This Row],[Type]]="Transportation", _xlfn.XLOOKUP(Table1[[#This Row],[Resource]], 'SI - Payload'!$A$10:$A$37,'SI - Payload'!$B$10:$B$37,"",0), "")</f>
        <v/>
      </c>
      <c r="L37" s="9" t="str">
        <f>IF(Table1[[#This Row],[Type]]="Transportation", "ton", "")</f>
        <v/>
      </c>
      <c r="M37" s="9"/>
      <c r="N37" s="9"/>
      <c r="O37" s="9" t="str">
        <f>IF(OR(Table1[[#This Row],[Type]]="Main Product", Table1[[#This Row],[Type]]="Co-Product"), Table1[[#This Row],[Resource]], "")</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IF(Table1[[#This Row],[Type]]="Co-product", "No", "")</f>
        <v/>
      </c>
      <c r="J38" s="9"/>
      <c r="K38" s="9" t="str">
        <f>IF(Table1[[#This Row],[Type]]="Transportation", _xlfn.XLOOKUP(Table1[[#This Row],[Resource]], 'SI - Payload'!$A$10:$A$37,'SI - Payload'!$B$10:$B$37,"",0), "")</f>
        <v/>
      </c>
      <c r="L38" s="9" t="str">
        <f>IF(Table1[[#This Row],[Type]]="Transportation", "ton", "")</f>
        <v/>
      </c>
      <c r="M38" s="9"/>
      <c r="N38" s="9"/>
      <c r="O38" s="9" t="str">
        <f>IF(OR(Table1[[#This Row],[Type]]="Main Product", Table1[[#This Row],[Type]]="Co-Product"), Table1[[#This Row],[Resource]], "")</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IF(Table1[[#This Row],[Type]]="Co-product", "No", "")</f>
        <v/>
      </c>
      <c r="J39" s="9"/>
      <c r="K39" s="9" t="str">
        <f>IF(Table1[[#This Row],[Type]]="Transportation", _xlfn.XLOOKUP(Table1[[#This Row],[Resource]], 'SI - Payload'!$A$10:$A$37,'SI - Payload'!$B$10:$B$37,"",0), "")</f>
        <v/>
      </c>
      <c r="L39" s="9" t="str">
        <f>IF(Table1[[#This Row],[Type]]="Transportation", "ton", "")</f>
        <v/>
      </c>
      <c r="M39" s="9"/>
      <c r="N39" s="9"/>
      <c r="O39" s="9" t="str">
        <f>IF(OR(Table1[[#This Row],[Type]]="Main Product", Table1[[#This Row],[Type]]="Co-Product"), Table1[[#This Row],[Resource]], "")</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IF(Table1[[#This Row],[Type]]="Co-product", "No", "")</f>
        <v/>
      </c>
      <c r="J40" s="9"/>
      <c r="K40" s="9" t="str">
        <f>IF(Table1[[#This Row],[Type]]="Transportation", _xlfn.XLOOKUP(Table1[[#This Row],[Resource]], 'SI - Payload'!$A$10:$A$37,'SI - Payload'!$B$10:$B$37,"",0), "")</f>
        <v/>
      </c>
      <c r="L40" s="9" t="str">
        <f>IF(Table1[[#This Row],[Type]]="Transportation", "ton", "")</f>
        <v/>
      </c>
      <c r="M40" s="9"/>
      <c r="N40" s="9"/>
      <c r="O40" s="9" t="str">
        <f>IF(OR(Table1[[#This Row],[Type]]="Main Product", Table1[[#This Row],[Type]]="Co-Product"), Table1[[#This Row],[Resource]], "")</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IF(Table1[[#This Row],[Type]]="Co-product", "No", "")</f>
        <v/>
      </c>
      <c r="J41" s="9"/>
      <c r="K41" s="9" t="str">
        <f>IF(Table1[[#This Row],[Type]]="Transportation", _xlfn.XLOOKUP(Table1[[#This Row],[Resource]], 'SI - Payload'!$A$10:$A$37,'SI - Payload'!$B$10:$B$37,"",0), "")</f>
        <v/>
      </c>
      <c r="L41" s="9" t="str">
        <f>IF(Table1[[#This Row],[Type]]="Transportation", "ton", "")</f>
        <v/>
      </c>
      <c r="M41" s="9"/>
      <c r="N41" s="9"/>
      <c r="O41" s="9" t="str">
        <f>IF(OR(Table1[[#This Row],[Type]]="Main Product", Table1[[#This Row],[Type]]="Co-Product"), Table1[[#This Row],[Resource]], "")</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IF(Table1[[#This Row],[Type]]="Co-product", "No", "")</f>
        <v/>
      </c>
      <c r="J42" s="9"/>
      <c r="K42" s="9" t="str">
        <f>IF(Table1[[#This Row],[Type]]="Transportation", _xlfn.XLOOKUP(Table1[[#This Row],[Resource]], 'SI - Payload'!$A$10:$A$37,'SI - Payload'!$B$10:$B$37,"",0), "")</f>
        <v/>
      </c>
      <c r="L42" s="9" t="str">
        <f>IF(Table1[[#This Row],[Type]]="Transportation", "ton", "")</f>
        <v/>
      </c>
      <c r="M42" s="9"/>
      <c r="N42" s="9"/>
      <c r="O42" s="9" t="str">
        <f>IF(OR(Table1[[#This Row],[Type]]="Main Product", Table1[[#This Row],[Type]]="Co-Product"), Table1[[#This Row],[Resource]], "")</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IF(Table1[[#This Row],[Type]]="Co-product", "No", "")</f>
        <v/>
      </c>
      <c r="J43" s="9"/>
      <c r="K43" s="9" t="str">
        <f>IF(Table1[[#This Row],[Type]]="Transportation", _xlfn.XLOOKUP(Table1[[#This Row],[Resource]], 'SI - Payload'!$A$10:$A$37,'SI - Payload'!$B$10:$B$37,"",0), "")</f>
        <v/>
      </c>
      <c r="L43" s="9" t="str">
        <f>IF(Table1[[#This Row],[Type]]="Transportation", "ton", "")</f>
        <v/>
      </c>
      <c r="M43" s="9"/>
      <c r="N43" s="9"/>
      <c r="O43" s="9" t="str">
        <f>IF(OR(Table1[[#This Row],[Type]]="Main Product", Table1[[#This Row],[Type]]="Co-Product"), Table1[[#This Row],[Resource]], "")</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IF(Table1[[#This Row],[Type]]="Co-product", "No", "")</f>
        <v/>
      </c>
      <c r="J44" s="9"/>
      <c r="K44" s="9" t="str">
        <f>IF(Table1[[#This Row],[Type]]="Transportation", _xlfn.XLOOKUP(Table1[[#This Row],[Resource]], 'SI - Payload'!$A$10:$A$37,'SI - Payload'!$B$10:$B$37,"",0), "")</f>
        <v/>
      </c>
      <c r="L44" s="9" t="str">
        <f>IF(Table1[[#This Row],[Type]]="Transportation", "ton", "")</f>
        <v/>
      </c>
      <c r="M44" s="9"/>
      <c r="N44" s="9"/>
      <c r="O44" s="9" t="str">
        <f>IF(OR(Table1[[#This Row],[Type]]="Main Product", Table1[[#This Row],[Type]]="Co-Product"), Table1[[#This Row],[Resource]], "")</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IF(Table1[[#This Row],[Type]]="Co-product", "No", "")</f>
        <v/>
      </c>
      <c r="J45" s="9"/>
      <c r="K45" s="9" t="str">
        <f>IF(Table1[[#This Row],[Type]]="Transportation", _xlfn.XLOOKUP(Table1[[#This Row],[Resource]], 'SI - Payload'!$A$10:$A$37,'SI - Payload'!$B$10:$B$37,"",0), "")</f>
        <v/>
      </c>
      <c r="L45" s="9" t="str">
        <f>IF(Table1[[#This Row],[Type]]="Transportation", "ton", "")</f>
        <v/>
      </c>
      <c r="M45" s="9"/>
      <c r="N45" s="9"/>
      <c r="O45" s="9" t="str">
        <f>IF(OR(Table1[[#This Row],[Type]]="Main Product", Table1[[#This Row],[Type]]="Co-Product"), Table1[[#This Row],[Resource]], "")</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IF(Table1[[#This Row],[Type]]="Co-product", "No", "")</f>
        <v/>
      </c>
      <c r="J46" s="9"/>
      <c r="K46" s="9" t="str">
        <f>IF(Table1[[#This Row],[Type]]="Transportation", _xlfn.XLOOKUP(Table1[[#This Row],[Resource]], 'SI - Payload'!$A$10:$A$37,'SI - Payload'!$B$10:$B$37,"",0), "")</f>
        <v/>
      </c>
      <c r="L46" s="9" t="str">
        <f>IF(Table1[[#This Row],[Type]]="Transportation", "ton", "")</f>
        <v/>
      </c>
      <c r="M46" s="9"/>
      <c r="N46" s="9"/>
      <c r="O46" s="9" t="str">
        <f>IF(OR(Table1[[#This Row],[Type]]="Main Product", Table1[[#This Row],[Type]]="Co-Product"), Table1[[#This Row],[Resource]], "")</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IF(Table1[[#This Row],[Type]]="Co-product", "No", "")</f>
        <v/>
      </c>
      <c r="J47" s="9"/>
      <c r="K47" s="9" t="str">
        <f>IF(Table1[[#This Row],[Type]]="Transportation", _xlfn.XLOOKUP(Table1[[#This Row],[Resource]], 'SI - Payload'!$A$10:$A$37,'SI - Payload'!$B$10:$B$37,"",0), "")</f>
        <v/>
      </c>
      <c r="L47" s="9" t="str">
        <f>IF(Table1[[#This Row],[Type]]="Transportation", "ton", "")</f>
        <v/>
      </c>
      <c r="M47" s="9"/>
      <c r="N47" s="9"/>
      <c r="O47" s="9" t="str">
        <f>IF(OR(Table1[[#This Row],[Type]]="Main Product", Table1[[#This Row],[Type]]="Co-Product"), Table1[[#This Row],[Resource]], "")</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IF(Table1[[#This Row],[Type]]="Co-product", "No", "")</f>
        <v/>
      </c>
      <c r="J48" s="9"/>
      <c r="K48" s="9" t="str">
        <f>IF(Table1[[#This Row],[Type]]="Transportation", _xlfn.XLOOKUP(Table1[[#This Row],[Resource]], 'SI - Payload'!$A$10:$A$37,'SI - Payload'!$B$10:$B$37,"",0), "")</f>
        <v/>
      </c>
      <c r="L48" s="9" t="str">
        <f>IF(Table1[[#This Row],[Type]]="Transportation", "ton", "")</f>
        <v/>
      </c>
      <c r="M48" s="9"/>
      <c r="N48" s="9"/>
      <c r="O48" s="9" t="str">
        <f>IF(OR(Table1[[#This Row],[Type]]="Main Product", Table1[[#This Row],[Type]]="Co-Product"), Table1[[#This Row],[Resource]], "")</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IF(Table1[[#This Row],[Type]]="Co-product", "No", "")</f>
        <v/>
      </c>
      <c r="J49" s="9"/>
      <c r="K49" s="9" t="str">
        <f>IF(Table1[[#This Row],[Type]]="Transportation", _xlfn.XLOOKUP(Table1[[#This Row],[Resource]], 'SI - Payload'!$A$10:$A$37,'SI - Payload'!$B$10:$B$37,"",0), "")</f>
        <v/>
      </c>
      <c r="L49" s="9" t="str">
        <f>IF(Table1[[#This Row],[Type]]="Transportation", "ton", "")</f>
        <v/>
      </c>
      <c r="M49" s="9"/>
      <c r="N49" s="9"/>
      <c r="O49" s="9" t="str">
        <f>IF(OR(Table1[[#This Row],[Type]]="Main Product", Table1[[#This Row],[Type]]="Co-Product"), Table1[[#This Row],[Resource]], "")</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IF(Table1[[#This Row],[Type]]="Co-product", "No", "")</f>
        <v/>
      </c>
      <c r="J50" s="9"/>
      <c r="K50" s="9" t="str">
        <f>IF(Table1[[#This Row],[Type]]="Transportation", _xlfn.XLOOKUP(Table1[[#This Row],[Resource]], 'SI - Payload'!$A$10:$A$37,'SI - Payload'!$B$10:$B$37,"",0), "")</f>
        <v/>
      </c>
      <c r="L50" s="9" t="str">
        <f>IF(Table1[[#This Row],[Type]]="Transportation", "ton", "")</f>
        <v/>
      </c>
      <c r="M50" s="9"/>
      <c r="N50" s="9"/>
      <c r="O50" s="9" t="str">
        <f>IF(OR(Table1[[#This Row],[Type]]="Main Product", Table1[[#This Row],[Type]]="Co-Product"), Table1[[#This Row],[Resource]], "")</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IF(Table1[[#This Row],[Type]]="Co-product", "No", "")</f>
        <v/>
      </c>
      <c r="J51" s="9"/>
      <c r="K51" s="9" t="str">
        <f>IF(Table1[[#This Row],[Type]]="Transportation", _xlfn.XLOOKUP(Table1[[#This Row],[Resource]], 'SI - Payload'!$A$10:$A$37,'SI - Payload'!$B$10:$B$37,"",0), "")</f>
        <v/>
      </c>
      <c r="L51" s="9" t="str">
        <f>IF(Table1[[#This Row],[Type]]="Transportation", "ton", "")</f>
        <v/>
      </c>
      <c r="M51" s="9"/>
      <c r="N51" s="9"/>
      <c r="O51" s="9" t="str">
        <f>IF(OR(Table1[[#This Row],[Type]]="Main Product", Table1[[#This Row],[Type]]="Co-Product"), Table1[[#This Row],[Resource]], "")</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IF(Table1[[#This Row],[Type]]="Co-product", "No", "")</f>
        <v/>
      </c>
      <c r="J52" s="9"/>
      <c r="K52" s="9" t="str">
        <f>IF(Table1[[#This Row],[Type]]="Transportation", _xlfn.XLOOKUP(Table1[[#This Row],[Resource]], 'SI - Payload'!$A$10:$A$37,'SI - Payload'!$B$10:$B$37,"",0), "")</f>
        <v/>
      </c>
      <c r="L52" s="9" t="str">
        <f>IF(Table1[[#This Row],[Type]]="Transportation", "ton", "")</f>
        <v/>
      </c>
      <c r="M52" s="9"/>
      <c r="N52" s="9"/>
      <c r="O52" s="9" t="str">
        <f>IF(OR(Table1[[#This Row],[Type]]="Main Product", Table1[[#This Row],[Type]]="Co-Product"), Table1[[#This Row],[Resource]], "")</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IF(Table1[[#This Row],[Type]]="Co-product", "No", "")</f>
        <v/>
      </c>
      <c r="J53" s="9"/>
      <c r="K53" s="9" t="str">
        <f>IF(Table1[[#This Row],[Type]]="Transportation", _xlfn.XLOOKUP(Table1[[#This Row],[Resource]], 'SI - Payload'!$A$10:$A$37,'SI - Payload'!$B$10:$B$37,"",0), "")</f>
        <v/>
      </c>
      <c r="L53" s="9" t="str">
        <f>IF(Table1[[#This Row],[Type]]="Transportation", "ton", "")</f>
        <v/>
      </c>
      <c r="M53" s="9"/>
      <c r="N53" s="9"/>
      <c r="O53" s="9" t="str">
        <f>IF(OR(Table1[[#This Row],[Type]]="Main Product", Table1[[#This Row],[Type]]="Co-Product"), Table1[[#This Row],[Resource]], "")</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IF(Table1[[#This Row],[Type]]="Co-product", "No", "")</f>
        <v/>
      </c>
      <c r="J54" s="9"/>
      <c r="K54" s="9" t="str">
        <f>IF(Table1[[#This Row],[Type]]="Transportation", _xlfn.XLOOKUP(Table1[[#This Row],[Resource]], 'SI - Payload'!$A$10:$A$37,'SI - Payload'!$B$10:$B$37,"",0), "")</f>
        <v/>
      </c>
      <c r="L54" s="9" t="str">
        <f>IF(Table1[[#This Row],[Type]]="Transportation", "ton", "")</f>
        <v/>
      </c>
      <c r="M54" s="9"/>
      <c r="N54" s="9"/>
      <c r="O54" s="9" t="str">
        <f>IF(OR(Table1[[#This Row],[Type]]="Main Product", Table1[[#This Row],[Type]]="Co-Product"), Table1[[#This Row],[Resource]], "")</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IF(Table1[[#This Row],[Type]]="Co-product", "No", "")</f>
        <v/>
      </c>
      <c r="J55" s="9"/>
      <c r="K55" s="9" t="str">
        <f>IF(Table1[[#This Row],[Type]]="Transportation", _xlfn.XLOOKUP(Table1[[#This Row],[Resource]], 'SI - Payload'!$A$10:$A$37,'SI - Payload'!$B$10:$B$37,"",0), "")</f>
        <v/>
      </c>
      <c r="L55" s="9" t="str">
        <f>IF(Table1[[#This Row],[Type]]="Transportation", "ton", "")</f>
        <v/>
      </c>
      <c r="M55" s="9"/>
      <c r="N55" s="9"/>
      <c r="O55" s="9" t="str">
        <f>IF(OR(Table1[[#This Row],[Type]]="Main Product", Table1[[#This Row],[Type]]="Co-Product"), Table1[[#This Row],[Resource]], "")</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IF(Table1[[#This Row],[Type]]="Co-product", "No", "")</f>
        <v/>
      </c>
      <c r="J56" s="9"/>
      <c r="K56" s="9" t="str">
        <f>IF(Table1[[#This Row],[Type]]="Transportation", _xlfn.XLOOKUP(Table1[[#This Row],[Resource]], 'SI - Payload'!$A$10:$A$37,'SI - Payload'!$B$10:$B$37,"",0), "")</f>
        <v/>
      </c>
      <c r="L56" s="9" t="str">
        <f>IF(Table1[[#This Row],[Type]]="Transportation", "ton", "")</f>
        <v/>
      </c>
      <c r="M56" s="9"/>
      <c r="N56" s="9"/>
      <c r="O56" s="9" t="str">
        <f>IF(OR(Table1[[#This Row],[Type]]="Main Product", Table1[[#This Row],[Type]]="Co-Product"), Table1[[#This Row],[Resource]], "")</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IF(Table1[[#This Row],[Type]]="Co-product", "No", "")</f>
        <v/>
      </c>
      <c r="J57" s="9"/>
      <c r="K57" s="9" t="str">
        <f>IF(Table1[[#This Row],[Type]]="Transportation", _xlfn.XLOOKUP(Table1[[#This Row],[Resource]], 'SI - Payload'!$A$10:$A$37,'SI - Payload'!$B$10:$B$37,"",0), "")</f>
        <v/>
      </c>
      <c r="L57" s="9" t="str">
        <f>IF(Table1[[#This Row],[Type]]="Transportation", "ton", "")</f>
        <v/>
      </c>
      <c r="M57" s="9"/>
      <c r="N57" s="9"/>
      <c r="O57" s="9" t="str">
        <f>IF(OR(Table1[[#This Row],[Type]]="Main Product", Table1[[#This Row],[Type]]="Co-Product"), Table1[[#This Row],[Resource]], "")</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IF(Table1[[#This Row],[Type]]="Co-product", "No", "")</f>
        <v/>
      </c>
      <c r="J58" s="9"/>
      <c r="K58" s="9" t="str">
        <f>IF(Table1[[#This Row],[Type]]="Transportation", _xlfn.XLOOKUP(Table1[[#This Row],[Resource]], 'SI - Payload'!$A$10:$A$37,'SI - Payload'!$B$10:$B$37,"",0), "")</f>
        <v/>
      </c>
      <c r="L58" s="9" t="str">
        <f>IF(Table1[[#This Row],[Type]]="Transportation", "ton", "")</f>
        <v/>
      </c>
      <c r="M58" s="9"/>
      <c r="N58" s="9"/>
      <c r="O58" s="9" t="str">
        <f>IF(OR(Table1[[#This Row],[Type]]="Main Product", Table1[[#This Row],[Type]]="Co-Product"), Table1[[#This Row],[Resource]], "")</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IF(Table1[[#This Row],[Type]]="Co-product", "No", "")</f>
        <v/>
      </c>
      <c r="J59" s="9"/>
      <c r="K59" s="9" t="str">
        <f>IF(Table1[[#This Row],[Type]]="Transportation", _xlfn.XLOOKUP(Table1[[#This Row],[Resource]], 'SI - Payload'!$A$10:$A$37,'SI - Payload'!$B$10:$B$37,"",0), "")</f>
        <v/>
      </c>
      <c r="L59" s="9" t="str">
        <f>IF(Table1[[#This Row],[Type]]="Transportation", "ton", "")</f>
        <v/>
      </c>
      <c r="M59" s="9"/>
      <c r="N59" s="9"/>
      <c r="O59" s="9" t="str">
        <f>IF(OR(Table1[[#This Row],[Type]]="Main Product", Table1[[#This Row],[Type]]="Co-Product"), Table1[[#This Row],[Resource]], "")</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IF(Table1[[#This Row],[Type]]="Co-product", "No", "")</f>
        <v/>
      </c>
      <c r="J60" s="9"/>
      <c r="K60" s="9" t="str">
        <f>IF(Table1[[#This Row],[Type]]="Transportation", _xlfn.XLOOKUP(Table1[[#This Row],[Resource]], 'SI - Payload'!$A$10:$A$37,'SI - Payload'!$B$10:$B$37,"",0), "")</f>
        <v/>
      </c>
      <c r="L60" s="9" t="str">
        <f>IF(Table1[[#This Row],[Type]]="Transportation", "ton", "")</f>
        <v/>
      </c>
      <c r="M60" s="9"/>
      <c r="N60" s="9"/>
      <c r="O60" s="9" t="str">
        <f>IF(OR(Table1[[#This Row],[Type]]="Main Product", Table1[[#This Row],[Type]]="Co-Product"), Table1[[#This Row],[Resource]], "")</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IF(Table1[[#This Row],[Type]]="Co-product", "No", "")</f>
        <v/>
      </c>
      <c r="J61" s="9"/>
      <c r="K61" s="9" t="str">
        <f>IF(Table1[[#This Row],[Type]]="Transportation", _xlfn.XLOOKUP(Table1[[#This Row],[Resource]], 'SI - Payload'!$A$10:$A$37,'SI - Payload'!$B$10:$B$37,"",0), "")</f>
        <v/>
      </c>
      <c r="L61" s="9" t="str">
        <f>IF(Table1[[#This Row],[Type]]="Transportation", "ton", "")</f>
        <v/>
      </c>
      <c r="M61" s="9"/>
      <c r="N61" s="9"/>
      <c r="O61" s="9" t="str">
        <f>IF(OR(Table1[[#This Row],[Type]]="Main Product", Table1[[#This Row],[Type]]="Co-Product"), Table1[[#This Row],[Resource]], "")</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IF(Table1[[#This Row],[Type]]="Co-product", "No", "")</f>
        <v/>
      </c>
      <c r="J62" s="9"/>
      <c r="K62" s="9" t="str">
        <f>IF(Table1[[#This Row],[Type]]="Transportation", _xlfn.XLOOKUP(Table1[[#This Row],[Resource]], 'SI - Payload'!$A$10:$A$37,'SI - Payload'!$B$10:$B$37,"",0), "")</f>
        <v/>
      </c>
      <c r="L62" s="9" t="str">
        <f>IF(Table1[[#This Row],[Type]]="Transportation", "ton", "")</f>
        <v/>
      </c>
      <c r="M62" s="9"/>
      <c r="N62" s="9"/>
      <c r="O62" s="9" t="str">
        <f>IF(OR(Table1[[#This Row],[Type]]="Main Product", Table1[[#This Row],[Type]]="Co-Product"), Table1[[#This Row],[Resource]], "")</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IF(Table1[[#This Row],[Type]]="Co-product", "No", "")</f>
        <v/>
      </c>
      <c r="J63" s="9"/>
      <c r="K63" s="9" t="str">
        <f>IF(Table1[[#This Row],[Type]]="Transportation", _xlfn.XLOOKUP(Table1[[#This Row],[Resource]], 'SI - Payload'!$A$10:$A$37,'SI - Payload'!$B$10:$B$37,"",0), "")</f>
        <v/>
      </c>
      <c r="L63" s="9" t="str">
        <f>IF(Table1[[#This Row],[Type]]="Transportation", "ton", "")</f>
        <v/>
      </c>
      <c r="M63" s="9"/>
      <c r="N63" s="9"/>
      <c r="O63" s="9" t="str">
        <f>IF(OR(Table1[[#This Row],[Type]]="Main Product", Table1[[#This Row],[Type]]="Co-Product"), Table1[[#This Row],[Resource]], "")</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IF(Table1[[#This Row],[Type]]="Co-product", "No", "")</f>
        <v/>
      </c>
      <c r="J64" s="9"/>
      <c r="K64" s="9" t="str">
        <f>IF(Table1[[#This Row],[Type]]="Transportation", _xlfn.XLOOKUP(Table1[[#This Row],[Resource]], 'SI - Payload'!$A$10:$A$37,'SI - Payload'!$B$10:$B$37,"",0), "")</f>
        <v/>
      </c>
      <c r="L64" s="9" t="str">
        <f>IF(Table1[[#This Row],[Type]]="Transportation", "ton", "")</f>
        <v/>
      </c>
      <c r="M64" s="9"/>
      <c r="N64" s="9"/>
      <c r="O64" s="9" t="str">
        <f>IF(OR(Table1[[#This Row],[Type]]="Main Product", Table1[[#This Row],[Type]]="Co-Product"), Table1[[#This Row],[Resource]], "")</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IF(Table1[[#This Row],[Type]]="Co-product", "No", "")</f>
        <v/>
      </c>
      <c r="J65" s="9"/>
      <c r="K65" s="9" t="str">
        <f>IF(Table1[[#This Row],[Type]]="Transportation", _xlfn.XLOOKUP(Table1[[#This Row],[Resource]], 'SI - Payload'!$A$10:$A$37,'SI - Payload'!$B$10:$B$37,"",0), "")</f>
        <v/>
      </c>
      <c r="L65" s="9" t="str">
        <f>IF(Table1[[#This Row],[Type]]="Transportation", "ton", "")</f>
        <v/>
      </c>
      <c r="M65" s="9"/>
      <c r="N65" s="9"/>
      <c r="O65" s="9" t="str">
        <f>IF(OR(Table1[[#This Row],[Type]]="Main Product", Table1[[#This Row],[Type]]="Co-Product"), Table1[[#This Row],[Resource]], "")</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IF(Table1[[#This Row],[Type]]="Co-product", "No", "")</f>
        <v/>
      </c>
      <c r="J66" s="9"/>
      <c r="K66" s="9" t="str">
        <f>IF(Table1[[#This Row],[Type]]="Transportation", _xlfn.XLOOKUP(Table1[[#This Row],[Resource]], 'SI - Payload'!$A$10:$A$37,'SI - Payload'!$B$10:$B$37,"",0), "")</f>
        <v/>
      </c>
      <c r="L66" s="9" t="str">
        <f>IF(Table1[[#This Row],[Type]]="Transportation", "ton", "")</f>
        <v/>
      </c>
      <c r="M66" s="9"/>
      <c r="N66" s="9"/>
      <c r="O66" s="9" t="str">
        <f>IF(OR(Table1[[#This Row],[Type]]="Main Product", Table1[[#This Row],[Type]]="Co-Product"), Table1[[#This Row],[Resource]], "")</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IF(Table1[[#This Row],[Type]]="Co-product", "No", "")</f>
        <v/>
      </c>
      <c r="J67" s="9"/>
      <c r="K67" s="9" t="str">
        <f>IF(Table1[[#This Row],[Type]]="Transportation", _xlfn.XLOOKUP(Table1[[#This Row],[Resource]], 'SI - Payload'!$A$10:$A$37,'SI - Payload'!$B$10:$B$37,"",0), "")</f>
        <v/>
      </c>
      <c r="L67" s="9" t="str">
        <f>IF(Table1[[#This Row],[Type]]="Transportation", "ton", "")</f>
        <v/>
      </c>
      <c r="M67" s="9"/>
      <c r="N67" s="9"/>
      <c r="O67" s="9" t="str">
        <f>IF(OR(Table1[[#This Row],[Type]]="Main Product", Table1[[#This Row],[Type]]="Co-Product"), Table1[[#This Row],[Resource]], "")</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IF(Table1[[#This Row],[Type]]="Co-product", "No", "")</f>
        <v/>
      </c>
      <c r="J68" s="9"/>
      <c r="K68" s="9" t="str">
        <f>IF(Table1[[#This Row],[Type]]="Transportation", _xlfn.XLOOKUP(Table1[[#This Row],[Resource]], 'SI - Payload'!$A$10:$A$37,'SI - Payload'!$B$10:$B$37,"",0), "")</f>
        <v/>
      </c>
      <c r="L68" s="9" t="str">
        <f>IF(Table1[[#This Row],[Type]]="Transportation", "ton", "")</f>
        <v/>
      </c>
      <c r="M68" s="9"/>
      <c r="N68" s="9"/>
      <c r="O68" s="9" t="str">
        <f>IF(OR(Table1[[#This Row],[Type]]="Main Product", Table1[[#This Row],[Type]]="Co-Product"), Table1[[#This Row],[Resource]], "")</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IF(Table1[[#This Row],[Type]]="Co-product", "No", "")</f>
        <v/>
      </c>
      <c r="J69" s="9"/>
      <c r="K69" s="9" t="str">
        <f>IF(Table1[[#This Row],[Type]]="Transportation", _xlfn.XLOOKUP(Table1[[#This Row],[Resource]], 'SI - Payload'!$A$10:$A$37,'SI - Payload'!$B$10:$B$37,"",0), "")</f>
        <v/>
      </c>
      <c r="L69" s="9" t="str">
        <f>IF(Table1[[#This Row],[Type]]="Transportation", "ton", "")</f>
        <v/>
      </c>
      <c r="M69" s="9"/>
      <c r="N69" s="9"/>
      <c r="O69" s="9" t="str">
        <f>IF(OR(Table1[[#This Row],[Type]]="Main Product", Table1[[#This Row],[Type]]="Co-Product"), Table1[[#This Row],[Resource]], "")</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IF(Table1[[#This Row],[Type]]="Co-product", "No", "")</f>
        <v/>
      </c>
      <c r="J70" s="9"/>
      <c r="K70" s="9" t="str">
        <f>IF(Table1[[#This Row],[Type]]="Transportation", _xlfn.XLOOKUP(Table1[[#This Row],[Resource]], 'SI - Payload'!$A$10:$A$37,'SI - Payload'!$B$10:$B$37,"",0), "")</f>
        <v/>
      </c>
      <c r="L70" s="9" t="str">
        <f>IF(Table1[[#This Row],[Type]]="Transportation", "ton", "")</f>
        <v/>
      </c>
      <c r="M70" s="9"/>
      <c r="N70" s="9"/>
      <c r="O70" s="9" t="str">
        <f>IF(OR(Table1[[#This Row],[Type]]="Main Product", Table1[[#This Row],[Type]]="Co-Product"), Table1[[#This Row],[Resource]], "")</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IF(Table1[[#This Row],[Type]]="Co-product", "No", "")</f>
        <v/>
      </c>
      <c r="J71" s="9"/>
      <c r="K71" s="9" t="str">
        <f>IF(Table1[[#This Row],[Type]]="Transportation", _xlfn.XLOOKUP(Table1[[#This Row],[Resource]], 'SI - Payload'!$A$10:$A$37,'SI - Payload'!$B$10:$B$37,"",0), "")</f>
        <v/>
      </c>
      <c r="L71" s="9" t="str">
        <f>IF(Table1[[#This Row],[Type]]="Transportation", "ton", "")</f>
        <v/>
      </c>
      <c r="M71" s="9"/>
      <c r="N71" s="9"/>
      <c r="O71" s="9" t="str">
        <f>IF(OR(Table1[[#This Row],[Type]]="Main Product", Table1[[#This Row],[Type]]="Co-Product"), Table1[[#This Row],[Resource]], "")</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IF(Table1[[#This Row],[Type]]="Co-product", "No", "")</f>
        <v/>
      </c>
      <c r="J72" s="9"/>
      <c r="K72" s="9" t="str">
        <f>IF(Table1[[#This Row],[Type]]="Transportation", _xlfn.XLOOKUP(Table1[[#This Row],[Resource]], 'SI - Payload'!$A$10:$A$37,'SI - Payload'!$B$10:$B$37,"",0), "")</f>
        <v/>
      </c>
      <c r="L72" s="9" t="str">
        <f>IF(Table1[[#This Row],[Type]]="Transportation", "ton", "")</f>
        <v/>
      </c>
      <c r="M72" s="9"/>
      <c r="N72" s="9"/>
      <c r="O72" s="9" t="str">
        <f>IF(OR(Table1[[#This Row],[Type]]="Main Product", Table1[[#This Row],[Type]]="Co-Product"), Table1[[#This Row],[Resource]], "")</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IF(Table1[[#This Row],[Type]]="Co-product", "No", "")</f>
        <v/>
      </c>
      <c r="J73" s="9"/>
      <c r="K73" s="9" t="str">
        <f>IF(Table1[[#This Row],[Type]]="Transportation", _xlfn.XLOOKUP(Table1[[#This Row],[Resource]], 'SI - Payload'!$A$10:$A$37,'SI - Payload'!$B$10:$B$37,"",0), "")</f>
        <v/>
      </c>
      <c r="L73" s="9" t="str">
        <f>IF(Table1[[#This Row],[Type]]="Transportation", "ton", "")</f>
        <v/>
      </c>
      <c r="M73" s="9"/>
      <c r="N73" s="9"/>
      <c r="O73" s="9" t="str">
        <f>IF(OR(Table1[[#This Row],[Type]]="Main Product", Table1[[#This Row],[Type]]="Co-Product"), Table1[[#This Row],[Resource]], "")</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IF(Table1[[#This Row],[Type]]="Co-product", "No", "")</f>
        <v/>
      </c>
      <c r="J74" s="9"/>
      <c r="K74" s="9" t="str">
        <f>IF(Table1[[#This Row],[Type]]="Transportation", _xlfn.XLOOKUP(Table1[[#This Row],[Resource]], 'SI - Payload'!$A$10:$A$37,'SI - Payload'!$B$10:$B$37,"",0), "")</f>
        <v/>
      </c>
      <c r="L74" s="9" t="str">
        <f>IF(Table1[[#This Row],[Type]]="Transportation", "ton", "")</f>
        <v/>
      </c>
      <c r="M74" s="9"/>
      <c r="N74" s="9"/>
      <c r="O74" s="9" t="str">
        <f>IF(OR(Table1[[#This Row],[Type]]="Main Product", Table1[[#This Row],[Type]]="Co-Product"), Table1[[#This Row],[Resource]], "")</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IF(Table1[[#This Row],[Type]]="Co-product", "No", "")</f>
        <v/>
      </c>
      <c r="J75" s="9"/>
      <c r="K75" s="9" t="str">
        <f>IF(Table1[[#This Row],[Type]]="Transportation", _xlfn.XLOOKUP(Table1[[#This Row],[Resource]], 'SI - Payload'!$A$10:$A$37,'SI - Payload'!$B$10:$B$37,"",0), "")</f>
        <v/>
      </c>
      <c r="L75" s="9" t="str">
        <f>IF(Table1[[#This Row],[Type]]="Transportation", "ton", "")</f>
        <v/>
      </c>
      <c r="M75" s="9"/>
      <c r="N75" s="9"/>
      <c r="O75" s="9" t="str">
        <f>IF(OR(Table1[[#This Row],[Type]]="Main Product", Table1[[#This Row],[Type]]="Co-Product"), Table1[[#This Row],[Resource]], "")</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IF(Table1[[#This Row],[Type]]="Co-product", "No", "")</f>
        <v/>
      </c>
      <c r="J76" s="9"/>
      <c r="K76" s="9" t="str">
        <f>IF(Table1[[#This Row],[Type]]="Transportation", _xlfn.XLOOKUP(Table1[[#This Row],[Resource]], 'SI - Payload'!$A$10:$A$37,'SI - Payload'!$B$10:$B$37,"",0), "")</f>
        <v/>
      </c>
      <c r="L76" s="9" t="str">
        <f>IF(Table1[[#This Row],[Type]]="Transportation", "ton", "")</f>
        <v/>
      </c>
      <c r="M76" s="9"/>
      <c r="N76" s="9"/>
      <c r="O76" s="9" t="str">
        <f>IF(OR(Table1[[#This Row],[Type]]="Main Product", Table1[[#This Row],[Type]]="Co-Product"), Table1[[#This Row],[Resource]], "")</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IF(Table1[[#This Row],[Type]]="Co-product", "No", "")</f>
        <v/>
      </c>
      <c r="J77" s="9"/>
      <c r="K77" s="9" t="str">
        <f>IF(Table1[[#This Row],[Type]]="Transportation", _xlfn.XLOOKUP(Table1[[#This Row],[Resource]], 'SI - Payload'!$A$10:$A$37,'SI - Payload'!$B$10:$B$37,"",0), "")</f>
        <v/>
      </c>
      <c r="L77" s="9" t="str">
        <f>IF(Table1[[#This Row],[Type]]="Transportation", "ton", "")</f>
        <v/>
      </c>
      <c r="M77" s="9"/>
      <c r="N77" s="9"/>
      <c r="O77" s="9" t="str">
        <f>IF(OR(Table1[[#This Row],[Type]]="Main Product", Table1[[#This Row],[Type]]="Co-Product"), Table1[[#This Row],[Resource]], "")</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IF(Table1[[#This Row],[Type]]="Co-product", "No", "")</f>
        <v/>
      </c>
      <c r="J78" s="9"/>
      <c r="K78" s="9" t="str">
        <f>IF(Table1[[#This Row],[Type]]="Transportation", _xlfn.XLOOKUP(Table1[[#This Row],[Resource]], 'SI - Payload'!$A$10:$A$37,'SI - Payload'!$B$10:$B$37,"",0), "")</f>
        <v/>
      </c>
      <c r="L78" s="9" t="str">
        <f>IF(Table1[[#This Row],[Type]]="Transportation", "ton", "")</f>
        <v/>
      </c>
      <c r="M78" s="9"/>
      <c r="N78" s="9"/>
      <c r="O78" s="9" t="str">
        <f>IF(OR(Table1[[#This Row],[Type]]="Main Product", Table1[[#This Row],[Type]]="Co-Product"), Table1[[#This Row],[Resource]], "")</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IF(Table1[[#This Row],[Type]]="Co-product", "No", "")</f>
        <v/>
      </c>
      <c r="J79" s="9"/>
      <c r="K79" s="9" t="str">
        <f>IF(Table1[[#This Row],[Type]]="Transportation", _xlfn.XLOOKUP(Table1[[#This Row],[Resource]], 'SI - Payload'!$A$10:$A$37,'SI - Payload'!$B$10:$B$37,"",0), "")</f>
        <v/>
      </c>
      <c r="L79" s="9" t="str">
        <f>IF(Table1[[#This Row],[Type]]="Transportation", "ton", "")</f>
        <v/>
      </c>
      <c r="M79" s="9"/>
      <c r="N79" s="9"/>
      <c r="O79" s="9" t="str">
        <f>IF(OR(Table1[[#This Row],[Type]]="Main Product", Table1[[#This Row],[Type]]="Co-Product"), Table1[[#This Row],[Resource]], "")</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IF(Table1[[#This Row],[Type]]="Co-product", "No", "")</f>
        <v/>
      </c>
      <c r="J80" s="9"/>
      <c r="K80" s="9" t="str">
        <f>IF(Table1[[#This Row],[Type]]="Transportation", _xlfn.XLOOKUP(Table1[[#This Row],[Resource]], 'SI - Payload'!$A$10:$A$37,'SI - Payload'!$B$10:$B$37,"",0), "")</f>
        <v/>
      </c>
      <c r="L80" s="9" t="str">
        <f>IF(Table1[[#This Row],[Type]]="Transportation", "ton", "")</f>
        <v/>
      </c>
      <c r="M80" s="9"/>
      <c r="N80" s="9"/>
      <c r="O80" s="9" t="str">
        <f>IF(OR(Table1[[#This Row],[Type]]="Main Product", Table1[[#This Row],[Type]]="Co-Product"), Table1[[#This Row],[Resource]], "")</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IF(Table1[[#This Row],[Type]]="Co-product", "No", "")</f>
        <v/>
      </c>
      <c r="J81" s="9"/>
      <c r="K81" s="9" t="str">
        <f>IF(Table1[[#This Row],[Type]]="Transportation", _xlfn.XLOOKUP(Table1[[#This Row],[Resource]], 'SI - Payload'!$A$10:$A$37,'SI - Payload'!$B$10:$B$37,"",0), "")</f>
        <v/>
      </c>
      <c r="L81" s="9" t="str">
        <f>IF(Table1[[#This Row],[Type]]="Transportation", "ton", "")</f>
        <v/>
      </c>
      <c r="M81" s="9"/>
      <c r="N81" s="9"/>
      <c r="O81" s="9" t="str">
        <f>IF(OR(Table1[[#This Row],[Type]]="Main Product", Table1[[#This Row],[Type]]="Co-Product"), Table1[[#This Row],[Resource]], "")</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IF(Table1[[#This Row],[Type]]="Co-product", "No", "")</f>
        <v/>
      </c>
      <c r="J82" s="9"/>
      <c r="K82" s="9" t="str">
        <f>IF(Table1[[#This Row],[Type]]="Transportation", _xlfn.XLOOKUP(Table1[[#This Row],[Resource]], 'SI - Payload'!$A$10:$A$37,'SI - Payload'!$B$10:$B$37,"",0), "")</f>
        <v/>
      </c>
      <c r="L82" s="9" t="str">
        <f>IF(Table1[[#This Row],[Type]]="Transportation", "ton", "")</f>
        <v/>
      </c>
      <c r="M82" s="9"/>
      <c r="N82" s="9"/>
      <c r="O82" s="9" t="str">
        <f>IF(OR(Table1[[#This Row],[Type]]="Main Product", Table1[[#This Row],[Type]]="Co-Product"), Table1[[#This Row],[Resource]], "")</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IF(Table1[[#This Row],[Type]]="Co-product", "No", "")</f>
        <v/>
      </c>
      <c r="J83" s="9"/>
      <c r="K83" s="9" t="str">
        <f>IF(Table1[[#This Row],[Type]]="Transportation", _xlfn.XLOOKUP(Table1[[#This Row],[Resource]], 'SI - Payload'!$A$10:$A$37,'SI - Payload'!$B$10:$B$37,"",0), "")</f>
        <v/>
      </c>
      <c r="L83" s="9" t="str">
        <f>IF(Table1[[#This Row],[Type]]="Transportation", "ton", "")</f>
        <v/>
      </c>
      <c r="M83" s="9"/>
      <c r="N83" s="9"/>
      <c r="O83" s="9" t="str">
        <f>IF(OR(Table1[[#This Row],[Type]]="Main Product", Table1[[#This Row],[Type]]="Co-Product"), Table1[[#This Row],[Resource]], "")</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IF(Table1[[#This Row],[Type]]="Co-product", "No", "")</f>
        <v/>
      </c>
      <c r="J84" s="9"/>
      <c r="K84" s="9" t="str">
        <f>IF(Table1[[#This Row],[Type]]="Transportation", _xlfn.XLOOKUP(Table1[[#This Row],[Resource]], 'SI - Payload'!$A$10:$A$37,'SI - Payload'!$B$10:$B$37,"",0), "")</f>
        <v/>
      </c>
      <c r="L84" s="9" t="str">
        <f>IF(Table1[[#This Row],[Type]]="Transportation", "ton", "")</f>
        <v/>
      </c>
      <c r="M84" s="9"/>
      <c r="N84" s="9"/>
      <c r="O84" s="9" t="str">
        <f>IF(OR(Table1[[#This Row],[Type]]="Main Product", Table1[[#This Row],[Type]]="Co-Product"), Table1[[#This Row],[Resource]], "")</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IF(Table1[[#This Row],[Type]]="Co-product", "No", "")</f>
        <v/>
      </c>
      <c r="J85" s="9"/>
      <c r="K85" s="9" t="str">
        <f>IF(Table1[[#This Row],[Type]]="Transportation", _xlfn.XLOOKUP(Table1[[#This Row],[Resource]], 'SI - Payload'!$A$10:$A$37,'SI - Payload'!$B$10:$B$37,"",0), "")</f>
        <v/>
      </c>
      <c r="L85" s="9" t="str">
        <f>IF(Table1[[#This Row],[Type]]="Transportation", "ton", "")</f>
        <v/>
      </c>
      <c r="M85" s="9"/>
      <c r="N85" s="9"/>
      <c r="O85" s="9" t="str">
        <f>IF(OR(Table1[[#This Row],[Type]]="Main Product", Table1[[#This Row],[Type]]="Co-Product"), Table1[[#This Row],[Resource]], "")</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IF(Table1[[#This Row],[Type]]="Co-product", "No", "")</f>
        <v/>
      </c>
      <c r="J86" s="9"/>
      <c r="K86" s="9" t="str">
        <f>IF(Table1[[#This Row],[Type]]="Transportation", _xlfn.XLOOKUP(Table1[[#This Row],[Resource]], 'SI - Payload'!$A$10:$A$37,'SI - Payload'!$B$10:$B$37,"",0), "")</f>
        <v/>
      </c>
      <c r="L86" s="9" t="str">
        <f>IF(Table1[[#This Row],[Type]]="Transportation", "ton", "")</f>
        <v/>
      </c>
      <c r="M86" s="9"/>
      <c r="N86" s="9"/>
      <c r="O86" s="9" t="str">
        <f>IF(OR(Table1[[#This Row],[Type]]="Main Product", Table1[[#This Row],[Type]]="Co-Product"), Table1[[#This Row],[Resource]], "")</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IF(Table1[[#This Row],[Type]]="Co-product", "No", "")</f>
        <v/>
      </c>
      <c r="J87" s="9"/>
      <c r="K87" s="9" t="str">
        <f>IF(Table1[[#This Row],[Type]]="Transportation", _xlfn.XLOOKUP(Table1[[#This Row],[Resource]], 'SI - Payload'!$A$10:$A$37,'SI - Payload'!$B$10:$B$37,"",0), "")</f>
        <v/>
      </c>
      <c r="L87" s="9" t="str">
        <f>IF(Table1[[#This Row],[Type]]="Transportation", "ton", "")</f>
        <v/>
      </c>
      <c r="M87" s="9"/>
      <c r="N87" s="9"/>
      <c r="O87" s="9" t="str">
        <f>IF(OR(Table1[[#This Row],[Type]]="Main Product", Table1[[#This Row],[Type]]="Co-Product"), Table1[[#This Row],[Resource]], "")</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IF(Table1[[#This Row],[Type]]="Co-product", "No", "")</f>
        <v/>
      </c>
      <c r="J88" s="9"/>
      <c r="K88" s="9" t="str">
        <f>IF(Table1[[#This Row],[Type]]="Transportation", _xlfn.XLOOKUP(Table1[[#This Row],[Resource]], 'SI - Payload'!$A$10:$A$37,'SI - Payload'!$B$10:$B$37,"",0), "")</f>
        <v/>
      </c>
      <c r="L88" s="9" t="str">
        <f>IF(Table1[[#This Row],[Type]]="Transportation", "ton", "")</f>
        <v/>
      </c>
      <c r="M88" s="9"/>
      <c r="N88" s="9"/>
      <c r="O88" s="9" t="str">
        <f>IF(OR(Table1[[#This Row],[Type]]="Main Product", Table1[[#This Row],[Type]]="Co-Product"), Table1[[#This Row],[Resource]], "")</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IF(Table1[[#This Row],[Type]]="Co-product", "No", "")</f>
        <v/>
      </c>
      <c r="J89" s="9"/>
      <c r="K89" s="9" t="str">
        <f>IF(Table1[[#This Row],[Type]]="Transportation", _xlfn.XLOOKUP(Table1[[#This Row],[Resource]], 'SI - Payload'!$A$10:$A$37,'SI - Payload'!$B$10:$B$37,"",0), "")</f>
        <v/>
      </c>
      <c r="L89" s="9" t="str">
        <f>IF(Table1[[#This Row],[Type]]="Transportation", "ton", "")</f>
        <v/>
      </c>
      <c r="M89" s="9"/>
      <c r="N89" s="9"/>
      <c r="O89" s="9" t="str">
        <f>IF(OR(Table1[[#This Row],[Type]]="Main Product", Table1[[#This Row],[Type]]="Co-Product"), Table1[[#This Row],[Resource]], "")</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IF(Table1[[#This Row],[Type]]="Co-product", "No", "")</f>
        <v/>
      </c>
      <c r="J90" s="9"/>
      <c r="K90" s="9" t="str">
        <f>IF(Table1[[#This Row],[Type]]="Transportation", _xlfn.XLOOKUP(Table1[[#This Row],[Resource]], 'SI - Payload'!$A$10:$A$37,'SI - Payload'!$B$10:$B$37,"",0), "")</f>
        <v/>
      </c>
      <c r="L90" s="9" t="str">
        <f>IF(Table1[[#This Row],[Type]]="Transportation", "ton", "")</f>
        <v/>
      </c>
      <c r="M90" s="9"/>
      <c r="N90" s="9"/>
      <c r="O90" s="9" t="str">
        <f>IF(OR(Table1[[#This Row],[Type]]="Main Product", Table1[[#This Row],[Type]]="Co-Product"), Table1[[#This Row],[Resource]], "")</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IF(Table1[[#This Row],[Type]]="Co-product", "No", "")</f>
        <v/>
      </c>
      <c r="J91" s="9"/>
      <c r="K91" s="9" t="str">
        <f>IF(Table1[[#This Row],[Type]]="Transportation", _xlfn.XLOOKUP(Table1[[#This Row],[Resource]], 'SI - Payload'!$A$10:$A$37,'SI - Payload'!$B$10:$B$37,"",0), "")</f>
        <v/>
      </c>
      <c r="L91" s="9" t="str">
        <f>IF(Table1[[#This Row],[Type]]="Transportation", "ton", "")</f>
        <v/>
      </c>
      <c r="M91" s="9"/>
      <c r="N91" s="9"/>
      <c r="O91" s="9" t="str">
        <f>IF(OR(Table1[[#This Row],[Type]]="Main Product", Table1[[#This Row],[Type]]="Co-Product"), Table1[[#This Row],[Resource]], "")</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IF(Table1[[#This Row],[Type]]="Co-product", "No", "")</f>
        <v/>
      </c>
      <c r="J92" s="9"/>
      <c r="K92" s="9" t="str">
        <f>IF(Table1[[#This Row],[Type]]="Transportation", _xlfn.XLOOKUP(Table1[[#This Row],[Resource]], 'SI - Payload'!$A$10:$A$37,'SI - Payload'!$B$10:$B$37,"",0), "")</f>
        <v/>
      </c>
      <c r="L92" s="9" t="str">
        <f>IF(Table1[[#This Row],[Type]]="Transportation", "ton", "")</f>
        <v/>
      </c>
      <c r="M92" s="9"/>
      <c r="N92" s="9"/>
      <c r="O92" s="9" t="str">
        <f>IF(OR(Table1[[#This Row],[Type]]="Main Product", Table1[[#This Row],[Type]]="Co-Product"), Table1[[#This Row],[Resource]], "")</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IF(Table1[[#This Row],[Type]]="Co-product", "No", "")</f>
        <v/>
      </c>
      <c r="J93" s="9"/>
      <c r="K93" s="9" t="str">
        <f>IF(Table1[[#This Row],[Type]]="Transportation", _xlfn.XLOOKUP(Table1[[#This Row],[Resource]], 'SI - Payload'!$A$10:$A$37,'SI - Payload'!$B$10:$B$37,"",0), "")</f>
        <v/>
      </c>
      <c r="L93" s="9" t="str">
        <f>IF(Table1[[#This Row],[Type]]="Transportation", "ton", "")</f>
        <v/>
      </c>
      <c r="M93" s="9"/>
      <c r="N93" s="9"/>
      <c r="O93" s="9" t="str">
        <f>IF(OR(Table1[[#This Row],[Type]]="Main Product", Table1[[#This Row],[Type]]="Co-Product"), Table1[[#This Row],[Resource]], "")</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IF(Table1[[#This Row],[Type]]="Co-product", "No", "")</f>
        <v/>
      </c>
      <c r="J94" s="9"/>
      <c r="K94" s="9" t="str">
        <f>IF(Table1[[#This Row],[Type]]="Transportation", _xlfn.XLOOKUP(Table1[[#This Row],[Resource]], 'SI - Payload'!$A$10:$A$37,'SI - Payload'!$B$10:$B$37,"",0), "")</f>
        <v/>
      </c>
      <c r="L94" s="9" t="str">
        <f>IF(Table1[[#This Row],[Type]]="Transportation", "ton", "")</f>
        <v/>
      </c>
      <c r="M94" s="9"/>
      <c r="N94" s="9"/>
      <c r="O94" s="9" t="str">
        <f>IF(OR(Table1[[#This Row],[Type]]="Main Product", Table1[[#This Row],[Type]]="Co-Product"), Table1[[#This Row],[Resource]], "")</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IF(Table1[[#This Row],[Type]]="Co-product", "No", "")</f>
        <v/>
      </c>
      <c r="J95" s="9"/>
      <c r="K95" s="9" t="str">
        <f>IF(Table1[[#This Row],[Type]]="Transportation", _xlfn.XLOOKUP(Table1[[#This Row],[Resource]], 'SI - Payload'!$A$10:$A$37,'SI - Payload'!$B$10:$B$37,"",0), "")</f>
        <v/>
      </c>
      <c r="L95" s="9" t="str">
        <f>IF(Table1[[#This Row],[Type]]="Transportation", "ton", "")</f>
        <v/>
      </c>
      <c r="M95" s="9"/>
      <c r="N95" s="9"/>
      <c r="O95" s="9" t="str">
        <f>IF(OR(Table1[[#This Row],[Type]]="Main Product", Table1[[#This Row],[Type]]="Co-Product"), Table1[[#This Row],[Resource]], "")</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IF(Table1[[#This Row],[Type]]="Co-product", "No", "")</f>
        <v/>
      </c>
      <c r="J96" s="9"/>
      <c r="K96" s="9" t="str">
        <f>IF(Table1[[#This Row],[Type]]="Transportation", _xlfn.XLOOKUP(Table1[[#This Row],[Resource]], 'SI - Payload'!$A$10:$A$37,'SI - Payload'!$B$10:$B$37,"",0), "")</f>
        <v/>
      </c>
      <c r="L96" s="9" t="str">
        <f>IF(Table1[[#This Row],[Type]]="Transportation", "ton", "")</f>
        <v/>
      </c>
      <c r="M96" s="9"/>
      <c r="N96" s="9"/>
      <c r="O96" s="9" t="str">
        <f>IF(OR(Table1[[#This Row],[Type]]="Main Product", Table1[[#This Row],[Type]]="Co-Product"), Table1[[#This Row],[Resource]], "")</f>
        <v/>
      </c>
      <c r="P96" s="9" t="str">
        <f>IF(_xlfn.XLOOKUP($O96,'SI - End Use'!$B$2:$B$53,'SI - End Use'!$C$2:$C$53, "")="", "", _xlfn.XLOOKUP($C96,'SI - End Use'!$B$2:$B$53,'SI - End Use'!$C$2:$C$53, ""))</f>
        <v/>
      </c>
      <c r="Q96" s="9"/>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IF(Table1[[#This Row],[Type]]="Co-product", "No", "")</f>
        <v/>
      </c>
      <c r="J97" s="9"/>
      <c r="K97" s="9" t="str">
        <f>IF(Table1[[#This Row],[Type]]="Transportation", _xlfn.XLOOKUP(Table1[[#This Row],[Resource]], 'SI - Payload'!$A$10:$A$37,'SI - Payload'!$B$10:$B$37,"",0), "")</f>
        <v/>
      </c>
      <c r="L97" s="9" t="str">
        <f>IF(Table1[[#This Row],[Type]]="Transportation", "ton", "")</f>
        <v/>
      </c>
      <c r="M97" s="9"/>
      <c r="N97" s="9"/>
      <c r="O97" s="25" t="str">
        <f>IF(OR(Table1[[#This Row],[Type]]="Main Product", Table1[[#This Row],[Type]]="Co-Product"), Table1[[#This Row],[Resource]], "")</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IF(Table1[[#This Row],[Type]]="Co-product", "No", "")</f>
        <v/>
      </c>
      <c r="J98" s="9"/>
      <c r="K98" s="9" t="str">
        <f>IF(Table1[[#This Row],[Type]]="Transportation", _xlfn.XLOOKUP(Table1[[#This Row],[Resource]], 'SI - Payload'!$A$10:$A$37,'SI - Payload'!$B$10:$B$37,"",0), "")</f>
        <v/>
      </c>
      <c r="L98" s="9" t="str">
        <f>IF(Table1[[#This Row],[Type]]="Transportation", "ton", "")</f>
        <v/>
      </c>
      <c r="M98" s="9"/>
      <c r="N98" s="9"/>
      <c r="O98" s="25" t="str">
        <f>IF(OR(Table1[[#This Row],[Type]]="Main Product", Table1[[#This Row],[Type]]="Co-Product"), Table1[[#This Row],[Resource]], "")</f>
        <v/>
      </c>
      <c r="P98" s="25" t="str">
        <f>IF(_xlfn.XLOOKUP($O98,'SI - End Use'!$B$2:$B$53,'SI - End Use'!$C$2:$C$53, "")="", "", _xlfn.XLOOKUP($C98,'SI - End Use'!$B$2:$B$53,'SI - End Use'!$C$2:$C$53, ""))</f>
        <v/>
      </c>
      <c r="Q98" s="25"/>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IF(Table1[[#This Row],[Type]]="Co-product", "No", "")</f>
        <v/>
      </c>
      <c r="J99" s="9"/>
      <c r="K99" s="9" t="str">
        <f>IF(Table1[[#This Row],[Type]]="Transportation", _xlfn.XLOOKUP(Table1[[#This Row],[Resource]], 'SI - Payload'!$A$10:$A$37,'SI - Payload'!$B$10:$B$37,"",0), "")</f>
        <v/>
      </c>
      <c r="L99" s="9" t="str">
        <f>IF(Table1[[#This Row],[Type]]="Transportation", "ton", "")</f>
        <v/>
      </c>
      <c r="M99" s="9"/>
      <c r="N99" s="9"/>
      <c r="O99" s="25" t="str">
        <f>IF(OR(Table1[[#This Row],[Type]]="Main Product", Table1[[#This Row],[Type]]="Co-Product"), Table1[[#This Row],[Resource]], "")</f>
        <v/>
      </c>
      <c r="P99" s="9" t="str">
        <f>IF(_xlfn.XLOOKUP($O99,'SI - End Use'!$B$2:$B$53,'SI - End Use'!$C$2:$C$53, "")="", "", _xlfn.XLOOKUP($C99,'SI - End Use'!$B$2:$B$53,'SI - End Use'!$C$2:$C$53, ""))</f>
        <v/>
      </c>
      <c r="Q99" s="9"/>
      <c r="R99" s="9"/>
    </row>
    <row r="100" spans="1:18" x14ac:dyDescent="0.35">
      <c r="A100" s="35"/>
      <c r="B100" s="24"/>
      <c r="C100" s="24" t="str">
        <f>_xlfn.XLOOKUP($B100,'SI - Resources'!$A$1:$I$1,'SI - Resources'!$A$2:$I$2, "")</f>
        <v/>
      </c>
      <c r="D100" s="26" t="str">
        <f>IF(_xlfn.XLOOKUP($C100,'SI - End Use'!$B$2:$B$53,'SI - End Use'!$C$2:$C$53, "")="", "", _xlfn.XLOOKUP($C100,'SI - End Use'!$B$2:$B$53,'SI - End Use'!$C$2:$C$53, ""))</f>
        <v/>
      </c>
      <c r="E100" s="33"/>
      <c r="F100" s="26" t="str" cm="1">
        <f t="array" ref="F100">IF($B100="Transportation",  'SI - Units'!$B$9:$B$9, _xlfn.XLOOKUP(_xlfn.XLOOKUP($C100,'SI - Units'!$B$24:$B$74,'SI - Units'!$C$24:$C$74, ""),'SI - Units'!$A$2:$A$8,'SI - Units'!$B$2:$B$8, ""))</f>
        <v/>
      </c>
      <c r="G100" s="34"/>
      <c r="H100" s="34"/>
      <c r="I100" s="37" t="str">
        <f>IF(Table1[[#This Row],[Type]]="Co-product", "No", "")</f>
        <v/>
      </c>
      <c r="J100" s="24"/>
      <c r="K100" s="24" t="str">
        <f>IF(Table1[[#This Row],[Type]]="Transportation", _xlfn.XLOOKUP(Table1[[#This Row],[Resource]], 'SI - Payload'!$A$10:$A$37,'SI - Payload'!$B$10:$B$37,"",0), "")</f>
        <v/>
      </c>
      <c r="L100" s="24" t="str">
        <f>IF(Table1[[#This Row],[Type]]="Transportation", "ton", "")</f>
        <v/>
      </c>
      <c r="M100" s="24"/>
      <c r="N100" s="24"/>
      <c r="O100" s="24" t="str">
        <f>IF(OR(Table1[[#This Row],[Type]]="Main Product", Table1[[#This Row],[Type]]="Co-Product"), Table1[[#This Row],[Resource]], "")</f>
        <v/>
      </c>
      <c r="P100" s="24" t="str">
        <f>IF(_xlfn.XLOOKUP($O100,'SI - End Use'!$B$2:$B$53,'SI - End Use'!$C$2:$C$53, "")="", "", _xlfn.XLOOKUP($C100,'SI - End Use'!$B$2:$B$53,'SI - End Use'!$C$2:$C$53, ""))</f>
        <v/>
      </c>
      <c r="Q100" s="24"/>
      <c r="R100" s="24"/>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603250</xdr:colOff>
                    <xdr:row>1</xdr:row>
                    <xdr:rowOff>120650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Units'!$B$24:$B$74,'SI - Units'!$C$24:$C$74),'SI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Units'!$B$24:$B$74,'SI - Units'!$C$24:$C$74),'SI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Units'!$B$24:$B$74,'SI - Units'!$C$24:$C$74),'SI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Use'!$B$2:$B$53,'SI - End Use'!$C$2:$N$53)</xm:f>
          </x14:formula1>
          <xm:sqref>D5:D100</xm:sqref>
        </x14:dataValidation>
        <x14:dataValidation type="list" allowBlank="1" showInputMessage="1" showErrorMessage="1" xr:uid="{DC2C16C8-CE07-4FE6-9DEE-2F41BAAE693C}">
          <x14:formula1>
            <xm:f>_xlfn.XLOOKUP($O5,'SI - End Use'!$B$2:$B$53,'SI - End Use'!$C$2:$N$53)</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H8" sqref="H8"/>
    </sheetView>
  </sheetViews>
  <sheetFormatPr defaultRowHeight="14.5" x14ac:dyDescent="0.35"/>
  <cols>
    <col min="1" max="1" width="25" bestFit="1" customWidth="1"/>
  </cols>
  <sheetData>
    <row r="1" spans="1:78" ht="65.5" x14ac:dyDescent="0.35">
      <c r="A1" s="38" t="s">
        <v>144</v>
      </c>
      <c r="B1" s="39" t="s">
        <v>145</v>
      </c>
      <c r="C1" s="39" t="s">
        <v>146</v>
      </c>
      <c r="D1" s="39" t="s">
        <v>2</v>
      </c>
      <c r="E1" s="39" t="s">
        <v>147</v>
      </c>
      <c r="F1" s="39" t="s">
        <v>148</v>
      </c>
      <c r="G1" s="39" t="s">
        <v>149</v>
      </c>
      <c r="H1" s="39" t="s">
        <v>150</v>
      </c>
      <c r="I1" s="39" t="s">
        <v>151</v>
      </c>
      <c r="J1" s="39" t="s">
        <v>152</v>
      </c>
      <c r="K1" s="39" t="s">
        <v>153</v>
      </c>
      <c r="L1" s="39" t="s">
        <v>154</v>
      </c>
      <c r="M1" s="39" t="s">
        <v>155</v>
      </c>
      <c r="N1" s="39" t="s">
        <v>156</v>
      </c>
      <c r="O1" s="39" t="s">
        <v>157</v>
      </c>
      <c r="P1" s="39" t="s">
        <v>158</v>
      </c>
      <c r="Q1" s="39" t="s">
        <v>159</v>
      </c>
      <c r="R1" s="39" t="s">
        <v>160</v>
      </c>
      <c r="S1" s="39" t="s">
        <v>161</v>
      </c>
      <c r="T1" s="39" t="s">
        <v>162</v>
      </c>
      <c r="U1" s="39" t="s">
        <v>163</v>
      </c>
      <c r="V1" s="39" t="s">
        <v>164</v>
      </c>
      <c r="W1" s="39" t="s">
        <v>75</v>
      </c>
      <c r="X1" s="39" t="s">
        <v>165</v>
      </c>
      <c r="Y1" s="39" t="s">
        <v>166</v>
      </c>
      <c r="Z1" s="39" t="s">
        <v>167</v>
      </c>
      <c r="AA1" s="39" t="s">
        <v>168</v>
      </c>
      <c r="AB1" s="39" t="s">
        <v>169</v>
      </c>
      <c r="AC1" s="39" t="s">
        <v>170</v>
      </c>
      <c r="AD1" s="39" t="s">
        <v>171</v>
      </c>
      <c r="AE1" s="39" t="s">
        <v>172</v>
      </c>
      <c r="AF1" s="39" t="s">
        <v>173</v>
      </c>
      <c r="AG1" s="39" t="s">
        <v>174</v>
      </c>
      <c r="AH1" s="39" t="s">
        <v>175</v>
      </c>
      <c r="AI1" s="39" t="s">
        <v>176</v>
      </c>
      <c r="AJ1" s="39" t="s">
        <v>177</v>
      </c>
      <c r="AK1" s="39" t="s">
        <v>178</v>
      </c>
      <c r="AL1" s="39" t="s">
        <v>179</v>
      </c>
      <c r="AM1" s="39" t="s">
        <v>180</v>
      </c>
      <c r="AN1" s="39" t="s">
        <v>181</v>
      </c>
      <c r="AO1" s="39" t="s">
        <v>182</v>
      </c>
      <c r="AP1" s="39" t="s">
        <v>183</v>
      </c>
      <c r="AQ1" s="39" t="s">
        <v>184</v>
      </c>
      <c r="AR1" s="39" t="s">
        <v>185</v>
      </c>
      <c r="AS1" s="39" t="s">
        <v>186</v>
      </c>
      <c r="AT1" s="39" t="s">
        <v>187</v>
      </c>
      <c r="AU1" s="39" t="s">
        <v>188</v>
      </c>
      <c r="AV1" s="39" t="s">
        <v>189</v>
      </c>
      <c r="AW1" s="39" t="s">
        <v>190</v>
      </c>
      <c r="AX1" s="39" t="s">
        <v>191</v>
      </c>
      <c r="AY1" s="39" t="s">
        <v>192</v>
      </c>
      <c r="AZ1" s="39" t="s">
        <v>193</v>
      </c>
      <c r="BA1" s="39" t="s">
        <v>194</v>
      </c>
      <c r="BB1" s="39" t="s">
        <v>195</v>
      </c>
      <c r="BC1" s="39" t="s">
        <v>15</v>
      </c>
      <c r="BD1" s="39" t="s">
        <v>196</v>
      </c>
      <c r="BE1" s="39" t="s">
        <v>197</v>
      </c>
      <c r="BF1" s="39" t="s">
        <v>19</v>
      </c>
      <c r="BG1" s="39" t="s">
        <v>198</v>
      </c>
      <c r="BH1" s="39" t="s">
        <v>199</v>
      </c>
      <c r="BI1" s="39" t="s">
        <v>200</v>
      </c>
      <c r="BJ1" s="39" t="s">
        <v>201</v>
      </c>
      <c r="BK1" s="39" t="s">
        <v>202</v>
      </c>
      <c r="BL1" s="39" t="s">
        <v>203</v>
      </c>
      <c r="BM1" s="39" t="s">
        <v>204</v>
      </c>
      <c r="BN1" s="39" t="s">
        <v>205</v>
      </c>
      <c r="BO1" s="39" t="s">
        <v>206</v>
      </c>
      <c r="BP1" s="39" t="s">
        <v>207</v>
      </c>
      <c r="BQ1" s="39" t="s">
        <v>208</v>
      </c>
      <c r="BR1" s="39" t="s">
        <v>209</v>
      </c>
      <c r="BS1" s="39" t="s">
        <v>210</v>
      </c>
      <c r="BT1" s="39" t="s">
        <v>211</v>
      </c>
      <c r="BU1" s="39" t="s">
        <v>212</v>
      </c>
      <c r="BV1" s="39" t="s">
        <v>213</v>
      </c>
      <c r="BW1" s="39" t="s">
        <v>214</v>
      </c>
      <c r="BX1" s="39" t="s">
        <v>215</v>
      </c>
      <c r="BY1" s="39" t="s">
        <v>216</v>
      </c>
      <c r="BZ1" s="40" t="s">
        <v>217</v>
      </c>
    </row>
    <row r="2" spans="1:78" x14ac:dyDescent="0.35">
      <c r="A2" s="41" t="s">
        <v>218</v>
      </c>
      <c r="B2" s="42">
        <v>133526.27602620388</v>
      </c>
      <c r="C2" s="42">
        <v>90000</v>
      </c>
      <c r="D2" s="42">
        <v>100000</v>
      </c>
      <c r="E2" s="43">
        <v>80000</v>
      </c>
      <c r="F2" s="42">
        <v>90000</v>
      </c>
      <c r="G2" s="43">
        <v>100000</v>
      </c>
      <c r="H2" s="43">
        <v>100000</v>
      </c>
      <c r="I2" s="43">
        <v>100000</v>
      </c>
      <c r="J2" s="43">
        <v>100000</v>
      </c>
      <c r="K2" s="44"/>
      <c r="L2" s="42">
        <v>65000</v>
      </c>
      <c r="M2" s="42">
        <v>90000</v>
      </c>
      <c r="N2" s="43">
        <v>80000</v>
      </c>
      <c r="O2" s="42">
        <v>100000</v>
      </c>
      <c r="P2" s="42">
        <v>90000</v>
      </c>
      <c r="Q2" s="44"/>
      <c r="R2" s="42">
        <v>15000</v>
      </c>
      <c r="S2" s="43">
        <v>22000</v>
      </c>
      <c r="T2" s="44"/>
      <c r="U2" s="44"/>
      <c r="V2" s="44"/>
      <c r="W2" s="44"/>
      <c r="X2" s="44"/>
      <c r="Y2" s="43">
        <v>65000</v>
      </c>
      <c r="Z2" s="44"/>
      <c r="AA2" s="44"/>
      <c r="AB2" s="44"/>
      <c r="AC2" s="44"/>
      <c r="AD2" s="44"/>
      <c r="AE2" s="44"/>
      <c r="AF2" s="44"/>
      <c r="AG2" s="44"/>
      <c r="AH2" s="44"/>
      <c r="AI2" s="44"/>
      <c r="AJ2" s="44"/>
      <c r="AK2" s="43">
        <v>150000</v>
      </c>
      <c r="AL2" s="44"/>
      <c r="AM2" s="45"/>
      <c r="AN2" s="44"/>
      <c r="AO2" s="44"/>
      <c r="AP2" s="44"/>
      <c r="AQ2" s="44"/>
      <c r="AR2" s="46">
        <v>100000</v>
      </c>
      <c r="AS2" s="46">
        <v>100000</v>
      </c>
      <c r="AT2" s="47"/>
      <c r="AU2" s="44"/>
      <c r="AV2" s="44"/>
      <c r="AW2" s="44"/>
      <c r="AX2" s="44"/>
      <c r="AY2" s="44"/>
      <c r="AZ2" s="44"/>
      <c r="BA2" s="44"/>
      <c r="BB2" s="44"/>
      <c r="BC2" s="44"/>
      <c r="BD2" s="44"/>
      <c r="BE2" s="44"/>
      <c r="BF2" s="44"/>
      <c r="BG2" s="44"/>
      <c r="BH2" s="44"/>
      <c r="BI2" s="44"/>
      <c r="BJ2" s="44"/>
      <c r="BK2" s="44"/>
      <c r="BL2" s="45"/>
      <c r="BM2" s="44"/>
      <c r="BN2" s="48">
        <v>100000</v>
      </c>
      <c r="BO2" s="45"/>
      <c r="BP2" s="49">
        <v>90000</v>
      </c>
      <c r="BQ2" s="44"/>
      <c r="BR2" s="45"/>
      <c r="BS2" s="49">
        <v>80000</v>
      </c>
      <c r="BT2" s="44"/>
      <c r="BU2" s="44"/>
      <c r="BV2" s="44"/>
      <c r="BW2" s="44"/>
      <c r="BX2" s="44"/>
      <c r="BY2" s="44"/>
      <c r="BZ2" s="50"/>
    </row>
    <row r="3" spans="1:78" x14ac:dyDescent="0.35">
      <c r="A3" s="41" t="s">
        <v>219</v>
      </c>
      <c r="B3" s="43">
        <v>22500</v>
      </c>
      <c r="C3" s="43">
        <v>20000</v>
      </c>
      <c r="D3" s="43">
        <v>22500</v>
      </c>
      <c r="E3" s="43">
        <v>18000</v>
      </c>
      <c r="F3" s="43">
        <v>19000</v>
      </c>
      <c r="G3" s="43">
        <v>22500</v>
      </c>
      <c r="H3" s="43">
        <v>20000</v>
      </c>
      <c r="I3" s="43">
        <v>20000</v>
      </c>
      <c r="J3" s="43">
        <v>20000</v>
      </c>
      <c r="K3" s="44"/>
      <c r="L3" s="43">
        <v>15000</v>
      </c>
      <c r="M3" s="43">
        <v>20000</v>
      </c>
      <c r="N3" s="43">
        <v>18000</v>
      </c>
      <c r="O3" s="43">
        <v>20000</v>
      </c>
      <c r="P3" s="43">
        <v>19000</v>
      </c>
      <c r="Q3" s="44"/>
      <c r="R3" s="43">
        <v>3000</v>
      </c>
      <c r="S3" s="43">
        <v>20000</v>
      </c>
      <c r="T3" s="43">
        <v>20000</v>
      </c>
      <c r="U3" s="44">
        <v>20000</v>
      </c>
      <c r="V3" s="43">
        <v>22500</v>
      </c>
      <c r="W3" s="44">
        <v>20000</v>
      </c>
      <c r="X3" s="44">
        <v>20000</v>
      </c>
      <c r="Y3" s="43">
        <v>22500</v>
      </c>
      <c r="Z3" s="43">
        <v>20000</v>
      </c>
      <c r="AA3" s="43">
        <v>20000</v>
      </c>
      <c r="AB3" s="43">
        <v>20000</v>
      </c>
      <c r="AC3" s="43">
        <v>20000</v>
      </c>
      <c r="AD3" s="43">
        <v>20000</v>
      </c>
      <c r="AE3" s="43">
        <v>20000</v>
      </c>
      <c r="AF3" s="43">
        <v>20000</v>
      </c>
      <c r="AG3" s="44"/>
      <c r="AH3" s="44"/>
      <c r="AI3" s="44"/>
      <c r="AJ3" s="43">
        <v>20000</v>
      </c>
      <c r="AK3" s="44"/>
      <c r="AL3" s="43">
        <v>20000</v>
      </c>
      <c r="AM3" s="43">
        <v>20000</v>
      </c>
      <c r="AN3" s="43">
        <v>20000</v>
      </c>
      <c r="AO3" s="43">
        <v>30000</v>
      </c>
      <c r="AP3" s="44"/>
      <c r="AQ3" s="43">
        <v>30000</v>
      </c>
      <c r="AR3" s="43">
        <v>22500</v>
      </c>
      <c r="AS3" s="43">
        <v>20000</v>
      </c>
      <c r="AT3" s="43">
        <v>20000</v>
      </c>
      <c r="AU3" s="43">
        <v>20000</v>
      </c>
      <c r="AV3" s="44"/>
      <c r="AW3" s="43">
        <v>22500</v>
      </c>
      <c r="AX3" s="44"/>
      <c r="AY3" s="44"/>
      <c r="AZ3" s="44"/>
      <c r="BA3" s="44"/>
      <c r="BB3" s="44"/>
      <c r="BC3" s="44"/>
      <c r="BD3" s="44"/>
      <c r="BE3" s="44"/>
      <c r="BF3" s="44"/>
      <c r="BG3" s="44"/>
      <c r="BH3" s="44"/>
      <c r="BI3" s="43">
        <v>20000</v>
      </c>
      <c r="BJ3" s="44"/>
      <c r="BK3" s="43">
        <v>20000</v>
      </c>
      <c r="BL3" s="44"/>
      <c r="BM3" s="43"/>
      <c r="BN3" s="44"/>
      <c r="BO3" s="45"/>
      <c r="BP3" s="43">
        <v>19000</v>
      </c>
      <c r="BQ3" s="43">
        <v>20000</v>
      </c>
      <c r="BR3" s="45"/>
      <c r="BS3" s="43">
        <v>18000</v>
      </c>
      <c r="BT3" s="43">
        <v>20000</v>
      </c>
      <c r="BU3" s="44"/>
      <c r="BV3" s="44"/>
      <c r="BW3" s="44"/>
      <c r="BX3" s="44"/>
      <c r="BY3" s="44"/>
      <c r="BZ3" s="50"/>
    </row>
    <row r="4" spans="1:78" x14ac:dyDescent="0.35">
      <c r="A4" s="41" t="s">
        <v>220</v>
      </c>
      <c r="B4" s="43">
        <v>25</v>
      </c>
      <c r="C4" s="43">
        <v>25</v>
      </c>
      <c r="D4" s="43">
        <v>25</v>
      </c>
      <c r="E4" s="43">
        <v>20</v>
      </c>
      <c r="F4" s="43">
        <v>22</v>
      </c>
      <c r="G4" s="43">
        <v>25</v>
      </c>
      <c r="H4" s="43">
        <v>25</v>
      </c>
      <c r="I4" s="43">
        <v>25</v>
      </c>
      <c r="J4" s="43">
        <v>25</v>
      </c>
      <c r="K4" s="43">
        <v>25</v>
      </c>
      <c r="L4" s="43">
        <v>15</v>
      </c>
      <c r="M4" s="43">
        <v>25</v>
      </c>
      <c r="N4" s="43">
        <v>20</v>
      </c>
      <c r="O4" s="43">
        <v>25</v>
      </c>
      <c r="P4" s="43">
        <v>22</v>
      </c>
      <c r="Q4" s="43">
        <v>0.4</v>
      </c>
      <c r="R4" s="43">
        <v>4</v>
      </c>
      <c r="S4" s="43">
        <v>33</v>
      </c>
      <c r="T4" s="43">
        <v>25</v>
      </c>
      <c r="U4" s="44">
        <v>25</v>
      </c>
      <c r="V4" s="43">
        <v>25</v>
      </c>
      <c r="W4" s="44">
        <v>25</v>
      </c>
      <c r="X4" s="44">
        <v>25</v>
      </c>
      <c r="Y4" s="43">
        <v>22.5</v>
      </c>
      <c r="Z4" s="43">
        <v>17.5</v>
      </c>
      <c r="AA4" s="43">
        <v>17.5</v>
      </c>
      <c r="AB4" s="43">
        <v>25</v>
      </c>
      <c r="AC4" s="43">
        <v>15</v>
      </c>
      <c r="AD4" s="51">
        <v>17.684999999999999</v>
      </c>
      <c r="AE4" s="51">
        <v>20.889521999999999</v>
      </c>
      <c r="AF4" s="43">
        <v>17.5</v>
      </c>
      <c r="AG4" s="43">
        <v>25</v>
      </c>
      <c r="AH4" s="43">
        <v>17</v>
      </c>
      <c r="AI4" s="43">
        <v>17</v>
      </c>
      <c r="AJ4" s="43">
        <v>15</v>
      </c>
      <c r="AK4" s="43">
        <v>25</v>
      </c>
      <c r="AL4" s="43">
        <v>15</v>
      </c>
      <c r="AM4" s="43">
        <v>15</v>
      </c>
      <c r="AN4" s="43">
        <v>15</v>
      </c>
      <c r="AO4" s="43">
        <v>25</v>
      </c>
      <c r="AP4" s="43">
        <v>25</v>
      </c>
      <c r="AQ4" s="43">
        <v>25</v>
      </c>
      <c r="AR4" s="43">
        <v>25</v>
      </c>
      <c r="AS4" s="43">
        <v>25</v>
      </c>
      <c r="AT4" s="43">
        <v>25</v>
      </c>
      <c r="AU4" s="43">
        <v>24</v>
      </c>
      <c r="AV4" s="43">
        <v>25</v>
      </c>
      <c r="AW4" s="43">
        <v>25</v>
      </c>
      <c r="AX4" s="43">
        <v>25</v>
      </c>
      <c r="AY4" s="43">
        <v>25</v>
      </c>
      <c r="AZ4" s="43">
        <v>25</v>
      </c>
      <c r="BA4" s="43">
        <v>25</v>
      </c>
      <c r="BB4" s="43">
        <v>23</v>
      </c>
      <c r="BC4" s="43">
        <v>23</v>
      </c>
      <c r="BD4" s="43">
        <v>23</v>
      </c>
      <c r="BE4" s="43">
        <v>23</v>
      </c>
      <c r="BF4" s="43">
        <v>23</v>
      </c>
      <c r="BG4" s="43">
        <v>23</v>
      </c>
      <c r="BH4" s="43">
        <v>23</v>
      </c>
      <c r="BI4" s="43">
        <v>25</v>
      </c>
      <c r="BJ4" s="43">
        <v>25</v>
      </c>
      <c r="BK4" s="43">
        <v>20</v>
      </c>
      <c r="BL4" s="52">
        <v>23</v>
      </c>
      <c r="BM4" s="43">
        <v>21.75</v>
      </c>
      <c r="BN4" s="45"/>
      <c r="BO4" s="53">
        <v>23</v>
      </c>
      <c r="BP4" s="43">
        <v>22</v>
      </c>
      <c r="BQ4" s="48">
        <v>17.62</v>
      </c>
      <c r="BR4" s="53">
        <v>17.68</v>
      </c>
      <c r="BS4" s="43">
        <v>20</v>
      </c>
      <c r="BT4" s="43">
        <v>17.62</v>
      </c>
      <c r="BU4" s="43">
        <v>24</v>
      </c>
      <c r="BV4" s="43">
        <v>15</v>
      </c>
      <c r="BW4" s="43">
        <v>15</v>
      </c>
      <c r="BX4" s="43">
        <v>21</v>
      </c>
      <c r="BY4" s="43">
        <v>24</v>
      </c>
      <c r="BZ4" s="54">
        <v>17.5</v>
      </c>
    </row>
    <row r="5" spans="1:78" x14ac:dyDescent="0.35">
      <c r="A5" s="55" t="s">
        <v>221</v>
      </c>
      <c r="B5" s="56"/>
      <c r="C5" s="56"/>
      <c r="D5" s="56"/>
      <c r="E5" s="56"/>
      <c r="F5" s="56"/>
      <c r="G5" s="56"/>
      <c r="H5" s="56"/>
      <c r="I5" s="56"/>
      <c r="J5" s="56"/>
      <c r="K5" s="57">
        <v>8</v>
      </c>
      <c r="L5" s="56"/>
      <c r="M5" s="56"/>
      <c r="N5" s="56"/>
      <c r="O5" s="56"/>
      <c r="P5" s="56"/>
      <c r="Q5" s="57">
        <v>0.4</v>
      </c>
      <c r="R5" s="57">
        <v>1.28</v>
      </c>
      <c r="S5" s="57"/>
      <c r="T5" s="56"/>
      <c r="U5" s="56"/>
      <c r="V5" s="56"/>
      <c r="W5" s="56"/>
      <c r="X5" s="56"/>
      <c r="Y5" s="57">
        <v>8</v>
      </c>
      <c r="Z5" s="56"/>
      <c r="AA5" s="56"/>
      <c r="AB5" s="56"/>
      <c r="AC5" s="57">
        <v>8</v>
      </c>
      <c r="AD5" s="56"/>
      <c r="AE5" s="56"/>
      <c r="AF5" s="56"/>
      <c r="AG5" s="56"/>
      <c r="AH5" s="56"/>
      <c r="AI5" s="56"/>
      <c r="AJ5" s="57">
        <v>8</v>
      </c>
      <c r="AK5" s="57">
        <v>8</v>
      </c>
      <c r="AL5" s="57">
        <v>8</v>
      </c>
      <c r="AM5" s="57">
        <v>8</v>
      </c>
      <c r="AN5" s="57">
        <v>8</v>
      </c>
      <c r="AO5" s="56"/>
      <c r="AP5" s="56"/>
      <c r="AQ5" s="56"/>
      <c r="AR5" s="58"/>
      <c r="AS5" s="58"/>
      <c r="AT5" s="58"/>
      <c r="AU5" s="56"/>
      <c r="AV5" s="57">
        <v>8</v>
      </c>
      <c r="AW5" s="56"/>
      <c r="AX5" s="56"/>
      <c r="AY5" s="56"/>
      <c r="AZ5" s="57">
        <v>8</v>
      </c>
      <c r="BA5" s="57">
        <v>8</v>
      </c>
      <c r="BB5" s="57">
        <v>8</v>
      </c>
      <c r="BC5" s="57">
        <v>8</v>
      </c>
      <c r="BD5" s="57">
        <v>8</v>
      </c>
      <c r="BE5" s="57">
        <v>8</v>
      </c>
      <c r="BF5" s="57">
        <v>8</v>
      </c>
      <c r="BG5" s="57">
        <v>8</v>
      </c>
      <c r="BH5" s="57">
        <v>8</v>
      </c>
      <c r="BI5" s="56"/>
      <c r="BJ5" s="56"/>
      <c r="BK5" s="56">
        <v>5</v>
      </c>
      <c r="BL5" s="59">
        <v>8</v>
      </c>
      <c r="BM5" s="56"/>
      <c r="BN5" s="58"/>
      <c r="BO5" s="58"/>
      <c r="BP5" s="56"/>
      <c r="BQ5" s="56"/>
      <c r="BR5" s="58"/>
      <c r="BS5" s="56"/>
      <c r="BT5" s="56"/>
      <c r="BU5" s="56"/>
      <c r="BV5" s="56">
        <v>8</v>
      </c>
      <c r="BW5" s="56"/>
      <c r="BX5" s="56"/>
      <c r="BY5" s="56"/>
      <c r="BZ5" s="60"/>
    </row>
    <row r="10" spans="1:78" x14ac:dyDescent="0.35">
      <c r="A10" t="s">
        <v>33</v>
      </c>
      <c r="B10" s="61">
        <f>AC4</f>
        <v>15</v>
      </c>
    </row>
    <row r="11" spans="1:78" x14ac:dyDescent="0.35">
      <c r="A11" t="s">
        <v>2</v>
      </c>
      <c r="B11" s="61">
        <f>D4</f>
        <v>25</v>
      </c>
    </row>
    <row r="12" spans="1:78" x14ac:dyDescent="0.35">
      <c r="A12" t="s">
        <v>22</v>
      </c>
      <c r="B12" s="61">
        <f>Q4</f>
        <v>0.4</v>
      </c>
    </row>
    <row r="13" spans="1:78" x14ac:dyDescent="0.35">
      <c r="A13" t="s">
        <v>75</v>
      </c>
      <c r="B13" s="61">
        <f>W4</f>
        <v>25</v>
      </c>
    </row>
    <row r="14" spans="1:78" x14ac:dyDescent="0.35">
      <c r="A14" t="s">
        <v>283</v>
      </c>
      <c r="B14" s="61">
        <f>W4</f>
        <v>25</v>
      </c>
    </row>
    <row r="15" spans="1:78" x14ac:dyDescent="0.35">
      <c r="A15" t="s">
        <v>284</v>
      </c>
      <c r="B15" s="61">
        <f>W4</f>
        <v>25</v>
      </c>
    </row>
    <row r="16" spans="1:78" x14ac:dyDescent="0.35">
      <c r="A16" t="s">
        <v>13</v>
      </c>
      <c r="B16" s="61">
        <f>$Y$4</f>
        <v>22.5</v>
      </c>
    </row>
    <row r="17" spans="1:2" x14ac:dyDescent="0.35">
      <c r="A17" t="s">
        <v>14</v>
      </c>
      <c r="B17" s="61">
        <f t="shared" ref="B17:B37" si="0">$Y$4</f>
        <v>22.5</v>
      </c>
    </row>
    <row r="18" spans="1:2" x14ac:dyDescent="0.35">
      <c r="A18" t="s">
        <v>15</v>
      </c>
      <c r="B18" s="61">
        <f t="shared" si="0"/>
        <v>22.5</v>
      </c>
    </row>
    <row r="19" spans="1:2" x14ac:dyDescent="0.35">
      <c r="A19" t="s">
        <v>16</v>
      </c>
      <c r="B19" s="61">
        <f t="shared" si="0"/>
        <v>22.5</v>
      </c>
    </row>
    <row r="20" spans="1:2" x14ac:dyDescent="0.35">
      <c r="A20" t="s">
        <v>17</v>
      </c>
      <c r="B20" s="61">
        <f t="shared" si="0"/>
        <v>22.5</v>
      </c>
    </row>
    <row r="21" spans="1:2" x14ac:dyDescent="0.35">
      <c r="A21" t="s">
        <v>18</v>
      </c>
      <c r="B21" s="61">
        <f t="shared" si="0"/>
        <v>22.5</v>
      </c>
    </row>
    <row r="22" spans="1:2" x14ac:dyDescent="0.35">
      <c r="A22" t="s">
        <v>19</v>
      </c>
      <c r="B22" s="61">
        <f t="shared" si="0"/>
        <v>22.5</v>
      </c>
    </row>
    <row r="23" spans="1:2" x14ac:dyDescent="0.35">
      <c r="A23" t="s">
        <v>112</v>
      </c>
      <c r="B23" s="61">
        <f t="shared" si="0"/>
        <v>22.5</v>
      </c>
    </row>
    <row r="24" spans="1:2" x14ac:dyDescent="0.35">
      <c r="A24" t="s">
        <v>111</v>
      </c>
      <c r="B24" s="61">
        <f t="shared" si="0"/>
        <v>22.5</v>
      </c>
    </row>
    <row r="25" spans="1:2" x14ac:dyDescent="0.35">
      <c r="A25" t="s">
        <v>21</v>
      </c>
      <c r="B25" s="61">
        <f t="shared" si="0"/>
        <v>22.5</v>
      </c>
    </row>
    <row r="26" spans="1:2" x14ac:dyDescent="0.35">
      <c r="A26" t="s">
        <v>37</v>
      </c>
      <c r="B26" s="61">
        <f t="shared" si="0"/>
        <v>22.5</v>
      </c>
    </row>
    <row r="27" spans="1:2" x14ac:dyDescent="0.35">
      <c r="A27" t="s">
        <v>23</v>
      </c>
      <c r="B27" s="61">
        <f t="shared" si="0"/>
        <v>22.5</v>
      </c>
    </row>
    <row r="28" spans="1:2" x14ac:dyDescent="0.35">
      <c r="A28" t="s">
        <v>25</v>
      </c>
      <c r="B28" s="61">
        <f t="shared" si="0"/>
        <v>22.5</v>
      </c>
    </row>
    <row r="29" spans="1:2" x14ac:dyDescent="0.35">
      <c r="A29" t="s">
        <v>26</v>
      </c>
      <c r="B29" s="61">
        <f t="shared" si="0"/>
        <v>22.5</v>
      </c>
    </row>
    <row r="30" spans="1:2" x14ac:dyDescent="0.35">
      <c r="A30" t="s">
        <v>30</v>
      </c>
      <c r="B30" s="61">
        <f t="shared" si="0"/>
        <v>22.5</v>
      </c>
    </row>
    <row r="31" spans="1:2" x14ac:dyDescent="0.35">
      <c r="A31" t="s">
        <v>21</v>
      </c>
      <c r="B31" s="61">
        <f t="shared" si="0"/>
        <v>22.5</v>
      </c>
    </row>
    <row r="32" spans="1:2" x14ac:dyDescent="0.35">
      <c r="A32" t="s">
        <v>20</v>
      </c>
      <c r="B32" s="61">
        <f t="shared" si="0"/>
        <v>22.5</v>
      </c>
    </row>
    <row r="33" spans="1:2" x14ac:dyDescent="0.35">
      <c r="A33" t="s">
        <v>37</v>
      </c>
      <c r="B33" s="61">
        <f t="shared" si="0"/>
        <v>22.5</v>
      </c>
    </row>
    <row r="34" spans="1:2" x14ac:dyDescent="0.35">
      <c r="A34" t="s">
        <v>25</v>
      </c>
      <c r="B34" s="61">
        <f t="shared" si="0"/>
        <v>22.5</v>
      </c>
    </row>
    <row r="35" spans="1:2" x14ac:dyDescent="0.35">
      <c r="A35" t="s">
        <v>244</v>
      </c>
      <c r="B35" s="61">
        <v>23</v>
      </c>
    </row>
    <row r="36" spans="1:2" x14ac:dyDescent="0.35">
      <c r="A36" t="s">
        <v>250</v>
      </c>
      <c r="B36" s="61">
        <v>23</v>
      </c>
    </row>
    <row r="37" spans="1:2" x14ac:dyDescent="0.35">
      <c r="A37" t="s">
        <v>53</v>
      </c>
      <c r="B37" s="61">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5"/>
  <sheetViews>
    <sheetView workbookViewId="0">
      <selection activeCell="B1" sqref="B1:B2"/>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3" t="s">
        <v>39</v>
      </c>
      <c r="B1" s="3" t="s">
        <v>235</v>
      </c>
      <c r="C1" s="3" t="s">
        <v>251</v>
      </c>
      <c r="D1" s="3" t="s">
        <v>3</v>
      </c>
      <c r="E1" s="3" t="s">
        <v>38</v>
      </c>
      <c r="F1" s="3" t="s">
        <v>29</v>
      </c>
      <c r="G1" s="3" t="s">
        <v>34</v>
      </c>
      <c r="H1" s="3" t="s">
        <v>222</v>
      </c>
      <c r="I1" s="3" t="s">
        <v>252</v>
      </c>
    </row>
    <row r="2" spans="1:9" x14ac:dyDescent="0.35">
      <c r="A2" s="1" t="s">
        <v>33</v>
      </c>
      <c r="B2" s="1" t="s">
        <v>236</v>
      </c>
      <c r="C2" s="1" t="s">
        <v>2</v>
      </c>
      <c r="D2" s="1" t="s">
        <v>3</v>
      </c>
      <c r="E2" t="s">
        <v>285</v>
      </c>
      <c r="F2" t="s">
        <v>29</v>
      </c>
      <c r="G2" t="s">
        <v>33</v>
      </c>
      <c r="H2" t="s">
        <v>244</v>
      </c>
      <c r="I2" t="s">
        <v>223</v>
      </c>
    </row>
    <row r="3" spans="1:9" x14ac:dyDescent="0.35">
      <c r="C3" s="2" t="s">
        <v>24</v>
      </c>
      <c r="E3" s="69" t="s">
        <v>14</v>
      </c>
      <c r="G3" t="s">
        <v>250</v>
      </c>
      <c r="H3" t="s">
        <v>250</v>
      </c>
      <c r="I3" t="s">
        <v>224</v>
      </c>
    </row>
    <row r="4" spans="1:9" x14ac:dyDescent="0.35">
      <c r="C4" s="2" t="s">
        <v>22</v>
      </c>
      <c r="D4" s="2"/>
      <c r="E4" s="69" t="s">
        <v>53</v>
      </c>
      <c r="G4" t="s">
        <v>244</v>
      </c>
      <c r="I4" t="s">
        <v>225</v>
      </c>
    </row>
    <row r="5" spans="1:9" x14ac:dyDescent="0.35">
      <c r="C5" t="s">
        <v>75</v>
      </c>
      <c r="D5" s="2"/>
      <c r="E5" s="69" t="s">
        <v>37</v>
      </c>
      <c r="I5" t="s">
        <v>226</v>
      </c>
    </row>
    <row r="6" spans="1:9" x14ac:dyDescent="0.35">
      <c r="C6" t="s">
        <v>283</v>
      </c>
      <c r="E6" s="69" t="s">
        <v>13</v>
      </c>
      <c r="I6" t="s">
        <v>227</v>
      </c>
    </row>
    <row r="7" spans="1:9" x14ac:dyDescent="0.35">
      <c r="C7" t="s">
        <v>284</v>
      </c>
      <c r="E7" s="69" t="s">
        <v>240</v>
      </c>
      <c r="I7" t="s">
        <v>228</v>
      </c>
    </row>
    <row r="8" spans="1:9" x14ac:dyDescent="0.35">
      <c r="E8" s="69" t="s">
        <v>25</v>
      </c>
      <c r="I8" t="s">
        <v>229</v>
      </c>
    </row>
    <row r="9" spans="1:9" x14ac:dyDescent="0.35">
      <c r="E9" s="69" t="s">
        <v>286</v>
      </c>
      <c r="I9" t="s">
        <v>230</v>
      </c>
    </row>
    <row r="10" spans="1:9" x14ac:dyDescent="0.35">
      <c r="E10" s="69" t="s">
        <v>15</v>
      </c>
      <c r="I10" t="s">
        <v>231</v>
      </c>
    </row>
    <row r="11" spans="1:9" x14ac:dyDescent="0.35">
      <c r="E11" s="69" t="s">
        <v>16</v>
      </c>
      <c r="I11" t="s">
        <v>232</v>
      </c>
    </row>
    <row r="12" spans="1:9" x14ac:dyDescent="0.35">
      <c r="E12" s="69" t="s">
        <v>23</v>
      </c>
      <c r="I12" t="s">
        <v>233</v>
      </c>
    </row>
    <row r="13" spans="1:9" x14ac:dyDescent="0.35">
      <c r="E13" t="s">
        <v>18</v>
      </c>
      <c r="I13" t="s">
        <v>234</v>
      </c>
    </row>
    <row r="14" spans="1:9" x14ac:dyDescent="0.35">
      <c r="E14" t="s">
        <v>19</v>
      </c>
    </row>
    <row r="15" spans="1:9" x14ac:dyDescent="0.35">
      <c r="E15" s="69" t="s">
        <v>112</v>
      </c>
    </row>
    <row r="16" spans="1:9" x14ac:dyDescent="0.35">
      <c r="E16" s="69" t="s">
        <v>239</v>
      </c>
    </row>
    <row r="17" spans="5:5" x14ac:dyDescent="0.35">
      <c r="E17" s="69" t="s">
        <v>243</v>
      </c>
    </row>
    <row r="18" spans="5:5" x14ac:dyDescent="0.35">
      <c r="E18" s="69" t="s">
        <v>241</v>
      </c>
    </row>
    <row r="19" spans="5:5" x14ac:dyDescent="0.35">
      <c r="E19" s="69" t="s">
        <v>238</v>
      </c>
    </row>
    <row r="20" spans="5:5" x14ac:dyDescent="0.35">
      <c r="E20" s="69" t="s">
        <v>242</v>
      </c>
    </row>
    <row r="21" spans="5:5" x14ac:dyDescent="0.35">
      <c r="E21" s="69" t="s">
        <v>50</v>
      </c>
    </row>
    <row r="22" spans="5:5" x14ac:dyDescent="0.35">
      <c r="E22" s="69" t="s">
        <v>287</v>
      </c>
    </row>
    <row r="23" spans="5:5" x14ac:dyDescent="0.35">
      <c r="E23" s="69" t="s">
        <v>21</v>
      </c>
    </row>
    <row r="24" spans="5:5" x14ac:dyDescent="0.35">
      <c r="E24" s="69" t="s">
        <v>111</v>
      </c>
    </row>
    <row r="25" spans="5:5" x14ac:dyDescent="0.35">
      <c r="E25" s="69"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3"/>
  <sheetViews>
    <sheetView topLeftCell="A2" workbookViewId="0">
      <selection activeCell="H8" sqref="H8"/>
    </sheetView>
  </sheetViews>
  <sheetFormatPr defaultRowHeight="14.5" x14ac:dyDescent="0.35"/>
  <cols>
    <col min="1" max="1" width="21.1796875" bestFit="1" customWidth="1"/>
    <col min="2" max="2" width="26.1796875" style="6" customWidth="1"/>
    <col min="3" max="3" width="38.7265625" style="6" bestFit="1" customWidth="1"/>
    <col min="4" max="4" width="38.7265625" style="6" customWidth="1"/>
    <col min="5" max="5" width="16.7265625" style="7"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6" t="s">
        <v>94</v>
      </c>
      <c r="C1" s="6" t="s">
        <v>95</v>
      </c>
      <c r="D1" s="6" t="s">
        <v>96</v>
      </c>
      <c r="E1" s="7" t="s">
        <v>97</v>
      </c>
      <c r="F1" t="s">
        <v>98</v>
      </c>
      <c r="G1" t="s">
        <v>99</v>
      </c>
      <c r="H1" t="s">
        <v>100</v>
      </c>
      <c r="I1" t="s">
        <v>101</v>
      </c>
      <c r="J1" t="s">
        <v>102</v>
      </c>
      <c r="K1" t="s">
        <v>103</v>
      </c>
      <c r="L1" t="s">
        <v>104</v>
      </c>
      <c r="M1" t="s">
        <v>105</v>
      </c>
      <c r="N1" t="s">
        <v>106</v>
      </c>
    </row>
    <row r="2" spans="1:14" x14ac:dyDescent="0.35">
      <c r="A2" t="s">
        <v>39</v>
      </c>
      <c r="B2" s="6" t="s">
        <v>92</v>
      </c>
    </row>
    <row r="3" spans="1:14" ht="38.5" x14ac:dyDescent="0.35">
      <c r="A3" t="s">
        <v>251</v>
      </c>
      <c r="B3" s="6" t="s">
        <v>2</v>
      </c>
      <c r="C3" s="5" t="s">
        <v>40</v>
      </c>
      <c r="D3" s="5" t="s">
        <v>41</v>
      </c>
      <c r="E3" s="5" t="s">
        <v>9</v>
      </c>
      <c r="F3" s="5" t="s">
        <v>42</v>
      </c>
      <c r="G3" s="5" t="s">
        <v>12</v>
      </c>
      <c r="H3" s="6" t="s">
        <v>87</v>
      </c>
      <c r="I3" s="6"/>
      <c r="J3" s="6"/>
      <c r="K3" s="6"/>
      <c r="L3" s="6"/>
      <c r="M3" s="6"/>
      <c r="N3" s="6"/>
    </row>
    <row r="4" spans="1:14" x14ac:dyDescent="0.35">
      <c r="B4" s="6" t="s">
        <v>24</v>
      </c>
      <c r="C4" s="8" t="s">
        <v>31</v>
      </c>
      <c r="D4" s="8" t="s">
        <v>43</v>
      </c>
      <c r="E4" s="8" t="s">
        <v>44</v>
      </c>
      <c r="F4" s="8" t="s">
        <v>45</v>
      </c>
      <c r="G4" s="8" t="s">
        <v>46</v>
      </c>
      <c r="H4" s="8" t="s">
        <v>9</v>
      </c>
      <c r="I4" s="8" t="s">
        <v>47</v>
      </c>
      <c r="J4" s="8" t="s">
        <v>48</v>
      </c>
      <c r="K4" s="8" t="s">
        <v>49</v>
      </c>
      <c r="L4" s="6" t="s">
        <v>237</v>
      </c>
      <c r="M4" s="6"/>
      <c r="N4" s="6"/>
    </row>
    <row r="5" spans="1:14" x14ac:dyDescent="0.35">
      <c r="B5" s="6" t="s">
        <v>22</v>
      </c>
      <c r="C5" s="8"/>
      <c r="D5" s="8"/>
      <c r="E5" s="8"/>
      <c r="F5" s="8"/>
      <c r="G5" s="8"/>
      <c r="H5" s="8"/>
      <c r="I5" s="8"/>
      <c r="J5" s="8"/>
      <c r="K5" s="8"/>
      <c r="L5" s="6"/>
      <c r="M5" s="6"/>
      <c r="N5" s="6"/>
    </row>
    <row r="6" spans="1:14" x14ac:dyDescent="0.35">
      <c r="B6" s="4" t="s">
        <v>75</v>
      </c>
      <c r="C6" s="8" t="s">
        <v>249</v>
      </c>
      <c r="D6" s="8" t="s">
        <v>87</v>
      </c>
      <c r="E6" s="8" t="s">
        <v>248</v>
      </c>
      <c r="F6" s="8"/>
      <c r="G6" s="8"/>
      <c r="H6" s="8"/>
      <c r="I6" s="8"/>
      <c r="J6" s="8"/>
      <c r="K6" s="8"/>
      <c r="L6" s="6"/>
      <c r="M6" s="6"/>
      <c r="N6" s="6"/>
    </row>
    <row r="7" spans="1:14" x14ac:dyDescent="0.35">
      <c r="B7" s="4" t="s">
        <v>283</v>
      </c>
      <c r="C7" s="8" t="s">
        <v>249</v>
      </c>
      <c r="D7" s="8" t="s">
        <v>87</v>
      </c>
      <c r="E7" s="8" t="s">
        <v>248</v>
      </c>
      <c r="F7" s="8"/>
      <c r="G7" s="8"/>
      <c r="H7" s="8"/>
      <c r="I7" s="8"/>
      <c r="J7" s="8"/>
      <c r="K7" s="8"/>
      <c r="L7" s="6"/>
      <c r="M7" s="6"/>
      <c r="N7" s="6"/>
    </row>
    <row r="8" spans="1:14" x14ac:dyDescent="0.35">
      <c r="B8" s="4" t="s">
        <v>284</v>
      </c>
      <c r="C8" s="8" t="s">
        <v>249</v>
      </c>
      <c r="D8" s="8" t="s">
        <v>87</v>
      </c>
      <c r="E8" s="8" t="s">
        <v>248</v>
      </c>
      <c r="F8" s="8"/>
      <c r="G8" s="8"/>
      <c r="H8" s="8"/>
      <c r="I8" s="8"/>
      <c r="J8" s="8"/>
      <c r="K8" s="8"/>
      <c r="L8" s="6"/>
      <c r="M8" s="6"/>
      <c r="N8" s="6"/>
    </row>
    <row r="9" spans="1:14" x14ac:dyDescent="0.35">
      <c r="A9" t="s">
        <v>3</v>
      </c>
      <c r="B9" s="6" t="s">
        <v>3</v>
      </c>
      <c r="C9" s="8" t="s">
        <v>10</v>
      </c>
      <c r="D9" s="8" t="s">
        <v>76</v>
      </c>
      <c r="E9" s="8" t="s">
        <v>77</v>
      </c>
      <c r="F9" s="8" t="s">
        <v>78</v>
      </c>
      <c r="G9" s="8" t="s">
        <v>79</v>
      </c>
      <c r="H9" s="8" t="s">
        <v>80</v>
      </c>
      <c r="I9" s="8" t="s">
        <v>81</v>
      </c>
      <c r="J9" s="8" t="s">
        <v>82</v>
      </c>
      <c r="K9" s="8" t="s">
        <v>83</v>
      </c>
      <c r="L9" s="6" t="s">
        <v>84</v>
      </c>
      <c r="M9" s="6" t="s">
        <v>85</v>
      </c>
      <c r="N9" s="6" t="s">
        <v>86</v>
      </c>
    </row>
    <row r="10" spans="1:14" x14ac:dyDescent="0.35">
      <c r="A10" t="s">
        <v>38</v>
      </c>
      <c r="B10" s="7" t="s">
        <v>50</v>
      </c>
      <c r="C10" s="7" t="s">
        <v>32</v>
      </c>
      <c r="D10" s="7"/>
      <c r="F10" s="7"/>
      <c r="G10" s="7"/>
      <c r="H10" s="7"/>
      <c r="I10" s="7"/>
      <c r="J10" s="7"/>
      <c r="K10" s="7"/>
      <c r="L10" s="7"/>
      <c r="M10" s="7"/>
      <c r="N10" s="7"/>
    </row>
    <row r="11" spans="1:14" x14ac:dyDescent="0.35">
      <c r="B11" t="s">
        <v>51</v>
      </c>
      <c r="C11" t="s">
        <v>54</v>
      </c>
      <c r="D11"/>
      <c r="E11"/>
    </row>
    <row r="12" spans="1:14" x14ac:dyDescent="0.35">
      <c r="B12" t="s">
        <v>52</v>
      </c>
      <c r="C12" t="s">
        <v>55</v>
      </c>
      <c r="D12"/>
      <c r="E12"/>
    </row>
    <row r="13" spans="1:14" x14ac:dyDescent="0.35">
      <c r="B13" s="6" t="s">
        <v>13</v>
      </c>
    </row>
    <row r="14" spans="1:14" x14ac:dyDescent="0.35">
      <c r="B14" s="6" t="s">
        <v>14</v>
      </c>
    </row>
    <row r="15" spans="1:14" x14ac:dyDescent="0.35">
      <c r="B15" s="6" t="s">
        <v>15</v>
      </c>
    </row>
    <row r="16" spans="1:14" x14ac:dyDescent="0.35">
      <c r="B16" s="6" t="s">
        <v>16</v>
      </c>
    </row>
    <row r="17" spans="2:3" x14ac:dyDescent="0.35">
      <c r="B17" s="6" t="s">
        <v>17</v>
      </c>
    </row>
    <row r="18" spans="2:3" x14ac:dyDescent="0.35">
      <c r="B18" s="6" t="s">
        <v>18</v>
      </c>
    </row>
    <row r="19" spans="2:3" x14ac:dyDescent="0.35">
      <c r="B19" s="6" t="s">
        <v>19</v>
      </c>
    </row>
    <row r="20" spans="2:3" x14ac:dyDescent="0.35">
      <c r="B20" s="6" t="s">
        <v>20</v>
      </c>
    </row>
    <row r="21" spans="2:3" x14ac:dyDescent="0.35">
      <c r="B21" s="6" t="s">
        <v>21</v>
      </c>
    </row>
    <row r="22" spans="2:3" x14ac:dyDescent="0.35">
      <c r="B22" s="6" t="s">
        <v>111</v>
      </c>
    </row>
    <row r="23" spans="2:3" x14ac:dyDescent="0.35">
      <c r="B23" s="6" t="s">
        <v>37</v>
      </c>
    </row>
    <row r="24" spans="2:3" x14ac:dyDescent="0.35">
      <c r="B24" s="6" t="s">
        <v>23</v>
      </c>
    </row>
    <row r="25" spans="2:3" x14ac:dyDescent="0.35">
      <c r="B25" s="6" t="s">
        <v>25</v>
      </c>
    </row>
    <row r="26" spans="2:3" x14ac:dyDescent="0.35">
      <c r="B26" s="6" t="s">
        <v>30</v>
      </c>
    </row>
    <row r="27" spans="2:3" x14ac:dyDescent="0.35">
      <c r="B27" t="s">
        <v>21</v>
      </c>
    </row>
    <row r="28" spans="2:3" x14ac:dyDescent="0.35">
      <c r="B28" t="s">
        <v>20</v>
      </c>
    </row>
    <row r="29" spans="2:3" x14ac:dyDescent="0.35">
      <c r="B29" t="s">
        <v>37</v>
      </c>
    </row>
    <row r="30" spans="2:3" x14ac:dyDescent="0.35">
      <c r="B30" t="s">
        <v>25</v>
      </c>
    </row>
    <row r="31" spans="2:3" x14ac:dyDescent="0.35">
      <c r="B31" s="1" t="s">
        <v>53</v>
      </c>
      <c r="C31" t="s">
        <v>55</v>
      </c>
    </row>
    <row r="32" spans="2:3" x14ac:dyDescent="0.35">
      <c r="B32" t="s">
        <v>238</v>
      </c>
    </row>
    <row r="33" spans="1:2" x14ac:dyDescent="0.35">
      <c r="B33" t="s">
        <v>239</v>
      </c>
    </row>
    <row r="34" spans="1:2" x14ac:dyDescent="0.35">
      <c r="B34" s="62" t="s">
        <v>240</v>
      </c>
    </row>
    <row r="35" spans="1:2" x14ac:dyDescent="0.35">
      <c r="B35" s="62" t="s">
        <v>241</v>
      </c>
    </row>
    <row r="36" spans="1:2" x14ac:dyDescent="0.35">
      <c r="B36" s="62" t="s">
        <v>242</v>
      </c>
    </row>
    <row r="37" spans="1:2" x14ac:dyDescent="0.35">
      <c r="B37" s="62" t="s">
        <v>243</v>
      </c>
    </row>
    <row r="38" spans="1:2" x14ac:dyDescent="0.35">
      <c r="A38" s="3" t="s">
        <v>235</v>
      </c>
      <c r="B38" s="1" t="s">
        <v>236</v>
      </c>
    </row>
    <row r="39" spans="1:2" x14ac:dyDescent="0.35">
      <c r="A39" s="3" t="s">
        <v>252</v>
      </c>
      <c r="B39" t="s">
        <v>223</v>
      </c>
    </row>
    <row r="40" spans="1:2" x14ac:dyDescent="0.35">
      <c r="B40" t="s">
        <v>224</v>
      </c>
    </row>
    <row r="41" spans="1:2" x14ac:dyDescent="0.35">
      <c r="B41" t="s">
        <v>225</v>
      </c>
    </row>
    <row r="42" spans="1:2" x14ac:dyDescent="0.35">
      <c r="B42" t="s">
        <v>226</v>
      </c>
    </row>
    <row r="43" spans="1:2" x14ac:dyDescent="0.35">
      <c r="B43" t="s">
        <v>227</v>
      </c>
    </row>
    <row r="44" spans="1:2" x14ac:dyDescent="0.35">
      <c r="B44" t="s">
        <v>228</v>
      </c>
    </row>
    <row r="45" spans="1:2" x14ac:dyDescent="0.35">
      <c r="B45" t="s">
        <v>229</v>
      </c>
    </row>
    <row r="46" spans="1:2" x14ac:dyDescent="0.35">
      <c r="B46" t="s">
        <v>230</v>
      </c>
    </row>
    <row r="47" spans="1:2" x14ac:dyDescent="0.35">
      <c r="B47" t="s">
        <v>231</v>
      </c>
    </row>
    <row r="48" spans="1:2" x14ac:dyDescent="0.35">
      <c r="B48" t="s">
        <v>232</v>
      </c>
    </row>
    <row r="49" spans="1:2" x14ac:dyDescent="0.35">
      <c r="B49" t="s">
        <v>233</v>
      </c>
    </row>
    <row r="50" spans="1:2" x14ac:dyDescent="0.35">
      <c r="B50" t="s">
        <v>234</v>
      </c>
    </row>
    <row r="51" spans="1:2" x14ac:dyDescent="0.35">
      <c r="A51" s="3" t="s">
        <v>222</v>
      </c>
      <c r="B51" t="s">
        <v>244</v>
      </c>
    </row>
    <row r="52" spans="1:2" x14ac:dyDescent="0.35">
      <c r="A52" s="3"/>
      <c r="B52" t="s">
        <v>250</v>
      </c>
    </row>
    <row r="53" spans="1:2" x14ac:dyDescent="0.35">
      <c r="A53" s="3" t="s">
        <v>29</v>
      </c>
      <c r="B53"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4"/>
  <sheetViews>
    <sheetView topLeftCell="A17" workbookViewId="0">
      <selection activeCell="H8" sqref="H8"/>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4" t="s">
        <v>94</v>
      </c>
      <c r="C1" s="4" t="s">
        <v>95</v>
      </c>
      <c r="D1" s="4" t="s">
        <v>96</v>
      </c>
      <c r="E1" s="4" t="s">
        <v>97</v>
      </c>
      <c r="F1" s="4" t="s">
        <v>98</v>
      </c>
      <c r="G1" s="4" t="s">
        <v>99</v>
      </c>
      <c r="H1" s="4" t="s">
        <v>100</v>
      </c>
      <c r="I1" s="4" t="s">
        <v>101</v>
      </c>
      <c r="J1" s="4" t="s">
        <v>102</v>
      </c>
      <c r="K1" s="4" t="s">
        <v>103</v>
      </c>
      <c r="L1" s="4" t="s">
        <v>104</v>
      </c>
      <c r="M1" s="4" t="s">
        <v>105</v>
      </c>
      <c r="N1" s="6" t="s">
        <v>106</v>
      </c>
      <c r="O1" s="6" t="s">
        <v>107</v>
      </c>
      <c r="P1" s="6" t="s">
        <v>108</v>
      </c>
      <c r="Q1" s="6" t="s">
        <v>109</v>
      </c>
      <c r="R1" s="6" t="s">
        <v>110</v>
      </c>
      <c r="S1" s="4"/>
    </row>
    <row r="2" spans="1:19" x14ac:dyDescent="0.35">
      <c r="A2" t="s">
        <v>56</v>
      </c>
      <c r="B2" s="4" t="s">
        <v>73</v>
      </c>
      <c r="C2" s="4" t="s">
        <v>74</v>
      </c>
      <c r="D2" s="4" t="s">
        <v>72</v>
      </c>
      <c r="E2" s="4" t="s">
        <v>68</v>
      </c>
      <c r="F2" s="4" t="s">
        <v>69</v>
      </c>
      <c r="G2" s="4" t="s">
        <v>70</v>
      </c>
      <c r="H2" s="4" t="s">
        <v>71</v>
      </c>
      <c r="I2" s="19" t="s">
        <v>62</v>
      </c>
      <c r="J2" s="19" t="s">
        <v>63</v>
      </c>
      <c r="K2" s="19" t="s">
        <v>27</v>
      </c>
      <c r="L2" s="19" t="s">
        <v>11</v>
      </c>
      <c r="M2" s="4" t="s">
        <v>253</v>
      </c>
      <c r="N2" s="6" t="s">
        <v>28</v>
      </c>
      <c r="O2" s="6" t="s">
        <v>67</v>
      </c>
      <c r="P2" s="6" t="s">
        <v>66</v>
      </c>
      <c r="Q2" s="6" t="s">
        <v>65</v>
      </c>
      <c r="R2" s="6" t="s">
        <v>64</v>
      </c>
    </row>
    <row r="3" spans="1:19" x14ac:dyDescent="0.35">
      <c r="A3" t="s">
        <v>57</v>
      </c>
      <c r="B3" s="19" t="s">
        <v>62</v>
      </c>
      <c r="C3" s="19" t="s">
        <v>63</v>
      </c>
      <c r="D3" s="19" t="s">
        <v>27</v>
      </c>
      <c r="E3" s="19" t="s">
        <v>11</v>
      </c>
      <c r="F3" s="4" t="s">
        <v>253</v>
      </c>
      <c r="G3" s="4" t="s">
        <v>28</v>
      </c>
      <c r="H3" s="4" t="s">
        <v>67</v>
      </c>
      <c r="I3" s="4" t="s">
        <v>66</v>
      </c>
      <c r="J3" s="4" t="s">
        <v>65</v>
      </c>
      <c r="K3" s="4" t="s">
        <v>64</v>
      </c>
      <c r="L3" s="4"/>
    </row>
    <row r="4" spans="1:19" x14ac:dyDescent="0.35">
      <c r="A4" t="s">
        <v>58</v>
      </c>
      <c r="B4" s="4" t="s">
        <v>73</v>
      </c>
      <c r="C4" s="4" t="s">
        <v>74</v>
      </c>
      <c r="D4" s="4" t="s">
        <v>72</v>
      </c>
      <c r="E4" s="4" t="s">
        <v>68</v>
      </c>
      <c r="F4" s="4" t="s">
        <v>69</v>
      </c>
      <c r="G4" s="4" t="s">
        <v>70</v>
      </c>
      <c r="H4" s="4" t="s">
        <v>71</v>
      </c>
      <c r="I4" s="19" t="s">
        <v>62</v>
      </c>
      <c r="J4" s="19" t="s">
        <v>63</v>
      </c>
      <c r="K4" s="19" t="s">
        <v>27</v>
      </c>
      <c r="L4" s="19" t="s">
        <v>11</v>
      </c>
      <c r="M4" s="4" t="s">
        <v>253</v>
      </c>
      <c r="N4" s="4"/>
    </row>
    <row r="5" spans="1:19" x14ac:dyDescent="0.35">
      <c r="A5" t="s">
        <v>59</v>
      </c>
      <c r="B5" s="4" t="s">
        <v>73</v>
      </c>
      <c r="C5" s="4" t="s">
        <v>74</v>
      </c>
      <c r="D5" s="4" t="s">
        <v>72</v>
      </c>
      <c r="E5" s="4" t="s">
        <v>68</v>
      </c>
      <c r="F5" s="4" t="s">
        <v>69</v>
      </c>
      <c r="G5" s="4" t="s">
        <v>70</v>
      </c>
      <c r="H5" s="4" t="s">
        <v>71</v>
      </c>
      <c r="I5" s="4" t="s">
        <v>28</v>
      </c>
      <c r="J5" s="4" t="s">
        <v>67</v>
      </c>
      <c r="K5" s="4" t="s">
        <v>66</v>
      </c>
      <c r="L5" s="4" t="s">
        <v>65</v>
      </c>
      <c r="M5" s="4" t="s">
        <v>64</v>
      </c>
      <c r="N5" s="4"/>
    </row>
    <row r="6" spans="1:19" x14ac:dyDescent="0.35">
      <c r="A6" t="s">
        <v>60</v>
      </c>
      <c r="B6" s="19" t="s">
        <v>62</v>
      </c>
      <c r="C6" s="19" t="s">
        <v>63</v>
      </c>
      <c r="D6" s="19" t="s">
        <v>27</v>
      </c>
      <c r="E6" s="19" t="s">
        <v>11</v>
      </c>
      <c r="F6" s="4" t="s">
        <v>253</v>
      </c>
    </row>
    <row r="7" spans="1:19" x14ac:dyDescent="0.35">
      <c r="A7" t="s">
        <v>61</v>
      </c>
      <c r="B7" s="4" t="s">
        <v>28</v>
      </c>
      <c r="C7" s="4" t="s">
        <v>67</v>
      </c>
      <c r="D7" s="4" t="s">
        <v>66</v>
      </c>
      <c r="E7" s="4" t="s">
        <v>65</v>
      </c>
      <c r="F7" s="4" t="s">
        <v>64</v>
      </c>
    </row>
    <row r="8" spans="1:19" x14ac:dyDescent="0.35">
      <c r="A8" t="s">
        <v>3</v>
      </c>
      <c r="B8" s="4" t="s">
        <v>72</v>
      </c>
      <c r="C8" s="4" t="s">
        <v>73</v>
      </c>
      <c r="D8" s="4" t="s">
        <v>74</v>
      </c>
      <c r="E8" s="4" t="s">
        <v>71</v>
      </c>
      <c r="F8" s="4" t="s">
        <v>68</v>
      </c>
      <c r="G8" s="4" t="s">
        <v>69</v>
      </c>
      <c r="H8" s="4" t="s">
        <v>70</v>
      </c>
      <c r="I8" s="4"/>
      <c r="J8" s="4"/>
      <c r="K8" s="4"/>
    </row>
    <row r="9" spans="1:19" x14ac:dyDescent="0.35">
      <c r="A9" t="s">
        <v>34</v>
      </c>
      <c r="B9" s="4" t="s">
        <v>35</v>
      </c>
      <c r="C9" s="4" t="s">
        <v>114</v>
      </c>
      <c r="D9" s="4" t="s">
        <v>113</v>
      </c>
      <c r="E9" s="4" t="s">
        <v>115</v>
      </c>
      <c r="F9" s="4"/>
      <c r="G9" s="4"/>
      <c r="H9" s="4"/>
      <c r="I9" s="4"/>
    </row>
    <row r="10" spans="1:19" x14ac:dyDescent="0.35">
      <c r="A10" t="s">
        <v>138</v>
      </c>
      <c r="B10" s="4" t="s">
        <v>11</v>
      </c>
      <c r="C10" s="4" t="s">
        <v>253</v>
      </c>
      <c r="D10" s="4" t="s">
        <v>63</v>
      </c>
      <c r="E10" s="4" t="s">
        <v>62</v>
      </c>
      <c r="F10" s="4" t="s">
        <v>27</v>
      </c>
      <c r="G10" s="4"/>
      <c r="H10" s="4"/>
      <c r="I10" s="4"/>
    </row>
    <row r="11" spans="1:19" x14ac:dyDescent="0.35">
      <c r="B11" s="4"/>
      <c r="C11" s="4"/>
      <c r="D11" s="4"/>
      <c r="E11" s="4"/>
      <c r="F11" s="4"/>
      <c r="G11" s="4"/>
      <c r="H11" s="4"/>
      <c r="I11" s="4"/>
    </row>
    <row r="12" spans="1:19" x14ac:dyDescent="0.35">
      <c r="A12" t="s">
        <v>93</v>
      </c>
      <c r="B12" s="4" t="s">
        <v>94</v>
      </c>
      <c r="C12" s="4" t="s">
        <v>95</v>
      </c>
      <c r="D12" s="4" t="s">
        <v>96</v>
      </c>
      <c r="E12" s="4" t="s">
        <v>97</v>
      </c>
      <c r="F12" s="4" t="s">
        <v>98</v>
      </c>
      <c r="G12" s="4" t="s">
        <v>99</v>
      </c>
      <c r="H12" s="4" t="s">
        <v>100</v>
      </c>
      <c r="I12" s="4" t="s">
        <v>101</v>
      </c>
      <c r="J12" s="4" t="s">
        <v>102</v>
      </c>
      <c r="K12" s="4" t="s">
        <v>103</v>
      </c>
      <c r="L12" s="4" t="s">
        <v>104</v>
      </c>
      <c r="M12" s="4" t="s">
        <v>105</v>
      </c>
      <c r="N12" s="6" t="s">
        <v>106</v>
      </c>
      <c r="O12" s="6" t="s">
        <v>107</v>
      </c>
      <c r="P12" s="6" t="s">
        <v>108</v>
      </c>
      <c r="Q12" s="6" t="s">
        <v>109</v>
      </c>
      <c r="R12" s="6" t="s">
        <v>110</v>
      </c>
    </row>
    <row r="13" spans="1:19" x14ac:dyDescent="0.35">
      <c r="A13" t="s">
        <v>56</v>
      </c>
      <c r="B13" s="4" t="str">
        <f t="shared" ref="B13:Q19" si="0">IF(B2&lt;&gt;"","$/"&amp;B2, "")</f>
        <v>$/BTU</v>
      </c>
      <c r="C13" s="4" t="str">
        <f t="shared" si="0"/>
        <v>$/mmBTU</v>
      </c>
      <c r="D13" s="4" t="str">
        <f t="shared" si="0"/>
        <v>$/kWh</v>
      </c>
      <c r="E13" s="4" t="str">
        <f t="shared" si="0"/>
        <v>$/J</v>
      </c>
      <c r="F13" s="4" t="str">
        <f t="shared" si="0"/>
        <v>$/kJ</v>
      </c>
      <c r="G13" s="4" t="str">
        <f t="shared" si="0"/>
        <v>$/MJ</v>
      </c>
      <c r="H13" s="4" t="str">
        <f t="shared" si="0"/>
        <v>$/Wh</v>
      </c>
      <c r="I13" s="4" t="str">
        <f t="shared" si="0"/>
        <v>$/kg</v>
      </c>
      <c r="J13" s="4" t="str">
        <f t="shared" si="0"/>
        <v>$/lb</v>
      </c>
      <c r="K13" s="4" t="str">
        <f t="shared" si="0"/>
        <v>$/g</v>
      </c>
      <c r="L13" s="4" t="str">
        <f t="shared" si="0"/>
        <v>$/ton</v>
      </c>
      <c r="M13" s="4" t="str">
        <f t="shared" si="0"/>
        <v>$/metric ton</v>
      </c>
      <c r="N13" s="4" t="str">
        <f t="shared" si="0"/>
        <v>$/gal</v>
      </c>
      <c r="O13" s="4" t="str">
        <f t="shared" si="0"/>
        <v>$/ft3</v>
      </c>
      <c r="P13" s="4" t="str">
        <f t="shared" si="0"/>
        <v>$/L</v>
      </c>
      <c r="Q13" s="4" t="str">
        <f t="shared" si="0"/>
        <v>$/ml</v>
      </c>
      <c r="R13" s="4" t="str">
        <f t="shared" ref="C13:R20" si="1">IF(R2&lt;&gt;"","$/"&amp;R2, "")</f>
        <v>$/m3</v>
      </c>
    </row>
    <row r="14" spans="1:19" x14ac:dyDescent="0.35">
      <c r="A14" t="s">
        <v>57</v>
      </c>
      <c r="B14" s="4" t="str">
        <f t="shared" si="0"/>
        <v>$/kg</v>
      </c>
      <c r="C14" s="4" t="str">
        <f t="shared" si="1"/>
        <v>$/lb</v>
      </c>
      <c r="D14" s="4" t="str">
        <f t="shared" si="1"/>
        <v>$/g</v>
      </c>
      <c r="E14" s="4" t="str">
        <f t="shared" si="1"/>
        <v>$/ton</v>
      </c>
      <c r="F14" s="4" t="str">
        <f t="shared" si="1"/>
        <v>$/metric ton</v>
      </c>
      <c r="G14" s="4" t="str">
        <f t="shared" si="1"/>
        <v>$/gal</v>
      </c>
      <c r="H14" s="4" t="str">
        <f t="shared" si="1"/>
        <v>$/ft3</v>
      </c>
      <c r="I14" s="4" t="str">
        <f t="shared" si="1"/>
        <v>$/L</v>
      </c>
      <c r="J14" s="4" t="str">
        <f t="shared" si="1"/>
        <v>$/ml</v>
      </c>
      <c r="K14" s="4" t="str">
        <f t="shared" si="1"/>
        <v>$/m3</v>
      </c>
      <c r="L14" s="4" t="str">
        <f t="shared" si="1"/>
        <v/>
      </c>
      <c r="M14" s="4" t="str">
        <f t="shared" si="1"/>
        <v/>
      </c>
      <c r="N14" s="4" t="str">
        <f t="shared" si="1"/>
        <v/>
      </c>
      <c r="O14" s="4" t="str">
        <f t="shared" si="1"/>
        <v/>
      </c>
      <c r="P14" s="4" t="str">
        <f t="shared" si="1"/>
        <v/>
      </c>
      <c r="Q14" s="4" t="str">
        <f t="shared" si="1"/>
        <v/>
      </c>
      <c r="R14" s="4" t="str">
        <f t="shared" si="1"/>
        <v/>
      </c>
    </row>
    <row r="15" spans="1:19" x14ac:dyDescent="0.35">
      <c r="A15" t="s">
        <v>58</v>
      </c>
      <c r="B15" s="4" t="str">
        <f t="shared" si="0"/>
        <v>$/BTU</v>
      </c>
      <c r="C15" s="4" t="str">
        <f t="shared" si="1"/>
        <v>$/mmBTU</v>
      </c>
      <c r="D15" s="4" t="str">
        <f t="shared" si="1"/>
        <v>$/kWh</v>
      </c>
      <c r="E15" s="4" t="str">
        <f t="shared" si="1"/>
        <v>$/J</v>
      </c>
      <c r="F15" s="4" t="str">
        <f t="shared" si="1"/>
        <v>$/kJ</v>
      </c>
      <c r="G15" s="4" t="str">
        <f t="shared" si="1"/>
        <v>$/MJ</v>
      </c>
      <c r="H15" s="4" t="str">
        <f t="shared" si="1"/>
        <v>$/Wh</v>
      </c>
      <c r="I15" s="4" t="str">
        <f t="shared" si="1"/>
        <v>$/kg</v>
      </c>
      <c r="J15" s="4" t="str">
        <f t="shared" si="1"/>
        <v>$/lb</v>
      </c>
      <c r="K15" s="4" t="str">
        <f t="shared" si="1"/>
        <v>$/g</v>
      </c>
      <c r="L15" s="4" t="str">
        <f t="shared" si="1"/>
        <v>$/ton</v>
      </c>
      <c r="M15" s="4" t="str">
        <f t="shared" si="1"/>
        <v>$/metric ton</v>
      </c>
      <c r="N15" s="4" t="str">
        <f t="shared" si="1"/>
        <v/>
      </c>
      <c r="O15" s="4" t="str">
        <f t="shared" si="1"/>
        <v/>
      </c>
      <c r="P15" s="4" t="str">
        <f t="shared" si="1"/>
        <v/>
      </c>
      <c r="Q15" s="4" t="str">
        <f t="shared" si="1"/>
        <v/>
      </c>
      <c r="R15" s="4" t="str">
        <f t="shared" si="1"/>
        <v/>
      </c>
    </row>
    <row r="16" spans="1:19" x14ac:dyDescent="0.35">
      <c r="A16" t="s">
        <v>59</v>
      </c>
      <c r="B16" s="4" t="str">
        <f t="shared" si="0"/>
        <v>$/BTU</v>
      </c>
      <c r="C16" s="4" t="str">
        <f t="shared" si="1"/>
        <v>$/mmBTU</v>
      </c>
      <c r="D16" s="4" t="str">
        <f t="shared" si="1"/>
        <v>$/kWh</v>
      </c>
      <c r="E16" s="4" t="str">
        <f t="shared" si="1"/>
        <v>$/J</v>
      </c>
      <c r="F16" s="4" t="str">
        <f t="shared" si="1"/>
        <v>$/kJ</v>
      </c>
      <c r="G16" s="4" t="str">
        <f t="shared" si="1"/>
        <v>$/MJ</v>
      </c>
      <c r="H16" s="4" t="str">
        <f t="shared" si="1"/>
        <v>$/Wh</v>
      </c>
      <c r="I16" s="4" t="str">
        <f t="shared" si="1"/>
        <v>$/gal</v>
      </c>
      <c r="J16" s="4" t="str">
        <f t="shared" si="1"/>
        <v>$/ft3</v>
      </c>
      <c r="K16" s="4" t="str">
        <f t="shared" si="1"/>
        <v>$/L</v>
      </c>
      <c r="L16" s="4" t="str">
        <f t="shared" si="1"/>
        <v>$/ml</v>
      </c>
      <c r="M16" s="4" t="str">
        <f t="shared" si="1"/>
        <v>$/m3</v>
      </c>
      <c r="N16" s="4" t="str">
        <f t="shared" si="1"/>
        <v/>
      </c>
      <c r="O16" s="4" t="str">
        <f t="shared" si="1"/>
        <v/>
      </c>
      <c r="P16" s="4" t="str">
        <f t="shared" si="1"/>
        <v/>
      </c>
      <c r="Q16" s="4" t="str">
        <f t="shared" si="1"/>
        <v/>
      </c>
      <c r="R16" s="4" t="str">
        <f t="shared" si="1"/>
        <v/>
      </c>
    </row>
    <row r="17" spans="1:23" x14ac:dyDescent="0.35">
      <c r="A17" t="s">
        <v>60</v>
      </c>
      <c r="B17" s="4" t="str">
        <f t="shared" si="0"/>
        <v>$/kg</v>
      </c>
      <c r="C17" s="4" t="str">
        <f t="shared" si="1"/>
        <v>$/lb</v>
      </c>
      <c r="D17" s="4" t="str">
        <f t="shared" si="1"/>
        <v>$/g</v>
      </c>
      <c r="E17" s="4" t="str">
        <f t="shared" si="1"/>
        <v>$/ton</v>
      </c>
      <c r="F17" s="4" t="str">
        <f t="shared" si="1"/>
        <v>$/metric ton</v>
      </c>
      <c r="G17" s="4" t="str">
        <f t="shared" si="1"/>
        <v/>
      </c>
      <c r="H17" s="4" t="str">
        <f t="shared" si="1"/>
        <v/>
      </c>
      <c r="I17" s="4" t="str">
        <f t="shared" si="1"/>
        <v/>
      </c>
      <c r="J17" s="4" t="str">
        <f t="shared" si="1"/>
        <v/>
      </c>
      <c r="K17" s="4" t="str">
        <f t="shared" si="1"/>
        <v/>
      </c>
      <c r="L17" s="4" t="str">
        <f t="shared" si="1"/>
        <v/>
      </c>
      <c r="M17" s="4" t="str">
        <f t="shared" si="1"/>
        <v/>
      </c>
      <c r="N17" s="4" t="str">
        <f t="shared" si="1"/>
        <v/>
      </c>
      <c r="O17" s="4" t="str">
        <f t="shared" si="1"/>
        <v/>
      </c>
      <c r="P17" s="4" t="str">
        <f t="shared" si="1"/>
        <v/>
      </c>
      <c r="Q17" s="4" t="str">
        <f t="shared" si="1"/>
        <v/>
      </c>
      <c r="R17" s="4" t="str">
        <f t="shared" si="1"/>
        <v/>
      </c>
    </row>
    <row r="18" spans="1:23" x14ac:dyDescent="0.35">
      <c r="A18" t="s">
        <v>61</v>
      </c>
      <c r="B18" s="4" t="str">
        <f t="shared" si="0"/>
        <v>$/gal</v>
      </c>
      <c r="C18" s="4" t="str">
        <f t="shared" si="1"/>
        <v>$/ft3</v>
      </c>
      <c r="D18" s="4" t="str">
        <f t="shared" si="1"/>
        <v>$/L</v>
      </c>
      <c r="E18" s="4" t="str">
        <f t="shared" si="1"/>
        <v>$/ml</v>
      </c>
      <c r="F18" s="4" t="str">
        <f t="shared" si="1"/>
        <v>$/m3</v>
      </c>
      <c r="G18" s="4" t="str">
        <f t="shared" si="1"/>
        <v/>
      </c>
      <c r="H18" s="4" t="str">
        <f t="shared" si="1"/>
        <v/>
      </c>
      <c r="I18" s="4" t="str">
        <f t="shared" si="1"/>
        <v/>
      </c>
      <c r="J18" s="4" t="str">
        <f t="shared" si="1"/>
        <v/>
      </c>
      <c r="K18" s="4" t="str">
        <f t="shared" si="1"/>
        <v/>
      </c>
      <c r="L18" s="4" t="str">
        <f t="shared" si="1"/>
        <v/>
      </c>
      <c r="M18" s="4" t="str">
        <f t="shared" si="1"/>
        <v/>
      </c>
      <c r="N18" s="4" t="str">
        <f t="shared" si="1"/>
        <v/>
      </c>
      <c r="O18" s="4" t="str">
        <f t="shared" si="1"/>
        <v/>
      </c>
      <c r="P18" s="4" t="str">
        <f t="shared" si="1"/>
        <v/>
      </c>
      <c r="Q18" s="4" t="str">
        <f t="shared" si="1"/>
        <v/>
      </c>
      <c r="R18" s="4" t="str">
        <f t="shared" si="1"/>
        <v/>
      </c>
    </row>
    <row r="19" spans="1:23" x14ac:dyDescent="0.35">
      <c r="A19" t="s">
        <v>3</v>
      </c>
      <c r="B19" s="4" t="str">
        <f t="shared" si="0"/>
        <v>$/kWh</v>
      </c>
      <c r="C19" s="4" t="str">
        <f t="shared" si="1"/>
        <v>$/BTU</v>
      </c>
      <c r="D19" s="4" t="str">
        <f t="shared" si="1"/>
        <v>$/mmBTU</v>
      </c>
      <c r="E19" s="4" t="str">
        <f t="shared" si="1"/>
        <v>$/Wh</v>
      </c>
      <c r="F19" s="4" t="str">
        <f t="shared" si="1"/>
        <v>$/J</v>
      </c>
      <c r="G19" s="4" t="str">
        <f t="shared" si="1"/>
        <v>$/kJ</v>
      </c>
      <c r="H19" s="4" t="str">
        <f t="shared" si="1"/>
        <v>$/MJ</v>
      </c>
      <c r="I19" s="4" t="str">
        <f t="shared" si="1"/>
        <v/>
      </c>
      <c r="J19" s="4" t="str">
        <f t="shared" si="1"/>
        <v/>
      </c>
      <c r="K19" s="4" t="str">
        <f t="shared" si="1"/>
        <v/>
      </c>
      <c r="L19" s="4" t="str">
        <f t="shared" si="1"/>
        <v/>
      </c>
      <c r="M19" s="4" t="str">
        <f t="shared" si="1"/>
        <v/>
      </c>
      <c r="N19" s="4" t="str">
        <f t="shared" si="1"/>
        <v/>
      </c>
      <c r="O19" s="4" t="str">
        <f t="shared" si="1"/>
        <v/>
      </c>
      <c r="P19" s="4" t="str">
        <f t="shared" si="1"/>
        <v/>
      </c>
      <c r="Q19" s="4" t="str">
        <f t="shared" si="1"/>
        <v/>
      </c>
      <c r="R19" s="4" t="str">
        <f t="shared" si="1"/>
        <v/>
      </c>
    </row>
    <row r="20" spans="1:23" x14ac:dyDescent="0.35">
      <c r="A20" t="s">
        <v>34</v>
      </c>
      <c r="B20" s="4"/>
      <c r="C20" s="4"/>
      <c r="D20" s="4"/>
      <c r="E20" s="4"/>
      <c r="F20" s="4" t="str">
        <f t="shared" si="1"/>
        <v/>
      </c>
      <c r="G20" s="4" t="str">
        <f t="shared" si="1"/>
        <v/>
      </c>
      <c r="H20" s="4" t="str">
        <f t="shared" si="1"/>
        <v/>
      </c>
      <c r="I20" s="4" t="str">
        <f t="shared" si="1"/>
        <v/>
      </c>
      <c r="J20" s="4" t="str">
        <f t="shared" si="1"/>
        <v/>
      </c>
      <c r="K20" s="4" t="str">
        <f t="shared" si="1"/>
        <v/>
      </c>
      <c r="L20" s="4" t="str">
        <f t="shared" si="1"/>
        <v/>
      </c>
      <c r="M20" s="4" t="str">
        <f t="shared" si="1"/>
        <v/>
      </c>
      <c r="N20" s="4" t="str">
        <f t="shared" si="1"/>
        <v/>
      </c>
      <c r="O20" s="4" t="str">
        <f t="shared" si="1"/>
        <v/>
      </c>
      <c r="P20" s="4" t="str">
        <f t="shared" si="1"/>
        <v/>
      </c>
      <c r="Q20" s="4" t="str">
        <f t="shared" si="1"/>
        <v/>
      </c>
      <c r="R20" s="4" t="str">
        <f t="shared" si="1"/>
        <v/>
      </c>
    </row>
    <row r="21" spans="1:23" x14ac:dyDescent="0.35">
      <c r="B21" s="4"/>
      <c r="C21" s="4"/>
      <c r="D21" s="4"/>
      <c r="E21" s="4"/>
      <c r="F21" s="4"/>
      <c r="G21" s="4"/>
      <c r="H21" s="4"/>
      <c r="I21" s="4"/>
    </row>
    <row r="22" spans="1:23" x14ac:dyDescent="0.35">
      <c r="A22" s="13" t="s">
        <v>93</v>
      </c>
      <c r="B22" s="13" t="s">
        <v>94</v>
      </c>
      <c r="C22" s="14" t="s">
        <v>95</v>
      </c>
    </row>
    <row r="23" spans="1:23" x14ac:dyDescent="0.35">
      <c r="B23" s="16" t="s">
        <v>93</v>
      </c>
      <c r="C23" s="17" t="s">
        <v>94</v>
      </c>
      <c r="G23" s="4"/>
      <c r="H23" s="4"/>
      <c r="I23" s="4"/>
      <c r="J23" s="4"/>
      <c r="K23" s="4"/>
      <c r="L23" s="4"/>
      <c r="M23" s="4"/>
      <c r="N23" s="4"/>
      <c r="O23" s="4"/>
      <c r="P23" s="4"/>
      <c r="Q23" s="4"/>
      <c r="R23" s="4"/>
      <c r="S23" s="4"/>
      <c r="T23" s="4"/>
      <c r="U23" s="4"/>
      <c r="V23" s="4"/>
      <c r="W23" s="4"/>
    </row>
    <row r="24" spans="1:23" x14ac:dyDescent="0.35">
      <c r="A24" s="15" t="s">
        <v>39</v>
      </c>
      <c r="B24" s="16" t="s">
        <v>33</v>
      </c>
      <c r="C24" s="17" t="s">
        <v>60</v>
      </c>
      <c r="G24" s="20"/>
      <c r="H24" s="20"/>
      <c r="I24" s="20"/>
      <c r="J24" s="20"/>
    </row>
    <row r="25" spans="1:23" x14ac:dyDescent="0.35">
      <c r="A25" s="3" t="s">
        <v>235</v>
      </c>
      <c r="B25" t="s">
        <v>236</v>
      </c>
      <c r="C25" s="4" t="s">
        <v>60</v>
      </c>
      <c r="G25" s="17"/>
      <c r="H25" s="17"/>
      <c r="I25" s="17"/>
      <c r="J25" s="17"/>
    </row>
    <row r="26" spans="1:23" x14ac:dyDescent="0.35">
      <c r="A26" s="15" t="s">
        <v>251</v>
      </c>
      <c r="B26" s="16" t="s">
        <v>2</v>
      </c>
      <c r="C26" s="16" t="s">
        <v>56</v>
      </c>
    </row>
    <row r="27" spans="1:23" x14ac:dyDescent="0.35">
      <c r="A27" s="15"/>
      <c r="B27" s="16" t="s">
        <v>3</v>
      </c>
      <c r="C27" s="16" t="s">
        <v>3</v>
      </c>
    </row>
    <row r="28" spans="1:23" x14ac:dyDescent="0.35">
      <c r="A28" s="15"/>
      <c r="B28" s="18" t="s">
        <v>24</v>
      </c>
      <c r="C28" s="16" t="s">
        <v>56</v>
      </c>
      <c r="H28" s="4"/>
      <c r="I28" s="4"/>
      <c r="J28" s="4"/>
      <c r="K28" s="4"/>
      <c r="L28" s="4"/>
    </row>
    <row r="29" spans="1:23" x14ac:dyDescent="0.35">
      <c r="A29" s="15"/>
      <c r="B29" s="18" t="s">
        <v>22</v>
      </c>
      <c r="C29" s="16" t="s">
        <v>56</v>
      </c>
      <c r="H29" s="4"/>
      <c r="I29" s="4"/>
      <c r="J29" s="4"/>
      <c r="K29" s="4"/>
      <c r="L29" s="4"/>
    </row>
    <row r="30" spans="1:23" x14ac:dyDescent="0.35">
      <c r="A30" s="15"/>
      <c r="B30" s="18" t="s">
        <v>75</v>
      </c>
      <c r="C30" s="16" t="s">
        <v>56</v>
      </c>
    </row>
    <row r="31" spans="1:23" x14ac:dyDescent="0.35">
      <c r="A31" s="15"/>
      <c r="B31" s="69" t="s">
        <v>283</v>
      </c>
      <c r="C31" t="s">
        <v>56</v>
      </c>
    </row>
    <row r="32" spans="1:23" x14ac:dyDescent="0.35">
      <c r="A32" s="15"/>
      <c r="B32" s="69" t="s">
        <v>284</v>
      </c>
      <c r="C32" t="s">
        <v>56</v>
      </c>
    </row>
    <row r="33" spans="1:3" x14ac:dyDescent="0.35">
      <c r="A33" s="15"/>
      <c r="B33" s="18" t="s">
        <v>91</v>
      </c>
      <c r="C33" s="16" t="s">
        <v>56</v>
      </c>
    </row>
    <row r="34" spans="1:3" x14ac:dyDescent="0.35">
      <c r="A34" s="15" t="s">
        <v>38</v>
      </c>
      <c r="B34" s="16" t="s">
        <v>13</v>
      </c>
      <c r="C34" s="16" t="s">
        <v>60</v>
      </c>
    </row>
    <row r="35" spans="1:3" x14ac:dyDescent="0.35">
      <c r="A35" s="15"/>
      <c r="B35" s="18" t="s">
        <v>14</v>
      </c>
      <c r="C35" s="16" t="s">
        <v>60</v>
      </c>
    </row>
    <row r="36" spans="1:3" x14ac:dyDescent="0.35">
      <c r="A36" s="15"/>
      <c r="B36" s="18" t="s">
        <v>15</v>
      </c>
      <c r="C36" s="16" t="s">
        <v>60</v>
      </c>
    </row>
    <row r="37" spans="1:3" x14ac:dyDescent="0.35">
      <c r="A37" s="15"/>
      <c r="B37" s="18" t="s">
        <v>16</v>
      </c>
      <c r="C37" s="16" t="s">
        <v>60</v>
      </c>
    </row>
    <row r="38" spans="1:3" x14ac:dyDescent="0.35">
      <c r="A38" s="15"/>
      <c r="B38" s="18" t="s">
        <v>17</v>
      </c>
      <c r="C38" s="16" t="s">
        <v>60</v>
      </c>
    </row>
    <row r="39" spans="1:3" x14ac:dyDescent="0.35">
      <c r="A39" s="15"/>
      <c r="B39" s="18" t="s">
        <v>18</v>
      </c>
      <c r="C39" s="16" t="s">
        <v>60</v>
      </c>
    </row>
    <row r="40" spans="1:3" x14ac:dyDescent="0.35">
      <c r="A40" s="15"/>
      <c r="B40" s="18" t="s">
        <v>19</v>
      </c>
      <c r="C40" s="16" t="s">
        <v>60</v>
      </c>
    </row>
    <row r="41" spans="1:3" x14ac:dyDescent="0.35">
      <c r="A41" s="15"/>
      <c r="B41" s="18" t="s">
        <v>20</v>
      </c>
      <c r="C41" s="16" t="s">
        <v>60</v>
      </c>
    </row>
    <row r="42" spans="1:3" x14ac:dyDescent="0.35">
      <c r="A42" s="15"/>
      <c r="B42" s="18" t="s">
        <v>21</v>
      </c>
      <c r="C42" s="16" t="s">
        <v>60</v>
      </c>
    </row>
    <row r="43" spans="1:3" x14ac:dyDescent="0.35">
      <c r="A43" s="15"/>
      <c r="B43" s="18" t="s">
        <v>111</v>
      </c>
      <c r="C43" s="16" t="s">
        <v>60</v>
      </c>
    </row>
    <row r="44" spans="1:3" x14ac:dyDescent="0.35">
      <c r="A44" s="15"/>
      <c r="B44" s="18" t="s">
        <v>37</v>
      </c>
      <c r="C44" s="16" t="s">
        <v>60</v>
      </c>
    </row>
    <row r="45" spans="1:3" x14ac:dyDescent="0.35">
      <c r="A45" s="15"/>
      <c r="B45" s="18" t="s">
        <v>23</v>
      </c>
      <c r="C45" s="16" t="s">
        <v>60</v>
      </c>
    </row>
    <row r="46" spans="1:3" x14ac:dyDescent="0.35">
      <c r="A46" s="15"/>
      <c r="B46" s="18" t="s">
        <v>25</v>
      </c>
      <c r="C46" s="16" t="s">
        <v>60</v>
      </c>
    </row>
    <row r="47" spans="1:3" x14ac:dyDescent="0.35">
      <c r="A47" s="15"/>
      <c r="B47" s="16" t="s">
        <v>26</v>
      </c>
      <c r="C47" s="16" t="s">
        <v>60</v>
      </c>
    </row>
    <row r="48" spans="1:3" x14ac:dyDescent="0.35">
      <c r="A48" s="15"/>
      <c r="B48" s="16" t="s">
        <v>30</v>
      </c>
      <c r="C48" s="16" t="s">
        <v>60</v>
      </c>
    </row>
    <row r="49" spans="1:3" x14ac:dyDescent="0.35">
      <c r="A49" s="16"/>
      <c r="B49" s="16" t="s">
        <v>21</v>
      </c>
      <c r="C49" s="16" t="s">
        <v>60</v>
      </c>
    </row>
    <row r="50" spans="1:3" x14ac:dyDescent="0.35">
      <c r="A50" s="16"/>
      <c r="B50" s="16" t="s">
        <v>20</v>
      </c>
      <c r="C50" s="16" t="s">
        <v>60</v>
      </c>
    </row>
    <row r="51" spans="1:3" x14ac:dyDescent="0.35">
      <c r="A51" s="16"/>
      <c r="B51" s="16" t="s">
        <v>37</v>
      </c>
      <c r="C51" s="16" t="s">
        <v>60</v>
      </c>
    </row>
    <row r="52" spans="1:3" x14ac:dyDescent="0.35">
      <c r="A52" s="16"/>
      <c r="B52" s="16" t="s">
        <v>25</v>
      </c>
      <c r="C52" s="16" t="s">
        <v>60</v>
      </c>
    </row>
    <row r="53" spans="1:3" x14ac:dyDescent="0.35">
      <c r="A53" s="16"/>
      <c r="B53" s="16" t="s">
        <v>53</v>
      </c>
      <c r="C53" s="16" t="s">
        <v>60</v>
      </c>
    </row>
    <row r="54" spans="1:3" x14ac:dyDescent="0.35">
      <c r="A54" s="16"/>
      <c r="B54" s="16" t="s">
        <v>238</v>
      </c>
      <c r="C54" s="16" t="s">
        <v>60</v>
      </c>
    </row>
    <row r="55" spans="1:3" x14ac:dyDescent="0.35">
      <c r="A55" s="16"/>
      <c r="B55" s="16" t="s">
        <v>239</v>
      </c>
      <c r="C55" s="16" t="s">
        <v>60</v>
      </c>
    </row>
    <row r="56" spans="1:3" x14ac:dyDescent="0.35">
      <c r="A56" s="16"/>
      <c r="B56" s="16" t="s">
        <v>240</v>
      </c>
      <c r="C56" s="16" t="s">
        <v>60</v>
      </c>
    </row>
    <row r="57" spans="1:3" x14ac:dyDescent="0.35">
      <c r="A57" s="16"/>
      <c r="B57" s="16" t="s">
        <v>241</v>
      </c>
      <c r="C57" s="16" t="s">
        <v>60</v>
      </c>
    </row>
    <row r="58" spans="1:3" x14ac:dyDescent="0.35">
      <c r="A58" s="16"/>
      <c r="B58" s="16" t="s">
        <v>242</v>
      </c>
      <c r="C58" s="16" t="s">
        <v>60</v>
      </c>
    </row>
    <row r="59" spans="1:3" x14ac:dyDescent="0.35">
      <c r="A59" s="16"/>
      <c r="B59" s="16" t="s">
        <v>243</v>
      </c>
      <c r="C59" s="16" t="s">
        <v>60</v>
      </c>
    </row>
    <row r="60" spans="1:3" x14ac:dyDescent="0.35">
      <c r="A60" s="15" t="s">
        <v>252</v>
      </c>
      <c r="B60" t="s">
        <v>223</v>
      </c>
      <c r="C60" s="16" t="s">
        <v>60</v>
      </c>
    </row>
    <row r="61" spans="1:3" x14ac:dyDescent="0.35">
      <c r="A61" s="16"/>
      <c r="B61" t="s">
        <v>224</v>
      </c>
      <c r="C61" s="16" t="s">
        <v>60</v>
      </c>
    </row>
    <row r="62" spans="1:3" x14ac:dyDescent="0.35">
      <c r="A62" s="16"/>
      <c r="B62" t="s">
        <v>225</v>
      </c>
      <c r="C62" s="16" t="s">
        <v>60</v>
      </c>
    </row>
    <row r="63" spans="1:3" x14ac:dyDescent="0.35">
      <c r="A63" s="16"/>
      <c r="B63" t="s">
        <v>226</v>
      </c>
      <c r="C63" s="16" t="s">
        <v>60</v>
      </c>
    </row>
    <row r="64" spans="1:3" x14ac:dyDescent="0.35">
      <c r="A64" s="16"/>
      <c r="B64" t="s">
        <v>227</v>
      </c>
      <c r="C64" s="16" t="s">
        <v>60</v>
      </c>
    </row>
    <row r="65" spans="1:3" x14ac:dyDescent="0.35">
      <c r="A65" s="16"/>
      <c r="B65" t="s">
        <v>228</v>
      </c>
      <c r="C65" s="16" t="s">
        <v>60</v>
      </c>
    </row>
    <row r="66" spans="1:3" x14ac:dyDescent="0.35">
      <c r="A66" s="16"/>
      <c r="B66" t="s">
        <v>229</v>
      </c>
      <c r="C66" s="16" t="s">
        <v>60</v>
      </c>
    </row>
    <row r="67" spans="1:3" x14ac:dyDescent="0.35">
      <c r="A67" s="16"/>
      <c r="B67" t="s">
        <v>230</v>
      </c>
      <c r="C67" s="16" t="s">
        <v>60</v>
      </c>
    </row>
    <row r="68" spans="1:3" x14ac:dyDescent="0.35">
      <c r="A68" s="16"/>
      <c r="B68" t="s">
        <v>231</v>
      </c>
      <c r="C68" s="16" t="s">
        <v>60</v>
      </c>
    </row>
    <row r="69" spans="1:3" x14ac:dyDescent="0.35">
      <c r="A69" s="16"/>
      <c r="B69" t="s">
        <v>232</v>
      </c>
      <c r="C69" s="16" t="s">
        <v>60</v>
      </c>
    </row>
    <row r="70" spans="1:3" x14ac:dyDescent="0.35">
      <c r="A70" s="16"/>
      <c r="B70" t="s">
        <v>233</v>
      </c>
      <c r="C70" s="16" t="s">
        <v>60</v>
      </c>
    </row>
    <row r="71" spans="1:3" x14ac:dyDescent="0.35">
      <c r="A71" s="16"/>
      <c r="B71" t="s">
        <v>234</v>
      </c>
      <c r="C71" s="16" t="s">
        <v>60</v>
      </c>
    </row>
    <row r="72" spans="1:3" x14ac:dyDescent="0.35">
      <c r="A72" s="15" t="s">
        <v>222</v>
      </c>
      <c r="B72" s="63" t="s">
        <v>244</v>
      </c>
      <c r="C72" s="16" t="s">
        <v>60</v>
      </c>
    </row>
    <row r="73" spans="1:3" x14ac:dyDescent="0.35">
      <c r="A73" s="15"/>
      <c r="B73" s="63" t="s">
        <v>250</v>
      </c>
      <c r="C73" s="16" t="s">
        <v>60</v>
      </c>
    </row>
    <row r="74" spans="1:3" x14ac:dyDescent="0.35">
      <c r="A74" s="15" t="s">
        <v>29</v>
      </c>
      <c r="B74" s="16" t="s">
        <v>29</v>
      </c>
      <c r="C74" s="16" t="s">
        <v>57</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H8" sqref="H8"/>
    </sheetView>
  </sheetViews>
  <sheetFormatPr defaultRowHeight="14.5" x14ac:dyDescent="0.35"/>
  <cols>
    <col min="1" max="1" width="12.1796875" bestFit="1" customWidth="1"/>
    <col min="2" max="2" width="26.453125" bestFit="1" customWidth="1"/>
  </cols>
  <sheetData>
    <row r="1" spans="1:4" x14ac:dyDescent="0.35">
      <c r="A1" s="3" t="s">
        <v>117</v>
      </c>
      <c r="B1" s="3" t="s">
        <v>6</v>
      </c>
      <c r="C1" s="3" t="s">
        <v>128</v>
      </c>
      <c r="D1" s="3" t="s">
        <v>130</v>
      </c>
    </row>
    <row r="2" spans="1:4" x14ac:dyDescent="0.35">
      <c r="B2" t="s">
        <v>0</v>
      </c>
      <c r="D2" t="s">
        <v>131</v>
      </c>
    </row>
    <row r="3" spans="1:4" x14ac:dyDescent="0.35">
      <c r="A3" t="s">
        <v>90</v>
      </c>
      <c r="B3" t="s">
        <v>281</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2"/>
  <sheetViews>
    <sheetView workbookViewId="0">
      <pane ySplit="4" topLeftCell="A5" activePane="bottomLeft" state="frozen"/>
      <selection pane="bottomLeft" activeCell="O29" sqref="O2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c r="H1" t="s">
        <v>288</v>
      </c>
    </row>
    <row r="2" spans="1:18" x14ac:dyDescent="0.35">
      <c r="A2" s="22" t="s">
        <v>254</v>
      </c>
      <c r="B2" s="22"/>
      <c r="C2" s="23" t="s">
        <v>119</v>
      </c>
      <c r="O2" s="73"/>
    </row>
    <row r="4" spans="1:18" x14ac:dyDescent="0.35">
      <c r="A4" s="10" t="s">
        <v>6</v>
      </c>
      <c r="B4" s="11" t="s">
        <v>1</v>
      </c>
      <c r="C4" s="11" t="s">
        <v>36</v>
      </c>
      <c r="D4" s="11" t="s">
        <v>5</v>
      </c>
      <c r="E4" s="11" t="s">
        <v>7</v>
      </c>
      <c r="F4" s="11" t="s">
        <v>8</v>
      </c>
      <c r="G4" s="11" t="s">
        <v>116</v>
      </c>
      <c r="H4" s="11" t="s">
        <v>271</v>
      </c>
      <c r="I4" s="11" t="s">
        <v>127</v>
      </c>
      <c r="J4" s="11" t="s">
        <v>117</v>
      </c>
      <c r="K4" s="12" t="s">
        <v>138</v>
      </c>
      <c r="L4" s="12" t="s">
        <v>139</v>
      </c>
      <c r="M4" s="12" t="s">
        <v>140</v>
      </c>
      <c r="N4" s="12" t="s">
        <v>141</v>
      </c>
      <c r="O4" s="11" t="s">
        <v>142</v>
      </c>
      <c r="P4" s="11" t="s">
        <v>143</v>
      </c>
      <c r="Q4" s="11" t="s">
        <v>255</v>
      </c>
      <c r="R4" s="11" t="s">
        <v>4</v>
      </c>
    </row>
    <row r="5" spans="1:18" x14ac:dyDescent="0.35">
      <c r="A5" s="9" t="s">
        <v>0</v>
      </c>
      <c r="B5" s="9" t="s">
        <v>235</v>
      </c>
      <c r="C5" s="9" t="s">
        <v>236</v>
      </c>
      <c r="D5" s="25"/>
      <c r="E5" s="21">
        <v>9166.66</v>
      </c>
      <c r="F5" s="25" t="s">
        <v>63</v>
      </c>
      <c r="G5" s="32"/>
      <c r="H5" s="32"/>
      <c r="I5" s="36" t="str">
        <f>IF(Table13[[#This Row],[Type]]="Co-product", "No", "")</f>
        <v/>
      </c>
      <c r="J5" s="9"/>
      <c r="K5" s="9" t="str">
        <f>IF(Table13[[#This Row],[Category]]="Transportation", _xlfn.XLOOKUP(Table13[[#This Row],[Resource]], 'SI - Payload'!$A$10:$A$37,'SI - Payload'!$B$10:$B$37,"",0), "")</f>
        <v/>
      </c>
      <c r="L5" s="9" t="str">
        <f>IF(Table13[[#This Row],[Category]]="Transportation", "ton", "")</f>
        <v/>
      </c>
      <c r="M5" s="9"/>
      <c r="N5" s="9"/>
      <c r="O5" s="9" t="str">
        <f>IF(OR(Table13[[#This Row],[Type]]="Main Product", Table13[[#This Row],[Type]]="Co-Product"), Table13[[#This Row],[Resource]], "")</f>
        <v/>
      </c>
      <c r="P5" s="9" t="str">
        <f>IF(_xlfn.XLOOKUP($O5,'SI - End Use'!$B$2:$B$53,'SI - End Use'!$C$2:$C$53, "")="", "", _xlfn.XLOOKUP($C5,'SI - End Use'!$B$2:$B$53,'SI - End Use'!$C$2:$C$53, ""))</f>
        <v/>
      </c>
      <c r="Q5" s="9"/>
      <c r="R5" s="9"/>
    </row>
    <row r="6" spans="1:18" x14ac:dyDescent="0.35">
      <c r="A6" s="9" t="s">
        <v>0</v>
      </c>
      <c r="B6" s="9" t="s">
        <v>251</v>
      </c>
      <c r="C6" s="9" t="s">
        <v>24</v>
      </c>
      <c r="D6" s="25" t="s">
        <v>31</v>
      </c>
      <c r="E6" s="21">
        <v>229</v>
      </c>
      <c r="F6" s="25" t="s">
        <v>63</v>
      </c>
      <c r="G6" s="32"/>
      <c r="H6" s="32"/>
      <c r="I6" s="36" t="str">
        <f>IF(Table13[[#This Row],[Type]]="Co-product", "No", "")</f>
        <v/>
      </c>
      <c r="J6" s="9"/>
      <c r="K6" s="9" t="str">
        <f>IF(Table13[[#This Row],[Category]]="Transportation", _xlfn.XLOOKUP(Table13[[#This Row],[Resource]], 'SI - Payload'!$A$10:$A$37,'SI - Payload'!$B$10:$B$37,"",0), "")</f>
        <v/>
      </c>
      <c r="L6" s="9" t="str">
        <f>IF(Table13[[#This Row],[Category]]="Transportation", "ton", "")</f>
        <v/>
      </c>
      <c r="M6" s="9"/>
      <c r="N6" s="9"/>
      <c r="O6" s="9" t="str">
        <f>IF(OR(Table13[[#This Row],[Type]]="Main Product", Table13[[#This Row],[Type]]="Co-Product"), Table13[[#This Row],[Resource]], "")</f>
        <v/>
      </c>
      <c r="P6" s="9" t="str">
        <f>IF(_xlfn.XLOOKUP($O6,'SI - End Use'!$B$2:$B$53,'SI - End Use'!$C$2:$C$53, "")="", "", _xlfn.XLOOKUP($C6,'SI - End Use'!$B$2:$B$53,'SI - End Use'!$C$2:$C$53, ""))</f>
        <v/>
      </c>
      <c r="Q6" s="9"/>
      <c r="R6" s="9"/>
    </row>
    <row r="7" spans="1:18" x14ac:dyDescent="0.35">
      <c r="A7" s="9" t="s">
        <v>0</v>
      </c>
      <c r="B7" s="9" t="s">
        <v>3</v>
      </c>
      <c r="C7" s="9" t="s">
        <v>3</v>
      </c>
      <c r="D7" s="25" t="s">
        <v>10</v>
      </c>
      <c r="E7" s="21">
        <v>325.5</v>
      </c>
      <c r="F7" s="25" t="s">
        <v>72</v>
      </c>
      <c r="G7" s="32"/>
      <c r="H7" s="32"/>
      <c r="I7" s="36" t="str">
        <f>IF(Table13[[#This Row],[Type]]="Co-product", "No", "")</f>
        <v/>
      </c>
      <c r="J7" s="9"/>
      <c r="K7" s="9" t="str">
        <f>IF(Table13[[#This Row],[Category]]="Transportation", _xlfn.XLOOKUP(Table13[[#This Row],[Resource]], 'SI - Payload'!$A$10:$A$37,'SI - Payload'!$B$10:$B$37,"",0), "")</f>
        <v/>
      </c>
      <c r="L7" s="9" t="str">
        <f>IF(Table13[[#This Row],[Category]]="Transportation", "ton", "")</f>
        <v/>
      </c>
      <c r="M7" s="9"/>
      <c r="N7" s="9"/>
      <c r="O7" s="9" t="str">
        <f>IF(OR(Table13[[#This Row],[Type]]="Main Product", Table13[[#This Row],[Type]]="Co-Product"), Table13[[#This Row],[Resource]], "")</f>
        <v/>
      </c>
      <c r="P7" s="9" t="str">
        <f>IF(_xlfn.XLOOKUP($O7,'SI - End Use'!$B$2:$B$53,'SI - End Use'!$C$2:$C$53, "")="", "", _xlfn.XLOOKUP($C7,'SI - End Use'!$B$2:$B$53,'SI - End Use'!$C$2:$C$53, ""))</f>
        <v/>
      </c>
      <c r="Q7" s="9"/>
      <c r="R7" s="9"/>
    </row>
    <row r="8" spans="1:18" x14ac:dyDescent="0.35">
      <c r="A8" s="9" t="s">
        <v>0</v>
      </c>
      <c r="B8" s="9" t="s">
        <v>38</v>
      </c>
      <c r="C8" s="9" t="s">
        <v>238</v>
      </c>
      <c r="D8" s="25" t="str">
        <f>IF(_xlfn.XLOOKUP($C8,'SI - End Use'!$B$2:$B$53,'SI - End Use'!$C$2:$C$53, "")="", "", _xlfn.XLOOKUP($C8,'SI - End Use'!$B$2:$B$53,'SI - End Use'!$C$2:$C$53, ""))</f>
        <v/>
      </c>
      <c r="E8" s="21">
        <v>41.685600000000001</v>
      </c>
      <c r="F8" s="25" t="s">
        <v>63</v>
      </c>
      <c r="G8" s="32"/>
      <c r="H8" s="32"/>
      <c r="I8" s="36" t="str">
        <f>IF(Table13[[#This Row],[Type]]="Co-product", "No", "")</f>
        <v/>
      </c>
      <c r="J8" s="9"/>
      <c r="K8" s="9" t="str">
        <f>IF(Table13[[#This Row],[Category]]="Transportation", _xlfn.XLOOKUP(Table13[[#This Row],[Resource]], 'SI - Payload'!$A$10:$A$37,'SI - Payload'!$B$10:$B$37,"",0), "")</f>
        <v/>
      </c>
      <c r="L8" s="9" t="str">
        <f>IF(Table13[[#This Row],[Category]]="Transportation", "ton", "")</f>
        <v/>
      </c>
      <c r="M8" s="9"/>
      <c r="N8" s="9"/>
      <c r="O8" s="9" t="str">
        <f>IF(OR(Table13[[#This Row],[Type]]="Main Product", Table13[[#This Row],[Type]]="Co-Product"), Table13[[#This Row],[Resource]], "")</f>
        <v/>
      </c>
      <c r="P8" s="9" t="str">
        <f>IF(_xlfn.XLOOKUP($O8,'SI - End Use'!$B$2:$B$53,'SI - End Use'!$C$2:$C$53, "")="", "", _xlfn.XLOOKUP($C8,'SI - End Use'!$B$2:$B$53,'SI - End Use'!$C$2:$C$53, ""))</f>
        <v/>
      </c>
      <c r="Q8" s="9"/>
      <c r="R8" s="9"/>
    </row>
    <row r="9" spans="1:18" x14ac:dyDescent="0.35">
      <c r="A9" s="9" t="s">
        <v>0</v>
      </c>
      <c r="B9" s="9" t="s">
        <v>38</v>
      </c>
      <c r="C9" s="9" t="s">
        <v>239</v>
      </c>
      <c r="D9" s="25" t="str">
        <f>IF(_xlfn.XLOOKUP($C9,'SI - End Use'!$B$2:$B$53,'SI - End Use'!$C$2:$C$53, "")="", "", _xlfn.XLOOKUP($C9,'SI - End Use'!$B$2:$B$53,'SI - End Use'!$C$2:$C$53, ""))</f>
        <v/>
      </c>
      <c r="E9" s="21">
        <v>407.13513513513516</v>
      </c>
      <c r="F9" s="25" t="s">
        <v>63</v>
      </c>
      <c r="G9" s="32"/>
      <c r="H9" s="32"/>
      <c r="I9" s="36" t="str">
        <f>IF(Table13[[#This Row],[Type]]="Co-product", "No", "")</f>
        <v/>
      </c>
      <c r="J9" s="9"/>
      <c r="K9" s="9" t="str">
        <f>IF(Table13[[#This Row],[Category]]="Transportation", _xlfn.XLOOKUP(Table13[[#This Row],[Resource]], 'SI - Payload'!$A$10:$A$37,'SI - Payload'!$B$10:$B$37,"",0), "")</f>
        <v/>
      </c>
      <c r="L9" s="9" t="str">
        <f>IF(Table13[[#This Row],[Category]]="Transportation", "ton", "")</f>
        <v/>
      </c>
      <c r="M9" s="9"/>
      <c r="N9" s="9"/>
      <c r="O9" s="9" t="str">
        <f>IF(OR(Table13[[#This Row],[Type]]="Main Product", Table13[[#This Row],[Type]]="Co-Product"), Table13[[#This Row],[Resource]], "")</f>
        <v/>
      </c>
      <c r="P9" s="9" t="str">
        <f>IF(_xlfn.XLOOKUP($O9,'SI - End Use'!$B$2:$B$53,'SI - End Use'!$C$2:$C$53, "")="", "", _xlfn.XLOOKUP($C9,'SI - End Use'!$B$2:$B$53,'SI - End Use'!$C$2:$C$53, ""))</f>
        <v/>
      </c>
      <c r="Q9" s="9"/>
      <c r="R9" s="9"/>
    </row>
    <row r="10" spans="1:18" x14ac:dyDescent="0.35">
      <c r="A10" s="9" t="s">
        <v>0</v>
      </c>
      <c r="B10" s="9" t="s">
        <v>29</v>
      </c>
      <c r="C10" s="9" t="s">
        <v>29</v>
      </c>
      <c r="D10" s="25" t="str">
        <f>IF(_xlfn.XLOOKUP($C10,'SI - End Use'!$B$2:$B$53,'SI - End Use'!$C$2:$C$53, "")="", "", _xlfn.XLOOKUP($C10,'SI - End Use'!$B$2:$B$53,'SI - End Use'!$C$2:$C$53, ""))</f>
        <v/>
      </c>
      <c r="E10" s="21">
        <v>196.83418253552099</v>
      </c>
      <c r="F10" s="25" t="s">
        <v>63</v>
      </c>
      <c r="G10" s="32"/>
      <c r="H10" s="32"/>
      <c r="I10" s="36" t="str">
        <f>IF(Table13[[#This Row],[Type]]="Co-product", "No", "")</f>
        <v/>
      </c>
      <c r="J10" s="9"/>
      <c r="K10" s="9" t="str">
        <f>IF(Table13[[#This Row],[Category]]="Transportation", _xlfn.XLOOKUP(Table13[[#This Row],[Resource]], 'SI - Payload'!$A$10:$A$37,'SI - Payload'!$B$10:$B$37,"",0), "")</f>
        <v/>
      </c>
      <c r="L10" s="9" t="str">
        <f>IF(Table13[[#This Row],[Category]]="Transportation", "ton", "")</f>
        <v/>
      </c>
      <c r="M10" s="9"/>
      <c r="N10" s="9"/>
      <c r="O10" s="9" t="str">
        <f>IF(OR(Table13[[#This Row],[Type]]="Main Product", Table13[[#This Row],[Type]]="Co-Product"), Table13[[#This Row],[Resource]], "")</f>
        <v/>
      </c>
      <c r="P10" s="9" t="str">
        <f>IF(_xlfn.XLOOKUP($O10,'SI - End Use'!$B$2:$B$53,'SI - End Use'!$C$2:$C$53, "")="", "", _xlfn.XLOOKUP($C10,'SI - End Use'!$B$2:$B$53,'SI - End Use'!$C$2:$C$53, ""))</f>
        <v/>
      </c>
      <c r="Q10" s="9"/>
      <c r="R10" s="9"/>
    </row>
    <row r="11" spans="1:18" x14ac:dyDescent="0.35">
      <c r="A11" s="9" t="s">
        <v>245</v>
      </c>
      <c r="B11" s="9" t="s">
        <v>222</v>
      </c>
      <c r="C11" s="9" t="s">
        <v>244</v>
      </c>
      <c r="D11" s="25" t="str">
        <f>IF(_xlfn.XLOOKUP($C11,'SI - End Use'!$B$2:$B$53,'SI - End Use'!$C$2:$C$53, "")="", "", _xlfn.XLOOKUP($C11,'SI - End Use'!$B$2:$B$53,'SI - End Use'!$C$2:$C$53, ""))</f>
        <v/>
      </c>
      <c r="E11" s="21">
        <v>3592.2218672845001</v>
      </c>
      <c r="F11" s="25" t="s">
        <v>63</v>
      </c>
      <c r="G11" s="32"/>
      <c r="H11" s="32"/>
      <c r="I11" s="36" t="str">
        <f>IF(Table13[[#This Row],[Type]]="Co-product", "No", "")</f>
        <v/>
      </c>
      <c r="J11" s="9"/>
      <c r="K11" s="9" t="str">
        <f>IF(Table13[[#This Row],[Category]]="Transportation", _xlfn.XLOOKUP(Table13[[#This Row],[Resource]], 'SI - Payload'!$A$10:$A$37,'SI - Payload'!$B$10:$B$37,"",0), "")</f>
        <v/>
      </c>
      <c r="L11" s="9" t="str">
        <f>IF(Table13[[#This Row],[Category]]="Transportation", "ton", "")</f>
        <v/>
      </c>
      <c r="M11" s="9"/>
      <c r="N11" s="9"/>
      <c r="O11" s="9" t="str">
        <f>IF(OR(Table13[[#This Row],[Type]]="Main Product", Table13[[#This Row],[Type]]="Co-Product"), Table13[[#This Row],[Resource]], "")</f>
        <v/>
      </c>
      <c r="P11" s="9" t="str">
        <f>IF(_xlfn.XLOOKUP($O11,'SI - End Use'!$B$2:$B$53,'SI - End Use'!$C$2:$C$53, "")="", "", _xlfn.XLOOKUP($C11,'SI - End Use'!$B$2:$B$53,'SI - End Use'!$C$2:$C$53, ""))</f>
        <v/>
      </c>
      <c r="Q11" s="9"/>
      <c r="R11" s="9"/>
    </row>
    <row r="12" spans="1:18" x14ac:dyDescent="0.35">
      <c r="A12" s="9" t="s">
        <v>245</v>
      </c>
      <c r="B12" s="9" t="s">
        <v>222</v>
      </c>
      <c r="C12" s="9" t="s">
        <v>250</v>
      </c>
      <c r="D12" s="25" t="str">
        <f>IF(_xlfn.XLOOKUP($C12,'SI - End Use'!$B$2:$B$53,'SI - End Use'!$C$2:$C$53, "")="", "", _xlfn.XLOOKUP($C12,'SI - End Use'!$B$2:$B$53,'SI - End Use'!$C$2:$C$53, ""))</f>
        <v/>
      </c>
      <c r="E12" s="21">
        <v>862.37929837680099</v>
      </c>
      <c r="F12" s="25" t="s">
        <v>63</v>
      </c>
      <c r="G12" s="32"/>
      <c r="H12" s="32"/>
      <c r="I12" s="36" t="str">
        <f>IF(Table13[[#This Row],[Type]]="Co-product", "No", "")</f>
        <v/>
      </c>
      <c r="J12" s="9"/>
      <c r="K12" s="9" t="str">
        <f>IF(Table13[[#This Row],[Category]]="Transportation", _xlfn.XLOOKUP(Table13[[#This Row],[Resource]], 'SI - Payload'!$A$10:$A$37,'SI - Payload'!$B$10:$B$37,"",0), "")</f>
        <v/>
      </c>
      <c r="L12" s="9" t="str">
        <f>IF(Table13[[#This Row],[Category]]="Transportation", "ton", "")</f>
        <v/>
      </c>
      <c r="M12" s="9"/>
      <c r="N12" s="9"/>
      <c r="O12" s="9" t="str">
        <f>IF(OR(Table13[[#This Row],[Type]]="Main Product", Table13[[#This Row],[Type]]="Co-Product"), Table13[[#This Row],[Resource]], "")</f>
        <v/>
      </c>
      <c r="P12" s="9" t="str">
        <f>IF(_xlfn.XLOOKUP($O12,'SI - End Use'!$B$2:$B$53,'SI - End Use'!$C$2:$C$53, "")="", "", _xlfn.XLOOKUP($C12,'SI - End Use'!$B$2:$B$53,'SI - End Use'!$C$2:$C$53, ""))</f>
        <v/>
      </c>
      <c r="Q12" s="9"/>
      <c r="R12" s="9"/>
    </row>
    <row r="13" spans="1:18" x14ac:dyDescent="0.35">
      <c r="A13" s="9" t="s">
        <v>0</v>
      </c>
      <c r="B13" s="9" t="s">
        <v>34</v>
      </c>
      <c r="C13" s="9" t="s">
        <v>244</v>
      </c>
      <c r="D13" s="25" t="str">
        <f>IF(_xlfn.XLOOKUP($C13,'SI - End Use'!$B$2:$B$53,'SI - End Use'!$C$2:$C$53, "")="", "", _xlfn.XLOOKUP($C13,'SI - End Use'!$B$2:$B$53,'SI - End Use'!$C$2:$C$53, ""))</f>
        <v/>
      </c>
      <c r="E13" s="21">
        <v>100</v>
      </c>
      <c r="F13" s="25" t="str" cm="1">
        <f t="array" ref="F13">IF($B13="Transportation",  'SI - Units'!$B$9:$B$9, _xlfn.XLOOKUP(_xlfn.XLOOKUP($C13,'SI - Units'!$B$24:$B$74,'SI - Units'!$C$24:$C$74, ""),'SI - Units'!$A$2:$A$8,'SI - Units'!$B$2:$B$8, ""))</f>
        <v>mi</v>
      </c>
      <c r="G13" s="32"/>
      <c r="H13" s="32"/>
      <c r="I13" s="36" t="str">
        <f>IF(Table13[[#This Row],[Type]]="Co-product", "No", "")</f>
        <v/>
      </c>
      <c r="J13" s="9"/>
      <c r="K13" s="9">
        <f>IF(Table13[[#This Row],[Category]]="Transportation", _xlfn.XLOOKUP(Table13[[#This Row],[Resource]], 'SI - Payload'!$A$10:$A$37,'SI - Payload'!$B$10:$B$37,"",0), "")</f>
        <v>23</v>
      </c>
      <c r="L13" s="9" t="str">
        <f>IF(Table13[[#This Row],[Category]]="Transportation", "ton", "")</f>
        <v>ton</v>
      </c>
      <c r="M13" s="9"/>
      <c r="N13" s="9"/>
      <c r="O13" s="9" t="str">
        <f>IF(OR(Table13[[#This Row],[Type]]="Main Product", Table13[[#This Row],[Type]]="Co-Product"), Table13[[#This Row],[Resource]], "")</f>
        <v/>
      </c>
      <c r="P13" s="9" t="str">
        <f>IF(_xlfn.XLOOKUP($O13,'SI - End Use'!$B$2:$B$53,'SI - End Use'!$C$2:$C$53, "")="", "", _xlfn.XLOOKUP($C13,'SI - End Use'!$B$2:$B$53,'SI - End Use'!$C$2:$C$53, ""))</f>
        <v/>
      </c>
      <c r="Q13" s="9"/>
      <c r="R13" s="9"/>
    </row>
    <row r="14" spans="1:18" x14ac:dyDescent="0.35">
      <c r="A14" s="9" t="s">
        <v>0</v>
      </c>
      <c r="B14" s="9" t="s">
        <v>34</v>
      </c>
      <c r="C14" s="9" t="s">
        <v>250</v>
      </c>
      <c r="D14" s="25"/>
      <c r="E14" s="21">
        <v>50</v>
      </c>
      <c r="F14" s="25" t="s">
        <v>35</v>
      </c>
      <c r="G14" s="32"/>
      <c r="H14" s="32"/>
      <c r="I14" s="36"/>
      <c r="J14" s="9"/>
      <c r="K14" s="9">
        <f>IF(Table13[[#This Row],[Category]]="Transportation", _xlfn.XLOOKUP(Table13[[#This Row],[Resource]], 'SI - Payload'!$A$10:$A$37,'SI - Payload'!$B$10:$B$37,"",0), "")</f>
        <v>23</v>
      </c>
      <c r="L14" s="9" t="str">
        <f>IF(Table13[[#This Row],[Category]]="Transportation", "ton", "")</f>
        <v>ton</v>
      </c>
      <c r="M14" s="9"/>
      <c r="N14" s="9"/>
      <c r="O14" s="9" t="str">
        <f>IF(OR(Table13[[#This Row],[Type]]="Main Product", Table13[[#This Row],[Type]]="Co-Product"), Table13[[#This Row],[Resource]], "")</f>
        <v/>
      </c>
      <c r="P14" s="25"/>
      <c r="Q14" s="9"/>
      <c r="R14" s="9"/>
    </row>
    <row r="15" spans="1:18" x14ac:dyDescent="0.35">
      <c r="A15" s="9" t="s">
        <v>0</v>
      </c>
      <c r="B15" s="9" t="s">
        <v>252</v>
      </c>
      <c r="C15" s="9" t="s">
        <v>234</v>
      </c>
      <c r="D15" s="25" t="str">
        <f>IF(_xlfn.XLOOKUP($C15,'SI - End Use'!$B$2:$B$53,'SI - End Use'!$C$2:$C$53, "")="", "", _xlfn.XLOOKUP($C15,'SI - End Use'!$B$2:$B$53,'SI - End Use'!$C$2:$C$53, ""))</f>
        <v/>
      </c>
      <c r="E15" s="21">
        <f>719*12/100*50.8%*44/12</f>
        <v>160.71088</v>
      </c>
      <c r="F15" s="25" t="s">
        <v>63</v>
      </c>
      <c r="G15" s="32"/>
      <c r="H15" s="32"/>
      <c r="I15" s="36" t="str">
        <f>IF(Table13[[#This Row],[Type]]="Co-product", "No", "")</f>
        <v/>
      </c>
      <c r="J15" s="9"/>
      <c r="K15" s="25" t="str">
        <f>IF(Table13[[#This Row],[Category]]="Transportation", _xlfn.XLOOKUP(Table13[[#This Row],[Resource]], 'SI - Payload'!$A$10:$A$37,'SI - Payload'!$B$10:$B$37,"",0), "")</f>
        <v/>
      </c>
      <c r="L15" s="25" t="str">
        <f>IF(Table13[[#This Row],[Category]]="Transportation", "ton", "")</f>
        <v/>
      </c>
      <c r="M15" s="9"/>
      <c r="N15" s="9"/>
      <c r="O15" s="25" t="str">
        <f>IF(OR(Table13[[#This Row],[Type]]="Main Product", Table13[[#This Row],[Type]]="Co-Product"), Table13[[#This Row],[Resource]], "")</f>
        <v/>
      </c>
      <c r="P15" s="25" t="str">
        <f>IF(_xlfn.XLOOKUP($O15,'SI - End Use'!$B$2:$B$53,'SI - End Use'!$C$2:$C$53, "")="", "", _xlfn.XLOOKUP($C15,'SI - End Use'!$B$2:$B$53,'SI - End Use'!$C$2:$C$53, ""))</f>
        <v/>
      </c>
      <c r="Q15" s="9"/>
      <c r="R15" s="9" t="s">
        <v>247</v>
      </c>
    </row>
    <row r="16" spans="1:18" x14ac:dyDescent="0.35">
      <c r="A16" s="9" t="s">
        <v>118</v>
      </c>
      <c r="B16" s="9" t="s">
        <v>222</v>
      </c>
      <c r="C16" s="9" t="s">
        <v>244</v>
      </c>
      <c r="D16" s="25" t="str">
        <f>IF(_xlfn.XLOOKUP($C16,'SI - End Use'!$B$2:$B$53,'SI - End Use'!$C$2:$C$53, "")="", "", _xlfn.XLOOKUP($C16,'SI - End Use'!$B$2:$B$53,'SI - End Use'!$C$2:$C$53, ""))</f>
        <v/>
      </c>
      <c r="E16" s="21">
        <v>3592.2218672845001</v>
      </c>
      <c r="F16" s="25" t="s">
        <v>63</v>
      </c>
      <c r="G16" s="32"/>
      <c r="H16" s="32"/>
      <c r="I16" s="36" t="str">
        <f>IF(Table13[[#This Row],[Type]]="Co-product", "No", "")</f>
        <v/>
      </c>
      <c r="J16" s="9"/>
      <c r="K16" s="9" t="str">
        <f>IF(Table13[[#This Row],[Category]]="Transportation", _xlfn.XLOOKUP(Table13[[#This Row],[Resource]], 'SI - Payload'!$A$10:$A$37,'SI - Payload'!$B$10:$B$37,"",0), "")</f>
        <v/>
      </c>
      <c r="L16" s="9" t="str">
        <f>IF(Table13[[#This Row],[Category]]="Transportation", "ton", "")</f>
        <v/>
      </c>
      <c r="M16" s="9"/>
      <c r="N16" s="9"/>
      <c r="O16" s="9" t="str">
        <f>IF(OR(Table13[[#This Row],[Type]]="Main Product", Table13[[#This Row],[Type]]="Co-Product"), Table13[[#This Row],[Resource]], "")</f>
        <v>Biocrude</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IF(Table13[[#This Row],[Type]]="Co-product", "No", "")</f>
        <v/>
      </c>
      <c r="J17" s="9"/>
      <c r="K17" s="9" t="str">
        <f>IF(Table13[[#This Row],[Category]]="Transportation", _xlfn.XLOOKUP(Table13[[#This Row],[Resource]], 'SI - Payload'!$A$10:$A$37,'SI - Payload'!$B$10:$B$37,"",0), "")</f>
        <v/>
      </c>
      <c r="L17" s="9" t="str">
        <f>IF(Table13[[#This Row],[Category]]="Transportation", "ton", "")</f>
        <v/>
      </c>
      <c r="M17" s="9"/>
      <c r="N17" s="9"/>
      <c r="O17" s="9" t="str">
        <f>IF(OR(Table13[[#This Row],[Type]]="Main Product", Table13[[#This Row],[Type]]="Co-Product"), Table13[[#This Row],[Resource]], "")</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IF(Table13[[#This Row],[Type]]="Co-product", "No", "")</f>
        <v/>
      </c>
      <c r="J18" s="9"/>
      <c r="K18" s="9" t="str">
        <f>IF(Table13[[#This Row],[Category]]="Transportation", _xlfn.XLOOKUP(Table13[[#This Row],[Resource]], 'SI - Payload'!$A$10:$A$37,'SI - Payload'!$B$10:$B$37,"",0), "")</f>
        <v/>
      </c>
      <c r="L18" s="9" t="str">
        <f>IF(Table13[[#This Row],[Category]]="Transportation", "ton", "")</f>
        <v/>
      </c>
      <c r="M18" s="9"/>
      <c r="N18" s="9"/>
      <c r="O18" s="9" t="str">
        <f>IF(OR(Table13[[#This Row],[Type]]="Main Product", Table13[[#This Row],[Type]]="Co-Product"), Table13[[#This Row],[Resource]], "")</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IF(Table13[[#This Row],[Type]]="Co-product", "No", "")</f>
        <v/>
      </c>
      <c r="J19" s="9"/>
      <c r="K19" s="9" t="str">
        <f>IF(Table13[[#This Row],[Category]]="Transportation", _xlfn.XLOOKUP(Table13[[#This Row],[Resource]], 'SI - Payload'!$A$10:$A$37,'SI - Payload'!$B$10:$B$37,"",0), "")</f>
        <v/>
      </c>
      <c r="L19" s="9" t="str">
        <f>IF(Table13[[#This Row],[Category]]="Transportation", "ton", "")</f>
        <v/>
      </c>
      <c r="M19" s="9"/>
      <c r="N19" s="9"/>
      <c r="O19" s="9" t="str">
        <f>IF(OR(Table13[[#This Row],[Type]]="Main Product", Table13[[#This Row],[Type]]="Co-Product"), Table13[[#This Row],[Resource]], "")</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IF(Table13[[#This Row],[Type]]="Co-product", "No", "")</f>
        <v/>
      </c>
      <c r="J20" s="9"/>
      <c r="K20" s="9" t="str">
        <f>IF(Table13[[#This Row],[Category]]="Transportation", _xlfn.XLOOKUP(Table13[[#This Row],[Resource]], 'SI - Payload'!$A$10:$A$37,'SI - Payload'!$B$10:$B$37,"",0), "")</f>
        <v/>
      </c>
      <c r="L20" s="9" t="str">
        <f>IF(Table13[[#This Row],[Category]]="Transportation", "ton", "")</f>
        <v/>
      </c>
      <c r="M20" s="9"/>
      <c r="N20" s="9"/>
      <c r="O20" s="9" t="str">
        <f>IF(OR(Table13[[#This Row],[Type]]="Main Product", Table13[[#This Row],[Type]]="Co-Product"), Table13[[#This Row],[Resource]], "")</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IF(Table13[[#This Row],[Type]]="Co-product", "No", "")</f>
        <v/>
      </c>
      <c r="J21" s="9"/>
      <c r="K21" s="9" t="str">
        <f>IF(Table13[[#This Row],[Category]]="Transportation", _xlfn.XLOOKUP(Table13[[#This Row],[Resource]], 'SI - Payload'!$A$10:$A$37,'SI - Payload'!$B$10:$B$37,"",0), "")</f>
        <v/>
      </c>
      <c r="L21" s="9" t="str">
        <f>IF(Table13[[#This Row],[Category]]="Transportation", "ton", "")</f>
        <v/>
      </c>
      <c r="M21" s="9"/>
      <c r="N21" s="9"/>
      <c r="O21" s="9" t="str">
        <f>IF(OR(Table13[[#This Row],[Type]]="Main Product", Table13[[#This Row],[Type]]="Co-Product"), Table13[[#This Row],[Resource]], "")</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IF(Table13[[#This Row],[Type]]="Co-product", "No", "")</f>
        <v/>
      </c>
      <c r="J22" s="9"/>
      <c r="K22" s="9" t="str">
        <f>IF(Table13[[#This Row],[Category]]="Transportation", _xlfn.XLOOKUP(Table13[[#This Row],[Resource]], 'SI - Payload'!$A$10:$A$37,'SI - Payload'!$B$10:$B$37,"",0), "")</f>
        <v/>
      </c>
      <c r="L22" s="9" t="str">
        <f>IF(Table13[[#This Row],[Category]]="Transportation", "ton", "")</f>
        <v/>
      </c>
      <c r="M22" s="9"/>
      <c r="N22" s="9"/>
      <c r="O22" s="9" t="str">
        <f>IF(OR(Table13[[#This Row],[Type]]="Main Product", Table13[[#This Row],[Type]]="Co-Product"), Table13[[#This Row],[Resource]], "")</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IF(Table13[[#This Row],[Type]]="Co-product", "No", "")</f>
        <v/>
      </c>
      <c r="J23" s="9"/>
      <c r="K23" s="9" t="str">
        <f>IF(Table13[[#This Row],[Category]]="Transportation", _xlfn.XLOOKUP(Table13[[#This Row],[Resource]], 'SI - Payload'!$A$10:$A$37,'SI - Payload'!$B$10:$B$37,"",0), "")</f>
        <v/>
      </c>
      <c r="L23" s="9" t="str">
        <f>IF(Table13[[#This Row],[Category]]="Transportation", "ton", "")</f>
        <v/>
      </c>
      <c r="M23" s="9"/>
      <c r="N23" s="9"/>
      <c r="O23" s="9" t="str">
        <f>IF(OR(Table13[[#This Row],[Type]]="Main Product", Table13[[#This Row],[Type]]="Co-Product"), Table13[[#This Row],[Resource]], "")</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IF(Table13[[#This Row],[Type]]="Co-product", "No", "")</f>
        <v/>
      </c>
      <c r="J24" s="9"/>
      <c r="K24" s="9" t="str">
        <f>IF(Table13[[#This Row],[Category]]="Transportation", _xlfn.XLOOKUP(Table13[[#This Row],[Resource]], 'SI - Payload'!$A$10:$A$37,'SI - Payload'!$B$10:$B$37,"",0), "")</f>
        <v/>
      </c>
      <c r="L24" s="9" t="str">
        <f>IF(Table13[[#This Row],[Category]]="Transportation", "ton", "")</f>
        <v/>
      </c>
      <c r="M24" s="9"/>
      <c r="N24" s="9"/>
      <c r="O24" s="9" t="str">
        <f>IF(OR(Table13[[#This Row],[Type]]="Main Product", Table13[[#This Row],[Type]]="Co-Product"), Table13[[#This Row],[Resource]], "")</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IF(Table13[[#This Row],[Type]]="Co-product", "No", "")</f>
        <v/>
      </c>
      <c r="J25" s="9"/>
      <c r="K25" s="9" t="str">
        <f>IF(Table13[[#This Row],[Category]]="Transportation", _xlfn.XLOOKUP(Table13[[#This Row],[Resource]], 'SI - Payload'!$A$10:$A$37,'SI - Payload'!$B$10:$B$37,"",0), "")</f>
        <v/>
      </c>
      <c r="L25" s="9" t="str">
        <f>IF(Table13[[#This Row],[Category]]="Transportation", "ton", "")</f>
        <v/>
      </c>
      <c r="M25" s="9"/>
      <c r="N25" s="9"/>
      <c r="O25" s="9" t="str">
        <f>IF(OR(Table13[[#This Row],[Type]]="Main Product", Table13[[#This Row],[Type]]="Co-Product"), Table13[[#This Row],[Resource]], "")</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IF(Table13[[#This Row],[Type]]="Co-product", "No", "")</f>
        <v/>
      </c>
      <c r="J26" s="9"/>
      <c r="K26" s="9" t="str">
        <f>IF(Table13[[#This Row],[Category]]="Transportation", _xlfn.XLOOKUP(Table13[[#This Row],[Resource]], 'SI - Payload'!$A$10:$A$37,'SI - Payload'!$B$10:$B$37,"",0), "")</f>
        <v/>
      </c>
      <c r="L26" s="9" t="str">
        <f>IF(Table13[[#This Row],[Category]]="Transportation", "ton", "")</f>
        <v/>
      </c>
      <c r="M26" s="9"/>
      <c r="N26" s="9"/>
      <c r="O26" s="9" t="str">
        <f>IF(OR(Table13[[#This Row],[Type]]="Main Product", Table13[[#This Row],[Type]]="Co-Product"), Table13[[#This Row],[Resource]], "")</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IF(Table13[[#This Row],[Type]]="Co-product", "No", "")</f>
        <v/>
      </c>
      <c r="J27" s="9"/>
      <c r="K27" s="9" t="str">
        <f>IF(Table13[[#This Row],[Category]]="Transportation", _xlfn.XLOOKUP(Table13[[#This Row],[Resource]], 'SI - Payload'!$A$10:$A$37,'SI - Payload'!$B$10:$B$37,"",0), "")</f>
        <v/>
      </c>
      <c r="L27" s="9" t="str">
        <f>IF(Table13[[#This Row],[Category]]="Transportation", "ton", "")</f>
        <v/>
      </c>
      <c r="M27" s="9"/>
      <c r="N27" s="9"/>
      <c r="O27" s="9" t="str">
        <f>IF(OR(Table13[[#This Row],[Type]]="Main Product", Table13[[#This Row],[Type]]="Co-Product"), Table13[[#This Row],[Resource]], "")</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IF(Table13[[#This Row],[Type]]="Co-product", "No", "")</f>
        <v/>
      </c>
      <c r="J28" s="9"/>
      <c r="K28" s="9" t="str">
        <f>IF(Table13[[#This Row],[Category]]="Transportation", _xlfn.XLOOKUP(Table13[[#This Row],[Resource]], 'SI - Payload'!$A$10:$A$37,'SI - Payload'!$B$10:$B$37,"",0), "")</f>
        <v/>
      </c>
      <c r="L28" s="9" t="str">
        <f>IF(Table13[[#This Row],[Category]]="Transportation", "ton", "")</f>
        <v/>
      </c>
      <c r="M28" s="9"/>
      <c r="N28" s="9"/>
      <c r="O28" s="9" t="str">
        <f>IF(OR(Table13[[#This Row],[Type]]="Main Product", Table13[[#This Row],[Type]]="Co-Product"), Table13[[#This Row],[Resource]], "")</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IF(Table13[[#This Row],[Type]]="Co-product", "No", "")</f>
        <v/>
      </c>
      <c r="J29" s="9"/>
      <c r="K29" s="9" t="str">
        <f>IF(Table13[[#This Row],[Category]]="Transportation", _xlfn.XLOOKUP(Table13[[#This Row],[Resource]], 'SI - Payload'!$A$10:$A$37,'SI - Payload'!$B$10:$B$37,"",0), "")</f>
        <v/>
      </c>
      <c r="L29" s="9" t="str">
        <f>IF(Table13[[#This Row],[Category]]="Transportation", "ton", "")</f>
        <v/>
      </c>
      <c r="M29" s="9"/>
      <c r="N29" s="9"/>
      <c r="O29" s="9" t="str">
        <f>IF(OR(Table13[[#This Row],[Type]]="Main Product", Table13[[#This Row],[Type]]="Co-Product"), Table13[[#This Row],[Resource]], "")</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IF(Table13[[#This Row],[Type]]="Co-product", "No", "")</f>
        <v/>
      </c>
      <c r="J30" s="9"/>
      <c r="K30" s="9" t="str">
        <f>IF(Table13[[#This Row],[Category]]="Transportation", _xlfn.XLOOKUP(Table13[[#This Row],[Resource]], 'SI - Payload'!$A$10:$A$37,'SI - Payload'!$B$10:$B$37,"",0), "")</f>
        <v/>
      </c>
      <c r="L30" s="9" t="str">
        <f>IF(Table13[[#This Row],[Category]]="Transportation", "ton", "")</f>
        <v/>
      </c>
      <c r="M30" s="9"/>
      <c r="N30" s="9"/>
      <c r="O30" s="9" t="str">
        <f>IF(OR(Table13[[#This Row],[Type]]="Main Product", Table13[[#This Row],[Type]]="Co-Product"), Table13[[#This Row],[Resource]], "")</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IF(Table13[[#This Row],[Type]]="Co-product", "No", "")</f>
        <v/>
      </c>
      <c r="J31" s="9"/>
      <c r="K31" s="9" t="str">
        <f>IF(Table13[[#This Row],[Category]]="Transportation", _xlfn.XLOOKUP(Table13[[#This Row],[Resource]], 'SI - Payload'!$A$10:$A$37,'SI - Payload'!$B$10:$B$37,"",0), "")</f>
        <v/>
      </c>
      <c r="L31" s="9" t="str">
        <f>IF(Table13[[#This Row],[Category]]="Transportation", "ton", "")</f>
        <v/>
      </c>
      <c r="M31" s="9"/>
      <c r="N31" s="9"/>
      <c r="O31" s="9" t="str">
        <f>IF(OR(Table13[[#This Row],[Type]]="Main Product", Table13[[#This Row],[Type]]="Co-Product"), Table13[[#This Row],[Resource]], "")</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IF(Table13[[#This Row],[Type]]="Co-product", "No", "")</f>
        <v/>
      </c>
      <c r="J32" s="9"/>
      <c r="K32" s="9" t="str">
        <f>IF(Table13[[#This Row],[Category]]="Transportation", _xlfn.XLOOKUP(Table13[[#This Row],[Resource]], 'SI - Payload'!$A$10:$A$37,'SI - Payload'!$B$10:$B$37,"",0), "")</f>
        <v/>
      </c>
      <c r="L32" s="9" t="str">
        <f>IF(Table13[[#This Row],[Category]]="Transportation", "ton", "")</f>
        <v/>
      </c>
      <c r="M32" s="9"/>
      <c r="N32" s="9"/>
      <c r="O32" s="9" t="str">
        <f>IF(OR(Table13[[#This Row],[Type]]="Main Product", Table13[[#This Row],[Type]]="Co-Product"), Table13[[#This Row],[Resource]], "")</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IF(Table13[[#This Row],[Type]]="Co-product", "No", "")</f>
        <v/>
      </c>
      <c r="J33" s="9"/>
      <c r="K33" s="9" t="str">
        <f>IF(Table13[[#This Row],[Category]]="Transportation", _xlfn.XLOOKUP(Table13[[#This Row],[Resource]], 'SI - Payload'!$A$10:$A$37,'SI - Payload'!$B$10:$B$37,"",0), "")</f>
        <v/>
      </c>
      <c r="L33" s="9" t="str">
        <f>IF(Table13[[#This Row],[Category]]="Transportation", "ton", "")</f>
        <v/>
      </c>
      <c r="M33" s="9"/>
      <c r="N33" s="9"/>
      <c r="O33" s="9" t="str">
        <f>IF(OR(Table13[[#This Row],[Type]]="Main Product", Table13[[#This Row],[Type]]="Co-Product"), Table13[[#This Row],[Resource]], "")</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IF(Table13[[#This Row],[Type]]="Co-product", "No", "")</f>
        <v/>
      </c>
      <c r="J34" s="9"/>
      <c r="K34" s="9" t="str">
        <f>IF(Table13[[#This Row],[Category]]="Transportation", _xlfn.XLOOKUP(Table13[[#This Row],[Resource]], 'SI - Payload'!$A$10:$A$37,'SI - Payload'!$B$10:$B$37,"",0), "")</f>
        <v/>
      </c>
      <c r="L34" s="9" t="str">
        <f>IF(Table13[[#This Row],[Category]]="Transportation", "ton", "")</f>
        <v/>
      </c>
      <c r="M34" s="9"/>
      <c r="N34" s="9"/>
      <c r="O34" s="9" t="str">
        <f>IF(OR(Table13[[#This Row],[Type]]="Main Product", Table13[[#This Row],[Type]]="Co-Product"), Table13[[#This Row],[Resource]], "")</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IF(Table13[[#This Row],[Type]]="Co-product", "No", "")</f>
        <v/>
      </c>
      <c r="J35" s="9"/>
      <c r="K35" s="9" t="str">
        <f>IF(Table13[[#This Row],[Category]]="Transportation", _xlfn.XLOOKUP(Table13[[#This Row],[Resource]], 'SI - Payload'!$A$10:$A$37,'SI - Payload'!$B$10:$B$37,"",0), "")</f>
        <v/>
      </c>
      <c r="L35" s="9" t="str">
        <f>IF(Table13[[#This Row],[Category]]="Transportation", "ton", "")</f>
        <v/>
      </c>
      <c r="M35" s="9"/>
      <c r="N35" s="9"/>
      <c r="O35" s="9" t="str">
        <f>IF(OR(Table13[[#This Row],[Type]]="Main Product", Table13[[#This Row],[Type]]="Co-Product"), Table13[[#This Row],[Resource]], "")</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IF(Table13[[#This Row],[Type]]="Co-product", "No", "")</f>
        <v/>
      </c>
      <c r="J36" s="9"/>
      <c r="K36" s="9" t="str">
        <f>IF(Table13[[#This Row],[Category]]="Transportation", _xlfn.XLOOKUP(Table13[[#This Row],[Resource]], 'SI - Payload'!$A$10:$A$37,'SI - Payload'!$B$10:$B$37,"",0), "")</f>
        <v/>
      </c>
      <c r="L36" s="9" t="str">
        <f>IF(Table13[[#This Row],[Category]]="Transportation", "ton", "")</f>
        <v/>
      </c>
      <c r="M36" s="9"/>
      <c r="N36" s="9"/>
      <c r="O36" s="9" t="str">
        <f>IF(OR(Table13[[#This Row],[Type]]="Main Product", Table13[[#This Row],[Type]]="Co-Product"), Table13[[#This Row],[Resource]], "")</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IF(Table13[[#This Row],[Type]]="Co-product", "No", "")</f>
        <v/>
      </c>
      <c r="J37" s="9"/>
      <c r="K37" s="9" t="str">
        <f>IF(Table13[[#This Row],[Category]]="Transportation", _xlfn.XLOOKUP(Table13[[#This Row],[Resource]], 'SI - Payload'!$A$10:$A$37,'SI - Payload'!$B$10:$B$37,"",0), "")</f>
        <v/>
      </c>
      <c r="L37" s="9" t="str">
        <f>IF(Table13[[#This Row],[Category]]="Transportation", "ton", "")</f>
        <v/>
      </c>
      <c r="M37" s="9"/>
      <c r="N37" s="9"/>
      <c r="O37" s="9" t="str">
        <f>IF(OR(Table13[[#This Row],[Type]]="Main Product", Table13[[#This Row],[Type]]="Co-Product"), Table13[[#This Row],[Resource]], "")</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IF(Table13[[#This Row],[Type]]="Co-product", "No", "")</f>
        <v/>
      </c>
      <c r="J38" s="9"/>
      <c r="K38" s="9" t="str">
        <f>IF(Table13[[#This Row],[Category]]="Transportation", _xlfn.XLOOKUP(Table13[[#This Row],[Resource]], 'SI - Payload'!$A$10:$A$37,'SI - Payload'!$B$10:$B$37,"",0), "")</f>
        <v/>
      </c>
      <c r="L38" s="9" t="str">
        <f>IF(Table13[[#This Row],[Category]]="Transportation", "ton", "")</f>
        <v/>
      </c>
      <c r="M38" s="9"/>
      <c r="N38" s="9"/>
      <c r="O38" s="9" t="str">
        <f>IF(OR(Table13[[#This Row],[Type]]="Main Product", Table13[[#This Row],[Type]]="Co-Product"), Table13[[#This Row],[Resource]], "")</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IF(Table13[[#This Row],[Type]]="Co-product", "No", "")</f>
        <v/>
      </c>
      <c r="J39" s="9"/>
      <c r="K39" s="9" t="str">
        <f>IF(Table13[[#This Row],[Category]]="Transportation", _xlfn.XLOOKUP(Table13[[#This Row],[Resource]], 'SI - Payload'!$A$10:$A$37,'SI - Payload'!$B$10:$B$37,"",0), "")</f>
        <v/>
      </c>
      <c r="L39" s="9" t="str">
        <f>IF(Table13[[#This Row],[Category]]="Transportation", "ton", "")</f>
        <v/>
      </c>
      <c r="M39" s="9"/>
      <c r="N39" s="9"/>
      <c r="O39" s="9" t="str">
        <f>IF(OR(Table13[[#This Row],[Type]]="Main Product", Table13[[#This Row],[Type]]="Co-Product"), Table13[[#This Row],[Resource]], "")</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IF(Table13[[#This Row],[Type]]="Co-product", "No", "")</f>
        <v/>
      </c>
      <c r="J40" s="9"/>
      <c r="K40" s="9" t="str">
        <f>IF(Table13[[#This Row],[Category]]="Transportation", _xlfn.XLOOKUP(Table13[[#This Row],[Resource]], 'SI - Payload'!$A$10:$A$37,'SI - Payload'!$B$10:$B$37,"",0), "")</f>
        <v/>
      </c>
      <c r="L40" s="9" t="str">
        <f>IF(Table13[[#This Row],[Category]]="Transportation", "ton", "")</f>
        <v/>
      </c>
      <c r="M40" s="9"/>
      <c r="N40" s="9"/>
      <c r="O40" s="9" t="str">
        <f>IF(OR(Table13[[#This Row],[Type]]="Main Product", Table13[[#This Row],[Type]]="Co-Product"), Table13[[#This Row],[Resource]], "")</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IF(Table13[[#This Row],[Type]]="Co-product", "No", "")</f>
        <v/>
      </c>
      <c r="J41" s="9"/>
      <c r="K41" s="9" t="str">
        <f>IF(Table13[[#This Row],[Category]]="Transportation", _xlfn.XLOOKUP(Table13[[#This Row],[Resource]], 'SI - Payload'!$A$10:$A$37,'SI - Payload'!$B$10:$B$37,"",0), "")</f>
        <v/>
      </c>
      <c r="L41" s="9" t="str">
        <f>IF(Table13[[#This Row],[Category]]="Transportation", "ton", "")</f>
        <v/>
      </c>
      <c r="M41" s="9"/>
      <c r="N41" s="9"/>
      <c r="O41" s="9" t="str">
        <f>IF(OR(Table13[[#This Row],[Type]]="Main Product", Table13[[#This Row],[Type]]="Co-Product"), Table13[[#This Row],[Resource]], "")</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IF(Table13[[#This Row],[Type]]="Co-product", "No", "")</f>
        <v/>
      </c>
      <c r="J42" s="9"/>
      <c r="K42" s="9" t="str">
        <f>IF(Table13[[#This Row],[Category]]="Transportation", _xlfn.XLOOKUP(Table13[[#This Row],[Resource]], 'SI - Payload'!$A$10:$A$37,'SI - Payload'!$B$10:$B$37,"",0), "")</f>
        <v/>
      </c>
      <c r="L42" s="9" t="str">
        <f>IF(Table13[[#This Row],[Category]]="Transportation", "ton", "")</f>
        <v/>
      </c>
      <c r="M42" s="9"/>
      <c r="N42" s="9"/>
      <c r="O42" s="9" t="str">
        <f>IF(OR(Table13[[#This Row],[Type]]="Main Product", Table13[[#This Row],[Type]]="Co-Product"), Table13[[#This Row],[Resource]], "")</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IF(Table13[[#This Row],[Type]]="Co-product", "No", "")</f>
        <v/>
      </c>
      <c r="J43" s="9"/>
      <c r="K43" s="9" t="str">
        <f>IF(Table13[[#This Row],[Category]]="Transportation", _xlfn.XLOOKUP(Table13[[#This Row],[Resource]], 'SI - Payload'!$A$10:$A$37,'SI - Payload'!$B$10:$B$37,"",0), "")</f>
        <v/>
      </c>
      <c r="L43" s="9" t="str">
        <f>IF(Table13[[#This Row],[Category]]="Transportation", "ton", "")</f>
        <v/>
      </c>
      <c r="M43" s="9"/>
      <c r="N43" s="9"/>
      <c r="O43" s="9" t="str">
        <f>IF(OR(Table13[[#This Row],[Type]]="Main Product", Table13[[#This Row],[Type]]="Co-Product"), Table13[[#This Row],[Resource]], "")</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IF(Table13[[#This Row],[Type]]="Co-product", "No", "")</f>
        <v/>
      </c>
      <c r="J44" s="9"/>
      <c r="K44" s="9" t="str">
        <f>IF(Table13[[#This Row],[Category]]="Transportation", _xlfn.XLOOKUP(Table13[[#This Row],[Resource]], 'SI - Payload'!$A$10:$A$37,'SI - Payload'!$B$10:$B$37,"",0), "")</f>
        <v/>
      </c>
      <c r="L44" s="9" t="str">
        <f>IF(Table13[[#This Row],[Category]]="Transportation", "ton", "")</f>
        <v/>
      </c>
      <c r="M44" s="9"/>
      <c r="N44" s="9"/>
      <c r="O44" s="9" t="str">
        <f>IF(OR(Table13[[#This Row],[Type]]="Main Product", Table13[[#This Row],[Type]]="Co-Product"), Table13[[#This Row],[Resource]], "")</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IF(Table13[[#This Row],[Type]]="Co-product", "No", "")</f>
        <v/>
      </c>
      <c r="J45" s="9"/>
      <c r="K45" s="9" t="str">
        <f>IF(Table13[[#This Row],[Category]]="Transportation", _xlfn.XLOOKUP(Table13[[#This Row],[Resource]], 'SI - Payload'!$A$10:$A$37,'SI - Payload'!$B$10:$B$37,"",0), "")</f>
        <v/>
      </c>
      <c r="L45" s="9" t="str">
        <f>IF(Table13[[#This Row],[Category]]="Transportation", "ton", "")</f>
        <v/>
      </c>
      <c r="M45" s="9"/>
      <c r="N45" s="9"/>
      <c r="O45" s="9" t="str">
        <f>IF(OR(Table13[[#This Row],[Type]]="Main Product", Table13[[#This Row],[Type]]="Co-Product"), Table13[[#This Row],[Resource]], "")</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IF(Table13[[#This Row],[Type]]="Co-product", "No", "")</f>
        <v/>
      </c>
      <c r="J46" s="9"/>
      <c r="K46" s="9" t="str">
        <f>IF(Table13[[#This Row],[Category]]="Transportation", _xlfn.XLOOKUP(Table13[[#This Row],[Resource]], 'SI - Payload'!$A$10:$A$37,'SI - Payload'!$B$10:$B$37,"",0), "")</f>
        <v/>
      </c>
      <c r="L46" s="9" t="str">
        <f>IF(Table13[[#This Row],[Category]]="Transportation", "ton", "")</f>
        <v/>
      </c>
      <c r="M46" s="9"/>
      <c r="N46" s="9"/>
      <c r="O46" s="9" t="str">
        <f>IF(OR(Table13[[#This Row],[Type]]="Main Product", Table13[[#This Row],[Type]]="Co-Product"), Table13[[#This Row],[Resource]], "")</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IF(Table13[[#This Row],[Type]]="Co-product", "No", "")</f>
        <v/>
      </c>
      <c r="J47" s="9"/>
      <c r="K47" s="9" t="str">
        <f>IF(Table13[[#This Row],[Category]]="Transportation", _xlfn.XLOOKUP(Table13[[#This Row],[Resource]], 'SI - Payload'!$A$10:$A$37,'SI - Payload'!$B$10:$B$37,"",0), "")</f>
        <v/>
      </c>
      <c r="L47" s="9" t="str">
        <f>IF(Table13[[#This Row],[Category]]="Transportation", "ton", "")</f>
        <v/>
      </c>
      <c r="M47" s="9"/>
      <c r="N47" s="9"/>
      <c r="O47" s="9" t="str">
        <f>IF(OR(Table13[[#This Row],[Type]]="Main Product", Table13[[#This Row],[Type]]="Co-Product"), Table13[[#This Row],[Resource]], "")</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IF(Table13[[#This Row],[Type]]="Co-product", "No", "")</f>
        <v/>
      </c>
      <c r="J48" s="9"/>
      <c r="K48" s="9" t="str">
        <f>IF(Table13[[#This Row],[Category]]="Transportation", _xlfn.XLOOKUP(Table13[[#This Row],[Resource]], 'SI - Payload'!$A$10:$A$37,'SI - Payload'!$B$10:$B$37,"",0), "")</f>
        <v/>
      </c>
      <c r="L48" s="9" t="str">
        <f>IF(Table13[[#This Row],[Category]]="Transportation", "ton", "")</f>
        <v/>
      </c>
      <c r="M48" s="9"/>
      <c r="N48" s="9"/>
      <c r="O48" s="9" t="str">
        <f>IF(OR(Table13[[#This Row],[Type]]="Main Product", Table13[[#This Row],[Type]]="Co-Product"), Table13[[#This Row],[Resource]], "")</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IF(Table13[[#This Row],[Type]]="Co-product", "No", "")</f>
        <v/>
      </c>
      <c r="J49" s="9"/>
      <c r="K49" s="9" t="str">
        <f>IF(Table13[[#This Row],[Category]]="Transportation", _xlfn.XLOOKUP(Table13[[#This Row],[Resource]], 'SI - Payload'!$A$10:$A$37,'SI - Payload'!$B$10:$B$37,"",0), "")</f>
        <v/>
      </c>
      <c r="L49" s="9" t="str">
        <f>IF(Table13[[#This Row],[Category]]="Transportation", "ton", "")</f>
        <v/>
      </c>
      <c r="M49" s="9"/>
      <c r="N49" s="9"/>
      <c r="O49" s="9" t="str">
        <f>IF(OR(Table13[[#This Row],[Type]]="Main Product", Table13[[#This Row],[Type]]="Co-Product"), Table13[[#This Row],[Resource]], "")</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IF(Table13[[#This Row],[Type]]="Co-product", "No", "")</f>
        <v/>
      </c>
      <c r="J50" s="9"/>
      <c r="K50" s="9" t="str">
        <f>IF(Table13[[#This Row],[Category]]="Transportation", _xlfn.XLOOKUP(Table13[[#This Row],[Resource]], 'SI - Payload'!$A$10:$A$37,'SI - Payload'!$B$10:$B$37,"",0), "")</f>
        <v/>
      </c>
      <c r="L50" s="9" t="str">
        <f>IF(Table13[[#This Row],[Category]]="Transportation", "ton", "")</f>
        <v/>
      </c>
      <c r="M50" s="9"/>
      <c r="N50" s="9"/>
      <c r="O50" s="9" t="str">
        <f>IF(OR(Table13[[#This Row],[Type]]="Main Product", Table13[[#This Row],[Type]]="Co-Product"), Table13[[#This Row],[Resource]], "")</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IF(Table13[[#This Row],[Type]]="Co-product", "No", "")</f>
        <v/>
      </c>
      <c r="J51" s="9"/>
      <c r="K51" s="9" t="str">
        <f>IF(Table13[[#This Row],[Category]]="Transportation", _xlfn.XLOOKUP(Table13[[#This Row],[Resource]], 'SI - Payload'!$A$10:$A$37,'SI - Payload'!$B$10:$B$37,"",0), "")</f>
        <v/>
      </c>
      <c r="L51" s="9" t="str">
        <f>IF(Table13[[#This Row],[Category]]="Transportation", "ton", "")</f>
        <v/>
      </c>
      <c r="M51" s="9"/>
      <c r="N51" s="9"/>
      <c r="O51" s="9" t="str">
        <f>IF(OR(Table13[[#This Row],[Type]]="Main Product", Table13[[#This Row],[Type]]="Co-Product"), Table13[[#This Row],[Resource]], "")</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IF(Table13[[#This Row],[Type]]="Co-product", "No", "")</f>
        <v/>
      </c>
      <c r="J52" s="9"/>
      <c r="K52" s="9" t="str">
        <f>IF(Table13[[#This Row],[Category]]="Transportation", _xlfn.XLOOKUP(Table13[[#This Row],[Resource]], 'SI - Payload'!$A$10:$A$37,'SI - Payload'!$B$10:$B$37,"",0), "")</f>
        <v/>
      </c>
      <c r="L52" s="9" t="str">
        <f>IF(Table13[[#This Row],[Category]]="Transportation", "ton", "")</f>
        <v/>
      </c>
      <c r="M52" s="9"/>
      <c r="N52" s="9"/>
      <c r="O52" s="9" t="str">
        <f>IF(OR(Table13[[#This Row],[Type]]="Main Product", Table13[[#This Row],[Type]]="Co-Product"), Table13[[#This Row],[Resource]], "")</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IF(Table13[[#This Row],[Type]]="Co-product", "No", "")</f>
        <v/>
      </c>
      <c r="J53" s="9"/>
      <c r="K53" s="9" t="str">
        <f>IF(Table13[[#This Row],[Category]]="Transportation", _xlfn.XLOOKUP(Table13[[#This Row],[Resource]], 'SI - Payload'!$A$10:$A$37,'SI - Payload'!$B$10:$B$37,"",0), "")</f>
        <v/>
      </c>
      <c r="L53" s="9" t="str">
        <f>IF(Table13[[#This Row],[Category]]="Transportation", "ton", "")</f>
        <v/>
      </c>
      <c r="M53" s="9"/>
      <c r="N53" s="9"/>
      <c r="O53" s="9" t="str">
        <f>IF(OR(Table13[[#This Row],[Type]]="Main Product", Table13[[#This Row],[Type]]="Co-Product"), Table13[[#This Row],[Resource]], "")</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IF(Table13[[#This Row],[Type]]="Co-product", "No", "")</f>
        <v/>
      </c>
      <c r="J54" s="9"/>
      <c r="K54" s="9" t="str">
        <f>IF(Table13[[#This Row],[Category]]="Transportation", _xlfn.XLOOKUP(Table13[[#This Row],[Resource]], 'SI - Payload'!$A$10:$A$37,'SI - Payload'!$B$10:$B$37,"",0), "")</f>
        <v/>
      </c>
      <c r="L54" s="9" t="str">
        <f>IF(Table13[[#This Row],[Category]]="Transportation", "ton", "")</f>
        <v/>
      </c>
      <c r="M54" s="9"/>
      <c r="N54" s="9"/>
      <c r="O54" s="9" t="str">
        <f>IF(OR(Table13[[#This Row],[Type]]="Main Product", Table13[[#This Row],[Type]]="Co-Product"), Table13[[#This Row],[Resource]], "")</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IF(Table13[[#This Row],[Type]]="Co-product", "No", "")</f>
        <v/>
      </c>
      <c r="J55" s="9"/>
      <c r="K55" s="9" t="str">
        <f>IF(Table13[[#This Row],[Category]]="Transportation", _xlfn.XLOOKUP(Table13[[#This Row],[Resource]], 'SI - Payload'!$A$10:$A$37,'SI - Payload'!$B$10:$B$37,"",0), "")</f>
        <v/>
      </c>
      <c r="L55" s="9" t="str">
        <f>IF(Table13[[#This Row],[Category]]="Transportation", "ton", "")</f>
        <v/>
      </c>
      <c r="M55" s="9"/>
      <c r="N55" s="9"/>
      <c r="O55" s="9" t="str">
        <f>IF(OR(Table13[[#This Row],[Type]]="Main Product", Table13[[#This Row],[Type]]="Co-Product"), Table13[[#This Row],[Resource]], "")</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IF(Table13[[#This Row],[Type]]="Co-product", "No", "")</f>
        <v/>
      </c>
      <c r="J56" s="9"/>
      <c r="K56" s="9" t="str">
        <f>IF(Table13[[#This Row],[Category]]="Transportation", _xlfn.XLOOKUP(Table13[[#This Row],[Resource]], 'SI - Payload'!$A$10:$A$37,'SI - Payload'!$B$10:$B$37,"",0), "")</f>
        <v/>
      </c>
      <c r="L56" s="9" t="str">
        <f>IF(Table13[[#This Row],[Category]]="Transportation", "ton", "")</f>
        <v/>
      </c>
      <c r="M56" s="9"/>
      <c r="N56" s="9"/>
      <c r="O56" s="9" t="str">
        <f>IF(OR(Table13[[#This Row],[Type]]="Main Product", Table13[[#This Row],[Type]]="Co-Product"), Table13[[#This Row],[Resource]], "")</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IF(Table13[[#This Row],[Type]]="Co-product", "No", "")</f>
        <v/>
      </c>
      <c r="J57" s="9"/>
      <c r="K57" s="9" t="str">
        <f>IF(Table13[[#This Row],[Category]]="Transportation", _xlfn.XLOOKUP(Table13[[#This Row],[Resource]], 'SI - Payload'!$A$10:$A$37,'SI - Payload'!$B$10:$B$37,"",0), "")</f>
        <v/>
      </c>
      <c r="L57" s="9" t="str">
        <f>IF(Table13[[#This Row],[Category]]="Transportation", "ton", "")</f>
        <v/>
      </c>
      <c r="M57" s="9"/>
      <c r="N57" s="9"/>
      <c r="O57" s="9" t="str">
        <f>IF(OR(Table13[[#This Row],[Type]]="Main Product", Table13[[#This Row],[Type]]="Co-Product"), Table13[[#This Row],[Resource]], "")</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IF(Table13[[#This Row],[Type]]="Co-product", "No", "")</f>
        <v/>
      </c>
      <c r="J58" s="9"/>
      <c r="K58" s="9" t="str">
        <f>IF(Table13[[#This Row],[Category]]="Transportation", _xlfn.XLOOKUP(Table13[[#This Row],[Resource]], 'SI - Payload'!$A$10:$A$37,'SI - Payload'!$B$10:$B$37,"",0), "")</f>
        <v/>
      </c>
      <c r="L58" s="9" t="str">
        <f>IF(Table13[[#This Row],[Category]]="Transportation", "ton", "")</f>
        <v/>
      </c>
      <c r="M58" s="9"/>
      <c r="N58" s="9"/>
      <c r="O58" s="9" t="str">
        <f>IF(OR(Table13[[#This Row],[Type]]="Main Product", Table13[[#This Row],[Type]]="Co-Product"), Table13[[#This Row],[Resource]], "")</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IF(Table13[[#This Row],[Type]]="Co-product", "No", "")</f>
        <v/>
      </c>
      <c r="J59" s="9"/>
      <c r="K59" s="9" t="str">
        <f>IF(Table13[[#This Row],[Category]]="Transportation", _xlfn.XLOOKUP(Table13[[#This Row],[Resource]], 'SI - Payload'!$A$10:$A$37,'SI - Payload'!$B$10:$B$37,"",0), "")</f>
        <v/>
      </c>
      <c r="L59" s="9" t="str">
        <f>IF(Table13[[#This Row],[Category]]="Transportation", "ton", "")</f>
        <v/>
      </c>
      <c r="M59" s="9"/>
      <c r="N59" s="9"/>
      <c r="O59" s="9" t="str">
        <f>IF(OR(Table13[[#This Row],[Type]]="Main Product", Table13[[#This Row],[Type]]="Co-Product"), Table13[[#This Row],[Resource]], "")</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IF(Table13[[#This Row],[Type]]="Co-product", "No", "")</f>
        <v/>
      </c>
      <c r="J60" s="9"/>
      <c r="K60" s="9" t="str">
        <f>IF(Table13[[#This Row],[Category]]="Transportation", _xlfn.XLOOKUP(Table13[[#This Row],[Resource]], 'SI - Payload'!$A$10:$A$37,'SI - Payload'!$B$10:$B$37,"",0), "")</f>
        <v/>
      </c>
      <c r="L60" s="9" t="str">
        <f>IF(Table13[[#This Row],[Category]]="Transportation", "ton", "")</f>
        <v/>
      </c>
      <c r="M60" s="9"/>
      <c r="N60" s="9"/>
      <c r="O60" s="9" t="str">
        <f>IF(OR(Table13[[#This Row],[Type]]="Main Product", Table13[[#This Row],[Type]]="Co-Product"), Table13[[#This Row],[Resource]], "")</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IF(Table13[[#This Row],[Type]]="Co-product", "No", "")</f>
        <v/>
      </c>
      <c r="J61" s="9"/>
      <c r="K61" s="9" t="str">
        <f>IF(Table13[[#This Row],[Category]]="Transportation", _xlfn.XLOOKUP(Table13[[#This Row],[Resource]], 'SI - Payload'!$A$10:$A$37,'SI - Payload'!$B$10:$B$37,"",0), "")</f>
        <v/>
      </c>
      <c r="L61" s="9" t="str">
        <f>IF(Table13[[#This Row],[Category]]="Transportation", "ton", "")</f>
        <v/>
      </c>
      <c r="M61" s="9"/>
      <c r="N61" s="9"/>
      <c r="O61" s="9" t="str">
        <f>IF(OR(Table13[[#This Row],[Type]]="Main Product", Table13[[#This Row],[Type]]="Co-Product"), Table13[[#This Row],[Resource]], "")</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IF(Table13[[#This Row],[Type]]="Co-product", "No", "")</f>
        <v/>
      </c>
      <c r="J62" s="9"/>
      <c r="K62" s="9" t="str">
        <f>IF(Table13[[#This Row],[Category]]="Transportation", _xlfn.XLOOKUP(Table13[[#This Row],[Resource]], 'SI - Payload'!$A$10:$A$37,'SI - Payload'!$B$10:$B$37,"",0), "")</f>
        <v/>
      </c>
      <c r="L62" s="9" t="str">
        <f>IF(Table13[[#This Row],[Category]]="Transportation", "ton", "")</f>
        <v/>
      </c>
      <c r="M62" s="9"/>
      <c r="N62" s="9"/>
      <c r="O62" s="9" t="str">
        <f>IF(OR(Table13[[#This Row],[Type]]="Main Product", Table13[[#This Row],[Type]]="Co-Product"), Table13[[#This Row],[Resource]], "")</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IF(Table13[[#This Row],[Type]]="Co-product", "No", "")</f>
        <v/>
      </c>
      <c r="J63" s="9"/>
      <c r="K63" s="9" t="str">
        <f>IF(Table13[[#This Row],[Category]]="Transportation", _xlfn.XLOOKUP(Table13[[#This Row],[Resource]], 'SI - Payload'!$A$10:$A$37,'SI - Payload'!$B$10:$B$37,"",0), "")</f>
        <v/>
      </c>
      <c r="L63" s="9" t="str">
        <f>IF(Table13[[#This Row],[Category]]="Transportation", "ton", "")</f>
        <v/>
      </c>
      <c r="M63" s="9"/>
      <c r="N63" s="9"/>
      <c r="O63" s="9" t="str">
        <f>IF(OR(Table13[[#This Row],[Type]]="Main Product", Table13[[#This Row],[Type]]="Co-Product"), Table13[[#This Row],[Resource]], "")</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IF(Table13[[#This Row],[Type]]="Co-product", "No", "")</f>
        <v/>
      </c>
      <c r="J64" s="9"/>
      <c r="K64" s="9" t="str">
        <f>IF(Table13[[#This Row],[Category]]="Transportation", _xlfn.XLOOKUP(Table13[[#This Row],[Resource]], 'SI - Payload'!$A$10:$A$37,'SI - Payload'!$B$10:$B$37,"",0), "")</f>
        <v/>
      </c>
      <c r="L64" s="9" t="str">
        <f>IF(Table13[[#This Row],[Category]]="Transportation", "ton", "")</f>
        <v/>
      </c>
      <c r="M64" s="9"/>
      <c r="N64" s="9"/>
      <c r="O64" s="9" t="str">
        <f>IF(OR(Table13[[#This Row],[Type]]="Main Product", Table13[[#This Row],[Type]]="Co-Product"), Table13[[#This Row],[Resource]], "")</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IF(Table13[[#This Row],[Type]]="Co-product", "No", "")</f>
        <v/>
      </c>
      <c r="J65" s="9"/>
      <c r="K65" s="9" t="str">
        <f>IF(Table13[[#This Row],[Category]]="Transportation", _xlfn.XLOOKUP(Table13[[#This Row],[Resource]], 'SI - Payload'!$A$10:$A$37,'SI - Payload'!$B$10:$B$37,"",0), "")</f>
        <v/>
      </c>
      <c r="L65" s="9" t="str">
        <f>IF(Table13[[#This Row],[Category]]="Transportation", "ton", "")</f>
        <v/>
      </c>
      <c r="M65" s="9"/>
      <c r="N65" s="9"/>
      <c r="O65" s="9" t="str">
        <f>IF(OR(Table13[[#This Row],[Type]]="Main Product", Table13[[#This Row],[Type]]="Co-Product"), Table13[[#This Row],[Resource]], "")</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IF(Table13[[#This Row],[Type]]="Co-product", "No", "")</f>
        <v/>
      </c>
      <c r="J66" s="9"/>
      <c r="K66" s="9" t="str">
        <f>IF(Table13[[#This Row],[Category]]="Transportation", _xlfn.XLOOKUP(Table13[[#This Row],[Resource]], 'SI - Payload'!$A$10:$A$37,'SI - Payload'!$B$10:$B$37,"",0), "")</f>
        <v/>
      </c>
      <c r="L66" s="9" t="str">
        <f>IF(Table13[[#This Row],[Category]]="Transportation", "ton", "")</f>
        <v/>
      </c>
      <c r="M66" s="9"/>
      <c r="N66" s="9"/>
      <c r="O66" s="9" t="str">
        <f>IF(OR(Table13[[#This Row],[Type]]="Main Product", Table13[[#This Row],[Type]]="Co-Product"), Table13[[#This Row],[Resource]], "")</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IF(Table13[[#This Row],[Type]]="Co-product", "No", "")</f>
        <v/>
      </c>
      <c r="J67" s="9"/>
      <c r="K67" s="9" t="str">
        <f>IF(Table13[[#This Row],[Category]]="Transportation", _xlfn.XLOOKUP(Table13[[#This Row],[Resource]], 'SI - Payload'!$A$10:$A$37,'SI - Payload'!$B$10:$B$37,"",0), "")</f>
        <v/>
      </c>
      <c r="L67" s="9" t="str">
        <f>IF(Table13[[#This Row],[Category]]="Transportation", "ton", "")</f>
        <v/>
      </c>
      <c r="M67" s="9"/>
      <c r="N67" s="9"/>
      <c r="O67" s="9" t="str">
        <f>IF(OR(Table13[[#This Row],[Type]]="Main Product", Table13[[#This Row],[Type]]="Co-Product"), Table13[[#This Row],[Resource]], "")</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IF(Table13[[#This Row],[Type]]="Co-product", "No", "")</f>
        <v/>
      </c>
      <c r="J68" s="9"/>
      <c r="K68" s="9" t="str">
        <f>IF(Table13[[#This Row],[Category]]="Transportation", _xlfn.XLOOKUP(Table13[[#This Row],[Resource]], 'SI - Payload'!$A$10:$A$37,'SI - Payload'!$B$10:$B$37,"",0), "")</f>
        <v/>
      </c>
      <c r="L68" s="9" t="str">
        <f>IF(Table13[[#This Row],[Category]]="Transportation", "ton", "")</f>
        <v/>
      </c>
      <c r="M68" s="9"/>
      <c r="N68" s="9"/>
      <c r="O68" s="9" t="str">
        <f>IF(OR(Table13[[#This Row],[Type]]="Main Product", Table13[[#This Row],[Type]]="Co-Product"), Table13[[#This Row],[Resource]], "")</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IF(Table13[[#This Row],[Type]]="Co-product", "No", "")</f>
        <v/>
      </c>
      <c r="J69" s="9"/>
      <c r="K69" s="9" t="str">
        <f>IF(Table13[[#This Row],[Category]]="Transportation", _xlfn.XLOOKUP(Table13[[#This Row],[Resource]], 'SI - Payload'!$A$10:$A$37,'SI - Payload'!$B$10:$B$37,"",0), "")</f>
        <v/>
      </c>
      <c r="L69" s="9" t="str">
        <f>IF(Table13[[#This Row],[Category]]="Transportation", "ton", "")</f>
        <v/>
      </c>
      <c r="M69" s="9"/>
      <c r="N69" s="9"/>
      <c r="O69" s="9" t="str">
        <f>IF(OR(Table13[[#This Row],[Type]]="Main Product", Table13[[#This Row],[Type]]="Co-Product"), Table13[[#This Row],[Resource]], "")</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IF(Table13[[#This Row],[Type]]="Co-product", "No", "")</f>
        <v/>
      </c>
      <c r="J70" s="9"/>
      <c r="K70" s="9" t="str">
        <f>IF(Table13[[#This Row],[Category]]="Transportation", _xlfn.XLOOKUP(Table13[[#This Row],[Resource]], 'SI - Payload'!$A$10:$A$37,'SI - Payload'!$B$10:$B$37,"",0), "")</f>
        <v/>
      </c>
      <c r="L70" s="9" t="str">
        <f>IF(Table13[[#This Row],[Category]]="Transportation", "ton", "")</f>
        <v/>
      </c>
      <c r="M70" s="9"/>
      <c r="N70" s="9"/>
      <c r="O70" s="9" t="str">
        <f>IF(OR(Table13[[#This Row],[Type]]="Main Product", Table13[[#This Row],[Type]]="Co-Product"), Table13[[#This Row],[Resource]], "")</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IF(Table13[[#This Row],[Type]]="Co-product", "No", "")</f>
        <v/>
      </c>
      <c r="J71" s="9"/>
      <c r="K71" s="9" t="str">
        <f>IF(Table13[[#This Row],[Category]]="Transportation", _xlfn.XLOOKUP(Table13[[#This Row],[Resource]], 'SI - Payload'!$A$10:$A$37,'SI - Payload'!$B$10:$B$37,"",0), "")</f>
        <v/>
      </c>
      <c r="L71" s="9" t="str">
        <f>IF(Table13[[#This Row],[Category]]="Transportation", "ton", "")</f>
        <v/>
      </c>
      <c r="M71" s="9"/>
      <c r="N71" s="9"/>
      <c r="O71" s="9" t="str">
        <f>IF(OR(Table13[[#This Row],[Type]]="Main Product", Table13[[#This Row],[Type]]="Co-Product"), Table13[[#This Row],[Resource]], "")</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IF(Table13[[#This Row],[Type]]="Co-product", "No", "")</f>
        <v/>
      </c>
      <c r="J72" s="9"/>
      <c r="K72" s="9" t="str">
        <f>IF(Table13[[#This Row],[Category]]="Transportation", _xlfn.XLOOKUP(Table13[[#This Row],[Resource]], 'SI - Payload'!$A$10:$A$37,'SI - Payload'!$B$10:$B$37,"",0), "")</f>
        <v/>
      </c>
      <c r="L72" s="9" t="str">
        <f>IF(Table13[[#This Row],[Category]]="Transportation", "ton", "")</f>
        <v/>
      </c>
      <c r="M72" s="9"/>
      <c r="N72" s="9"/>
      <c r="O72" s="9" t="str">
        <f>IF(OR(Table13[[#This Row],[Type]]="Main Product", Table13[[#This Row],[Type]]="Co-Product"), Table13[[#This Row],[Resource]], "")</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IF(Table13[[#This Row],[Type]]="Co-product", "No", "")</f>
        <v/>
      </c>
      <c r="J73" s="9"/>
      <c r="K73" s="9" t="str">
        <f>IF(Table13[[#This Row],[Category]]="Transportation", _xlfn.XLOOKUP(Table13[[#This Row],[Resource]], 'SI - Payload'!$A$10:$A$37,'SI - Payload'!$B$10:$B$37,"",0), "")</f>
        <v/>
      </c>
      <c r="L73" s="9" t="str">
        <f>IF(Table13[[#This Row],[Category]]="Transportation", "ton", "")</f>
        <v/>
      </c>
      <c r="M73" s="9"/>
      <c r="N73" s="9"/>
      <c r="O73" s="9" t="str">
        <f>IF(OR(Table13[[#This Row],[Type]]="Main Product", Table13[[#This Row],[Type]]="Co-Product"), Table13[[#This Row],[Resource]], "")</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IF(Table13[[#This Row],[Type]]="Co-product", "No", "")</f>
        <v/>
      </c>
      <c r="J74" s="9"/>
      <c r="K74" s="9" t="str">
        <f>IF(Table13[[#This Row],[Category]]="Transportation", _xlfn.XLOOKUP(Table13[[#This Row],[Resource]], 'SI - Payload'!$A$10:$A$37,'SI - Payload'!$B$10:$B$37,"",0), "")</f>
        <v/>
      </c>
      <c r="L74" s="9" t="str">
        <f>IF(Table13[[#This Row],[Category]]="Transportation", "ton", "")</f>
        <v/>
      </c>
      <c r="M74" s="9"/>
      <c r="N74" s="9"/>
      <c r="O74" s="9" t="str">
        <f>IF(OR(Table13[[#This Row],[Type]]="Main Product", Table13[[#This Row],[Type]]="Co-Product"), Table13[[#This Row],[Resource]], "")</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IF(Table13[[#This Row],[Type]]="Co-product", "No", "")</f>
        <v/>
      </c>
      <c r="J75" s="9"/>
      <c r="K75" s="9" t="str">
        <f>IF(Table13[[#This Row],[Category]]="Transportation", _xlfn.XLOOKUP(Table13[[#This Row],[Resource]], 'SI - Payload'!$A$10:$A$37,'SI - Payload'!$B$10:$B$37,"",0), "")</f>
        <v/>
      </c>
      <c r="L75" s="9" t="str">
        <f>IF(Table13[[#This Row],[Category]]="Transportation", "ton", "")</f>
        <v/>
      </c>
      <c r="M75" s="9"/>
      <c r="N75" s="9"/>
      <c r="O75" s="9" t="str">
        <f>IF(OR(Table13[[#This Row],[Type]]="Main Product", Table13[[#This Row],[Type]]="Co-Product"), Table13[[#This Row],[Resource]], "")</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IF(Table13[[#This Row],[Type]]="Co-product", "No", "")</f>
        <v/>
      </c>
      <c r="J76" s="9"/>
      <c r="K76" s="9" t="str">
        <f>IF(Table13[[#This Row],[Category]]="Transportation", _xlfn.XLOOKUP(Table13[[#This Row],[Resource]], 'SI - Payload'!$A$10:$A$37,'SI - Payload'!$B$10:$B$37,"",0), "")</f>
        <v/>
      </c>
      <c r="L76" s="9" t="str">
        <f>IF(Table13[[#This Row],[Category]]="Transportation", "ton", "")</f>
        <v/>
      </c>
      <c r="M76" s="9"/>
      <c r="N76" s="9"/>
      <c r="O76" s="9" t="str">
        <f>IF(OR(Table13[[#This Row],[Type]]="Main Product", Table13[[#This Row],[Type]]="Co-Product"), Table13[[#This Row],[Resource]], "")</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IF(Table13[[#This Row],[Type]]="Co-product", "No", "")</f>
        <v/>
      </c>
      <c r="J77" s="9"/>
      <c r="K77" s="9" t="str">
        <f>IF(Table13[[#This Row],[Category]]="Transportation", _xlfn.XLOOKUP(Table13[[#This Row],[Resource]], 'SI - Payload'!$A$10:$A$37,'SI - Payload'!$B$10:$B$37,"",0), "")</f>
        <v/>
      </c>
      <c r="L77" s="9" t="str">
        <f>IF(Table13[[#This Row],[Category]]="Transportation", "ton", "")</f>
        <v/>
      </c>
      <c r="M77" s="9"/>
      <c r="N77" s="9"/>
      <c r="O77" s="9" t="str">
        <f>IF(OR(Table13[[#This Row],[Type]]="Main Product", Table13[[#This Row],[Type]]="Co-Product"), Table13[[#This Row],[Resource]], "")</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IF(Table13[[#This Row],[Type]]="Co-product", "No", "")</f>
        <v/>
      </c>
      <c r="J78" s="9"/>
      <c r="K78" s="9" t="str">
        <f>IF(Table13[[#This Row],[Category]]="Transportation", _xlfn.XLOOKUP(Table13[[#This Row],[Resource]], 'SI - Payload'!$A$10:$A$37,'SI - Payload'!$B$10:$B$37,"",0), "")</f>
        <v/>
      </c>
      <c r="L78" s="9" t="str">
        <f>IF(Table13[[#This Row],[Category]]="Transportation", "ton", "")</f>
        <v/>
      </c>
      <c r="M78" s="9"/>
      <c r="N78" s="9"/>
      <c r="O78" s="9" t="str">
        <f>IF(OR(Table13[[#This Row],[Type]]="Main Product", Table13[[#This Row],[Type]]="Co-Product"), Table13[[#This Row],[Resource]], "")</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IF(Table13[[#This Row],[Type]]="Co-product", "No", "")</f>
        <v/>
      </c>
      <c r="J79" s="9"/>
      <c r="K79" s="9" t="str">
        <f>IF(Table13[[#This Row],[Category]]="Transportation", _xlfn.XLOOKUP(Table13[[#This Row],[Resource]], 'SI - Payload'!$A$10:$A$37,'SI - Payload'!$B$10:$B$37,"",0), "")</f>
        <v/>
      </c>
      <c r="L79" s="9" t="str">
        <f>IF(Table13[[#This Row],[Category]]="Transportation", "ton", "")</f>
        <v/>
      </c>
      <c r="M79" s="9"/>
      <c r="N79" s="9"/>
      <c r="O79" s="9" t="str">
        <f>IF(OR(Table13[[#This Row],[Type]]="Main Product", Table13[[#This Row],[Type]]="Co-Product"), Table13[[#This Row],[Resource]], "")</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IF(Table13[[#This Row],[Type]]="Co-product", "No", "")</f>
        <v/>
      </c>
      <c r="J80" s="9"/>
      <c r="K80" s="9" t="str">
        <f>IF(Table13[[#This Row],[Category]]="Transportation", _xlfn.XLOOKUP(Table13[[#This Row],[Resource]], 'SI - Payload'!$A$10:$A$37,'SI - Payload'!$B$10:$B$37,"",0), "")</f>
        <v/>
      </c>
      <c r="L80" s="9" t="str">
        <f>IF(Table13[[#This Row],[Category]]="Transportation", "ton", "")</f>
        <v/>
      </c>
      <c r="M80" s="9"/>
      <c r="N80" s="9"/>
      <c r="O80" s="9" t="str">
        <f>IF(OR(Table13[[#This Row],[Type]]="Main Product", Table13[[#This Row],[Type]]="Co-Product"), Table13[[#This Row],[Resource]], "")</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IF(Table13[[#This Row],[Type]]="Co-product", "No", "")</f>
        <v/>
      </c>
      <c r="J81" s="9"/>
      <c r="K81" s="9" t="str">
        <f>IF(Table13[[#This Row],[Category]]="Transportation", _xlfn.XLOOKUP(Table13[[#This Row],[Resource]], 'SI - Payload'!$A$10:$A$37,'SI - Payload'!$B$10:$B$37,"",0), "")</f>
        <v/>
      </c>
      <c r="L81" s="9" t="str">
        <f>IF(Table13[[#This Row],[Category]]="Transportation", "ton", "")</f>
        <v/>
      </c>
      <c r="M81" s="9"/>
      <c r="N81" s="9"/>
      <c r="O81" s="9" t="str">
        <f>IF(OR(Table13[[#This Row],[Type]]="Main Product", Table13[[#This Row],[Type]]="Co-Product"), Table13[[#This Row],[Resource]], "")</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IF(Table13[[#This Row],[Type]]="Co-product", "No", "")</f>
        <v/>
      </c>
      <c r="J82" s="9"/>
      <c r="K82" s="9" t="str">
        <f>IF(Table13[[#This Row],[Category]]="Transportation", _xlfn.XLOOKUP(Table13[[#This Row],[Resource]], 'SI - Payload'!$A$10:$A$37,'SI - Payload'!$B$10:$B$37,"",0), "")</f>
        <v/>
      </c>
      <c r="L82" s="9" t="str">
        <f>IF(Table13[[#This Row],[Category]]="Transportation", "ton", "")</f>
        <v/>
      </c>
      <c r="M82" s="9"/>
      <c r="N82" s="9"/>
      <c r="O82" s="9" t="str">
        <f>IF(OR(Table13[[#This Row],[Type]]="Main Product", Table13[[#This Row],[Type]]="Co-Product"), Table13[[#This Row],[Resource]], "")</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IF(Table13[[#This Row],[Type]]="Co-product", "No", "")</f>
        <v/>
      </c>
      <c r="J83" s="9"/>
      <c r="K83" s="9" t="str">
        <f>IF(Table13[[#This Row],[Category]]="Transportation", _xlfn.XLOOKUP(Table13[[#This Row],[Resource]], 'SI - Payload'!$A$10:$A$37,'SI - Payload'!$B$10:$B$37,"",0), "")</f>
        <v/>
      </c>
      <c r="L83" s="9" t="str">
        <f>IF(Table13[[#This Row],[Category]]="Transportation", "ton", "")</f>
        <v/>
      </c>
      <c r="M83" s="9"/>
      <c r="N83" s="9"/>
      <c r="O83" s="9" t="str">
        <f>IF(OR(Table13[[#This Row],[Type]]="Main Product", Table13[[#This Row],[Type]]="Co-Product"), Table13[[#This Row],[Resource]], "")</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IF(Table13[[#This Row],[Type]]="Co-product", "No", "")</f>
        <v/>
      </c>
      <c r="J84" s="9"/>
      <c r="K84" s="9" t="str">
        <f>IF(Table13[[#This Row],[Category]]="Transportation", _xlfn.XLOOKUP(Table13[[#This Row],[Resource]], 'SI - Payload'!$A$10:$A$37,'SI - Payload'!$B$10:$B$37,"",0), "")</f>
        <v/>
      </c>
      <c r="L84" s="9" t="str">
        <f>IF(Table13[[#This Row],[Category]]="Transportation", "ton", "")</f>
        <v/>
      </c>
      <c r="M84" s="9"/>
      <c r="N84" s="9"/>
      <c r="O84" s="9" t="str">
        <f>IF(OR(Table13[[#This Row],[Type]]="Main Product", Table13[[#This Row],[Type]]="Co-Product"), Table13[[#This Row],[Resource]], "")</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IF(Table13[[#This Row],[Type]]="Co-product", "No", "")</f>
        <v/>
      </c>
      <c r="J85" s="9"/>
      <c r="K85" s="9" t="str">
        <f>IF(Table13[[#This Row],[Category]]="Transportation", _xlfn.XLOOKUP(Table13[[#This Row],[Resource]], 'SI - Payload'!$A$10:$A$37,'SI - Payload'!$B$10:$B$37,"",0), "")</f>
        <v/>
      </c>
      <c r="L85" s="9" t="str">
        <f>IF(Table13[[#This Row],[Category]]="Transportation", "ton", "")</f>
        <v/>
      </c>
      <c r="M85" s="9"/>
      <c r="N85" s="9"/>
      <c r="O85" s="9" t="str">
        <f>IF(OR(Table13[[#This Row],[Type]]="Main Product", Table13[[#This Row],[Type]]="Co-Product"), Table13[[#This Row],[Resource]], "")</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IF(Table13[[#This Row],[Type]]="Co-product", "No", "")</f>
        <v/>
      </c>
      <c r="J86" s="9"/>
      <c r="K86" s="9" t="str">
        <f>IF(Table13[[#This Row],[Category]]="Transportation", _xlfn.XLOOKUP(Table13[[#This Row],[Resource]], 'SI - Payload'!$A$10:$A$37,'SI - Payload'!$B$10:$B$37,"",0), "")</f>
        <v/>
      </c>
      <c r="L86" s="9" t="str">
        <f>IF(Table13[[#This Row],[Category]]="Transportation", "ton", "")</f>
        <v/>
      </c>
      <c r="M86" s="9"/>
      <c r="N86" s="9"/>
      <c r="O86" s="9" t="str">
        <f>IF(OR(Table13[[#This Row],[Type]]="Main Product", Table13[[#This Row],[Type]]="Co-Product"), Table13[[#This Row],[Resource]], "")</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IF(Table13[[#This Row],[Type]]="Co-product", "No", "")</f>
        <v/>
      </c>
      <c r="J87" s="9"/>
      <c r="K87" s="9" t="str">
        <f>IF(Table13[[#This Row],[Category]]="Transportation", _xlfn.XLOOKUP(Table13[[#This Row],[Resource]], 'SI - Payload'!$A$10:$A$37,'SI - Payload'!$B$10:$B$37,"",0), "")</f>
        <v/>
      </c>
      <c r="L87" s="9" t="str">
        <f>IF(Table13[[#This Row],[Category]]="Transportation", "ton", "")</f>
        <v/>
      </c>
      <c r="M87" s="9"/>
      <c r="N87" s="9"/>
      <c r="O87" s="9" t="str">
        <f>IF(OR(Table13[[#This Row],[Type]]="Main Product", Table13[[#This Row],[Type]]="Co-Product"), Table13[[#This Row],[Resource]], "")</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IF(Table13[[#This Row],[Type]]="Co-product", "No", "")</f>
        <v/>
      </c>
      <c r="J88" s="9"/>
      <c r="K88" s="9" t="str">
        <f>IF(Table13[[#This Row],[Category]]="Transportation", _xlfn.XLOOKUP(Table13[[#This Row],[Resource]], 'SI - Payload'!$A$10:$A$37,'SI - Payload'!$B$10:$B$37,"",0), "")</f>
        <v/>
      </c>
      <c r="L88" s="9" t="str">
        <f>IF(Table13[[#This Row],[Category]]="Transportation", "ton", "")</f>
        <v/>
      </c>
      <c r="M88" s="9"/>
      <c r="N88" s="9"/>
      <c r="O88" s="9" t="str">
        <f>IF(OR(Table13[[#This Row],[Type]]="Main Product", Table13[[#This Row],[Type]]="Co-Product"), Table13[[#This Row],[Resource]], "")</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IF(Table13[[#This Row],[Type]]="Co-product", "No", "")</f>
        <v/>
      </c>
      <c r="J89" s="9"/>
      <c r="K89" s="9" t="str">
        <f>IF(Table13[[#This Row],[Category]]="Transportation", _xlfn.XLOOKUP(Table13[[#This Row],[Resource]], 'SI - Payload'!$A$10:$A$37,'SI - Payload'!$B$10:$B$37,"",0), "")</f>
        <v/>
      </c>
      <c r="L89" s="9" t="str">
        <f>IF(Table13[[#This Row],[Category]]="Transportation", "ton", "")</f>
        <v/>
      </c>
      <c r="M89" s="9"/>
      <c r="N89" s="9"/>
      <c r="O89" s="9" t="str">
        <f>IF(OR(Table13[[#This Row],[Type]]="Main Product", Table13[[#This Row],[Type]]="Co-Product"), Table13[[#This Row],[Resource]], "")</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IF(Table13[[#This Row],[Type]]="Co-product", "No", "")</f>
        <v/>
      </c>
      <c r="J90" s="9"/>
      <c r="K90" s="9" t="str">
        <f>IF(Table13[[#This Row],[Category]]="Transportation", _xlfn.XLOOKUP(Table13[[#This Row],[Resource]], 'SI - Payload'!$A$10:$A$37,'SI - Payload'!$B$10:$B$37,"",0), "")</f>
        <v/>
      </c>
      <c r="L90" s="9" t="str">
        <f>IF(Table13[[#This Row],[Category]]="Transportation", "ton", "")</f>
        <v/>
      </c>
      <c r="M90" s="9"/>
      <c r="N90" s="9"/>
      <c r="O90" s="9" t="str">
        <f>IF(OR(Table13[[#This Row],[Type]]="Main Product", Table13[[#This Row],[Type]]="Co-Product"), Table13[[#This Row],[Resource]], "")</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IF(Table13[[#This Row],[Type]]="Co-product", "No", "")</f>
        <v/>
      </c>
      <c r="J91" s="9"/>
      <c r="K91" s="9" t="str">
        <f>IF(Table13[[#This Row],[Category]]="Transportation", _xlfn.XLOOKUP(Table13[[#This Row],[Resource]], 'SI - Payload'!$A$10:$A$37,'SI - Payload'!$B$10:$B$37,"",0), "")</f>
        <v/>
      </c>
      <c r="L91" s="9" t="str">
        <f>IF(Table13[[#This Row],[Category]]="Transportation", "ton", "")</f>
        <v/>
      </c>
      <c r="M91" s="9"/>
      <c r="N91" s="9"/>
      <c r="O91" s="9" t="str">
        <f>IF(OR(Table13[[#This Row],[Type]]="Main Product", Table13[[#This Row],[Type]]="Co-Product"), Table13[[#This Row],[Resource]], "")</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IF(Table13[[#This Row],[Type]]="Co-product", "No", "")</f>
        <v/>
      </c>
      <c r="J92" s="9"/>
      <c r="K92" s="9" t="str">
        <f>IF(Table13[[#This Row],[Category]]="Transportation", _xlfn.XLOOKUP(Table13[[#This Row],[Resource]], 'SI - Payload'!$A$10:$A$37,'SI - Payload'!$B$10:$B$37,"",0), "")</f>
        <v/>
      </c>
      <c r="L92" s="9" t="str">
        <f>IF(Table13[[#This Row],[Category]]="Transportation", "ton", "")</f>
        <v/>
      </c>
      <c r="M92" s="9"/>
      <c r="N92" s="9"/>
      <c r="O92" s="9" t="str">
        <f>IF(OR(Table13[[#This Row],[Type]]="Main Product", Table13[[#This Row],[Type]]="Co-Product"), Table13[[#This Row],[Resource]], "")</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IF(Table13[[#This Row],[Type]]="Co-product", "No", "")</f>
        <v/>
      </c>
      <c r="J93" s="9"/>
      <c r="K93" s="9" t="str">
        <f>IF(Table13[[#This Row],[Category]]="Transportation", _xlfn.XLOOKUP(Table13[[#This Row],[Resource]], 'SI - Payload'!$A$10:$A$37,'SI - Payload'!$B$10:$B$37,"",0), "")</f>
        <v/>
      </c>
      <c r="L93" s="9" t="str">
        <f>IF(Table13[[#This Row],[Category]]="Transportation", "ton", "")</f>
        <v/>
      </c>
      <c r="M93" s="9"/>
      <c r="N93" s="9"/>
      <c r="O93" s="9" t="str">
        <f>IF(OR(Table13[[#This Row],[Type]]="Main Product", Table13[[#This Row],[Type]]="Co-Product"), Table13[[#This Row],[Resource]], "")</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IF(Table13[[#This Row],[Type]]="Co-product", "No", "")</f>
        <v/>
      </c>
      <c r="J94" s="9"/>
      <c r="K94" s="9" t="str">
        <f>IF(Table13[[#This Row],[Category]]="Transportation", _xlfn.XLOOKUP(Table13[[#This Row],[Resource]], 'SI - Payload'!$A$10:$A$37,'SI - Payload'!$B$10:$B$37,"",0), "")</f>
        <v/>
      </c>
      <c r="L94" s="9" t="str">
        <f>IF(Table13[[#This Row],[Category]]="Transportation", "ton", "")</f>
        <v/>
      </c>
      <c r="M94" s="9"/>
      <c r="N94" s="9"/>
      <c r="O94" s="9" t="str">
        <f>IF(OR(Table13[[#This Row],[Type]]="Main Product", Table13[[#This Row],[Type]]="Co-Product"), Table13[[#This Row],[Resource]], "")</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IF(Table13[[#This Row],[Type]]="Co-product", "No", "")</f>
        <v/>
      </c>
      <c r="J95" s="9"/>
      <c r="K95" s="9" t="str">
        <f>IF(Table13[[#This Row],[Category]]="Transportation", _xlfn.XLOOKUP(Table13[[#This Row],[Resource]], 'SI - Payload'!$A$10:$A$37,'SI - Payload'!$B$10:$B$37,"",0), "")</f>
        <v/>
      </c>
      <c r="L95" s="9" t="str">
        <f>IF(Table13[[#This Row],[Category]]="Transportation", "ton", "")</f>
        <v/>
      </c>
      <c r="M95" s="9"/>
      <c r="N95" s="9"/>
      <c r="O95" s="9" t="str">
        <f>IF(OR(Table13[[#This Row],[Type]]="Main Product", Table13[[#This Row],[Type]]="Co-Product"), Table13[[#This Row],[Resource]], "")</f>
        <v/>
      </c>
      <c r="P95" s="9" t="str">
        <f>IF(_xlfn.XLOOKUP($O95,'SI - End Use'!$B$2:$B$53,'SI - End Use'!$C$2:$C$53, "")="", "", _xlfn.XLOOKUP($C95,'SI - End Use'!$B$2:$B$53,'SI - End Use'!$C$2:$C$53, ""))</f>
        <v/>
      </c>
      <c r="Q95" s="9"/>
      <c r="R95" s="9"/>
    </row>
    <row r="96" spans="1:18" x14ac:dyDescent="0.35">
      <c r="A96" s="9"/>
      <c r="B96" s="9"/>
      <c r="C96" s="9"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IF(Table13[[#This Row],[Type]]="Co-product", "No", "")</f>
        <v/>
      </c>
      <c r="J96" s="9"/>
      <c r="K96" s="9" t="str">
        <f>IF(Table13[[#This Row],[Category]]="Transportation", _xlfn.XLOOKUP(Table13[[#This Row],[Resource]], 'SI - Payload'!$A$10:$A$37,'SI - Payload'!$B$10:$B$37,"",0), "")</f>
        <v/>
      </c>
      <c r="L96" s="9" t="str">
        <f>IF(Table13[[#This Row],[Category]]="Transportation", "ton", "")</f>
        <v/>
      </c>
      <c r="M96" s="9"/>
      <c r="N96" s="9"/>
      <c r="O96" s="9" t="str">
        <f>IF(OR(Table13[[#This Row],[Type]]="Main Product", Table13[[#This Row],[Type]]="Co-Product"), Table13[[#This Row],[Resource]], "")</f>
        <v/>
      </c>
      <c r="P96" s="9" t="str">
        <f>IF(_xlfn.XLOOKUP($O96,'SI - End Use'!$B$2:$B$53,'SI - End Use'!$C$2:$C$53, "")="", "", _xlfn.XLOOKUP($C96,'SI - End Use'!$B$2:$B$53,'SI - End Use'!$C$2:$C$53, ""))</f>
        <v/>
      </c>
      <c r="Q96" s="9"/>
      <c r="R96" s="9"/>
    </row>
    <row r="97" spans="1:18" x14ac:dyDescent="0.35">
      <c r="A97" s="9"/>
      <c r="B97" s="9"/>
      <c r="C97" s="9"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IF(Table13[[#This Row],[Type]]="Co-product", "No", "")</f>
        <v/>
      </c>
      <c r="J97" s="9"/>
      <c r="K97" s="9" t="str">
        <f>IF(Table13[[#This Row],[Category]]="Transportation", _xlfn.XLOOKUP(Table13[[#This Row],[Resource]], 'SI - Payload'!$A$10:$A$37,'SI - Payload'!$B$10:$B$37,"",0), "")</f>
        <v/>
      </c>
      <c r="L97" s="9" t="str">
        <f>IF(Table13[[#This Row],[Category]]="Transportation", "ton", "")</f>
        <v/>
      </c>
      <c r="M97" s="9"/>
      <c r="N97" s="9"/>
      <c r="O97" s="9" t="str">
        <f>IF(OR(Table13[[#This Row],[Type]]="Main Product", Table13[[#This Row],[Type]]="Co-Product"), Table13[[#This Row],[Resource]], "")</f>
        <v/>
      </c>
      <c r="P97" s="9" t="str">
        <f>IF(_xlfn.XLOOKUP($O97,'SI - End Use'!$B$2:$B$53,'SI - End Use'!$C$2:$C$53, "")="", "", _xlfn.XLOOKUP($C97,'SI - End Use'!$B$2:$B$53,'SI - End Use'!$C$2:$C$53, ""))</f>
        <v/>
      </c>
      <c r="Q97" s="9"/>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IF(Table13[[#This Row],[Type]]="Co-product", "No", "")</f>
        <v/>
      </c>
      <c r="J98" s="9"/>
      <c r="K98" s="9" t="str">
        <f>IF(Table13[[#This Row],[Category]]="Transportation", _xlfn.XLOOKUP(Table13[[#This Row],[Resource]], 'SI - Payload'!$A$10:$A$37,'SI - Payload'!$B$10:$B$37,"",0), "")</f>
        <v/>
      </c>
      <c r="L98" s="9" t="str">
        <f>IF(Table13[[#This Row],[Category]]="Transportation", "ton", "")</f>
        <v/>
      </c>
      <c r="M98" s="9"/>
      <c r="N98" s="9"/>
      <c r="O98" s="9" t="str">
        <f>IF(OR(Table13[[#This Row],[Type]]="Main Product", Table13[[#This Row],[Type]]="Co-Product"), Table13[[#This Row],[Resource]], "")</f>
        <v/>
      </c>
      <c r="P98" s="9" t="str">
        <f>IF(_xlfn.XLOOKUP($O98,'SI - End Use'!$B$2:$B$53,'SI - End Use'!$C$2:$C$53, "")="", "", _xlfn.XLOOKUP($C98,'SI - End Use'!$B$2:$B$53,'SI - End Use'!$C$2:$C$53, ""))</f>
        <v/>
      </c>
      <c r="Q98" s="9"/>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IF(Table13[[#This Row],[Type]]="Co-product", "No", "")</f>
        <v/>
      </c>
      <c r="J99" s="9"/>
      <c r="K99" s="9" t="str">
        <f>IF(Table13[[#This Row],[Category]]="Transportation", _xlfn.XLOOKUP(Table13[[#This Row],[Resource]], 'SI - Payload'!$A$10:$A$37,'SI - Payload'!$B$10:$B$37,"",0), "")</f>
        <v/>
      </c>
      <c r="L99" s="9" t="str">
        <f>IF(Table13[[#This Row],[Category]]="Transportation", "ton", "")</f>
        <v/>
      </c>
      <c r="M99" s="9"/>
      <c r="N99" s="9"/>
      <c r="O99" s="25" t="str">
        <f>IF(OR(Table13[[#This Row],[Type]]="Main Product", Table13[[#This Row],[Type]]="Co-Product"), Table13[[#This Row],[Resource]], "")</f>
        <v/>
      </c>
      <c r="P99" s="25" t="str">
        <f>IF(_xlfn.XLOOKUP($O99,'SI - End Use'!$B$2:$B$53,'SI - End Use'!$C$2:$C$53, "")="", "", _xlfn.XLOOKUP($C99,'SI - End Use'!$B$2:$B$53,'SI - End Use'!$C$2:$C$53, ""))</f>
        <v/>
      </c>
      <c r="Q99" s="25"/>
      <c r="R99" s="9"/>
    </row>
    <row r="100" spans="1:18" x14ac:dyDescent="0.35">
      <c r="A100" s="9"/>
      <c r="B100" s="9"/>
      <c r="C100" s="25" t="str">
        <f>_xlfn.XLOOKUP($B100,'SI - Resources'!$A$1:$I$1,'SI - Resources'!$A$2:$I$2, "")</f>
        <v/>
      </c>
      <c r="D100" s="25" t="str">
        <f>IF(_xlfn.XLOOKUP($C100,'SI - End Use'!$B$2:$B$53,'SI - End Use'!$C$2:$C$53, "")="", "", _xlfn.XLOOKUP($C100,'SI - End Use'!$B$2:$B$53,'SI - End Use'!$C$2:$C$53, ""))</f>
        <v/>
      </c>
      <c r="E100" s="21"/>
      <c r="F100" s="25" t="str" cm="1">
        <f t="array" ref="F100">IF($B100="Transportation",  'SI - Units'!$B$9:$B$9, _xlfn.XLOOKUP(_xlfn.XLOOKUP($C100,'SI - Units'!$B$24:$B$74,'SI - Units'!$C$24:$C$74, ""),'SI - Units'!$A$2:$A$8,'SI - Units'!$B$2:$B$8, ""))</f>
        <v/>
      </c>
      <c r="G100" s="32"/>
      <c r="H100" s="32"/>
      <c r="I100" s="36" t="str">
        <f>IF(Table13[[#This Row],[Type]]="Co-product", "No", "")</f>
        <v/>
      </c>
      <c r="J100" s="9"/>
      <c r="K100" s="9" t="str">
        <f>IF(Table13[[#This Row],[Category]]="Transportation", _xlfn.XLOOKUP(Table13[[#This Row],[Resource]], 'SI - Payload'!$A$10:$A$37,'SI - Payload'!$B$10:$B$37,"",0), "")</f>
        <v/>
      </c>
      <c r="L100" s="9" t="str">
        <f>IF(Table13[[#This Row],[Category]]="Transportation", "ton", "")</f>
        <v/>
      </c>
      <c r="M100" s="9"/>
      <c r="N100" s="9"/>
      <c r="O100" s="25" t="str">
        <f>IF(OR(Table13[[#This Row],[Type]]="Main Product", Table13[[#This Row],[Type]]="Co-Product"), Table13[[#This Row],[Resource]], "")</f>
        <v/>
      </c>
      <c r="P100" s="25" t="str">
        <f>IF(_xlfn.XLOOKUP($O100,'SI - End Use'!$B$2:$B$53,'SI - End Use'!$C$2:$C$53, "")="", "", _xlfn.XLOOKUP($C100,'SI - End Use'!$B$2:$B$53,'SI - End Use'!$C$2:$C$53, ""))</f>
        <v/>
      </c>
      <c r="Q100" s="25"/>
      <c r="R100" s="9"/>
    </row>
    <row r="101" spans="1:18" x14ac:dyDescent="0.35">
      <c r="A101" s="9"/>
      <c r="B101" s="9"/>
      <c r="C101" s="25" t="str">
        <f>_xlfn.XLOOKUP($B101,'SI - Resources'!$A$1:$I$1,'SI - Resources'!$A$2:$I$2, "")</f>
        <v/>
      </c>
      <c r="D101" s="25" t="str">
        <f>IF(_xlfn.XLOOKUP($C101,'SI - End Use'!$B$2:$B$53,'SI - End Use'!$C$2:$C$53, "")="", "", _xlfn.XLOOKUP($C101,'SI - End Use'!$B$2:$B$53,'SI - End Use'!$C$2:$C$53, ""))</f>
        <v/>
      </c>
      <c r="E101" s="21"/>
      <c r="F101" s="25" t="str" cm="1">
        <f t="array" ref="F101">IF($B101="Transportation",  'SI - Units'!$B$9:$B$9, _xlfn.XLOOKUP(_xlfn.XLOOKUP($C101,'SI - Units'!$B$24:$B$74,'SI - Units'!$C$24:$C$74, ""),'SI - Units'!$A$2:$A$8,'SI - Units'!$B$2:$B$8, ""))</f>
        <v/>
      </c>
      <c r="G101" s="32"/>
      <c r="H101" s="32"/>
      <c r="I101" s="36" t="str">
        <f>IF(Table13[[#This Row],[Type]]="Co-product", "No", "")</f>
        <v/>
      </c>
      <c r="J101" s="9"/>
      <c r="K101" s="9" t="str">
        <f>IF(Table13[[#This Row],[Category]]="Transportation", _xlfn.XLOOKUP(Table13[[#This Row],[Resource]], 'SI - Payload'!$A$10:$A$37,'SI - Payload'!$B$10:$B$37,"",0), "")</f>
        <v/>
      </c>
      <c r="L101" s="9" t="str">
        <f>IF(Table13[[#This Row],[Category]]="Transportation", "ton", "")</f>
        <v/>
      </c>
      <c r="M101" s="9"/>
      <c r="N101" s="9"/>
      <c r="O101" s="25" t="str">
        <f>IF(OR(Table13[[#This Row],[Type]]="Main Product", Table13[[#This Row],[Type]]="Co-Product"), Table13[[#This Row],[Resource]], "")</f>
        <v/>
      </c>
      <c r="P101" s="9" t="str">
        <f>IF(_xlfn.XLOOKUP($O101,'SI - End Use'!$B$2:$B$53,'SI - End Use'!$C$2:$C$53, "")="", "", _xlfn.XLOOKUP($C101,'SI - End Use'!$B$2:$B$53,'SI - End Use'!$C$2:$C$53, ""))</f>
        <v/>
      </c>
      <c r="Q101" s="9"/>
      <c r="R101" s="9"/>
    </row>
    <row r="102" spans="1:18" x14ac:dyDescent="0.35">
      <c r="A102" s="35"/>
      <c r="B102" s="24"/>
      <c r="C102" s="24" t="str">
        <f>_xlfn.XLOOKUP($B102,'SI - Resources'!$A$1:$I$1,'SI - Resources'!$A$2:$I$2, "")</f>
        <v/>
      </c>
      <c r="D102" s="26" t="str">
        <f>IF(_xlfn.XLOOKUP($C102,'SI - End Use'!$B$2:$B$53,'SI - End Use'!$C$2:$C$53, "")="", "", _xlfn.XLOOKUP($C102,'SI - End Use'!$B$2:$B$53,'SI - End Use'!$C$2:$C$53, ""))</f>
        <v/>
      </c>
      <c r="E102" s="33"/>
      <c r="F102" s="26" t="str" cm="1">
        <f t="array" ref="F102">IF($B102="Transportation",  'SI - Units'!$B$9:$B$9, _xlfn.XLOOKUP(_xlfn.XLOOKUP($C102,'SI - Units'!$B$24:$B$74,'SI - Units'!$C$24:$C$74, ""),'SI - Units'!$A$2:$A$8,'SI - Units'!$B$2:$B$8, ""))</f>
        <v/>
      </c>
      <c r="G102" s="34"/>
      <c r="H102" s="34"/>
      <c r="I102" s="37" t="str">
        <f>IF(Table13[[#This Row],[Type]]="Co-product", "No", "")</f>
        <v/>
      </c>
      <c r="J102" s="24"/>
      <c r="K102" s="24" t="str">
        <f>IF(Table13[[#This Row],[Category]]="Transportation", _xlfn.XLOOKUP(Table13[[#This Row],[Resource]], 'SI - Payload'!$A$10:$A$37,'SI - Payload'!$B$10:$B$37,"",0), "")</f>
        <v/>
      </c>
      <c r="L102" s="9" t="str">
        <f>IF(Table13[[#This Row],[Category]]="Transportation", "ton", "")</f>
        <v/>
      </c>
      <c r="M102" s="24"/>
      <c r="N102" s="24"/>
      <c r="O102" s="24" t="str">
        <f>IF(OR(Table13[[#This Row],[Type]]="Main Product", Table13[[#This Row],[Type]]="Co-Product"), Table13[[#This Row],[Resource]], "")</f>
        <v/>
      </c>
      <c r="P102" s="24" t="str">
        <f>IF(_xlfn.XLOOKUP($O102,'SI - End Use'!$B$2:$B$53,'SI - End Use'!$C$2:$C$53, "")="", "", _xlfn.XLOOKUP($C102,'SI - End Use'!$B$2:$B$53,'SI - End Use'!$C$2:$C$53, ""))</f>
        <v/>
      </c>
      <c r="Q102" s="24"/>
      <c r="R102" s="24"/>
    </row>
  </sheetData>
  <dataValidations count="5">
    <dataValidation operator="greaterThan" allowBlank="1" showInputMessage="1" showErrorMessage="1" error="Please type a positive number." sqref="K5:K102" xr:uid="{1D3B1899-69AE-4190-8D80-ED34E7BF7B03}"/>
    <dataValidation type="decimal" operator="greaterThan" allowBlank="1" showInputMessage="1" showErrorMessage="1" error="Please type a positive price." sqref="M5:M102" xr:uid="{3466EF60-656E-4D0E-8437-0D3BCBD6FD83}">
      <formula1>0</formula1>
    </dataValidation>
    <dataValidation type="decimal" allowBlank="1" showInputMessage="1" showErrorMessage="1" error="Please type a number between 0 and 1." sqref="G5:G102" xr:uid="{47C640DB-EBD4-4C1C-BC04-20F4307AC209}">
      <formula1>0</formula1>
      <formula2>1</formula2>
    </dataValidation>
    <dataValidation type="custom" allowBlank="1" showInputMessage="1" showErrorMessage="1" sqref="E5:E102"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1B72223-6504-460F-965D-DFD5881B105C}">
          <x14:formula1>
            <xm:f>IF($B5="Transportation",  'SI - Units'!$B$9:$E$9, _xlfn.XLOOKUP(_xlfn.XLOOKUP($C5,'SI - Units'!$B$24:$B$74,'SI - Units'!$C$24:$C$74),'SI - Units'!$A$2:$A$8,'SI - Units'!$B$2:$R$8))</xm:f>
          </x14:formula1>
          <xm:sqref>F5:F102</xm:sqref>
        </x14:dataValidation>
        <x14:dataValidation type="list" allowBlank="1" showInputMessage="1" showErrorMessage="1" xr:uid="{63CA037B-8CA6-4757-A61B-501CD93FC9D6}">
          <x14:formula1>
            <xm:f>'SI - Co-products'!$B$2:$B$6</xm:f>
          </x14:formula1>
          <xm:sqref>A5:A102</xm:sqref>
        </x14:dataValidation>
        <x14:dataValidation type="list" allowBlank="1" showInputMessage="1" showErrorMessage="1" xr:uid="{708C09E0-7CFC-4E80-806A-C98A3F370000}">
          <x14:formula1>
            <xm:f>_xlfn.XLOOKUP($B5,'SI - Resources'!$A$1:$I$1,INDIRECT("Resource"))</xm:f>
          </x14:formula1>
          <xm:sqref>C5:C102 O5:O102</xm:sqref>
        </x14:dataValidation>
        <x14:dataValidation type="list" allowBlank="1" showInputMessage="1" showErrorMessage="1" xr:uid="{137FA2E3-E9ED-4AAD-B627-B40AEA518764}">
          <x14:formula1>
            <xm:f>'SI - Resources'!$A$1:$I$1</xm:f>
          </x14:formula1>
          <xm:sqref>B5:B102</xm:sqref>
        </x14:dataValidation>
        <x14:dataValidation type="list" allowBlank="1" showInputMessage="1" showErrorMessage="1" xr:uid="{642FD266-C7B1-47E0-AA14-F7C007B182B8}">
          <x14:formula1>
            <xm:f>IF($B5="Transportation",  'SI - Units'!$B$20:$E$20, _xlfn.XLOOKUP(_xlfn.XLOOKUP($C5,'SI - Units'!$B$24:$B$74,'SI - Units'!$C$24:$C$74),'SI - Units'!$A$13:$A$19,'SI - Units'!$B$13:$R$19))</xm:f>
          </x14:formula1>
          <xm:sqref>N5:N102</xm:sqref>
        </x14:dataValidation>
        <x14:dataValidation type="list" allowBlank="1" showInputMessage="1" showErrorMessage="1" xr:uid="{B9A74E85-C57A-4302-B0EA-D6B9E3AA2A1A}">
          <x14:formula1>
            <xm:f>'SI - Co-products'!$C$2:$C$4</xm:f>
          </x14:formula1>
          <xm:sqref>I5:I102</xm:sqref>
        </x14:dataValidation>
        <x14:dataValidation type="list" allowBlank="1" showInputMessage="1" showErrorMessage="1" xr:uid="{BE465325-1930-4B1D-9670-DB7E812C4BD0}">
          <x14:formula1>
            <xm:f>'SI - Co-products'!$A$2:$A$5</xm:f>
          </x14:formula1>
          <xm:sqref>J5:J102</xm:sqref>
        </x14:dataValidation>
        <x14:dataValidation type="list" allowBlank="1" showInputMessage="1" showErrorMessage="1" xr:uid="{2D694978-C80C-4ACC-9A4C-4A45826BB4B7}">
          <x14:formula1>
            <xm:f>_xlfn.XLOOKUP(_xlfn.XLOOKUP(#REF!,'SI - Units'!$B$24:$B$74,'SI - Units'!$C$24:$C$74),'SI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 type="list" allowBlank="1" showInputMessage="1" showErrorMessage="1" xr:uid="{5CCAD58A-C111-4904-8E36-91277CB227AF}">
          <x14:formula1>
            <xm:f>_xlfn.XLOOKUP($O5,'SI - End Use'!$B$2:$B$53,'SI - End Use'!$C$2:$N$53)</xm:f>
          </x14:formula1>
          <xm:sqref>P5:P102</xm:sqref>
        </x14:dataValidation>
        <x14:dataValidation type="list" allowBlank="1" showInputMessage="1" xr:uid="{241043C0-7945-40E0-A3DC-FA3CB68B8F87}">
          <x14:formula1>
            <xm:f>_xlfn.XLOOKUP($C5,'SI - End Use'!$B$2:$B$53,'SI - End Use'!$C$2:$N$53)</xm:f>
          </x14:formula1>
          <xm:sqref>D5:D102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C180C-6B8B-430E-AB35-C898EC262D6F}">
  <sheetPr codeName="Sheet11"/>
  <dimension ref="A1:R100"/>
  <sheetViews>
    <sheetView tabSelected="1" workbookViewId="0">
      <pane ySplit="4" topLeftCell="A5" activePane="bottomLeft" state="frozen"/>
      <selection pane="bottomLeft" activeCell="I19" sqref="I1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254</v>
      </c>
      <c r="B2" s="22"/>
      <c r="C2" s="23" t="s">
        <v>129</v>
      </c>
    </row>
    <row r="4" spans="1:18" x14ac:dyDescent="0.35">
      <c r="A4" s="10" t="s">
        <v>6</v>
      </c>
      <c r="B4" s="11" t="s">
        <v>1</v>
      </c>
      <c r="C4" s="11" t="s">
        <v>36</v>
      </c>
      <c r="D4" s="11" t="s">
        <v>5</v>
      </c>
      <c r="E4" s="11" t="s">
        <v>7</v>
      </c>
      <c r="F4" s="11" t="s">
        <v>8</v>
      </c>
      <c r="G4" s="11" t="s">
        <v>116</v>
      </c>
      <c r="H4" s="11" t="s">
        <v>271</v>
      </c>
      <c r="I4" s="11" t="s">
        <v>127</v>
      </c>
      <c r="J4" s="11" t="s">
        <v>117</v>
      </c>
      <c r="K4" s="12" t="s">
        <v>138</v>
      </c>
      <c r="L4" s="12" t="s">
        <v>139</v>
      </c>
      <c r="M4" s="12" t="s">
        <v>140</v>
      </c>
      <c r="N4" s="12" t="s">
        <v>141</v>
      </c>
      <c r="O4" s="11" t="s">
        <v>142</v>
      </c>
      <c r="P4" s="11" t="s">
        <v>143</v>
      </c>
      <c r="Q4" s="11" t="s">
        <v>255</v>
      </c>
      <c r="R4" s="11" t="s">
        <v>4</v>
      </c>
    </row>
    <row r="5" spans="1:18" x14ac:dyDescent="0.35">
      <c r="A5" s="9" t="s">
        <v>281</v>
      </c>
      <c r="B5" s="9" t="s">
        <v>222</v>
      </c>
      <c r="C5" s="9" t="str">
        <f>_xlfn.XLOOKUP($B5,'SI - Resources'!$A$1:$I$1,'SI - Resources'!$A$2:$I$2, "")</f>
        <v>Biocrude</v>
      </c>
      <c r="D5" s="25" t="str">
        <f>IF(_xlfn.XLOOKUP($C5,'SI - End Use'!$B$2:$B$53,'SI - End Use'!$C$2:$C$53, "")="", "", _xlfn.XLOOKUP($C5,'SI - End Use'!$B$2:$B$53,'SI - End Use'!$C$2:$C$53, ""))</f>
        <v/>
      </c>
      <c r="E5" s="21">
        <v>38962</v>
      </c>
      <c r="F5" s="25" t="s">
        <v>63</v>
      </c>
      <c r="G5" s="32"/>
      <c r="H5" s="32" t="s">
        <v>246</v>
      </c>
      <c r="I5" s="36" t="str">
        <f>IF(Table16[[#This Row],[Type]]="Co-product", "No", "")</f>
        <v/>
      </c>
      <c r="J5" s="9"/>
      <c r="K5" s="9" t="str">
        <f>IF(Table16[[#This Row],[Type]]="Transportation", _xlfn.XLOOKUP(Table16[[#This Row],[Resource]], 'SI - Payload'!$A$10:$A$37,'SI - Payload'!$B$10:$B$37,"",0), "")</f>
        <v/>
      </c>
      <c r="L5" s="9" t="str">
        <f>IF(Table16[[#This Row],[Type]]="Transportation", "ton", "")</f>
        <v/>
      </c>
      <c r="M5" s="9"/>
      <c r="N5" s="9"/>
      <c r="O5" s="9" t="str">
        <f>IF(OR(Table16[[#This Row],[Type]]="Main Product", Table16[[#This Row],[Type]]="Co-Product"), Table16[[#This Row],[Resource]], "")</f>
        <v/>
      </c>
      <c r="P5" s="9" t="str">
        <f>IF(_xlfn.XLOOKUP($O5,'SI - End Use'!$B$2:$B$53,'SI - End Use'!$C$2:$C$53, "")="", "", _xlfn.XLOOKUP($C5,'SI - End Use'!$B$2:$B$53,'SI - End Use'!$C$2:$C$53, ""))</f>
        <v/>
      </c>
      <c r="Q5" s="9"/>
      <c r="R5" s="9"/>
    </row>
    <row r="6" spans="1:18" x14ac:dyDescent="0.35">
      <c r="A6" s="9" t="s">
        <v>0</v>
      </c>
      <c r="B6" s="9" t="s">
        <v>251</v>
      </c>
      <c r="C6" s="9" t="s">
        <v>24</v>
      </c>
      <c r="D6" s="25" t="s">
        <v>237</v>
      </c>
      <c r="E6" s="21">
        <v>2182</v>
      </c>
      <c r="F6" s="25" t="s">
        <v>63</v>
      </c>
      <c r="G6" s="32"/>
      <c r="H6" s="32"/>
      <c r="I6" s="36" t="str">
        <f>IF(Table16[[#This Row],[Type]]="Co-product", "No", "")</f>
        <v/>
      </c>
      <c r="J6" s="9"/>
      <c r="K6" s="9" t="str">
        <f>IF(Table16[[#This Row],[Type]]="Transportation", _xlfn.XLOOKUP(Table16[[#This Row],[Resource]], 'SI - Payload'!$A$10:$A$37,'SI - Payload'!$B$10:$B$37,"",0), "")</f>
        <v/>
      </c>
      <c r="L6" s="9" t="str">
        <f>IF(Table16[[#This Row],[Type]]="Transportation", "ton", "")</f>
        <v/>
      </c>
      <c r="M6" s="9"/>
      <c r="N6" s="9"/>
      <c r="O6" s="9" t="str">
        <f>IF(OR(Table16[[#This Row],[Type]]="Main Product", Table16[[#This Row],[Type]]="Co-Product"), Table16[[#This Row],[Resource]], "")</f>
        <v/>
      </c>
      <c r="P6" s="9" t="str">
        <f>IF(_xlfn.XLOOKUP($O6,'SI - End Use'!$B$2:$B$53,'SI - End Use'!$C$2:$C$53, "")="", "", _xlfn.XLOOKUP($C6,'SI - End Use'!$B$2:$B$53,'SI - End Use'!$C$2:$C$53, ""))</f>
        <v/>
      </c>
      <c r="Q6" s="9"/>
      <c r="R6" s="9"/>
    </row>
    <row r="7" spans="1:18" x14ac:dyDescent="0.35">
      <c r="A7" s="9" t="s">
        <v>0</v>
      </c>
      <c r="B7" s="9" t="s">
        <v>3</v>
      </c>
      <c r="C7" s="9" t="s">
        <v>3</v>
      </c>
      <c r="D7" s="25" t="s">
        <v>10</v>
      </c>
      <c r="E7" s="21">
        <v>1673</v>
      </c>
      <c r="F7" s="25" t="s">
        <v>72</v>
      </c>
      <c r="G7" s="32"/>
      <c r="H7" s="32"/>
      <c r="I7" s="36" t="str">
        <f>IF(Table16[[#This Row],[Type]]="Co-product", "No", "")</f>
        <v/>
      </c>
      <c r="J7" s="9"/>
      <c r="K7" s="9" t="str">
        <f>IF(Table16[[#This Row],[Type]]="Transportation", _xlfn.XLOOKUP(Table16[[#This Row],[Resource]], 'SI - Payload'!$A$10:$A$37,'SI - Payload'!$B$10:$B$37,"",0), "")</f>
        <v/>
      </c>
      <c r="L7" s="9" t="str">
        <f>IF(Table16[[#This Row],[Type]]="Transportation", "ton", "")</f>
        <v/>
      </c>
      <c r="M7" s="9"/>
      <c r="N7" s="9"/>
      <c r="O7" s="9" t="str">
        <f>IF(OR(Table16[[#This Row],[Type]]="Main Product", Table16[[#This Row],[Type]]="Co-Product"), Table16[[#This Row],[Resource]], "")</f>
        <v/>
      </c>
      <c r="P7" s="9" t="str">
        <f>IF(_xlfn.XLOOKUP($O7,'SI - End Use'!$B$2:$B$53,'SI - End Use'!$C$2:$C$53, "")="", "", _xlfn.XLOOKUP($C7,'SI - End Use'!$B$2:$B$53,'SI - End Use'!$C$2:$C$53, ""))</f>
        <v/>
      </c>
      <c r="Q7" s="9"/>
      <c r="R7" s="9"/>
    </row>
    <row r="8" spans="1:18" x14ac:dyDescent="0.35">
      <c r="A8" s="9" t="s">
        <v>0</v>
      </c>
      <c r="B8" s="9" t="s">
        <v>38</v>
      </c>
      <c r="C8" s="9" t="s">
        <v>240</v>
      </c>
      <c r="D8" s="25" t="str">
        <f>IF(_xlfn.XLOOKUP($C8,'SI - End Use'!$B$2:$B$53,'SI - End Use'!$C$2:$C$53, "")="", "", _xlfn.XLOOKUP($C8,'SI - End Use'!$B$2:$B$53,'SI - End Use'!$C$2:$C$53, ""))</f>
        <v/>
      </c>
      <c r="E8" s="21">
        <v>29.843721144967688</v>
      </c>
      <c r="F8" s="25" t="s">
        <v>63</v>
      </c>
      <c r="G8" s="32"/>
      <c r="H8" s="32"/>
      <c r="I8" s="36" t="str">
        <f>IF(Table16[[#This Row],[Type]]="Co-product", "No", "")</f>
        <v/>
      </c>
      <c r="J8" s="9"/>
      <c r="K8" s="9" t="str">
        <f>IF(Table16[[#This Row],[Type]]="Transportation", _xlfn.XLOOKUP(Table16[[#This Row],[Resource]], 'SI - Payload'!$A$10:$A$37,'SI - Payload'!$B$10:$B$37,"",0), "")</f>
        <v/>
      </c>
      <c r="L8" s="9" t="str">
        <f>IF(Table16[[#This Row],[Type]]="Transportation", "ton", "")</f>
        <v/>
      </c>
      <c r="M8" s="9"/>
      <c r="N8" s="9"/>
      <c r="O8" s="9" t="str">
        <f>IF(OR(Table16[[#This Row],[Type]]="Main Product", Table16[[#This Row],[Type]]="Co-Product"), Table16[[#This Row],[Resource]], "")</f>
        <v/>
      </c>
      <c r="P8" s="9" t="str">
        <f>IF(_xlfn.XLOOKUP($O8,'SI - End Use'!$B$2:$B$53,'SI - End Use'!$C$2:$C$53, "")="", "", _xlfn.XLOOKUP($C8,'SI - End Use'!$B$2:$B$53,'SI - End Use'!$C$2:$C$53, ""))</f>
        <v/>
      </c>
      <c r="Q8" s="9"/>
      <c r="R8" s="9"/>
    </row>
    <row r="9" spans="1:18" x14ac:dyDescent="0.35">
      <c r="A9" s="9" t="s">
        <v>0</v>
      </c>
      <c r="B9" s="9" t="s">
        <v>38</v>
      </c>
      <c r="C9" s="9" t="s">
        <v>241</v>
      </c>
      <c r="D9" s="25" t="str">
        <f>IF(_xlfn.XLOOKUP($C9,'SI - End Use'!$B$2:$B$53,'SI - End Use'!$C$2:$C$53, "")="", "", _xlfn.XLOOKUP($C9,'SI - End Use'!$B$2:$B$53,'SI - End Use'!$C$2:$C$53, ""))</f>
        <v/>
      </c>
      <c r="E9" s="21">
        <v>4.8088410991636801</v>
      </c>
      <c r="F9" s="25" t="s">
        <v>63</v>
      </c>
      <c r="G9" s="32"/>
      <c r="H9" s="32"/>
      <c r="I9" s="36" t="str">
        <f>IF(Table16[[#This Row],[Type]]="Co-product", "No", "")</f>
        <v/>
      </c>
      <c r="J9" s="9"/>
      <c r="K9" s="9" t="str">
        <f>IF(Table16[[#This Row],[Type]]="Transportation", _xlfn.XLOOKUP(Table16[[#This Row],[Resource]], 'SI - Payload'!$A$10:$A$37,'SI - Payload'!$B$10:$B$37,"",0), "")</f>
        <v/>
      </c>
      <c r="L9" s="9" t="str">
        <f>IF(Table16[[#This Row],[Type]]="Transportation", "ton", "")</f>
        <v/>
      </c>
      <c r="M9" s="9"/>
      <c r="N9" s="9"/>
      <c r="O9" s="9" t="str">
        <f>IF(OR(Table16[[#This Row],[Type]]="Main Product", Table16[[#This Row],[Type]]="Co-Product"), Table16[[#This Row],[Resource]], "")</f>
        <v/>
      </c>
      <c r="P9" s="9" t="str">
        <f>IF(_xlfn.XLOOKUP($O9,'SI - End Use'!$B$2:$B$53,'SI - End Use'!$C$2:$C$53, "")="", "", _xlfn.XLOOKUP($C9,'SI - End Use'!$B$2:$B$53,'SI - End Use'!$C$2:$C$53, ""))</f>
        <v/>
      </c>
      <c r="Q9" s="9"/>
      <c r="R9" s="9"/>
    </row>
    <row r="10" spans="1:18" x14ac:dyDescent="0.35">
      <c r="A10" s="9" t="s">
        <v>0</v>
      </c>
      <c r="B10" s="9" t="s">
        <v>38</v>
      </c>
      <c r="C10" s="9" t="s">
        <v>242</v>
      </c>
      <c r="D10" s="25" t="str">
        <f>IF(_xlfn.XLOOKUP($C10,'SI - End Use'!$B$2:$B$53,'SI - End Use'!$C$2:$C$53, "")="", "", _xlfn.XLOOKUP($C10,'SI - End Use'!$B$2:$B$53,'SI - End Use'!$C$2:$C$53, ""))</f>
        <v/>
      </c>
      <c r="E10" s="21">
        <v>0.24611221499130057</v>
      </c>
      <c r="F10" s="25" t="s">
        <v>63</v>
      </c>
      <c r="G10" s="32"/>
      <c r="H10" s="32"/>
      <c r="I10" s="36" t="str">
        <f>IF(Table16[[#This Row],[Type]]="Co-product", "No", "")</f>
        <v/>
      </c>
      <c r="J10" s="9"/>
      <c r="K10" s="9" t="str">
        <f>IF(Table16[[#This Row],[Type]]="Transportation", _xlfn.XLOOKUP(Table16[[#This Row],[Resource]], 'SI - Payload'!$A$10:$A$37,'SI - Payload'!$B$10:$B$37,"",0), "")</f>
        <v/>
      </c>
      <c r="L10" s="9" t="str">
        <f>IF(Table16[[#This Row],[Type]]="Transportation", "ton", "")</f>
        <v/>
      </c>
      <c r="M10" s="9"/>
      <c r="N10" s="9"/>
      <c r="O10" s="9" t="str">
        <f>IF(OR(Table16[[#This Row],[Type]]="Main Product", Table16[[#This Row],[Type]]="Co-Product"), Table16[[#This Row],[Resource]], "")</f>
        <v/>
      </c>
      <c r="P10" s="9" t="str">
        <f>IF(_xlfn.XLOOKUP($O10,'SI - End Use'!$B$2:$B$53,'SI - End Use'!$C$2:$C$53, "")="", "", _xlfn.XLOOKUP($C10,'SI - End Use'!$B$2:$B$53,'SI - End Use'!$C$2:$C$53, ""))</f>
        <v/>
      </c>
      <c r="Q10" s="9"/>
      <c r="R10" s="9"/>
    </row>
    <row r="11" spans="1:18" x14ac:dyDescent="0.35">
      <c r="A11" s="9" t="s">
        <v>0</v>
      </c>
      <c r="B11" s="9" t="s">
        <v>38</v>
      </c>
      <c r="C11" s="9" t="s">
        <v>243</v>
      </c>
      <c r="D11" s="25" t="str">
        <f>IF(_xlfn.XLOOKUP($C11,'SI - End Use'!$B$2:$B$53,'SI - End Use'!$C$2:$C$53, "")="", "", _xlfn.XLOOKUP($C11,'SI - End Use'!$B$2:$B$53,'SI - End Use'!$C$2:$C$53, ""))</f>
        <v/>
      </c>
      <c r="E11" s="21">
        <v>0.4</v>
      </c>
      <c r="F11" s="25" t="s">
        <v>63</v>
      </c>
      <c r="G11" s="32"/>
      <c r="H11" s="32"/>
      <c r="I11" s="36" t="str">
        <f>IF(Table16[[#This Row],[Type]]="Co-product", "No", "")</f>
        <v/>
      </c>
      <c r="J11" s="9"/>
      <c r="K11" s="9" t="str">
        <f>IF(Table16[[#This Row],[Type]]="Transportation", _xlfn.XLOOKUP(Table16[[#This Row],[Resource]], 'SI - Payload'!$A$10:$A$37,'SI - Payload'!$B$10:$B$37,"",0), "")</f>
        <v/>
      </c>
      <c r="L11" s="9" t="str">
        <f>IF(Table16[[#This Row],[Type]]="Transportation", "ton", "")</f>
        <v/>
      </c>
      <c r="M11" s="9"/>
      <c r="N11" s="9"/>
      <c r="O11" s="9" t="str">
        <f>IF(OR(Table16[[#This Row],[Type]]="Main Product", Table16[[#This Row],[Type]]="Co-Product"), Table16[[#This Row],[Resource]], "")</f>
        <v/>
      </c>
      <c r="P11" s="9" t="str">
        <f>IF(_xlfn.XLOOKUP($O11,'SI - End Use'!$B$2:$B$53,'SI - End Use'!$C$2:$C$53, "")="", "", _xlfn.XLOOKUP($C11,'SI - End Use'!$B$2:$B$53,'SI - End Use'!$C$2:$C$53, ""))</f>
        <v/>
      </c>
      <c r="Q11" s="9"/>
      <c r="R11" s="9"/>
    </row>
    <row r="12" spans="1:18" x14ac:dyDescent="0.35">
      <c r="A12" s="9" t="s">
        <v>0</v>
      </c>
      <c r="B12" s="9" t="s">
        <v>29</v>
      </c>
      <c r="C12" s="9" t="s">
        <v>29</v>
      </c>
      <c r="D12" s="25" t="str">
        <f>IF(_xlfn.XLOOKUP($C12,'SI - End Use'!$B$2:$B$53,'SI - End Use'!$C$2:$C$53, "")="", "", _xlfn.XLOOKUP($C12,'SI - End Use'!$B$2:$B$53,'SI - End Use'!$C$2:$C$53, ""))</f>
        <v/>
      </c>
      <c r="E12" s="21">
        <v>25049.700867629836</v>
      </c>
      <c r="F12" s="25" t="s">
        <v>63</v>
      </c>
      <c r="G12" s="32"/>
      <c r="H12" s="32"/>
      <c r="I12" s="36" t="str">
        <f>IF(Table16[[#This Row],[Type]]="Co-product", "No", "")</f>
        <v/>
      </c>
      <c r="J12" s="9"/>
      <c r="K12" s="9" t="str">
        <f>IF(Table16[[#This Row],[Type]]="Transportation", _xlfn.XLOOKUP(Table16[[#This Row],[Resource]], 'SI - Payload'!$A$10:$A$37,'SI - Payload'!$B$10:$B$37,"",0), "")</f>
        <v/>
      </c>
      <c r="L12" s="9" t="str">
        <f>IF(Table16[[#This Row],[Type]]="Transportation", "ton", "")</f>
        <v/>
      </c>
      <c r="M12" s="9"/>
      <c r="N12" s="9"/>
      <c r="O12" s="9" t="str">
        <f>IF(OR(Table16[[#This Row],[Type]]="Main Product", Table16[[#This Row],[Type]]="Co-Product"), Table16[[#This Row],[Resource]], "")</f>
        <v/>
      </c>
      <c r="P12" s="9" t="str">
        <f>IF(_xlfn.XLOOKUP($O12,'SI - End Use'!$B$2:$B$53,'SI - End Use'!$C$2:$C$53, "")="", "", _xlfn.XLOOKUP($C12,'SI - End Use'!$B$2:$B$53,'SI - End Use'!$C$2:$C$53, ""))</f>
        <v/>
      </c>
      <c r="Q12" s="9"/>
      <c r="R12" s="9"/>
    </row>
    <row r="13" spans="1:18" x14ac:dyDescent="0.35">
      <c r="A13" s="9" t="s">
        <v>0</v>
      </c>
      <c r="B13" s="9" t="s">
        <v>29</v>
      </c>
      <c r="C13" s="9" t="s">
        <v>29</v>
      </c>
      <c r="D13" s="25" t="str">
        <f>IF(_xlfn.XLOOKUP($C13,'SI - End Use'!$B$2:$B$53,'SI - End Use'!$C$2:$C$53, "")="", "", _xlfn.XLOOKUP($C13,'SI - End Use'!$B$2:$B$53,'SI - End Use'!$C$2:$C$53, ""))</f>
        <v/>
      </c>
      <c r="E13" s="21">
        <v>11021</v>
      </c>
      <c r="F13" s="25" t="s">
        <v>63</v>
      </c>
      <c r="G13" s="32"/>
      <c r="H13" s="32"/>
      <c r="I13" s="36" t="str">
        <f>IF(Table16[[#This Row],[Type]]="Co-product", "No", "")</f>
        <v/>
      </c>
      <c r="J13" s="9"/>
      <c r="K13" s="9" t="str">
        <f>IF(Table16[[#This Row],[Type]]="Transportation", _xlfn.XLOOKUP(Table16[[#This Row],[Resource]], 'SI - Payload'!$A$10:$A$37,'SI - Payload'!$B$10:$B$37,"",0), "")</f>
        <v/>
      </c>
      <c r="L13" s="9" t="str">
        <f>IF(Table16[[#This Row],[Type]]="Transportation", "ton", "")</f>
        <v/>
      </c>
      <c r="M13" s="9"/>
      <c r="N13" s="9"/>
      <c r="O13" s="9" t="str">
        <f>IF(OR(Table16[[#This Row],[Type]]="Main Product", Table16[[#This Row],[Type]]="Co-Product"), Table16[[#This Row],[Resource]], "")</f>
        <v/>
      </c>
      <c r="P13" s="9" t="str">
        <f>IF(_xlfn.XLOOKUP($O13,'SI - End Use'!$B$2:$B$53,'SI - End Use'!$C$2:$C$53, "")="", "", _xlfn.XLOOKUP($C13,'SI - End Use'!$B$2:$B$53,'SI - End Use'!$C$2:$C$53, ""))</f>
        <v/>
      </c>
      <c r="Q13" s="9"/>
      <c r="R13" s="9"/>
    </row>
    <row r="14" spans="1:18" x14ac:dyDescent="0.35">
      <c r="A14" s="9" t="s">
        <v>118</v>
      </c>
      <c r="B14" s="9" t="s">
        <v>251</v>
      </c>
      <c r="C14" s="9" t="s">
        <v>75</v>
      </c>
      <c r="D14" s="25" t="s">
        <v>249</v>
      </c>
      <c r="E14" s="21">
        <v>554.91562999999996</v>
      </c>
      <c r="F14" s="25" t="s">
        <v>74</v>
      </c>
      <c r="G14" s="32"/>
      <c r="H14" s="32"/>
      <c r="I14" s="36" t="str">
        <f>IF(Table16[[#This Row],[Type]]="Co-product", "No", "")</f>
        <v/>
      </c>
      <c r="J14" s="9"/>
      <c r="K14" s="9" t="str">
        <f>IF(Table16[[#This Row],[Type]]="Transportation", _xlfn.XLOOKUP(Table16[[#This Row],[Resource]], 'SI - Payload'!$A$10:$A$37,'SI - Payload'!$B$10:$B$37,"",0), "")</f>
        <v/>
      </c>
      <c r="L14" s="9" t="str">
        <f>IF(Table16[[#This Row],[Type]]="Transportation", "ton", "")</f>
        <v/>
      </c>
      <c r="M14" s="9"/>
      <c r="N14" s="9"/>
      <c r="O14" s="9" t="s">
        <v>2</v>
      </c>
      <c r="P14" s="9" t="s">
        <v>87</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IF(Table16[[#This Row],[Type]]="Co-product", "No", "")</f>
        <v/>
      </c>
      <c r="J15" s="9"/>
      <c r="K15" s="9" t="str">
        <f>IF(Table16[[#This Row],[Type]]="Transportation", _xlfn.XLOOKUP(Table16[[#This Row],[Resource]], 'SI - Payload'!$A$10:$A$37,'SI - Payload'!$B$10:$B$37,"",0), "")</f>
        <v/>
      </c>
      <c r="L15" s="9" t="str">
        <f>IF(Table16[[#This Row],[Type]]="Transportation", "ton", "")</f>
        <v/>
      </c>
      <c r="M15" s="9"/>
      <c r="N15" s="9"/>
      <c r="O15" s="9" t="str">
        <f>IF(OR(Table16[[#This Row],[Type]]="Main Product", Table16[[#This Row],[Type]]="Co-Product"), Table16[[#This Row],[Resource]], "")</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IF(Table16[[#This Row],[Type]]="Co-product", "No", "")</f>
        <v/>
      </c>
      <c r="J16" s="9"/>
      <c r="K16" s="9" t="str">
        <f>IF(Table16[[#This Row],[Type]]="Transportation", _xlfn.XLOOKUP(Table16[[#This Row],[Resource]], 'SI - Payload'!$A$10:$A$37,'SI - Payload'!$B$10:$B$37,"",0), "")</f>
        <v/>
      </c>
      <c r="L16" s="9" t="str">
        <f>IF(Table16[[#This Row],[Type]]="Transportation", "ton", "")</f>
        <v/>
      </c>
      <c r="M16" s="9"/>
      <c r="N16" s="9"/>
      <c r="O16" s="9" t="str">
        <f>IF(OR(Table16[[#This Row],[Type]]="Main Product", Table16[[#This Row],[Type]]="Co-Product"), Table16[[#This Row],[Resource]], "")</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IF(Table16[[#This Row],[Type]]="Co-product", "No", "")</f>
        <v/>
      </c>
      <c r="J17" s="9"/>
      <c r="K17" s="9" t="str">
        <f>IF(Table16[[#This Row],[Type]]="Transportation", _xlfn.XLOOKUP(Table16[[#This Row],[Resource]], 'SI - Payload'!$A$10:$A$37,'SI - Payload'!$B$10:$B$37,"",0), "")</f>
        <v/>
      </c>
      <c r="L17" s="9" t="str">
        <f>IF(Table16[[#This Row],[Type]]="Transportation", "ton", "")</f>
        <v/>
      </c>
      <c r="M17" s="9"/>
      <c r="N17" s="9"/>
      <c r="O17" s="9" t="str">
        <f>IF(OR(Table16[[#This Row],[Type]]="Main Product", Table16[[#This Row],[Type]]="Co-Product"), Table16[[#This Row],[Resource]], "")</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IF(Table16[[#This Row],[Type]]="Co-product", "No", "")</f>
        <v/>
      </c>
      <c r="J18" s="9"/>
      <c r="K18" s="9" t="str">
        <f>IF(Table16[[#This Row],[Type]]="Transportation", _xlfn.XLOOKUP(Table16[[#This Row],[Resource]], 'SI - Payload'!$A$10:$A$37,'SI - Payload'!$B$10:$B$37,"",0), "")</f>
        <v/>
      </c>
      <c r="L18" s="9" t="str">
        <f>IF(Table16[[#This Row],[Type]]="Transportation", "ton", "")</f>
        <v/>
      </c>
      <c r="M18" s="9"/>
      <c r="N18" s="9"/>
      <c r="O18" s="9" t="str">
        <f>IF(OR(Table16[[#This Row],[Type]]="Main Product", Table16[[#This Row],[Type]]="Co-Product"), Table16[[#This Row],[Resource]], "")</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IF(Table16[[#This Row],[Type]]="Co-product", "No", "")</f>
        <v/>
      </c>
      <c r="J19" s="9"/>
      <c r="K19" s="9" t="str">
        <f>IF(Table16[[#This Row],[Type]]="Transportation", _xlfn.XLOOKUP(Table16[[#This Row],[Resource]], 'SI - Payload'!$A$10:$A$37,'SI - Payload'!$B$10:$B$37,"",0), "")</f>
        <v/>
      </c>
      <c r="L19" s="9" t="str">
        <f>IF(Table16[[#This Row],[Type]]="Transportation", "ton", "")</f>
        <v/>
      </c>
      <c r="M19" s="9"/>
      <c r="N19" s="9"/>
      <c r="O19" s="9" t="str">
        <f>IF(OR(Table16[[#This Row],[Type]]="Main Product", Table16[[#This Row],[Type]]="Co-Product"), Table16[[#This Row],[Resource]], "")</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IF(Table16[[#This Row],[Type]]="Co-product", "No", "")</f>
        <v/>
      </c>
      <c r="J20" s="9"/>
      <c r="K20" s="9" t="str">
        <f>IF(Table16[[#This Row],[Type]]="Transportation", _xlfn.XLOOKUP(Table16[[#This Row],[Resource]], 'SI - Payload'!$A$10:$A$37,'SI - Payload'!$B$10:$B$37,"",0), "")</f>
        <v/>
      </c>
      <c r="L20" s="9" t="str">
        <f>IF(Table16[[#This Row],[Type]]="Transportation", "ton", "")</f>
        <v/>
      </c>
      <c r="M20" s="9"/>
      <c r="N20" s="9"/>
      <c r="O20" s="9" t="str">
        <f>IF(OR(Table16[[#This Row],[Type]]="Main Product", Table16[[#This Row],[Type]]="Co-Product"), Table16[[#This Row],[Resource]], "")</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IF(Table16[[#This Row],[Type]]="Co-product", "No", "")</f>
        <v/>
      </c>
      <c r="J21" s="9"/>
      <c r="K21" s="9" t="str">
        <f>IF(Table16[[#This Row],[Type]]="Transportation", _xlfn.XLOOKUP(Table16[[#This Row],[Resource]], 'SI - Payload'!$A$10:$A$37,'SI - Payload'!$B$10:$B$37,"",0), "")</f>
        <v/>
      </c>
      <c r="L21" s="9" t="str">
        <f>IF(Table16[[#This Row],[Type]]="Transportation", "ton", "")</f>
        <v/>
      </c>
      <c r="M21" s="9"/>
      <c r="N21" s="9"/>
      <c r="O21" s="9" t="str">
        <f>IF(OR(Table16[[#This Row],[Type]]="Main Product", Table16[[#This Row],[Type]]="Co-Product"), Table16[[#This Row],[Resource]], "")</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IF(Table16[[#This Row],[Type]]="Co-product", "No", "")</f>
        <v/>
      </c>
      <c r="J22" s="9"/>
      <c r="K22" s="9" t="str">
        <f>IF(Table16[[#This Row],[Type]]="Transportation", _xlfn.XLOOKUP(Table16[[#This Row],[Resource]], 'SI - Payload'!$A$10:$A$37,'SI - Payload'!$B$10:$B$37,"",0), "")</f>
        <v/>
      </c>
      <c r="L22" s="9" t="str">
        <f>IF(Table16[[#This Row],[Type]]="Transportation", "ton", "")</f>
        <v/>
      </c>
      <c r="M22" s="9"/>
      <c r="N22" s="9"/>
      <c r="O22" s="9" t="str">
        <f>IF(OR(Table16[[#This Row],[Type]]="Main Product", Table16[[#This Row],[Type]]="Co-Product"), Table16[[#This Row],[Resource]], "")</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IF(Table16[[#This Row],[Type]]="Co-product", "No", "")</f>
        <v/>
      </c>
      <c r="J23" s="9"/>
      <c r="K23" s="9" t="str">
        <f>IF(Table16[[#This Row],[Type]]="Transportation", _xlfn.XLOOKUP(Table16[[#This Row],[Resource]], 'SI - Payload'!$A$10:$A$37,'SI - Payload'!$B$10:$B$37,"",0), "")</f>
        <v/>
      </c>
      <c r="L23" s="9" t="str">
        <f>IF(Table16[[#This Row],[Type]]="Transportation", "ton", "")</f>
        <v/>
      </c>
      <c r="M23" s="9"/>
      <c r="N23" s="9"/>
      <c r="O23" s="9" t="str">
        <f>IF(OR(Table16[[#This Row],[Type]]="Main Product", Table16[[#This Row],[Type]]="Co-Product"), Table16[[#This Row],[Resource]], "")</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IF(Table16[[#This Row],[Type]]="Co-product", "No", "")</f>
        <v/>
      </c>
      <c r="J24" s="9"/>
      <c r="K24" s="9" t="str">
        <f>IF(Table16[[#This Row],[Type]]="Transportation", _xlfn.XLOOKUP(Table16[[#This Row],[Resource]], 'SI - Payload'!$A$10:$A$37,'SI - Payload'!$B$10:$B$37,"",0), "")</f>
        <v/>
      </c>
      <c r="L24" s="9" t="str">
        <f>IF(Table16[[#This Row],[Type]]="Transportation", "ton", "")</f>
        <v/>
      </c>
      <c r="M24" s="9"/>
      <c r="N24" s="9"/>
      <c r="O24" s="9" t="str">
        <f>IF(OR(Table16[[#This Row],[Type]]="Main Product", Table16[[#This Row],[Type]]="Co-Product"), Table16[[#This Row],[Resource]], "")</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IF(Table16[[#This Row],[Type]]="Co-product", "No", "")</f>
        <v/>
      </c>
      <c r="J25" s="9"/>
      <c r="K25" s="9" t="str">
        <f>IF(Table16[[#This Row],[Type]]="Transportation", _xlfn.XLOOKUP(Table16[[#This Row],[Resource]], 'SI - Payload'!$A$10:$A$37,'SI - Payload'!$B$10:$B$37,"",0), "")</f>
        <v/>
      </c>
      <c r="L25" s="9" t="str">
        <f>IF(Table16[[#This Row],[Type]]="Transportation", "ton", "")</f>
        <v/>
      </c>
      <c r="M25" s="9"/>
      <c r="N25" s="9"/>
      <c r="O25" s="9" t="str">
        <f>IF(OR(Table16[[#This Row],[Type]]="Main Product", Table16[[#This Row],[Type]]="Co-Product"), Table16[[#This Row],[Resource]], "")</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IF(Table16[[#This Row],[Type]]="Co-product", "No", "")</f>
        <v/>
      </c>
      <c r="J26" s="9"/>
      <c r="K26" s="9" t="str">
        <f>IF(Table16[[#This Row],[Type]]="Transportation", _xlfn.XLOOKUP(Table16[[#This Row],[Resource]], 'SI - Payload'!$A$10:$A$37,'SI - Payload'!$B$10:$B$37,"",0), "")</f>
        <v/>
      </c>
      <c r="L26" s="9" t="str">
        <f>IF(Table16[[#This Row],[Type]]="Transportation", "ton", "")</f>
        <v/>
      </c>
      <c r="M26" s="9"/>
      <c r="N26" s="9"/>
      <c r="O26" s="9" t="str">
        <f>IF(OR(Table16[[#This Row],[Type]]="Main Product", Table16[[#This Row],[Type]]="Co-Product"), Table16[[#This Row],[Resource]], "")</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IF(Table16[[#This Row],[Type]]="Co-product", "No", "")</f>
        <v/>
      </c>
      <c r="J27" s="9"/>
      <c r="K27" s="9" t="str">
        <f>IF(Table16[[#This Row],[Type]]="Transportation", _xlfn.XLOOKUP(Table16[[#This Row],[Resource]], 'SI - Payload'!$A$10:$A$37,'SI - Payload'!$B$10:$B$37,"",0), "")</f>
        <v/>
      </c>
      <c r="L27" s="9" t="str">
        <f>IF(Table16[[#This Row],[Type]]="Transportation", "ton", "")</f>
        <v/>
      </c>
      <c r="M27" s="9"/>
      <c r="N27" s="9"/>
      <c r="O27" s="9" t="str">
        <f>IF(OR(Table16[[#This Row],[Type]]="Main Product", Table16[[#This Row],[Type]]="Co-Product"), Table16[[#This Row],[Resource]], "")</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IF(Table16[[#This Row],[Type]]="Co-product", "No", "")</f>
        <v/>
      </c>
      <c r="J28" s="9"/>
      <c r="K28" s="9" t="str">
        <f>IF(Table16[[#This Row],[Type]]="Transportation", _xlfn.XLOOKUP(Table16[[#This Row],[Resource]], 'SI - Payload'!$A$10:$A$37,'SI - Payload'!$B$10:$B$37,"",0), "")</f>
        <v/>
      </c>
      <c r="L28" s="9" t="str">
        <f>IF(Table16[[#This Row],[Type]]="Transportation", "ton", "")</f>
        <v/>
      </c>
      <c r="M28" s="9"/>
      <c r="N28" s="9"/>
      <c r="O28" s="9" t="str">
        <f>IF(OR(Table16[[#This Row],[Type]]="Main Product", Table16[[#This Row],[Type]]="Co-Product"), Table16[[#This Row],[Resource]], "")</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IF(Table16[[#This Row],[Type]]="Co-product", "No", "")</f>
        <v/>
      </c>
      <c r="J29" s="9"/>
      <c r="K29" s="9" t="str">
        <f>IF(Table16[[#This Row],[Type]]="Transportation", _xlfn.XLOOKUP(Table16[[#This Row],[Resource]], 'SI - Payload'!$A$10:$A$37,'SI - Payload'!$B$10:$B$37,"",0), "")</f>
        <v/>
      </c>
      <c r="L29" s="9" t="str">
        <f>IF(Table16[[#This Row],[Type]]="Transportation", "ton", "")</f>
        <v/>
      </c>
      <c r="M29" s="9"/>
      <c r="N29" s="9"/>
      <c r="O29" s="9" t="str">
        <f>IF(OR(Table16[[#This Row],[Type]]="Main Product", Table16[[#This Row],[Type]]="Co-Product"), Table16[[#This Row],[Resource]], "")</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IF(Table16[[#This Row],[Type]]="Co-product", "No", "")</f>
        <v/>
      </c>
      <c r="J30" s="9"/>
      <c r="K30" s="9" t="str">
        <f>IF(Table16[[#This Row],[Type]]="Transportation", _xlfn.XLOOKUP(Table16[[#This Row],[Resource]], 'SI - Payload'!$A$10:$A$37,'SI - Payload'!$B$10:$B$37,"",0), "")</f>
        <v/>
      </c>
      <c r="L30" s="9" t="str">
        <f>IF(Table16[[#This Row],[Type]]="Transportation", "ton", "")</f>
        <v/>
      </c>
      <c r="M30" s="9"/>
      <c r="N30" s="9"/>
      <c r="O30" s="9" t="str">
        <f>IF(OR(Table16[[#This Row],[Type]]="Main Product", Table16[[#This Row],[Type]]="Co-Product"), Table16[[#This Row],[Resource]], "")</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IF(Table16[[#This Row],[Type]]="Co-product", "No", "")</f>
        <v/>
      </c>
      <c r="J31" s="9"/>
      <c r="K31" s="9" t="str">
        <f>IF(Table16[[#This Row],[Type]]="Transportation", _xlfn.XLOOKUP(Table16[[#This Row],[Resource]], 'SI - Payload'!$A$10:$A$37,'SI - Payload'!$B$10:$B$37,"",0), "")</f>
        <v/>
      </c>
      <c r="L31" s="9" t="str">
        <f>IF(Table16[[#This Row],[Type]]="Transportation", "ton", "")</f>
        <v/>
      </c>
      <c r="M31" s="9"/>
      <c r="N31" s="9"/>
      <c r="O31" s="9" t="str">
        <f>IF(OR(Table16[[#This Row],[Type]]="Main Product", Table16[[#This Row],[Type]]="Co-Product"), Table16[[#This Row],[Resource]], "")</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IF(Table16[[#This Row],[Type]]="Co-product", "No", "")</f>
        <v/>
      </c>
      <c r="J32" s="9"/>
      <c r="K32" s="9" t="str">
        <f>IF(Table16[[#This Row],[Type]]="Transportation", _xlfn.XLOOKUP(Table16[[#This Row],[Resource]], 'SI - Payload'!$A$10:$A$37,'SI - Payload'!$B$10:$B$37,"",0), "")</f>
        <v/>
      </c>
      <c r="L32" s="9" t="str">
        <f>IF(Table16[[#This Row],[Type]]="Transportation", "ton", "")</f>
        <v/>
      </c>
      <c r="M32" s="9"/>
      <c r="N32" s="9"/>
      <c r="O32" s="9" t="str">
        <f>IF(OR(Table16[[#This Row],[Type]]="Main Product", Table16[[#This Row],[Type]]="Co-Product"), Table16[[#This Row],[Resource]], "")</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IF(Table16[[#This Row],[Type]]="Co-product", "No", "")</f>
        <v/>
      </c>
      <c r="J33" s="9"/>
      <c r="K33" s="9" t="str">
        <f>IF(Table16[[#This Row],[Type]]="Transportation", _xlfn.XLOOKUP(Table16[[#This Row],[Resource]], 'SI - Payload'!$A$10:$A$37,'SI - Payload'!$B$10:$B$37,"",0), "")</f>
        <v/>
      </c>
      <c r="L33" s="9" t="str">
        <f>IF(Table16[[#This Row],[Type]]="Transportation", "ton", "")</f>
        <v/>
      </c>
      <c r="M33" s="9"/>
      <c r="N33" s="9"/>
      <c r="O33" s="9" t="str">
        <f>IF(OR(Table16[[#This Row],[Type]]="Main Product", Table16[[#This Row],[Type]]="Co-Product"), Table16[[#This Row],[Resource]], "")</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IF(Table16[[#This Row],[Type]]="Co-product", "No", "")</f>
        <v/>
      </c>
      <c r="J34" s="9"/>
      <c r="K34" s="9" t="str">
        <f>IF(Table16[[#This Row],[Type]]="Transportation", _xlfn.XLOOKUP(Table16[[#This Row],[Resource]], 'SI - Payload'!$A$10:$A$37,'SI - Payload'!$B$10:$B$37,"",0), "")</f>
        <v/>
      </c>
      <c r="L34" s="9" t="str">
        <f>IF(Table16[[#This Row],[Type]]="Transportation", "ton", "")</f>
        <v/>
      </c>
      <c r="M34" s="9"/>
      <c r="N34" s="9"/>
      <c r="O34" s="9" t="str">
        <f>IF(OR(Table16[[#This Row],[Type]]="Main Product", Table16[[#This Row],[Type]]="Co-Product"), Table16[[#This Row],[Resource]], "")</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IF(Table16[[#This Row],[Type]]="Co-product", "No", "")</f>
        <v/>
      </c>
      <c r="J35" s="9"/>
      <c r="K35" s="9" t="str">
        <f>IF(Table16[[#This Row],[Type]]="Transportation", _xlfn.XLOOKUP(Table16[[#This Row],[Resource]], 'SI - Payload'!$A$10:$A$37,'SI - Payload'!$B$10:$B$37,"",0), "")</f>
        <v/>
      </c>
      <c r="L35" s="9" t="str">
        <f>IF(Table16[[#This Row],[Type]]="Transportation", "ton", "")</f>
        <v/>
      </c>
      <c r="M35" s="9"/>
      <c r="N35" s="9"/>
      <c r="O35" s="9" t="str">
        <f>IF(OR(Table16[[#This Row],[Type]]="Main Product", Table16[[#This Row],[Type]]="Co-Product"), Table16[[#This Row],[Resource]], "")</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IF(Table16[[#This Row],[Type]]="Co-product", "No", "")</f>
        <v/>
      </c>
      <c r="J36" s="9"/>
      <c r="K36" s="9" t="str">
        <f>IF(Table16[[#This Row],[Type]]="Transportation", _xlfn.XLOOKUP(Table16[[#This Row],[Resource]], 'SI - Payload'!$A$10:$A$37,'SI - Payload'!$B$10:$B$37,"",0), "")</f>
        <v/>
      </c>
      <c r="L36" s="9" t="str">
        <f>IF(Table16[[#This Row],[Type]]="Transportation", "ton", "")</f>
        <v/>
      </c>
      <c r="M36" s="9"/>
      <c r="N36" s="9"/>
      <c r="O36" s="9" t="str">
        <f>IF(OR(Table16[[#This Row],[Type]]="Main Product", Table16[[#This Row],[Type]]="Co-Product"), Table16[[#This Row],[Resource]], "")</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IF(Table16[[#This Row],[Type]]="Co-product", "No", "")</f>
        <v/>
      </c>
      <c r="J37" s="9"/>
      <c r="K37" s="9" t="str">
        <f>IF(Table16[[#This Row],[Type]]="Transportation", _xlfn.XLOOKUP(Table16[[#This Row],[Resource]], 'SI - Payload'!$A$10:$A$37,'SI - Payload'!$B$10:$B$37,"",0), "")</f>
        <v/>
      </c>
      <c r="L37" s="9" t="str">
        <f>IF(Table16[[#This Row],[Type]]="Transportation", "ton", "")</f>
        <v/>
      </c>
      <c r="M37" s="9"/>
      <c r="N37" s="9"/>
      <c r="O37" s="9" t="str">
        <f>IF(OR(Table16[[#This Row],[Type]]="Main Product", Table16[[#This Row],[Type]]="Co-Product"), Table16[[#This Row],[Resource]], "")</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IF(Table16[[#This Row],[Type]]="Co-product", "No", "")</f>
        <v/>
      </c>
      <c r="J38" s="9"/>
      <c r="K38" s="9" t="str">
        <f>IF(Table16[[#This Row],[Type]]="Transportation", _xlfn.XLOOKUP(Table16[[#This Row],[Resource]], 'SI - Payload'!$A$10:$A$37,'SI - Payload'!$B$10:$B$37,"",0), "")</f>
        <v/>
      </c>
      <c r="L38" s="9" t="str">
        <f>IF(Table16[[#This Row],[Type]]="Transportation", "ton", "")</f>
        <v/>
      </c>
      <c r="M38" s="9"/>
      <c r="N38" s="9"/>
      <c r="O38" s="9" t="str">
        <f>IF(OR(Table16[[#This Row],[Type]]="Main Product", Table16[[#This Row],[Type]]="Co-Product"), Table16[[#This Row],[Resource]], "")</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IF(Table16[[#This Row],[Type]]="Co-product", "No", "")</f>
        <v/>
      </c>
      <c r="J39" s="9"/>
      <c r="K39" s="9" t="str">
        <f>IF(Table16[[#This Row],[Type]]="Transportation", _xlfn.XLOOKUP(Table16[[#This Row],[Resource]], 'SI - Payload'!$A$10:$A$37,'SI - Payload'!$B$10:$B$37,"",0), "")</f>
        <v/>
      </c>
      <c r="L39" s="9" t="str">
        <f>IF(Table16[[#This Row],[Type]]="Transportation", "ton", "")</f>
        <v/>
      </c>
      <c r="M39" s="9"/>
      <c r="N39" s="9"/>
      <c r="O39" s="9" t="str">
        <f>IF(OR(Table16[[#This Row],[Type]]="Main Product", Table16[[#This Row],[Type]]="Co-Product"), Table16[[#This Row],[Resource]], "")</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IF(Table16[[#This Row],[Type]]="Co-product", "No", "")</f>
        <v/>
      </c>
      <c r="J40" s="9"/>
      <c r="K40" s="9" t="str">
        <f>IF(Table16[[#This Row],[Type]]="Transportation", _xlfn.XLOOKUP(Table16[[#This Row],[Resource]], 'SI - Payload'!$A$10:$A$37,'SI - Payload'!$B$10:$B$37,"",0), "")</f>
        <v/>
      </c>
      <c r="L40" s="9" t="str">
        <f>IF(Table16[[#This Row],[Type]]="Transportation", "ton", "")</f>
        <v/>
      </c>
      <c r="M40" s="9"/>
      <c r="N40" s="9"/>
      <c r="O40" s="9" t="str">
        <f>IF(OR(Table16[[#This Row],[Type]]="Main Product", Table16[[#This Row],[Type]]="Co-Product"), Table16[[#This Row],[Resource]], "")</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IF(Table16[[#This Row],[Type]]="Co-product", "No", "")</f>
        <v/>
      </c>
      <c r="J41" s="9"/>
      <c r="K41" s="9" t="str">
        <f>IF(Table16[[#This Row],[Type]]="Transportation", _xlfn.XLOOKUP(Table16[[#This Row],[Resource]], 'SI - Payload'!$A$10:$A$37,'SI - Payload'!$B$10:$B$37,"",0), "")</f>
        <v/>
      </c>
      <c r="L41" s="9" t="str">
        <f>IF(Table16[[#This Row],[Type]]="Transportation", "ton", "")</f>
        <v/>
      </c>
      <c r="M41" s="9"/>
      <c r="N41" s="9"/>
      <c r="O41" s="9" t="str">
        <f>IF(OR(Table16[[#This Row],[Type]]="Main Product", Table16[[#This Row],[Type]]="Co-Product"), Table16[[#This Row],[Resource]], "")</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IF(Table16[[#This Row],[Type]]="Co-product", "No", "")</f>
        <v/>
      </c>
      <c r="J42" s="9"/>
      <c r="K42" s="9" t="str">
        <f>IF(Table16[[#This Row],[Type]]="Transportation", _xlfn.XLOOKUP(Table16[[#This Row],[Resource]], 'SI - Payload'!$A$10:$A$37,'SI - Payload'!$B$10:$B$37,"",0), "")</f>
        <v/>
      </c>
      <c r="L42" s="9" t="str">
        <f>IF(Table16[[#This Row],[Type]]="Transportation", "ton", "")</f>
        <v/>
      </c>
      <c r="M42" s="9"/>
      <c r="N42" s="9"/>
      <c r="O42" s="9" t="str">
        <f>IF(OR(Table16[[#This Row],[Type]]="Main Product", Table16[[#This Row],[Type]]="Co-Product"), Table16[[#This Row],[Resource]], "")</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IF(Table16[[#This Row],[Type]]="Co-product", "No", "")</f>
        <v/>
      </c>
      <c r="J43" s="9"/>
      <c r="K43" s="9" t="str">
        <f>IF(Table16[[#This Row],[Type]]="Transportation", _xlfn.XLOOKUP(Table16[[#This Row],[Resource]], 'SI - Payload'!$A$10:$A$37,'SI - Payload'!$B$10:$B$37,"",0), "")</f>
        <v/>
      </c>
      <c r="L43" s="9" t="str">
        <f>IF(Table16[[#This Row],[Type]]="Transportation", "ton", "")</f>
        <v/>
      </c>
      <c r="M43" s="9"/>
      <c r="N43" s="9"/>
      <c r="O43" s="9" t="str">
        <f>IF(OR(Table16[[#This Row],[Type]]="Main Product", Table16[[#This Row],[Type]]="Co-Product"), Table16[[#This Row],[Resource]], "")</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IF(Table16[[#This Row],[Type]]="Co-product", "No", "")</f>
        <v/>
      </c>
      <c r="J44" s="9"/>
      <c r="K44" s="9" t="str">
        <f>IF(Table16[[#This Row],[Type]]="Transportation", _xlfn.XLOOKUP(Table16[[#This Row],[Resource]], 'SI - Payload'!$A$10:$A$37,'SI - Payload'!$B$10:$B$37,"",0), "")</f>
        <v/>
      </c>
      <c r="L44" s="9" t="str">
        <f>IF(Table16[[#This Row],[Type]]="Transportation", "ton", "")</f>
        <v/>
      </c>
      <c r="M44" s="9"/>
      <c r="N44" s="9"/>
      <c r="O44" s="9" t="str">
        <f>IF(OR(Table16[[#This Row],[Type]]="Main Product", Table16[[#This Row],[Type]]="Co-Product"), Table16[[#This Row],[Resource]], "")</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IF(Table16[[#This Row],[Type]]="Co-product", "No", "")</f>
        <v/>
      </c>
      <c r="J45" s="9"/>
      <c r="K45" s="9" t="str">
        <f>IF(Table16[[#This Row],[Type]]="Transportation", _xlfn.XLOOKUP(Table16[[#This Row],[Resource]], 'SI - Payload'!$A$10:$A$37,'SI - Payload'!$B$10:$B$37,"",0), "")</f>
        <v/>
      </c>
      <c r="L45" s="9" t="str">
        <f>IF(Table16[[#This Row],[Type]]="Transportation", "ton", "")</f>
        <v/>
      </c>
      <c r="M45" s="9"/>
      <c r="N45" s="9"/>
      <c r="O45" s="9" t="str">
        <f>IF(OR(Table16[[#This Row],[Type]]="Main Product", Table16[[#This Row],[Type]]="Co-Product"), Table16[[#This Row],[Resource]], "")</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IF(Table16[[#This Row],[Type]]="Co-product", "No", "")</f>
        <v/>
      </c>
      <c r="J46" s="9"/>
      <c r="K46" s="9" t="str">
        <f>IF(Table16[[#This Row],[Type]]="Transportation", _xlfn.XLOOKUP(Table16[[#This Row],[Resource]], 'SI - Payload'!$A$10:$A$37,'SI - Payload'!$B$10:$B$37,"",0), "")</f>
        <v/>
      </c>
      <c r="L46" s="9" t="str">
        <f>IF(Table16[[#This Row],[Type]]="Transportation", "ton", "")</f>
        <v/>
      </c>
      <c r="M46" s="9"/>
      <c r="N46" s="9"/>
      <c r="O46" s="9" t="str">
        <f>IF(OR(Table16[[#This Row],[Type]]="Main Product", Table16[[#This Row],[Type]]="Co-Product"), Table16[[#This Row],[Resource]], "")</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IF(Table16[[#This Row],[Type]]="Co-product", "No", "")</f>
        <v/>
      </c>
      <c r="J47" s="9"/>
      <c r="K47" s="9" t="str">
        <f>IF(Table16[[#This Row],[Type]]="Transportation", _xlfn.XLOOKUP(Table16[[#This Row],[Resource]], 'SI - Payload'!$A$10:$A$37,'SI - Payload'!$B$10:$B$37,"",0), "")</f>
        <v/>
      </c>
      <c r="L47" s="9" t="str">
        <f>IF(Table16[[#This Row],[Type]]="Transportation", "ton", "")</f>
        <v/>
      </c>
      <c r="M47" s="9"/>
      <c r="N47" s="9"/>
      <c r="O47" s="9" t="str">
        <f>IF(OR(Table16[[#This Row],[Type]]="Main Product", Table16[[#This Row],[Type]]="Co-Product"), Table16[[#This Row],[Resource]], "")</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IF(Table16[[#This Row],[Type]]="Co-product", "No", "")</f>
        <v/>
      </c>
      <c r="J48" s="9"/>
      <c r="K48" s="9" t="str">
        <f>IF(Table16[[#This Row],[Type]]="Transportation", _xlfn.XLOOKUP(Table16[[#This Row],[Resource]], 'SI - Payload'!$A$10:$A$37,'SI - Payload'!$B$10:$B$37,"",0), "")</f>
        <v/>
      </c>
      <c r="L48" s="9" t="str">
        <f>IF(Table16[[#This Row],[Type]]="Transportation", "ton", "")</f>
        <v/>
      </c>
      <c r="M48" s="9"/>
      <c r="N48" s="9"/>
      <c r="O48" s="9" t="str">
        <f>IF(OR(Table16[[#This Row],[Type]]="Main Product", Table16[[#This Row],[Type]]="Co-Product"), Table16[[#This Row],[Resource]], "")</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IF(Table16[[#This Row],[Type]]="Co-product", "No", "")</f>
        <v/>
      </c>
      <c r="J49" s="9"/>
      <c r="K49" s="9" t="str">
        <f>IF(Table16[[#This Row],[Type]]="Transportation", _xlfn.XLOOKUP(Table16[[#This Row],[Resource]], 'SI - Payload'!$A$10:$A$37,'SI - Payload'!$B$10:$B$37,"",0), "")</f>
        <v/>
      </c>
      <c r="L49" s="9" t="str">
        <f>IF(Table16[[#This Row],[Type]]="Transportation", "ton", "")</f>
        <v/>
      </c>
      <c r="M49" s="9"/>
      <c r="N49" s="9"/>
      <c r="O49" s="9" t="str">
        <f>IF(OR(Table16[[#This Row],[Type]]="Main Product", Table16[[#This Row],[Type]]="Co-Product"), Table16[[#This Row],[Resource]], "")</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IF(Table16[[#This Row],[Type]]="Co-product", "No", "")</f>
        <v/>
      </c>
      <c r="J50" s="9"/>
      <c r="K50" s="9" t="str">
        <f>IF(Table16[[#This Row],[Type]]="Transportation", _xlfn.XLOOKUP(Table16[[#This Row],[Resource]], 'SI - Payload'!$A$10:$A$37,'SI - Payload'!$B$10:$B$37,"",0), "")</f>
        <v/>
      </c>
      <c r="L50" s="9" t="str">
        <f>IF(Table16[[#This Row],[Type]]="Transportation", "ton", "")</f>
        <v/>
      </c>
      <c r="M50" s="9"/>
      <c r="N50" s="9"/>
      <c r="O50" s="9" t="str">
        <f>IF(OR(Table16[[#This Row],[Type]]="Main Product", Table16[[#This Row],[Type]]="Co-Product"), Table16[[#This Row],[Resource]], "")</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IF(Table16[[#This Row],[Type]]="Co-product", "No", "")</f>
        <v/>
      </c>
      <c r="J51" s="9"/>
      <c r="K51" s="9" t="str">
        <f>IF(Table16[[#This Row],[Type]]="Transportation", _xlfn.XLOOKUP(Table16[[#This Row],[Resource]], 'SI - Payload'!$A$10:$A$37,'SI - Payload'!$B$10:$B$37,"",0), "")</f>
        <v/>
      </c>
      <c r="L51" s="9" t="str">
        <f>IF(Table16[[#This Row],[Type]]="Transportation", "ton", "")</f>
        <v/>
      </c>
      <c r="M51" s="9"/>
      <c r="N51" s="9"/>
      <c r="O51" s="9" t="str">
        <f>IF(OR(Table16[[#This Row],[Type]]="Main Product", Table16[[#This Row],[Type]]="Co-Product"), Table16[[#This Row],[Resource]], "")</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IF(Table16[[#This Row],[Type]]="Co-product", "No", "")</f>
        <v/>
      </c>
      <c r="J52" s="9"/>
      <c r="K52" s="9" t="str">
        <f>IF(Table16[[#This Row],[Type]]="Transportation", _xlfn.XLOOKUP(Table16[[#This Row],[Resource]], 'SI - Payload'!$A$10:$A$37,'SI - Payload'!$B$10:$B$37,"",0), "")</f>
        <v/>
      </c>
      <c r="L52" s="9" t="str">
        <f>IF(Table16[[#This Row],[Type]]="Transportation", "ton", "")</f>
        <v/>
      </c>
      <c r="M52" s="9"/>
      <c r="N52" s="9"/>
      <c r="O52" s="9" t="str">
        <f>IF(OR(Table16[[#This Row],[Type]]="Main Product", Table16[[#This Row],[Type]]="Co-Product"), Table16[[#This Row],[Resource]], "")</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IF(Table16[[#This Row],[Type]]="Co-product", "No", "")</f>
        <v/>
      </c>
      <c r="J53" s="9"/>
      <c r="K53" s="9" t="str">
        <f>IF(Table16[[#This Row],[Type]]="Transportation", _xlfn.XLOOKUP(Table16[[#This Row],[Resource]], 'SI - Payload'!$A$10:$A$37,'SI - Payload'!$B$10:$B$37,"",0), "")</f>
        <v/>
      </c>
      <c r="L53" s="9" t="str">
        <f>IF(Table16[[#This Row],[Type]]="Transportation", "ton", "")</f>
        <v/>
      </c>
      <c r="M53" s="9"/>
      <c r="N53" s="9"/>
      <c r="O53" s="9" t="str">
        <f>IF(OR(Table16[[#This Row],[Type]]="Main Product", Table16[[#This Row],[Type]]="Co-Product"), Table16[[#This Row],[Resource]], "")</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IF(Table16[[#This Row],[Type]]="Co-product", "No", "")</f>
        <v/>
      </c>
      <c r="J54" s="9"/>
      <c r="K54" s="9" t="str">
        <f>IF(Table16[[#This Row],[Type]]="Transportation", _xlfn.XLOOKUP(Table16[[#This Row],[Resource]], 'SI - Payload'!$A$10:$A$37,'SI - Payload'!$B$10:$B$37,"",0), "")</f>
        <v/>
      </c>
      <c r="L54" s="9" t="str">
        <f>IF(Table16[[#This Row],[Type]]="Transportation", "ton", "")</f>
        <v/>
      </c>
      <c r="M54" s="9"/>
      <c r="N54" s="9"/>
      <c r="O54" s="9" t="str">
        <f>IF(OR(Table16[[#This Row],[Type]]="Main Product", Table16[[#This Row],[Type]]="Co-Product"), Table16[[#This Row],[Resource]], "")</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IF(Table16[[#This Row],[Type]]="Co-product", "No", "")</f>
        <v/>
      </c>
      <c r="J55" s="9"/>
      <c r="K55" s="9" t="str">
        <f>IF(Table16[[#This Row],[Type]]="Transportation", _xlfn.XLOOKUP(Table16[[#This Row],[Resource]], 'SI - Payload'!$A$10:$A$37,'SI - Payload'!$B$10:$B$37,"",0), "")</f>
        <v/>
      </c>
      <c r="L55" s="9" t="str">
        <f>IF(Table16[[#This Row],[Type]]="Transportation", "ton", "")</f>
        <v/>
      </c>
      <c r="M55" s="9"/>
      <c r="N55" s="9"/>
      <c r="O55" s="9" t="str">
        <f>IF(OR(Table16[[#This Row],[Type]]="Main Product", Table16[[#This Row],[Type]]="Co-Product"), Table16[[#This Row],[Resource]], "")</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IF(Table16[[#This Row],[Type]]="Co-product", "No", "")</f>
        <v/>
      </c>
      <c r="J56" s="9"/>
      <c r="K56" s="9" t="str">
        <f>IF(Table16[[#This Row],[Type]]="Transportation", _xlfn.XLOOKUP(Table16[[#This Row],[Resource]], 'SI - Payload'!$A$10:$A$37,'SI - Payload'!$B$10:$B$37,"",0), "")</f>
        <v/>
      </c>
      <c r="L56" s="9" t="str">
        <f>IF(Table16[[#This Row],[Type]]="Transportation", "ton", "")</f>
        <v/>
      </c>
      <c r="M56" s="9"/>
      <c r="N56" s="9"/>
      <c r="O56" s="9" t="str">
        <f>IF(OR(Table16[[#This Row],[Type]]="Main Product", Table16[[#This Row],[Type]]="Co-Product"), Table16[[#This Row],[Resource]], "")</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IF(Table16[[#This Row],[Type]]="Co-product", "No", "")</f>
        <v/>
      </c>
      <c r="J57" s="9"/>
      <c r="K57" s="9" t="str">
        <f>IF(Table16[[#This Row],[Type]]="Transportation", _xlfn.XLOOKUP(Table16[[#This Row],[Resource]], 'SI - Payload'!$A$10:$A$37,'SI - Payload'!$B$10:$B$37,"",0), "")</f>
        <v/>
      </c>
      <c r="L57" s="9" t="str">
        <f>IF(Table16[[#This Row],[Type]]="Transportation", "ton", "")</f>
        <v/>
      </c>
      <c r="M57" s="9"/>
      <c r="N57" s="9"/>
      <c r="O57" s="9" t="str">
        <f>IF(OR(Table16[[#This Row],[Type]]="Main Product", Table16[[#This Row],[Type]]="Co-Product"), Table16[[#This Row],[Resource]], "")</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IF(Table16[[#This Row],[Type]]="Co-product", "No", "")</f>
        <v/>
      </c>
      <c r="J58" s="9"/>
      <c r="K58" s="9" t="str">
        <f>IF(Table16[[#This Row],[Type]]="Transportation", _xlfn.XLOOKUP(Table16[[#This Row],[Resource]], 'SI - Payload'!$A$10:$A$37,'SI - Payload'!$B$10:$B$37,"",0), "")</f>
        <v/>
      </c>
      <c r="L58" s="9" t="str">
        <f>IF(Table16[[#This Row],[Type]]="Transportation", "ton", "")</f>
        <v/>
      </c>
      <c r="M58" s="9"/>
      <c r="N58" s="9"/>
      <c r="O58" s="9" t="str">
        <f>IF(OR(Table16[[#This Row],[Type]]="Main Product", Table16[[#This Row],[Type]]="Co-Product"), Table16[[#This Row],[Resource]], "")</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IF(Table16[[#This Row],[Type]]="Co-product", "No", "")</f>
        <v/>
      </c>
      <c r="J59" s="9"/>
      <c r="K59" s="9" t="str">
        <f>IF(Table16[[#This Row],[Type]]="Transportation", _xlfn.XLOOKUP(Table16[[#This Row],[Resource]], 'SI - Payload'!$A$10:$A$37,'SI - Payload'!$B$10:$B$37,"",0), "")</f>
        <v/>
      </c>
      <c r="L59" s="9" t="str">
        <f>IF(Table16[[#This Row],[Type]]="Transportation", "ton", "")</f>
        <v/>
      </c>
      <c r="M59" s="9"/>
      <c r="N59" s="9"/>
      <c r="O59" s="9" t="str">
        <f>IF(OR(Table16[[#This Row],[Type]]="Main Product", Table16[[#This Row],[Type]]="Co-Product"), Table16[[#This Row],[Resource]], "")</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IF(Table16[[#This Row],[Type]]="Co-product", "No", "")</f>
        <v/>
      </c>
      <c r="J60" s="9"/>
      <c r="K60" s="9" t="str">
        <f>IF(Table16[[#This Row],[Type]]="Transportation", _xlfn.XLOOKUP(Table16[[#This Row],[Resource]], 'SI - Payload'!$A$10:$A$37,'SI - Payload'!$B$10:$B$37,"",0), "")</f>
        <v/>
      </c>
      <c r="L60" s="9" t="str">
        <f>IF(Table16[[#This Row],[Type]]="Transportation", "ton", "")</f>
        <v/>
      </c>
      <c r="M60" s="9"/>
      <c r="N60" s="9"/>
      <c r="O60" s="9" t="str">
        <f>IF(OR(Table16[[#This Row],[Type]]="Main Product", Table16[[#This Row],[Type]]="Co-Product"), Table16[[#This Row],[Resource]], "")</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IF(Table16[[#This Row],[Type]]="Co-product", "No", "")</f>
        <v/>
      </c>
      <c r="J61" s="9"/>
      <c r="K61" s="9" t="str">
        <f>IF(Table16[[#This Row],[Type]]="Transportation", _xlfn.XLOOKUP(Table16[[#This Row],[Resource]], 'SI - Payload'!$A$10:$A$37,'SI - Payload'!$B$10:$B$37,"",0), "")</f>
        <v/>
      </c>
      <c r="L61" s="9" t="str">
        <f>IF(Table16[[#This Row],[Type]]="Transportation", "ton", "")</f>
        <v/>
      </c>
      <c r="M61" s="9"/>
      <c r="N61" s="9"/>
      <c r="O61" s="9" t="str">
        <f>IF(OR(Table16[[#This Row],[Type]]="Main Product", Table16[[#This Row],[Type]]="Co-Product"), Table16[[#This Row],[Resource]], "")</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IF(Table16[[#This Row],[Type]]="Co-product", "No", "")</f>
        <v/>
      </c>
      <c r="J62" s="9"/>
      <c r="K62" s="9" t="str">
        <f>IF(Table16[[#This Row],[Type]]="Transportation", _xlfn.XLOOKUP(Table16[[#This Row],[Resource]], 'SI - Payload'!$A$10:$A$37,'SI - Payload'!$B$10:$B$37,"",0), "")</f>
        <v/>
      </c>
      <c r="L62" s="9" t="str">
        <f>IF(Table16[[#This Row],[Type]]="Transportation", "ton", "")</f>
        <v/>
      </c>
      <c r="M62" s="9"/>
      <c r="N62" s="9"/>
      <c r="O62" s="9" t="str">
        <f>IF(OR(Table16[[#This Row],[Type]]="Main Product", Table16[[#This Row],[Type]]="Co-Product"), Table16[[#This Row],[Resource]], "")</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IF(Table16[[#This Row],[Type]]="Co-product", "No", "")</f>
        <v/>
      </c>
      <c r="J63" s="9"/>
      <c r="K63" s="9" t="str">
        <f>IF(Table16[[#This Row],[Type]]="Transportation", _xlfn.XLOOKUP(Table16[[#This Row],[Resource]], 'SI - Payload'!$A$10:$A$37,'SI - Payload'!$B$10:$B$37,"",0), "")</f>
        <v/>
      </c>
      <c r="L63" s="9" t="str">
        <f>IF(Table16[[#This Row],[Type]]="Transportation", "ton", "")</f>
        <v/>
      </c>
      <c r="M63" s="9"/>
      <c r="N63" s="9"/>
      <c r="O63" s="9" t="str">
        <f>IF(OR(Table16[[#This Row],[Type]]="Main Product", Table16[[#This Row],[Type]]="Co-Product"), Table16[[#This Row],[Resource]], "")</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IF(Table16[[#This Row],[Type]]="Co-product", "No", "")</f>
        <v/>
      </c>
      <c r="J64" s="9"/>
      <c r="K64" s="9" t="str">
        <f>IF(Table16[[#This Row],[Type]]="Transportation", _xlfn.XLOOKUP(Table16[[#This Row],[Resource]], 'SI - Payload'!$A$10:$A$37,'SI - Payload'!$B$10:$B$37,"",0), "")</f>
        <v/>
      </c>
      <c r="L64" s="9" t="str">
        <f>IF(Table16[[#This Row],[Type]]="Transportation", "ton", "")</f>
        <v/>
      </c>
      <c r="M64" s="9"/>
      <c r="N64" s="9"/>
      <c r="O64" s="9" t="str">
        <f>IF(OR(Table16[[#This Row],[Type]]="Main Product", Table16[[#This Row],[Type]]="Co-Product"), Table16[[#This Row],[Resource]], "")</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IF(Table16[[#This Row],[Type]]="Co-product", "No", "")</f>
        <v/>
      </c>
      <c r="J65" s="9"/>
      <c r="K65" s="9" t="str">
        <f>IF(Table16[[#This Row],[Type]]="Transportation", _xlfn.XLOOKUP(Table16[[#This Row],[Resource]], 'SI - Payload'!$A$10:$A$37,'SI - Payload'!$B$10:$B$37,"",0), "")</f>
        <v/>
      </c>
      <c r="L65" s="9" t="str">
        <f>IF(Table16[[#This Row],[Type]]="Transportation", "ton", "")</f>
        <v/>
      </c>
      <c r="M65" s="9"/>
      <c r="N65" s="9"/>
      <c r="O65" s="9" t="str">
        <f>IF(OR(Table16[[#This Row],[Type]]="Main Product", Table16[[#This Row],[Type]]="Co-Product"), Table16[[#This Row],[Resource]], "")</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IF(Table16[[#This Row],[Type]]="Co-product", "No", "")</f>
        <v/>
      </c>
      <c r="J66" s="9"/>
      <c r="K66" s="9" t="str">
        <f>IF(Table16[[#This Row],[Type]]="Transportation", _xlfn.XLOOKUP(Table16[[#This Row],[Resource]], 'SI - Payload'!$A$10:$A$37,'SI - Payload'!$B$10:$B$37,"",0), "")</f>
        <v/>
      </c>
      <c r="L66" s="9" t="str">
        <f>IF(Table16[[#This Row],[Type]]="Transportation", "ton", "")</f>
        <v/>
      </c>
      <c r="M66" s="9"/>
      <c r="N66" s="9"/>
      <c r="O66" s="9" t="str">
        <f>IF(OR(Table16[[#This Row],[Type]]="Main Product", Table16[[#This Row],[Type]]="Co-Product"), Table16[[#This Row],[Resource]], "")</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IF(Table16[[#This Row],[Type]]="Co-product", "No", "")</f>
        <v/>
      </c>
      <c r="J67" s="9"/>
      <c r="K67" s="9" t="str">
        <f>IF(Table16[[#This Row],[Type]]="Transportation", _xlfn.XLOOKUP(Table16[[#This Row],[Resource]], 'SI - Payload'!$A$10:$A$37,'SI - Payload'!$B$10:$B$37,"",0), "")</f>
        <v/>
      </c>
      <c r="L67" s="9" t="str">
        <f>IF(Table16[[#This Row],[Type]]="Transportation", "ton", "")</f>
        <v/>
      </c>
      <c r="M67" s="9"/>
      <c r="N67" s="9"/>
      <c r="O67" s="9" t="str">
        <f>IF(OR(Table16[[#This Row],[Type]]="Main Product", Table16[[#This Row],[Type]]="Co-Product"), Table16[[#This Row],[Resource]], "")</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IF(Table16[[#This Row],[Type]]="Co-product", "No", "")</f>
        <v/>
      </c>
      <c r="J68" s="9"/>
      <c r="K68" s="9" t="str">
        <f>IF(Table16[[#This Row],[Type]]="Transportation", _xlfn.XLOOKUP(Table16[[#This Row],[Resource]], 'SI - Payload'!$A$10:$A$37,'SI - Payload'!$B$10:$B$37,"",0), "")</f>
        <v/>
      </c>
      <c r="L68" s="9" t="str">
        <f>IF(Table16[[#This Row],[Type]]="Transportation", "ton", "")</f>
        <v/>
      </c>
      <c r="M68" s="9"/>
      <c r="N68" s="9"/>
      <c r="O68" s="9" t="str">
        <f>IF(OR(Table16[[#This Row],[Type]]="Main Product", Table16[[#This Row],[Type]]="Co-Product"), Table16[[#This Row],[Resource]], "")</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IF(Table16[[#This Row],[Type]]="Co-product", "No", "")</f>
        <v/>
      </c>
      <c r="J69" s="9"/>
      <c r="K69" s="9" t="str">
        <f>IF(Table16[[#This Row],[Type]]="Transportation", _xlfn.XLOOKUP(Table16[[#This Row],[Resource]], 'SI - Payload'!$A$10:$A$37,'SI - Payload'!$B$10:$B$37,"",0), "")</f>
        <v/>
      </c>
      <c r="L69" s="9" t="str">
        <f>IF(Table16[[#This Row],[Type]]="Transportation", "ton", "")</f>
        <v/>
      </c>
      <c r="M69" s="9"/>
      <c r="N69" s="9"/>
      <c r="O69" s="9" t="str">
        <f>IF(OR(Table16[[#This Row],[Type]]="Main Product", Table16[[#This Row],[Type]]="Co-Product"), Table16[[#This Row],[Resource]], "")</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IF(Table16[[#This Row],[Type]]="Co-product", "No", "")</f>
        <v/>
      </c>
      <c r="J70" s="9"/>
      <c r="K70" s="9" t="str">
        <f>IF(Table16[[#This Row],[Type]]="Transportation", _xlfn.XLOOKUP(Table16[[#This Row],[Resource]], 'SI - Payload'!$A$10:$A$37,'SI - Payload'!$B$10:$B$37,"",0), "")</f>
        <v/>
      </c>
      <c r="L70" s="9" t="str">
        <f>IF(Table16[[#This Row],[Type]]="Transportation", "ton", "")</f>
        <v/>
      </c>
      <c r="M70" s="9"/>
      <c r="N70" s="9"/>
      <c r="O70" s="9" t="str">
        <f>IF(OR(Table16[[#This Row],[Type]]="Main Product", Table16[[#This Row],[Type]]="Co-Product"), Table16[[#This Row],[Resource]], "")</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IF(Table16[[#This Row],[Type]]="Co-product", "No", "")</f>
        <v/>
      </c>
      <c r="J71" s="9"/>
      <c r="K71" s="9" t="str">
        <f>IF(Table16[[#This Row],[Type]]="Transportation", _xlfn.XLOOKUP(Table16[[#This Row],[Resource]], 'SI - Payload'!$A$10:$A$37,'SI - Payload'!$B$10:$B$37,"",0), "")</f>
        <v/>
      </c>
      <c r="L71" s="9" t="str">
        <f>IF(Table16[[#This Row],[Type]]="Transportation", "ton", "")</f>
        <v/>
      </c>
      <c r="M71" s="9"/>
      <c r="N71" s="9"/>
      <c r="O71" s="9" t="str">
        <f>IF(OR(Table16[[#This Row],[Type]]="Main Product", Table16[[#This Row],[Type]]="Co-Product"), Table16[[#This Row],[Resource]], "")</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IF(Table16[[#This Row],[Type]]="Co-product", "No", "")</f>
        <v/>
      </c>
      <c r="J72" s="9"/>
      <c r="K72" s="9" t="str">
        <f>IF(Table16[[#This Row],[Type]]="Transportation", _xlfn.XLOOKUP(Table16[[#This Row],[Resource]], 'SI - Payload'!$A$10:$A$37,'SI - Payload'!$B$10:$B$37,"",0), "")</f>
        <v/>
      </c>
      <c r="L72" s="9" t="str">
        <f>IF(Table16[[#This Row],[Type]]="Transportation", "ton", "")</f>
        <v/>
      </c>
      <c r="M72" s="9"/>
      <c r="N72" s="9"/>
      <c r="O72" s="9" t="str">
        <f>IF(OR(Table16[[#This Row],[Type]]="Main Product", Table16[[#This Row],[Type]]="Co-Product"), Table16[[#This Row],[Resource]], "")</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IF(Table16[[#This Row],[Type]]="Co-product", "No", "")</f>
        <v/>
      </c>
      <c r="J73" s="9"/>
      <c r="K73" s="9" t="str">
        <f>IF(Table16[[#This Row],[Type]]="Transportation", _xlfn.XLOOKUP(Table16[[#This Row],[Resource]], 'SI - Payload'!$A$10:$A$37,'SI - Payload'!$B$10:$B$37,"",0), "")</f>
        <v/>
      </c>
      <c r="L73" s="9" t="str">
        <f>IF(Table16[[#This Row],[Type]]="Transportation", "ton", "")</f>
        <v/>
      </c>
      <c r="M73" s="9"/>
      <c r="N73" s="9"/>
      <c r="O73" s="9" t="str">
        <f>IF(OR(Table16[[#This Row],[Type]]="Main Product", Table16[[#This Row],[Type]]="Co-Product"), Table16[[#This Row],[Resource]], "")</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IF(Table16[[#This Row],[Type]]="Co-product", "No", "")</f>
        <v/>
      </c>
      <c r="J74" s="9"/>
      <c r="K74" s="9" t="str">
        <f>IF(Table16[[#This Row],[Type]]="Transportation", _xlfn.XLOOKUP(Table16[[#This Row],[Resource]], 'SI - Payload'!$A$10:$A$37,'SI - Payload'!$B$10:$B$37,"",0), "")</f>
        <v/>
      </c>
      <c r="L74" s="9" t="str">
        <f>IF(Table16[[#This Row],[Type]]="Transportation", "ton", "")</f>
        <v/>
      </c>
      <c r="M74" s="9"/>
      <c r="N74" s="9"/>
      <c r="O74" s="9" t="str">
        <f>IF(OR(Table16[[#This Row],[Type]]="Main Product", Table16[[#This Row],[Type]]="Co-Product"), Table16[[#This Row],[Resource]], "")</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IF(Table16[[#This Row],[Type]]="Co-product", "No", "")</f>
        <v/>
      </c>
      <c r="J75" s="9"/>
      <c r="K75" s="9" t="str">
        <f>IF(Table16[[#This Row],[Type]]="Transportation", _xlfn.XLOOKUP(Table16[[#This Row],[Resource]], 'SI - Payload'!$A$10:$A$37,'SI - Payload'!$B$10:$B$37,"",0), "")</f>
        <v/>
      </c>
      <c r="L75" s="9" t="str">
        <f>IF(Table16[[#This Row],[Type]]="Transportation", "ton", "")</f>
        <v/>
      </c>
      <c r="M75" s="9"/>
      <c r="N75" s="9"/>
      <c r="O75" s="9" t="str">
        <f>IF(OR(Table16[[#This Row],[Type]]="Main Product", Table16[[#This Row],[Type]]="Co-Product"), Table16[[#This Row],[Resource]], "")</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IF(Table16[[#This Row],[Type]]="Co-product", "No", "")</f>
        <v/>
      </c>
      <c r="J76" s="9"/>
      <c r="K76" s="9" t="str">
        <f>IF(Table16[[#This Row],[Type]]="Transportation", _xlfn.XLOOKUP(Table16[[#This Row],[Resource]], 'SI - Payload'!$A$10:$A$37,'SI - Payload'!$B$10:$B$37,"",0), "")</f>
        <v/>
      </c>
      <c r="L76" s="9" t="str">
        <f>IF(Table16[[#This Row],[Type]]="Transportation", "ton", "")</f>
        <v/>
      </c>
      <c r="M76" s="9"/>
      <c r="N76" s="9"/>
      <c r="O76" s="9" t="str">
        <f>IF(OR(Table16[[#This Row],[Type]]="Main Product", Table16[[#This Row],[Type]]="Co-Product"), Table16[[#This Row],[Resource]], "")</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IF(Table16[[#This Row],[Type]]="Co-product", "No", "")</f>
        <v/>
      </c>
      <c r="J77" s="9"/>
      <c r="K77" s="9" t="str">
        <f>IF(Table16[[#This Row],[Type]]="Transportation", _xlfn.XLOOKUP(Table16[[#This Row],[Resource]], 'SI - Payload'!$A$10:$A$37,'SI - Payload'!$B$10:$B$37,"",0), "")</f>
        <v/>
      </c>
      <c r="L77" s="9" t="str">
        <f>IF(Table16[[#This Row],[Type]]="Transportation", "ton", "")</f>
        <v/>
      </c>
      <c r="M77" s="9"/>
      <c r="N77" s="9"/>
      <c r="O77" s="9" t="str">
        <f>IF(OR(Table16[[#This Row],[Type]]="Main Product", Table16[[#This Row],[Type]]="Co-Product"), Table16[[#This Row],[Resource]], "")</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IF(Table16[[#This Row],[Type]]="Co-product", "No", "")</f>
        <v/>
      </c>
      <c r="J78" s="9"/>
      <c r="K78" s="9" t="str">
        <f>IF(Table16[[#This Row],[Type]]="Transportation", _xlfn.XLOOKUP(Table16[[#This Row],[Resource]], 'SI - Payload'!$A$10:$A$37,'SI - Payload'!$B$10:$B$37,"",0), "")</f>
        <v/>
      </c>
      <c r="L78" s="9" t="str">
        <f>IF(Table16[[#This Row],[Type]]="Transportation", "ton", "")</f>
        <v/>
      </c>
      <c r="M78" s="9"/>
      <c r="N78" s="9"/>
      <c r="O78" s="9" t="str">
        <f>IF(OR(Table16[[#This Row],[Type]]="Main Product", Table16[[#This Row],[Type]]="Co-Product"), Table16[[#This Row],[Resource]], "")</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IF(Table16[[#This Row],[Type]]="Co-product", "No", "")</f>
        <v/>
      </c>
      <c r="J79" s="9"/>
      <c r="K79" s="9" t="str">
        <f>IF(Table16[[#This Row],[Type]]="Transportation", _xlfn.XLOOKUP(Table16[[#This Row],[Resource]], 'SI - Payload'!$A$10:$A$37,'SI - Payload'!$B$10:$B$37,"",0), "")</f>
        <v/>
      </c>
      <c r="L79" s="9" t="str">
        <f>IF(Table16[[#This Row],[Type]]="Transportation", "ton", "")</f>
        <v/>
      </c>
      <c r="M79" s="9"/>
      <c r="N79" s="9"/>
      <c r="O79" s="9" t="str">
        <f>IF(OR(Table16[[#This Row],[Type]]="Main Product", Table16[[#This Row],[Type]]="Co-Product"), Table16[[#This Row],[Resource]], "")</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IF(Table16[[#This Row],[Type]]="Co-product", "No", "")</f>
        <v/>
      </c>
      <c r="J80" s="9"/>
      <c r="K80" s="9" t="str">
        <f>IF(Table16[[#This Row],[Type]]="Transportation", _xlfn.XLOOKUP(Table16[[#This Row],[Resource]], 'SI - Payload'!$A$10:$A$37,'SI - Payload'!$B$10:$B$37,"",0), "")</f>
        <v/>
      </c>
      <c r="L80" s="9" t="str">
        <f>IF(Table16[[#This Row],[Type]]="Transportation", "ton", "")</f>
        <v/>
      </c>
      <c r="M80" s="9"/>
      <c r="N80" s="9"/>
      <c r="O80" s="9" t="str">
        <f>IF(OR(Table16[[#This Row],[Type]]="Main Product", Table16[[#This Row],[Type]]="Co-Product"), Table16[[#This Row],[Resource]], "")</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IF(Table16[[#This Row],[Type]]="Co-product", "No", "")</f>
        <v/>
      </c>
      <c r="J81" s="9"/>
      <c r="K81" s="9" t="str">
        <f>IF(Table16[[#This Row],[Type]]="Transportation", _xlfn.XLOOKUP(Table16[[#This Row],[Resource]], 'SI - Payload'!$A$10:$A$37,'SI - Payload'!$B$10:$B$37,"",0), "")</f>
        <v/>
      </c>
      <c r="L81" s="9" t="str">
        <f>IF(Table16[[#This Row],[Type]]="Transportation", "ton", "")</f>
        <v/>
      </c>
      <c r="M81" s="9"/>
      <c r="N81" s="9"/>
      <c r="O81" s="9" t="str">
        <f>IF(OR(Table16[[#This Row],[Type]]="Main Product", Table16[[#This Row],[Type]]="Co-Product"), Table16[[#This Row],[Resource]], "")</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IF(Table16[[#This Row],[Type]]="Co-product", "No", "")</f>
        <v/>
      </c>
      <c r="J82" s="9"/>
      <c r="K82" s="9" t="str">
        <f>IF(Table16[[#This Row],[Type]]="Transportation", _xlfn.XLOOKUP(Table16[[#This Row],[Resource]], 'SI - Payload'!$A$10:$A$37,'SI - Payload'!$B$10:$B$37,"",0), "")</f>
        <v/>
      </c>
      <c r="L82" s="9" t="str">
        <f>IF(Table16[[#This Row],[Type]]="Transportation", "ton", "")</f>
        <v/>
      </c>
      <c r="M82" s="9"/>
      <c r="N82" s="9"/>
      <c r="O82" s="9" t="str">
        <f>IF(OR(Table16[[#This Row],[Type]]="Main Product", Table16[[#This Row],[Type]]="Co-Product"), Table16[[#This Row],[Resource]], "")</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IF(Table16[[#This Row],[Type]]="Co-product", "No", "")</f>
        <v/>
      </c>
      <c r="J83" s="9"/>
      <c r="K83" s="9" t="str">
        <f>IF(Table16[[#This Row],[Type]]="Transportation", _xlfn.XLOOKUP(Table16[[#This Row],[Resource]], 'SI - Payload'!$A$10:$A$37,'SI - Payload'!$B$10:$B$37,"",0), "")</f>
        <v/>
      </c>
      <c r="L83" s="9" t="str">
        <f>IF(Table16[[#This Row],[Type]]="Transportation", "ton", "")</f>
        <v/>
      </c>
      <c r="M83" s="9"/>
      <c r="N83" s="9"/>
      <c r="O83" s="9" t="str">
        <f>IF(OR(Table16[[#This Row],[Type]]="Main Product", Table16[[#This Row],[Type]]="Co-Product"), Table16[[#This Row],[Resource]], "")</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IF(Table16[[#This Row],[Type]]="Co-product", "No", "")</f>
        <v/>
      </c>
      <c r="J84" s="9"/>
      <c r="K84" s="9" t="str">
        <f>IF(Table16[[#This Row],[Type]]="Transportation", _xlfn.XLOOKUP(Table16[[#This Row],[Resource]], 'SI - Payload'!$A$10:$A$37,'SI - Payload'!$B$10:$B$37,"",0), "")</f>
        <v/>
      </c>
      <c r="L84" s="9" t="str">
        <f>IF(Table16[[#This Row],[Type]]="Transportation", "ton", "")</f>
        <v/>
      </c>
      <c r="M84" s="9"/>
      <c r="N84" s="9"/>
      <c r="O84" s="9" t="str">
        <f>IF(OR(Table16[[#This Row],[Type]]="Main Product", Table16[[#This Row],[Type]]="Co-Product"), Table16[[#This Row],[Resource]], "")</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IF(Table16[[#This Row],[Type]]="Co-product", "No", "")</f>
        <v/>
      </c>
      <c r="J85" s="9"/>
      <c r="K85" s="9" t="str">
        <f>IF(Table16[[#This Row],[Type]]="Transportation", _xlfn.XLOOKUP(Table16[[#This Row],[Resource]], 'SI - Payload'!$A$10:$A$37,'SI - Payload'!$B$10:$B$37,"",0), "")</f>
        <v/>
      </c>
      <c r="L85" s="9" t="str">
        <f>IF(Table16[[#This Row],[Type]]="Transportation", "ton", "")</f>
        <v/>
      </c>
      <c r="M85" s="9"/>
      <c r="N85" s="9"/>
      <c r="O85" s="9" t="str">
        <f>IF(OR(Table16[[#This Row],[Type]]="Main Product", Table16[[#This Row],[Type]]="Co-Product"), Table16[[#This Row],[Resource]], "")</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IF(Table16[[#This Row],[Type]]="Co-product", "No", "")</f>
        <v/>
      </c>
      <c r="J86" s="9"/>
      <c r="K86" s="9" t="str">
        <f>IF(Table16[[#This Row],[Type]]="Transportation", _xlfn.XLOOKUP(Table16[[#This Row],[Resource]], 'SI - Payload'!$A$10:$A$37,'SI - Payload'!$B$10:$B$37,"",0), "")</f>
        <v/>
      </c>
      <c r="L86" s="9" t="str">
        <f>IF(Table16[[#This Row],[Type]]="Transportation", "ton", "")</f>
        <v/>
      </c>
      <c r="M86" s="9"/>
      <c r="N86" s="9"/>
      <c r="O86" s="9" t="str">
        <f>IF(OR(Table16[[#This Row],[Type]]="Main Product", Table16[[#This Row],[Type]]="Co-Product"), Table16[[#This Row],[Resource]], "")</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IF(Table16[[#This Row],[Type]]="Co-product", "No", "")</f>
        <v/>
      </c>
      <c r="J87" s="9"/>
      <c r="K87" s="9" t="str">
        <f>IF(Table16[[#This Row],[Type]]="Transportation", _xlfn.XLOOKUP(Table16[[#This Row],[Resource]], 'SI - Payload'!$A$10:$A$37,'SI - Payload'!$B$10:$B$37,"",0), "")</f>
        <v/>
      </c>
      <c r="L87" s="9" t="str">
        <f>IF(Table16[[#This Row],[Type]]="Transportation", "ton", "")</f>
        <v/>
      </c>
      <c r="M87" s="9"/>
      <c r="N87" s="9"/>
      <c r="O87" s="9" t="str">
        <f>IF(OR(Table16[[#This Row],[Type]]="Main Product", Table16[[#This Row],[Type]]="Co-Product"), Table16[[#This Row],[Resource]], "")</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IF(Table16[[#This Row],[Type]]="Co-product", "No", "")</f>
        <v/>
      </c>
      <c r="J88" s="9"/>
      <c r="K88" s="9" t="str">
        <f>IF(Table16[[#This Row],[Type]]="Transportation", _xlfn.XLOOKUP(Table16[[#This Row],[Resource]], 'SI - Payload'!$A$10:$A$37,'SI - Payload'!$B$10:$B$37,"",0), "")</f>
        <v/>
      </c>
      <c r="L88" s="9" t="str">
        <f>IF(Table16[[#This Row],[Type]]="Transportation", "ton", "")</f>
        <v/>
      </c>
      <c r="M88" s="9"/>
      <c r="N88" s="9"/>
      <c r="O88" s="9" t="str">
        <f>IF(OR(Table16[[#This Row],[Type]]="Main Product", Table16[[#This Row],[Type]]="Co-Product"), Table16[[#This Row],[Resource]], "")</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IF(Table16[[#This Row],[Type]]="Co-product", "No", "")</f>
        <v/>
      </c>
      <c r="J89" s="9"/>
      <c r="K89" s="9" t="str">
        <f>IF(Table16[[#This Row],[Type]]="Transportation", _xlfn.XLOOKUP(Table16[[#This Row],[Resource]], 'SI - Payload'!$A$10:$A$37,'SI - Payload'!$B$10:$B$37,"",0), "")</f>
        <v/>
      </c>
      <c r="L89" s="9" t="str">
        <f>IF(Table16[[#This Row],[Type]]="Transportation", "ton", "")</f>
        <v/>
      </c>
      <c r="M89" s="9"/>
      <c r="N89" s="9"/>
      <c r="O89" s="9" t="str">
        <f>IF(OR(Table16[[#This Row],[Type]]="Main Product", Table16[[#This Row],[Type]]="Co-Product"), Table16[[#This Row],[Resource]], "")</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IF(Table16[[#This Row],[Type]]="Co-product", "No", "")</f>
        <v/>
      </c>
      <c r="J90" s="9"/>
      <c r="K90" s="9" t="str">
        <f>IF(Table16[[#This Row],[Type]]="Transportation", _xlfn.XLOOKUP(Table16[[#This Row],[Resource]], 'SI - Payload'!$A$10:$A$37,'SI - Payload'!$B$10:$B$37,"",0), "")</f>
        <v/>
      </c>
      <c r="L90" s="9" t="str">
        <f>IF(Table16[[#This Row],[Type]]="Transportation", "ton", "")</f>
        <v/>
      </c>
      <c r="M90" s="9"/>
      <c r="N90" s="9"/>
      <c r="O90" s="9" t="str">
        <f>IF(OR(Table16[[#This Row],[Type]]="Main Product", Table16[[#This Row],[Type]]="Co-Product"), Table16[[#This Row],[Resource]], "")</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IF(Table16[[#This Row],[Type]]="Co-product", "No", "")</f>
        <v/>
      </c>
      <c r="J91" s="9"/>
      <c r="K91" s="9" t="str">
        <f>IF(Table16[[#This Row],[Type]]="Transportation", _xlfn.XLOOKUP(Table16[[#This Row],[Resource]], 'SI - Payload'!$A$10:$A$37,'SI - Payload'!$B$10:$B$37,"",0), "")</f>
        <v/>
      </c>
      <c r="L91" s="9" t="str">
        <f>IF(Table16[[#This Row],[Type]]="Transportation", "ton", "")</f>
        <v/>
      </c>
      <c r="M91" s="9"/>
      <c r="N91" s="9"/>
      <c r="O91" s="9" t="str">
        <f>IF(OR(Table16[[#This Row],[Type]]="Main Product", Table16[[#This Row],[Type]]="Co-Product"), Table16[[#This Row],[Resource]], "")</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IF(Table16[[#This Row],[Type]]="Co-product", "No", "")</f>
        <v/>
      </c>
      <c r="J92" s="9"/>
      <c r="K92" s="9" t="str">
        <f>IF(Table16[[#This Row],[Type]]="Transportation", _xlfn.XLOOKUP(Table16[[#This Row],[Resource]], 'SI - Payload'!$A$10:$A$37,'SI - Payload'!$B$10:$B$37,"",0), "")</f>
        <v/>
      </c>
      <c r="L92" s="9" t="str">
        <f>IF(Table16[[#This Row],[Type]]="Transportation", "ton", "")</f>
        <v/>
      </c>
      <c r="M92" s="9"/>
      <c r="N92" s="9"/>
      <c r="O92" s="9" t="str">
        <f>IF(OR(Table16[[#This Row],[Type]]="Main Product", Table16[[#This Row],[Type]]="Co-Product"), Table16[[#This Row],[Resource]], "")</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IF(Table16[[#This Row],[Type]]="Co-product", "No", "")</f>
        <v/>
      </c>
      <c r="J93" s="9"/>
      <c r="K93" s="9" t="str">
        <f>IF(Table16[[#This Row],[Type]]="Transportation", _xlfn.XLOOKUP(Table16[[#This Row],[Resource]], 'SI - Payload'!$A$10:$A$37,'SI - Payload'!$B$10:$B$37,"",0), "")</f>
        <v/>
      </c>
      <c r="L93" s="9" t="str">
        <f>IF(Table16[[#This Row],[Type]]="Transportation", "ton", "")</f>
        <v/>
      </c>
      <c r="M93" s="9"/>
      <c r="N93" s="9"/>
      <c r="O93" s="9" t="str">
        <f>IF(OR(Table16[[#This Row],[Type]]="Main Product", Table16[[#This Row],[Type]]="Co-Product"), Table16[[#This Row],[Resource]], "")</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IF(Table16[[#This Row],[Type]]="Co-product", "No", "")</f>
        <v/>
      </c>
      <c r="J94" s="9"/>
      <c r="K94" s="9" t="str">
        <f>IF(Table16[[#This Row],[Type]]="Transportation", _xlfn.XLOOKUP(Table16[[#This Row],[Resource]], 'SI - Payload'!$A$10:$A$37,'SI - Payload'!$B$10:$B$37,"",0), "")</f>
        <v/>
      </c>
      <c r="L94" s="9" t="str">
        <f>IF(Table16[[#This Row],[Type]]="Transportation", "ton", "")</f>
        <v/>
      </c>
      <c r="M94" s="9"/>
      <c r="N94" s="9"/>
      <c r="O94" s="9" t="str">
        <f>IF(OR(Table16[[#This Row],[Type]]="Main Product", Table16[[#This Row],[Type]]="Co-Product"), Table16[[#This Row],[Resource]], "")</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IF(Table16[[#This Row],[Type]]="Co-product", "No", "")</f>
        <v/>
      </c>
      <c r="J95" s="9"/>
      <c r="K95" s="9" t="str">
        <f>IF(Table16[[#This Row],[Type]]="Transportation", _xlfn.XLOOKUP(Table16[[#This Row],[Resource]], 'SI - Payload'!$A$10:$A$37,'SI - Payload'!$B$10:$B$37,"",0), "")</f>
        <v/>
      </c>
      <c r="L95" s="9" t="str">
        <f>IF(Table16[[#This Row],[Type]]="Transportation", "ton", "")</f>
        <v/>
      </c>
      <c r="M95" s="9"/>
      <c r="N95" s="9"/>
      <c r="O95" s="9" t="str">
        <f>IF(OR(Table16[[#This Row],[Type]]="Main Product", Table16[[#This Row],[Type]]="Co-Product"), Table16[[#This Row],[Resource]], "")</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IF(Table16[[#This Row],[Type]]="Co-product", "No", "")</f>
        <v/>
      </c>
      <c r="J96" s="9"/>
      <c r="K96" s="9" t="str">
        <f>IF(Table16[[#This Row],[Type]]="Transportation", _xlfn.XLOOKUP(Table16[[#This Row],[Resource]], 'SI - Payload'!$A$10:$A$37,'SI - Payload'!$B$10:$B$37,"",0), "")</f>
        <v/>
      </c>
      <c r="L96" s="9" t="str">
        <f>IF(Table16[[#This Row],[Type]]="Transportation", "ton", "")</f>
        <v/>
      </c>
      <c r="M96" s="9"/>
      <c r="N96" s="9"/>
      <c r="O96" s="9" t="str">
        <f>IF(OR(Table16[[#This Row],[Type]]="Main Product", Table16[[#This Row],[Type]]="Co-Product"), Table16[[#This Row],[Resource]], "")</f>
        <v/>
      </c>
      <c r="P96" s="9" t="str">
        <f>IF(_xlfn.XLOOKUP($O96,'SI - End Use'!$B$2:$B$53,'SI - End Use'!$C$2:$C$53, "")="", "", _xlfn.XLOOKUP($C96,'SI - End Use'!$B$2:$B$53,'SI - End Use'!$C$2:$C$53, ""))</f>
        <v/>
      </c>
      <c r="Q96" s="9"/>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IF(Table16[[#This Row],[Type]]="Co-product", "No", "")</f>
        <v/>
      </c>
      <c r="J97" s="9"/>
      <c r="K97" s="9" t="str">
        <f>IF(Table16[[#This Row],[Type]]="Transportation", _xlfn.XLOOKUP(Table16[[#This Row],[Resource]], 'SI - Payload'!$A$10:$A$37,'SI - Payload'!$B$10:$B$37,"",0), "")</f>
        <v/>
      </c>
      <c r="L97" s="9" t="str">
        <f>IF(Table16[[#This Row],[Type]]="Transportation", "ton", "")</f>
        <v/>
      </c>
      <c r="M97" s="9"/>
      <c r="N97" s="9"/>
      <c r="O97" s="9" t="str">
        <f>IF(OR(Table16[[#This Row],[Type]]="Main Product", Table16[[#This Row],[Type]]="Co-Product"), Table16[[#This Row],[Resource]], "")</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IF(Table16[[#This Row],[Type]]="Co-product", "No", "")</f>
        <v/>
      </c>
      <c r="J98" s="9"/>
      <c r="K98" s="9" t="str">
        <f>IF(Table16[[#This Row],[Type]]="Transportation", _xlfn.XLOOKUP(Table16[[#This Row],[Resource]], 'SI - Payload'!$A$10:$A$37,'SI - Payload'!$B$10:$B$37,"",0), "")</f>
        <v/>
      </c>
      <c r="L98" s="9" t="str">
        <f>IF(Table16[[#This Row],[Type]]="Transportation", "ton", "")</f>
        <v/>
      </c>
      <c r="M98" s="9"/>
      <c r="N98" s="9"/>
      <c r="O98" s="9" t="str">
        <f>IF(OR(Table16[[#This Row],[Type]]="Main Product", Table16[[#This Row],[Type]]="Co-Product"), Table16[[#This Row],[Resource]], "")</f>
        <v/>
      </c>
      <c r="P98" s="25" t="str">
        <f>IF(_xlfn.XLOOKUP($O98,'SI - End Use'!$B$2:$B$53,'SI - End Use'!$C$2:$C$53, "")="", "", _xlfn.XLOOKUP($C98,'SI - End Use'!$B$2:$B$53,'SI - End Use'!$C$2:$C$53, ""))</f>
        <v/>
      </c>
      <c r="Q98" s="25"/>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IF(Table16[[#This Row],[Type]]="Co-product", "No", "")</f>
        <v/>
      </c>
      <c r="J99" s="9"/>
      <c r="K99" s="9" t="str">
        <f>IF(Table16[[#This Row],[Type]]="Transportation", _xlfn.XLOOKUP(Table16[[#This Row],[Resource]], 'SI - Payload'!$A$10:$A$37,'SI - Payload'!$B$10:$B$37,"",0), "")</f>
        <v/>
      </c>
      <c r="L99" s="9" t="str">
        <f>IF(Table16[[#This Row],[Type]]="Transportation", "ton", "")</f>
        <v/>
      </c>
      <c r="M99" s="9"/>
      <c r="N99" s="9"/>
      <c r="O99" s="9" t="str">
        <f>IF(OR(Table16[[#This Row],[Type]]="Main Product", Table16[[#This Row],[Type]]="Co-Product"), Table16[[#This Row],[Resource]], "")</f>
        <v/>
      </c>
      <c r="P99" s="9" t="str">
        <f>IF(_xlfn.XLOOKUP($O99,'SI - End Use'!$B$2:$B$53,'SI - End Use'!$C$2:$C$53, "")="", "", _xlfn.XLOOKUP($C99,'SI - End Use'!$B$2:$B$53,'SI - End Use'!$C$2:$C$53, ""))</f>
        <v/>
      </c>
      <c r="Q99" s="9"/>
      <c r="R99" s="9"/>
    </row>
    <row r="100" spans="1:18" x14ac:dyDescent="0.35">
      <c r="A100" s="35"/>
      <c r="B100" s="24"/>
      <c r="C100" s="24" t="str">
        <f>_xlfn.XLOOKUP($B100,'SI - Resources'!$A$1:$I$1,'SI - Resources'!$A$2:$I$2, "")</f>
        <v/>
      </c>
      <c r="D100" s="26" t="str">
        <f>IF(_xlfn.XLOOKUP($C100,'SI - End Use'!$B$2:$B$53,'SI - End Use'!$C$2:$C$53, "")="", "", _xlfn.XLOOKUP($C100,'SI - End Use'!$B$2:$B$53,'SI - End Use'!$C$2:$C$53, ""))</f>
        <v/>
      </c>
      <c r="E100" s="33"/>
      <c r="F100" s="26" t="str" cm="1">
        <f t="array" ref="F100">IF($B100="Transportation",  'SI - Units'!$B$9:$B$9, _xlfn.XLOOKUP(_xlfn.XLOOKUP($C100,'SI - Units'!$B$24:$B$74,'SI - Units'!$C$24:$C$74, ""),'SI - Units'!$A$2:$A$8,'SI - Units'!$B$2:$B$8, ""))</f>
        <v/>
      </c>
      <c r="G100" s="34"/>
      <c r="H100" s="34"/>
      <c r="I100" s="37" t="str">
        <f>IF(Table16[[#This Row],[Type]]="Co-product", "No", "")</f>
        <v/>
      </c>
      <c r="J100" s="24"/>
      <c r="K100" s="24" t="str">
        <f>IF(Table16[[#This Row],[Type]]="Transportation", _xlfn.XLOOKUP(Table16[[#This Row],[Resource]], 'SI - Payload'!$A$10:$A$37,'SI - Payload'!$B$10:$B$37,"",0), "")</f>
        <v/>
      </c>
      <c r="L100" s="24" t="str">
        <f>IF(Table16[[#This Row],[Type]]="Transportation", "ton", "")</f>
        <v/>
      </c>
      <c r="M100" s="24"/>
      <c r="N100" s="24"/>
      <c r="O100" s="9" t="str">
        <f>IF(OR(Table16[[#This Row],[Type]]="Main Product", Table16[[#This Row],[Type]]="Co-Product"), Table16[[#This Row],[Resource]], "")</f>
        <v/>
      </c>
      <c r="P100" s="24" t="str">
        <f>IF(_xlfn.XLOOKUP($O100,'SI - End Use'!$B$2:$B$53,'SI - End Use'!$C$2:$C$53, "")="", "", _xlfn.XLOOKUP($C100,'SI - End Use'!$B$2:$B$53,'SI - End Use'!$C$2:$C$53, ""))</f>
        <v/>
      </c>
      <c r="Q100" s="24"/>
      <c r="R100" s="24"/>
    </row>
  </sheetData>
  <dataValidations count="5">
    <dataValidation type="decimal" operator="greaterThan" allowBlank="1" showInputMessage="1" showErrorMessage="1" error="Please type a positive number." sqref="K5:K100" xr:uid="{4D64D48D-0FAA-495E-80F1-ADA63F63A5D2}">
      <formula1>0</formula1>
    </dataValidation>
    <dataValidation type="decimal" operator="greaterThan" allowBlank="1" showInputMessage="1" showErrorMessage="1" error="Please type a positive price." sqref="M5:M100" xr:uid="{D5962B65-4A81-4D3B-8D3D-6044EAF6A85C}">
      <formula1>0</formula1>
    </dataValidation>
    <dataValidation type="decimal" allowBlank="1" showInputMessage="1" showErrorMessage="1" error="Please type a number between 0 and 1." sqref="G5:G100" xr:uid="{B67F3A7D-0A9B-4211-A30D-7E6C530EFBC1}">
      <formula1>0</formula1>
      <formula2>1</formula2>
    </dataValidation>
    <dataValidation type="custom" allowBlank="1" showInputMessage="1" showErrorMessage="1" sqref="E5:E100" xr:uid="{B80D0D38-A5BB-4169-94EC-DD762228CFC4}">
      <formula1>ISNUMBER(E5)</formula1>
    </dataValidation>
    <dataValidation type="list" allowBlank="1" showInputMessage="1" showErrorMessage="1" sqref="C2" xr:uid="{69FBE685-201C-4E8F-AD07-3DB283FA9D4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7D7A03F-4331-43EB-8D8C-D367A933BB24}">
          <x14:formula1>
            <xm:f>IF($B5="Transportation",  'SI - Units'!$B$9:$E$9, _xlfn.XLOOKUP(_xlfn.XLOOKUP($C5,'SI - Units'!$B$24:$B$74,'SI - Units'!$C$24:$C$74),'SI - Units'!$A$2:$A$8,'SI - Units'!$B$2:$R$8))</xm:f>
          </x14:formula1>
          <xm:sqref>F5:F100</xm:sqref>
        </x14:dataValidation>
        <x14:dataValidation type="list" allowBlank="1" showInputMessage="1" showErrorMessage="1" xr:uid="{48EFCAF2-304E-4DB5-BDA7-B36AFD92295F}">
          <x14:formula1>
            <xm:f>'SI - Co-products'!$B$2:$B$6</xm:f>
          </x14:formula1>
          <xm:sqref>A5:A100</xm:sqref>
        </x14:dataValidation>
        <x14:dataValidation type="list" allowBlank="1" showInputMessage="1" showErrorMessage="1" xr:uid="{7F95414E-AD6F-488E-92CD-F106AA562712}">
          <x14:formula1>
            <xm:f>_xlfn.XLOOKUP($B5,'SI - Resources'!$A$1:$I$1,INDIRECT("Resource"))</xm:f>
          </x14:formula1>
          <xm:sqref>C5:C100 O5:O100</xm:sqref>
        </x14:dataValidation>
        <x14:dataValidation type="list" allowBlank="1" showInputMessage="1" showErrorMessage="1" xr:uid="{90E96DF3-D473-4A6C-8F0F-F7577DAC089B}">
          <x14:formula1>
            <xm:f>'SI - Resources'!$A$1:$I$1</xm:f>
          </x14:formula1>
          <xm:sqref>B5:B100</xm:sqref>
        </x14:dataValidation>
        <x14:dataValidation type="list" allowBlank="1" showInputMessage="1" showErrorMessage="1" xr:uid="{C0661D53-8130-4133-9C3D-BB5760FC8E56}">
          <x14:formula1>
            <xm:f>'SI - Units'!$B$10:$F$10</xm:f>
          </x14:formula1>
          <xm:sqref>L5:L100</xm:sqref>
        </x14:dataValidation>
        <x14:dataValidation type="list" allowBlank="1" showInputMessage="1" showErrorMessage="1" xr:uid="{72507DD5-F2C0-4840-B097-F2F101DA2344}">
          <x14:formula1>
            <xm:f>IF($B5="Transportation",  'SI - Units'!$B$20:$E$20, _xlfn.XLOOKUP(_xlfn.XLOOKUP($C5,'SI - Units'!$B$24:$B$74,'SI - Units'!$C$24:$C$74),'SI - Units'!$A$13:$A$19,'SI - Units'!$B$13:$R$19))</xm:f>
          </x14:formula1>
          <xm:sqref>N5:N100</xm:sqref>
        </x14:dataValidation>
        <x14:dataValidation type="list" allowBlank="1" showInputMessage="1" showErrorMessage="1" xr:uid="{0174D59A-E4D5-42F2-9AB2-3946A56E5ABA}">
          <x14:formula1>
            <xm:f>'SI - Co-products'!$C$2:$C$4</xm:f>
          </x14:formula1>
          <xm:sqref>I5:I100</xm:sqref>
        </x14:dataValidation>
        <x14:dataValidation type="list" allowBlank="1" showInputMessage="1" showErrorMessage="1" xr:uid="{EF11C4DB-863D-4631-84D5-19233B205149}">
          <x14:formula1>
            <xm:f>'SI - Co-products'!$A$2:$A$5</xm:f>
          </x14:formula1>
          <xm:sqref>J5:J100</xm:sqref>
        </x14:dataValidation>
        <x14:dataValidation type="list" allowBlank="1" showInputMessage="1" showErrorMessage="1" xr:uid="{379523FF-EA79-4189-9884-BB075679A4CF}">
          <x14:formula1>
            <xm:f>_xlfn.XLOOKUP(_xlfn.XLOOKUP(#REF!,'SI - Units'!$B$24:$B$74,'SI - Units'!$C$24:$C$74),'SI - Units'!$A$2:$A$8,'SI - Units'!$B$2:$R$8)</xm:f>
          </x14:formula1>
          <xm:sqref>F4</xm:sqref>
        </x14:dataValidation>
        <x14:dataValidation type="list" allowBlank="1" showInputMessage="1" showErrorMessage="1" xr:uid="{FA1F16BC-7DA4-43D7-9AEE-2708538530E3}">
          <x14:formula1>
            <xm:f>'SI - Co-products'!$D$2:$D$8</xm:f>
          </x14:formula1>
          <xm:sqref>C1</xm:sqref>
        </x14:dataValidation>
        <x14:dataValidation type="list" allowBlank="1" showInputMessage="1" showErrorMessage="1" xr:uid="{7C080495-97AF-4314-8B9E-86C841037079}">
          <x14:formula1>
            <xm:f>_xlfn.XLOOKUP($O5,'SI - End Use'!$B$2:$B$53,'SI - End Use'!$C$2:$N$53)</xm:f>
          </x14:formula1>
          <xm:sqref>P5:P100</xm:sqref>
        </x14:dataValidation>
        <x14:dataValidation type="list" allowBlank="1" showInputMessage="1" xr:uid="{2DE88688-96A5-4B63-BEE7-602C6677FB8D}">
          <x14:formula1>
            <xm:f>_xlfn.XLOOKUP($C5,'SI - End Use'!$B$2:$B$53,'SI - End Use'!$C$2:$N$53)</xm:f>
          </x14:formula1>
          <xm:sqref>D5:D100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HTL</vt:lpstr>
      <vt:lpstr>Upgrading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2022-07-29T22:01:42Z</dcterms:modified>
</cp:coreProperties>
</file>