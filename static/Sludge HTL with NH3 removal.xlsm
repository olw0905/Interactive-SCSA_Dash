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50C36EEB-67E2-4939-A699-F0CE9A0D5ACC}" xr6:coauthVersionLast="47" xr6:coauthVersionMax="47" xr10:uidLastSave="{00000000-0000-0000-0000-000000000000}"/>
  <bookViews>
    <workbookView xWindow="33720" yWindow="2610" windowWidth="29040" windowHeight="15840" tabRatio="685"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 name="Upgrading" sheetId="26" r:id="rId9"/>
  </sheets>
  <externalReferences>
    <externalReference r:id="rId10"/>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D14" i="26"/>
  <c r="D13" i="26"/>
  <c r="D12" i="26"/>
  <c r="D11" i="26"/>
  <c r="D10" i="26"/>
  <c r="D9" i="26"/>
  <c r="C6" i="26"/>
  <c r="D6" i="26" s="1"/>
  <c r="Q100" i="26"/>
  <c r="P100" i="26"/>
  <c r="M100" i="26"/>
  <c r="L100" i="26"/>
  <c r="I100" i="26"/>
  <c r="C100" i="26"/>
  <c r="F100" i="26" s="1" a="1"/>
  <c r="F100" i="26" s="1"/>
  <c r="Q99" i="26"/>
  <c r="P99" i="26"/>
  <c r="M99" i="26"/>
  <c r="L99" i="26"/>
  <c r="I99" i="26"/>
  <c r="F99" i="26" a="1"/>
  <c r="F99" i="26" s="1"/>
  <c r="D99" i="26"/>
  <c r="C99" i="26"/>
  <c r="P98" i="26"/>
  <c r="Q98" i="26" s="1"/>
  <c r="M98" i="26"/>
  <c r="L98" i="26"/>
  <c r="I98" i="26"/>
  <c r="F98" i="26"/>
  <c r="F98" i="26" a="1"/>
  <c r="D98" i="26"/>
  <c r="C98" i="26"/>
  <c r="P97" i="26"/>
  <c r="Q97" i="26" s="1"/>
  <c r="M97" i="26"/>
  <c r="L97" i="26"/>
  <c r="I97" i="26"/>
  <c r="F97" i="26"/>
  <c r="F97" i="26" a="1"/>
  <c r="C97" i="26"/>
  <c r="D97" i="26" s="1"/>
  <c r="P96" i="26"/>
  <c r="Q96" i="26" s="1"/>
  <c r="M96" i="26"/>
  <c r="L96" i="26"/>
  <c r="I96" i="26"/>
  <c r="C96" i="26"/>
  <c r="F96" i="26" s="1" a="1"/>
  <c r="F96" i="26" s="1"/>
  <c r="Q95" i="26"/>
  <c r="P95" i="26"/>
  <c r="M95" i="26"/>
  <c r="L95" i="26"/>
  <c r="I95" i="26"/>
  <c r="C95" i="26"/>
  <c r="F95" i="26" s="1" a="1"/>
  <c r="F95" i="26" s="1"/>
  <c r="P94" i="26"/>
  <c r="Q94" i="26" s="1"/>
  <c r="M94" i="26"/>
  <c r="L94" i="26"/>
  <c r="I94" i="26"/>
  <c r="F94" i="26" a="1"/>
  <c r="F94" i="26" s="1"/>
  <c r="D94" i="26"/>
  <c r="C94" i="26"/>
  <c r="Q93" i="26"/>
  <c r="P93" i="26"/>
  <c r="M93" i="26"/>
  <c r="L93" i="26"/>
  <c r="I93" i="26"/>
  <c r="C93" i="26"/>
  <c r="Q92" i="26"/>
  <c r="P92" i="26"/>
  <c r="M92" i="26"/>
  <c r="L92" i="26"/>
  <c r="I92" i="26"/>
  <c r="D92" i="26"/>
  <c r="C92" i="26"/>
  <c r="F92" i="26" s="1" a="1"/>
  <c r="F92" i="26" s="1"/>
  <c r="Q91" i="26"/>
  <c r="P91" i="26"/>
  <c r="M91" i="26"/>
  <c r="L91" i="26"/>
  <c r="I91" i="26"/>
  <c r="F91" i="26" a="1"/>
  <c r="F91" i="26" s="1"/>
  <c r="D91" i="26"/>
  <c r="C91" i="26"/>
  <c r="P90" i="26"/>
  <c r="Q90" i="26" s="1"/>
  <c r="M90" i="26"/>
  <c r="L90" i="26"/>
  <c r="I90" i="26"/>
  <c r="F90" i="26"/>
  <c r="F90" i="26" a="1"/>
  <c r="D90" i="26"/>
  <c r="C90" i="26"/>
  <c r="P89" i="26"/>
  <c r="Q89" i="26" s="1"/>
  <c r="M89" i="26"/>
  <c r="L89" i="26"/>
  <c r="I89" i="26"/>
  <c r="F89" i="26"/>
  <c r="F89" i="26" a="1"/>
  <c r="C89" i="26"/>
  <c r="D89" i="26" s="1"/>
  <c r="Q88" i="26"/>
  <c r="P88" i="26"/>
  <c r="M88" i="26"/>
  <c r="L88" i="26"/>
  <c r="I88" i="26"/>
  <c r="C88" i="26"/>
  <c r="F88" i="26" s="1" a="1"/>
  <c r="F88" i="26" s="1"/>
  <c r="Q87" i="26"/>
  <c r="P87" i="26"/>
  <c r="M87" i="26"/>
  <c r="L87" i="26"/>
  <c r="I87" i="26"/>
  <c r="D87" i="26"/>
  <c r="C87" i="26"/>
  <c r="F87" i="26" s="1" a="1"/>
  <c r="F87" i="26" s="1"/>
  <c r="P86" i="26"/>
  <c r="Q86" i="26" s="1"/>
  <c r="M86" i="26"/>
  <c r="L86" i="26"/>
  <c r="I86" i="26"/>
  <c r="F86" i="26" a="1"/>
  <c r="F86" i="26" s="1"/>
  <c r="D86" i="26"/>
  <c r="C86" i="26"/>
  <c r="Q85" i="26"/>
  <c r="P85" i="26"/>
  <c r="M85" i="26"/>
  <c r="L85" i="26"/>
  <c r="I85" i="26"/>
  <c r="C85" i="26"/>
  <c r="Q84" i="26"/>
  <c r="P84" i="26"/>
  <c r="M84" i="26"/>
  <c r="L84" i="26"/>
  <c r="I84" i="26"/>
  <c r="D84" i="26"/>
  <c r="C84" i="26"/>
  <c r="F84" i="26" s="1" a="1"/>
  <c r="F84" i="26" s="1"/>
  <c r="Q83" i="26"/>
  <c r="P83" i="26"/>
  <c r="M83" i="26"/>
  <c r="L83" i="26"/>
  <c r="I83" i="26"/>
  <c r="F83" i="26" a="1"/>
  <c r="F83" i="26" s="1"/>
  <c r="D83" i="26"/>
  <c r="C83" i="26"/>
  <c r="P82" i="26"/>
  <c r="Q82" i="26" s="1"/>
  <c r="M82" i="26"/>
  <c r="L82" i="26"/>
  <c r="I82" i="26"/>
  <c r="F82" i="26" a="1"/>
  <c r="F82" i="26" s="1"/>
  <c r="D82" i="26"/>
  <c r="C82" i="26"/>
  <c r="P81" i="26"/>
  <c r="Q81" i="26" s="1"/>
  <c r="M81" i="26"/>
  <c r="L81" i="26"/>
  <c r="I81" i="26"/>
  <c r="F81" i="26"/>
  <c r="F81" i="26" a="1"/>
  <c r="C81" i="26"/>
  <c r="D81" i="26" s="1"/>
  <c r="Q80" i="26"/>
  <c r="P80" i="26"/>
  <c r="M80" i="26"/>
  <c r="L80" i="26"/>
  <c r="I80" i="26"/>
  <c r="C80" i="26"/>
  <c r="F80" i="26" s="1" a="1"/>
  <c r="F80" i="26" s="1"/>
  <c r="Q79" i="26"/>
  <c r="P79" i="26"/>
  <c r="M79" i="26"/>
  <c r="L79" i="26"/>
  <c r="I79" i="26"/>
  <c r="D79" i="26"/>
  <c r="C79" i="26"/>
  <c r="F79" i="26" s="1" a="1"/>
  <c r="F79" i="26" s="1"/>
  <c r="P78" i="26"/>
  <c r="Q78" i="26" s="1"/>
  <c r="M78" i="26"/>
  <c r="L78" i="26"/>
  <c r="I78" i="26"/>
  <c r="F78" i="26" a="1"/>
  <c r="F78" i="26" s="1"/>
  <c r="D78" i="26"/>
  <c r="C78" i="26"/>
  <c r="Q77" i="26"/>
  <c r="P77" i="26"/>
  <c r="M77" i="26"/>
  <c r="L77" i="26"/>
  <c r="I77" i="26"/>
  <c r="C77" i="26"/>
  <c r="Q76" i="26"/>
  <c r="P76" i="26"/>
  <c r="M76" i="26"/>
  <c r="L76" i="26"/>
  <c r="I76" i="26"/>
  <c r="D76" i="26"/>
  <c r="C76" i="26"/>
  <c r="F76" i="26" s="1" a="1"/>
  <c r="F76" i="26" s="1"/>
  <c r="Q75" i="26"/>
  <c r="P75" i="26"/>
  <c r="M75" i="26"/>
  <c r="L75" i="26"/>
  <c r="I75" i="26"/>
  <c r="F75" i="26" a="1"/>
  <c r="F75" i="26" s="1"/>
  <c r="D75" i="26"/>
  <c r="C75" i="26"/>
  <c r="P74" i="26"/>
  <c r="Q74" i="26" s="1"/>
  <c r="M74" i="26"/>
  <c r="L74" i="26"/>
  <c r="I74" i="26"/>
  <c r="F74" i="26" a="1"/>
  <c r="F74" i="26" s="1"/>
  <c r="D74" i="26"/>
  <c r="C74" i="26"/>
  <c r="P73" i="26"/>
  <c r="Q73" i="26" s="1"/>
  <c r="M73" i="26"/>
  <c r="L73" i="26"/>
  <c r="I73" i="26"/>
  <c r="F73" i="26"/>
  <c r="F73" i="26" a="1"/>
  <c r="C73" i="26"/>
  <c r="D73" i="26" s="1"/>
  <c r="Q72" i="26"/>
  <c r="P72" i="26"/>
  <c r="M72" i="26"/>
  <c r="L72" i="26"/>
  <c r="I72" i="26"/>
  <c r="C72" i="26"/>
  <c r="F72" i="26" s="1" a="1"/>
  <c r="F72" i="26" s="1"/>
  <c r="Q71" i="26"/>
  <c r="P71" i="26"/>
  <c r="M71" i="26"/>
  <c r="L71" i="26"/>
  <c r="I71" i="26"/>
  <c r="D71" i="26"/>
  <c r="C71" i="26"/>
  <c r="F71" i="26" s="1" a="1"/>
  <c r="F71" i="26" s="1"/>
  <c r="P70" i="26"/>
  <c r="Q70" i="26" s="1"/>
  <c r="M70" i="26"/>
  <c r="L70" i="26"/>
  <c r="I70" i="26"/>
  <c r="F70" i="26" a="1"/>
  <c r="F70" i="26" s="1"/>
  <c r="D70" i="26"/>
  <c r="C70" i="26"/>
  <c r="P69" i="26"/>
  <c r="Q69" i="26" s="1"/>
  <c r="M69" i="26"/>
  <c r="L69" i="26"/>
  <c r="I69" i="26"/>
  <c r="C69" i="26"/>
  <c r="Q68" i="26"/>
  <c r="P68" i="26"/>
  <c r="M68" i="26"/>
  <c r="L68" i="26"/>
  <c r="I68" i="26"/>
  <c r="C68" i="26"/>
  <c r="F68" i="26" s="1" a="1"/>
  <c r="F68" i="26" s="1"/>
  <c r="Q67" i="26"/>
  <c r="P67" i="26"/>
  <c r="M67" i="26"/>
  <c r="L67" i="26"/>
  <c r="I67" i="26"/>
  <c r="C67" i="26"/>
  <c r="F67" i="26" s="1" a="1"/>
  <c r="F67" i="26" s="1"/>
  <c r="P66" i="26"/>
  <c r="Q66" i="26" s="1"/>
  <c r="M66" i="26"/>
  <c r="L66" i="26"/>
  <c r="I66" i="26"/>
  <c r="F66" i="26"/>
  <c r="F66" i="26" a="1"/>
  <c r="D66" i="26"/>
  <c r="C66" i="26"/>
  <c r="P65" i="26"/>
  <c r="Q65" i="26" s="1"/>
  <c r="M65" i="26"/>
  <c r="L65" i="26"/>
  <c r="I65" i="26"/>
  <c r="F65" i="26"/>
  <c r="F65" i="26" a="1"/>
  <c r="C65" i="26"/>
  <c r="D65" i="26" s="1"/>
  <c r="Q64" i="26"/>
  <c r="P64" i="26"/>
  <c r="M64" i="26"/>
  <c r="L64" i="26"/>
  <c r="I64" i="26"/>
  <c r="C64" i="26"/>
  <c r="Q63" i="26"/>
  <c r="P63" i="26"/>
  <c r="M63" i="26"/>
  <c r="L63" i="26"/>
  <c r="I63" i="26"/>
  <c r="D63" i="26"/>
  <c r="C63" i="26"/>
  <c r="F63" i="26" s="1" a="1"/>
  <c r="F63" i="26" s="1"/>
  <c r="P62" i="26"/>
  <c r="Q62" i="26" s="1"/>
  <c r="M62" i="26"/>
  <c r="L62" i="26"/>
  <c r="I62" i="26"/>
  <c r="F62" i="26" a="1"/>
  <c r="F62" i="26" s="1"/>
  <c r="D62" i="26"/>
  <c r="C62" i="26"/>
  <c r="Q61" i="26"/>
  <c r="P61" i="26"/>
  <c r="M61" i="26"/>
  <c r="L61" i="26"/>
  <c r="I61" i="26"/>
  <c r="C61" i="26"/>
  <c r="P60" i="26"/>
  <c r="Q60" i="26" s="1"/>
  <c r="M60" i="26"/>
  <c r="L60" i="26"/>
  <c r="I60" i="26"/>
  <c r="C60" i="26"/>
  <c r="F60" i="26" s="1" a="1"/>
  <c r="F60" i="26" s="1"/>
  <c r="Q59" i="26"/>
  <c r="P59" i="26"/>
  <c r="M59" i="26"/>
  <c r="L59" i="26"/>
  <c r="I59" i="26"/>
  <c r="F59" i="26" a="1"/>
  <c r="F59" i="26" s="1"/>
  <c r="C59" i="26"/>
  <c r="D59" i="26" s="1"/>
  <c r="P58" i="26"/>
  <c r="Q58" i="26" s="1"/>
  <c r="M58" i="26"/>
  <c r="L58" i="26"/>
  <c r="I58" i="26"/>
  <c r="F58" i="26" a="1"/>
  <c r="F58" i="26" s="1"/>
  <c r="D58" i="26"/>
  <c r="C58" i="26"/>
  <c r="P57" i="26"/>
  <c r="Q57" i="26" s="1"/>
  <c r="M57" i="26"/>
  <c r="L57" i="26"/>
  <c r="I57" i="26"/>
  <c r="F57" i="26" a="1"/>
  <c r="F57" i="26" s="1"/>
  <c r="C57" i="26"/>
  <c r="D57" i="26" s="1"/>
  <c r="Q56" i="26"/>
  <c r="P56" i="26"/>
  <c r="M56" i="26"/>
  <c r="L56" i="26"/>
  <c r="I56" i="26"/>
  <c r="C56" i="26"/>
  <c r="Q55" i="26"/>
  <c r="P55" i="26"/>
  <c r="M55" i="26"/>
  <c r="L55" i="26"/>
  <c r="I55" i="26"/>
  <c r="D55" i="26"/>
  <c r="C55" i="26"/>
  <c r="F55" i="26" s="1" a="1"/>
  <c r="F55" i="26" s="1"/>
  <c r="P54" i="26"/>
  <c r="Q54" i="26" s="1"/>
  <c r="M54" i="26"/>
  <c r="L54" i="26"/>
  <c r="I54" i="26"/>
  <c r="F54" i="26" a="1"/>
  <c r="F54" i="26" s="1"/>
  <c r="D54" i="26"/>
  <c r="C54" i="26"/>
  <c r="P53" i="26"/>
  <c r="Q53" i="26" s="1"/>
  <c r="M53" i="26"/>
  <c r="L53" i="26"/>
  <c r="I53" i="26"/>
  <c r="C53" i="26"/>
  <c r="P52" i="26"/>
  <c r="Q52" i="26" s="1"/>
  <c r="M52" i="26"/>
  <c r="L52" i="26"/>
  <c r="I52" i="26"/>
  <c r="C52" i="26"/>
  <c r="F52" i="26" s="1" a="1"/>
  <c r="F52" i="26" s="1"/>
  <c r="Q51" i="26"/>
  <c r="P51" i="26"/>
  <c r="M51" i="26"/>
  <c r="L51" i="26"/>
  <c r="I51" i="26"/>
  <c r="C51" i="26"/>
  <c r="F51" i="26" s="1" a="1"/>
  <c r="F51" i="26" s="1"/>
  <c r="P50" i="26"/>
  <c r="Q50" i="26" s="1"/>
  <c r="M50" i="26"/>
  <c r="L50" i="26"/>
  <c r="I50" i="26"/>
  <c r="F50" i="26" a="1"/>
  <c r="F50" i="26" s="1"/>
  <c r="D50" i="26"/>
  <c r="C50" i="26"/>
  <c r="P49" i="26"/>
  <c r="Q49" i="26" s="1"/>
  <c r="M49" i="26"/>
  <c r="L49" i="26"/>
  <c r="I49" i="26"/>
  <c r="F49" i="26" a="1"/>
  <c r="F49" i="26" s="1"/>
  <c r="C49" i="26"/>
  <c r="D49" i="26" s="1"/>
  <c r="Q48" i="26"/>
  <c r="P48" i="26"/>
  <c r="M48" i="26"/>
  <c r="L48" i="26"/>
  <c r="I48" i="26"/>
  <c r="C48" i="26"/>
  <c r="Q47" i="26"/>
  <c r="P47" i="26"/>
  <c r="M47" i="26"/>
  <c r="L47" i="26"/>
  <c r="I47" i="26"/>
  <c r="D47" i="26"/>
  <c r="C47" i="26"/>
  <c r="F47" i="26" s="1" a="1"/>
  <c r="F47" i="26" s="1"/>
  <c r="P46" i="26"/>
  <c r="Q46" i="26" s="1"/>
  <c r="M46" i="26"/>
  <c r="L46" i="26"/>
  <c r="I46" i="26"/>
  <c r="F46" i="26" a="1"/>
  <c r="F46" i="26" s="1"/>
  <c r="D46" i="26"/>
  <c r="C46" i="26"/>
  <c r="P45" i="26"/>
  <c r="Q45" i="26" s="1"/>
  <c r="M45" i="26"/>
  <c r="L45" i="26"/>
  <c r="I45" i="26"/>
  <c r="C45" i="26"/>
  <c r="Q44" i="26"/>
  <c r="P44" i="26"/>
  <c r="M44" i="26"/>
  <c r="L44" i="26"/>
  <c r="I44" i="26"/>
  <c r="D44" i="26"/>
  <c r="C44" i="26"/>
  <c r="F44" i="26" s="1" a="1"/>
  <c r="F44" i="26" s="1"/>
  <c r="Q43" i="26"/>
  <c r="P43" i="26"/>
  <c r="M43" i="26"/>
  <c r="L43" i="26"/>
  <c r="I43" i="26"/>
  <c r="F43" i="26" a="1"/>
  <c r="F43" i="26" s="1"/>
  <c r="D43" i="26"/>
  <c r="C43" i="26"/>
  <c r="P42" i="26"/>
  <c r="Q42" i="26" s="1"/>
  <c r="M42" i="26"/>
  <c r="L42" i="26"/>
  <c r="I42" i="26"/>
  <c r="F42" i="26" a="1"/>
  <c r="F42" i="26" s="1"/>
  <c r="D42" i="26"/>
  <c r="C42" i="26"/>
  <c r="P41" i="26"/>
  <c r="Q41" i="26" s="1"/>
  <c r="M41" i="26"/>
  <c r="L41" i="26"/>
  <c r="I41" i="26"/>
  <c r="F41" i="26" a="1"/>
  <c r="F41" i="26" s="1"/>
  <c r="C41" i="26"/>
  <c r="D41" i="26" s="1"/>
  <c r="Q40" i="26"/>
  <c r="P40" i="26"/>
  <c r="M40" i="26"/>
  <c r="L40" i="26"/>
  <c r="I40" i="26"/>
  <c r="C40" i="26"/>
  <c r="Q39" i="26"/>
  <c r="P39" i="26"/>
  <c r="M39" i="26"/>
  <c r="L39" i="26"/>
  <c r="I39" i="26"/>
  <c r="D39" i="26"/>
  <c r="C39" i="26"/>
  <c r="F39" i="26" s="1" a="1"/>
  <c r="F39" i="26" s="1"/>
  <c r="P38" i="26"/>
  <c r="Q38" i="26" s="1"/>
  <c r="M38" i="26"/>
  <c r="L38" i="26"/>
  <c r="I38" i="26"/>
  <c r="F38" i="26" a="1"/>
  <c r="F38" i="26" s="1"/>
  <c r="D38" i="26"/>
  <c r="C38" i="26"/>
  <c r="P37" i="26"/>
  <c r="Q37" i="26" s="1"/>
  <c r="M37" i="26"/>
  <c r="L37" i="26"/>
  <c r="I37" i="26"/>
  <c r="C37" i="26"/>
  <c r="Q36" i="26"/>
  <c r="P36" i="26"/>
  <c r="M36" i="26"/>
  <c r="L36" i="26"/>
  <c r="I36" i="26"/>
  <c r="C36" i="26"/>
  <c r="F36" i="26" s="1" a="1"/>
  <c r="F36" i="26" s="1"/>
  <c r="Q35" i="26"/>
  <c r="P35" i="26"/>
  <c r="M35" i="26"/>
  <c r="L35" i="26"/>
  <c r="I35" i="26"/>
  <c r="C35" i="26"/>
  <c r="F35" i="26" s="1" a="1"/>
  <c r="F35" i="26" s="1"/>
  <c r="P34" i="26"/>
  <c r="Q34" i="26" s="1"/>
  <c r="M34" i="26"/>
  <c r="L34" i="26"/>
  <c r="I34" i="26"/>
  <c r="F34" i="26"/>
  <c r="F34" i="26" a="1"/>
  <c r="D34" i="26"/>
  <c r="C34" i="26"/>
  <c r="P33" i="26"/>
  <c r="Q33" i="26" s="1"/>
  <c r="M33" i="26"/>
  <c r="L33" i="26"/>
  <c r="I33" i="26"/>
  <c r="F33" i="26"/>
  <c r="F33" i="26" a="1"/>
  <c r="C33" i="26"/>
  <c r="D33" i="26" s="1"/>
  <c r="Q32" i="26"/>
  <c r="P32" i="26"/>
  <c r="M32" i="26"/>
  <c r="L32" i="26"/>
  <c r="I32" i="26"/>
  <c r="C32" i="26"/>
  <c r="Q31" i="26"/>
  <c r="P31" i="26"/>
  <c r="M31" i="26"/>
  <c r="L31" i="26"/>
  <c r="I31" i="26"/>
  <c r="D31" i="26"/>
  <c r="C31" i="26"/>
  <c r="F31" i="26" s="1" a="1"/>
  <c r="F31" i="26" s="1"/>
  <c r="P30" i="26"/>
  <c r="Q30" i="26" s="1"/>
  <c r="M30" i="26"/>
  <c r="L30" i="26"/>
  <c r="I30" i="26"/>
  <c r="F30" i="26" a="1"/>
  <c r="F30" i="26" s="1"/>
  <c r="D30" i="26"/>
  <c r="C30" i="26"/>
  <c r="Q29" i="26"/>
  <c r="P29" i="26"/>
  <c r="M29" i="26"/>
  <c r="L29" i="26"/>
  <c r="I29" i="26"/>
  <c r="C29" i="26"/>
  <c r="P28" i="26"/>
  <c r="Q28" i="26" s="1"/>
  <c r="M28" i="26"/>
  <c r="L28" i="26"/>
  <c r="I28" i="26"/>
  <c r="C28" i="26"/>
  <c r="F28" i="26" s="1" a="1"/>
  <c r="F28" i="26" s="1"/>
  <c r="Q27" i="26"/>
  <c r="P27" i="26"/>
  <c r="M27" i="26"/>
  <c r="L27" i="26"/>
  <c r="I27" i="26"/>
  <c r="F27" i="26" a="1"/>
  <c r="F27" i="26" s="1"/>
  <c r="C27" i="26"/>
  <c r="D27" i="26" s="1"/>
  <c r="P26" i="26"/>
  <c r="Q26" i="26" s="1"/>
  <c r="M26" i="26"/>
  <c r="L26" i="26"/>
  <c r="I26" i="26"/>
  <c r="F26" i="26" a="1"/>
  <c r="F26" i="26" s="1"/>
  <c r="D26" i="26"/>
  <c r="C26" i="26"/>
  <c r="P25" i="26"/>
  <c r="Q25" i="26" s="1"/>
  <c r="M25" i="26"/>
  <c r="L25" i="26"/>
  <c r="I25" i="26"/>
  <c r="F25" i="26" a="1"/>
  <c r="F25" i="26" s="1"/>
  <c r="C25" i="26"/>
  <c r="D25" i="26" s="1"/>
  <c r="Q24" i="26"/>
  <c r="P24" i="26"/>
  <c r="M24" i="26"/>
  <c r="L24" i="26"/>
  <c r="I24" i="26"/>
  <c r="C24" i="26"/>
  <c r="Q23" i="26"/>
  <c r="P23" i="26"/>
  <c r="M23" i="26"/>
  <c r="L23" i="26"/>
  <c r="I23" i="26"/>
  <c r="D23" i="26"/>
  <c r="C23" i="26"/>
  <c r="F23" i="26" s="1" a="1"/>
  <c r="F23" i="26" s="1"/>
  <c r="P22" i="26"/>
  <c r="Q22" i="26" s="1"/>
  <c r="M22" i="26"/>
  <c r="L22" i="26"/>
  <c r="I22" i="26"/>
  <c r="F22" i="26" a="1"/>
  <c r="F22" i="26" s="1"/>
  <c r="D22" i="26"/>
  <c r="C22" i="26"/>
  <c r="P21" i="26"/>
  <c r="Q21" i="26" s="1"/>
  <c r="M21" i="26"/>
  <c r="L21" i="26"/>
  <c r="I21" i="26"/>
  <c r="C21" i="26"/>
  <c r="Q20" i="26"/>
  <c r="P20" i="26"/>
  <c r="M20" i="26"/>
  <c r="L20" i="26"/>
  <c r="I20" i="26"/>
  <c r="C20" i="26"/>
  <c r="F20" i="26" s="1" a="1"/>
  <c r="F20" i="26" s="1"/>
  <c r="Q19" i="26"/>
  <c r="P19" i="26"/>
  <c r="M19" i="26"/>
  <c r="L19" i="26"/>
  <c r="I19" i="26"/>
  <c r="C19" i="26"/>
  <c r="F19" i="26" s="1" a="1"/>
  <c r="F19" i="26" s="1"/>
  <c r="P18" i="26"/>
  <c r="Q18" i="26" s="1"/>
  <c r="M18" i="26"/>
  <c r="L18" i="26"/>
  <c r="I18" i="26"/>
  <c r="F18" i="26" a="1"/>
  <c r="F18" i="26" s="1"/>
  <c r="D18" i="26"/>
  <c r="C18" i="26"/>
  <c r="P17" i="26"/>
  <c r="Q17" i="26" s="1"/>
  <c r="M17" i="26"/>
  <c r="L17" i="26"/>
  <c r="I17" i="26"/>
  <c r="F17" i="26" a="1"/>
  <c r="F17" i="26" s="1"/>
  <c r="C17" i="26"/>
  <c r="D17" i="26" s="1"/>
  <c r="Q16" i="26"/>
  <c r="P16" i="26"/>
  <c r="M16" i="26"/>
  <c r="L16" i="26"/>
  <c r="I16" i="26"/>
  <c r="C16" i="26"/>
  <c r="M15" i="26"/>
  <c r="L15" i="26"/>
  <c r="I15" i="26"/>
  <c r="P14" i="26"/>
  <c r="Q14" i="26" s="1"/>
  <c r="M14" i="26"/>
  <c r="L14" i="26"/>
  <c r="I14" i="26"/>
  <c r="P13" i="26"/>
  <c r="Q13" i="26" s="1"/>
  <c r="M13" i="26"/>
  <c r="L13" i="26"/>
  <c r="I13" i="26"/>
  <c r="Q12" i="26"/>
  <c r="P12" i="26"/>
  <c r="M12" i="26"/>
  <c r="L12" i="26"/>
  <c r="I12" i="26"/>
  <c r="Q11" i="26"/>
  <c r="P11" i="26"/>
  <c r="M11" i="26"/>
  <c r="L11" i="26"/>
  <c r="I11" i="26"/>
  <c r="P10" i="26"/>
  <c r="Q10" i="26" s="1"/>
  <c r="M10" i="26"/>
  <c r="L10" i="26"/>
  <c r="I10" i="26"/>
  <c r="P9" i="26"/>
  <c r="Q9" i="26" s="1"/>
  <c r="M9" i="26"/>
  <c r="L9" i="26"/>
  <c r="I9" i="26"/>
  <c r="P8" i="26"/>
  <c r="Q8" i="26" s="1"/>
  <c r="M8" i="26"/>
  <c r="L8" i="26"/>
  <c r="I8" i="26"/>
  <c r="Q7" i="26"/>
  <c r="P7" i="26"/>
  <c r="M7" i="26"/>
  <c r="L7" i="26"/>
  <c r="I7" i="26"/>
  <c r="P6" i="26"/>
  <c r="Q6" i="26" s="1"/>
  <c r="M6" i="26"/>
  <c r="L6" i="26"/>
  <c r="I6" i="26"/>
  <c r="E16"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53" i="26" l="1" a="1"/>
  <c r="F53" i="26" s="1"/>
  <c r="D53" i="26"/>
  <c r="F82" i="25" a="1"/>
  <c r="F82" i="25" s="1"/>
  <c r="D82" i="25"/>
  <c r="F40" i="26" a="1"/>
  <c r="F40" i="26" s="1"/>
  <c r="D40" i="26"/>
  <c r="D19" i="25"/>
  <c r="D23" i="25"/>
  <c r="D27" i="25"/>
  <c r="D31" i="25"/>
  <c r="D35" i="25"/>
  <c r="D39" i="25"/>
  <c r="D43" i="25"/>
  <c r="D47" i="25"/>
  <c r="D54" i="25"/>
  <c r="F58" i="25" a="1"/>
  <c r="F58" i="25" s="1"/>
  <c r="D58" i="25"/>
  <c r="F61" i="25" a="1"/>
  <c r="F61" i="25" s="1"/>
  <c r="D87" i="25"/>
  <c r="F93" i="25" a="1"/>
  <c r="F93" i="25" s="1"/>
  <c r="D93" i="25"/>
  <c r="D19" i="26"/>
  <c r="D20" i="26"/>
  <c r="F29" i="26" a="1"/>
  <c r="F29" i="26" s="1"/>
  <c r="D29" i="26"/>
  <c r="D51" i="26"/>
  <c r="D52" i="26"/>
  <c r="F61" i="26" a="1"/>
  <c r="F61" i="26" s="1"/>
  <c r="D61" i="26"/>
  <c r="F21" i="26" a="1"/>
  <c r="F21" i="26" s="1"/>
  <c r="D21" i="26"/>
  <c r="F16" i="26" a="1"/>
  <c r="F16" i="26" s="1"/>
  <c r="D16" i="26"/>
  <c r="F48" i="26" a="1"/>
  <c r="F48" i="26" s="1"/>
  <c r="D48" i="26"/>
  <c r="D51" i="25"/>
  <c r="F90" i="25" a="1"/>
  <c r="F90" i="25" s="1"/>
  <c r="D90" i="25"/>
  <c r="D22" i="25"/>
  <c r="D30" i="25"/>
  <c r="D38" i="25"/>
  <c r="D46" i="25"/>
  <c r="F50" i="25" a="1"/>
  <c r="F50" i="25" s="1"/>
  <c r="D50" i="25"/>
  <c r="F53" i="25" a="1"/>
  <c r="F53" i="25" s="1"/>
  <c r="D28" i="26"/>
  <c r="F37" i="26" a="1"/>
  <c r="F37" i="26" s="1"/>
  <c r="D37" i="26"/>
  <c r="D60" i="26"/>
  <c r="F69" i="26" a="1"/>
  <c r="F69" i="26" s="1"/>
  <c r="D69" i="26"/>
  <c r="F85" i="25" a="1"/>
  <c r="F85" i="25" s="1"/>
  <c r="D85" i="25"/>
  <c r="F98" i="25" a="1"/>
  <c r="F98" i="25" s="1"/>
  <c r="D98" i="25"/>
  <c r="F24" i="26" a="1"/>
  <c r="F24" i="26" s="1"/>
  <c r="D24" i="26"/>
  <c r="F56" i="26" a="1"/>
  <c r="F56" i="26" s="1"/>
  <c r="D56" i="26"/>
  <c r="F66" i="25" a="1"/>
  <c r="F66" i="25" s="1"/>
  <c r="D66" i="25"/>
  <c r="F77" i="25" a="1"/>
  <c r="F77" i="25" s="1"/>
  <c r="D77" i="25"/>
  <c r="F21" i="25" a="1"/>
  <c r="F21" i="25" s="1"/>
  <c r="F29" i="25" a="1"/>
  <c r="F29" i="25" s="1"/>
  <c r="F37" i="25" a="1"/>
  <c r="F37" i="25" s="1"/>
  <c r="F45" i="25" a="1"/>
  <c r="F45" i="25" s="1"/>
  <c r="D63" i="25"/>
  <c r="D70" i="25"/>
  <c r="F74" i="25" a="1"/>
  <c r="F74" i="25" s="1"/>
  <c r="D74" i="25"/>
  <c r="D86" i="25"/>
  <c r="D35" i="26"/>
  <c r="D36" i="26"/>
  <c r="F45" i="26" a="1"/>
  <c r="F45" i="26" s="1"/>
  <c r="D45" i="26"/>
  <c r="D67" i="26"/>
  <c r="D68" i="26"/>
  <c r="F77" i="26" a="1"/>
  <c r="F77" i="26" s="1"/>
  <c r="D77" i="26"/>
  <c r="F85" i="26" a="1"/>
  <c r="F85" i="26" s="1"/>
  <c r="D85" i="26"/>
  <c r="F93" i="26" a="1"/>
  <c r="F93" i="26" s="1"/>
  <c r="D93" i="26"/>
  <c r="F32" i="26" a="1"/>
  <c r="F32" i="26" s="1"/>
  <c r="D32" i="26"/>
  <c r="F64" i="26" a="1"/>
  <c r="F64" i="26" s="1"/>
  <c r="D64" i="26"/>
  <c r="D100" i="26"/>
  <c r="D95" i="26"/>
  <c r="D72" i="26"/>
  <c r="D80" i="26"/>
  <c r="D88" i="26"/>
  <c r="D96" i="26"/>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<sst xmlns="http://schemas.openxmlformats.org/spreadsheetml/2006/main" count="893" uniqueCount="340">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</sst>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udge%20HTL%20with%20NH3%20removal-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emplate"/>
      <sheetName val="SI - Payload"/>
      <sheetName val="SI - Resources"/>
      <sheetName val="SI - End Use"/>
      <sheetName val="SI - Units"/>
      <sheetName val="SI - Co-products"/>
      <sheetName val="HTL"/>
      <sheetName val="Upgrading"/>
      <sheetName val="Sludge HTL with NH3 removal-old"/>
    </sheetNames>
    <sheetDataSet>
      <sheetData sheetId="0"/>
      <sheetData sheetId="1"/>
      <sheetData sheetId="2">
        <row r="10">
          <cell r="A10" t="str">
            <v>Corn Stover</v>
          </cell>
        </row>
      </sheetData>
      <sheetData sheetId="3">
        <row r="1">
          <cell r="A1" t="str">
            <v>Biomass</v>
          </cell>
          <cell r="B1" t="str">
            <v>Waste</v>
          </cell>
          <cell r="C1" t="str">
            <v>Process fuel</v>
          </cell>
          <cell r="D1" t="str">
            <v>Electricity</v>
          </cell>
          <cell r="E1" t="str">
            <v>Chemicals and catalysts</v>
          </cell>
          <cell r="F1" t="str">
            <v>Water</v>
          </cell>
          <cell r="G1" t="str">
            <v>Transportation</v>
          </cell>
          <cell r="H1" t="str">
            <v>Other</v>
          </cell>
          <cell r="I1" t="str">
            <v>Emissions and sequestration</v>
          </cell>
        </row>
        <row r="2">
          <cell r="A2" t="str">
            <v>Corn Stover</v>
          </cell>
          <cell r="B2" t="str">
            <v>Sludge</v>
          </cell>
          <cell r="C2" t="str">
            <v>Diesel</v>
          </cell>
          <cell r="D2" t="str">
            <v>Electricity</v>
          </cell>
          <cell r="E2" t="str">
            <v>Adipic Acid</v>
          </cell>
          <cell r="F2" t="str">
            <v>Water</v>
          </cell>
          <cell r="G2" t="str">
            <v>Corn Stover</v>
          </cell>
          <cell r="H2" t="str">
            <v>Biocrude</v>
          </cell>
          <cell r="I2" t="str">
            <v>VOC</v>
          </cell>
        </row>
      </sheetData>
      <sheetData sheetId="4">
        <row r="2">
          <cell r="B2" t="str">
            <v>Corn stover</v>
          </cell>
        </row>
        <row r="3">
          <cell r="B3" t="str">
            <v>Diesel</v>
          </cell>
          <cell r="C3" t="str">
            <v>Industrial Boiler</v>
          </cell>
        </row>
        <row r="4">
          <cell r="B4" t="str">
            <v>Natural Gas</v>
          </cell>
          <cell r="C4" t="str">
            <v>Utility/ Industrial Boiler (&gt;100 mmBtu/hr input)</v>
          </cell>
        </row>
        <row r="5">
          <cell r="B5" t="str">
            <v>Hydrogen</v>
          </cell>
        </row>
        <row r="6">
          <cell r="B6" t="str">
            <v>Renewable Diesel</v>
          </cell>
          <cell r="C6" t="str">
            <v>Fuel Distribution and Vehicle Operation</v>
          </cell>
        </row>
        <row r="7">
          <cell r="B7" t="str">
            <v>Renewable Diesel - Bichem (BDO)</v>
          </cell>
          <cell r="C7" t="str">
            <v>Fuel Distribution and Vehicle Operation</v>
          </cell>
        </row>
        <row r="8">
          <cell r="B8" t="str">
            <v>Renewable Diesel - Biochem (Acids)</v>
          </cell>
          <cell r="C8" t="str">
            <v>Fuel Distribution and Vehicle Operation</v>
          </cell>
        </row>
        <row r="9">
          <cell r="B9" t="str">
            <v>Electricity</v>
          </cell>
          <cell r="C9" t="str">
            <v>U.S. Mix</v>
          </cell>
        </row>
        <row r="10">
          <cell r="B10" t="str">
            <v>Sodium Carbonate</v>
          </cell>
          <cell r="C10" t="str">
            <v>Use</v>
          </cell>
        </row>
        <row r="11">
          <cell r="B11" t="str">
            <v>Toluene</v>
          </cell>
          <cell r="C11" t="str">
            <v>Combustion</v>
          </cell>
        </row>
        <row r="12">
          <cell r="B12" t="str">
            <v>Adipic acid</v>
          </cell>
          <cell r="C12" t="str">
            <v>Sequestration</v>
          </cell>
        </row>
        <row r="13">
          <cell r="B13" t="str">
            <v>Caustic</v>
          </cell>
        </row>
        <row r="14">
          <cell r="B14" t="str">
            <v>Ammonia</v>
          </cell>
        </row>
        <row r="15">
          <cell r="B15" t="str">
            <v>Corn Steep Liquor</v>
          </cell>
        </row>
        <row r="16">
          <cell r="B16" t="str">
            <v>Diammonium Phosphate</v>
          </cell>
        </row>
        <row r="17">
          <cell r="B17" t="str">
            <v>Corn oil</v>
          </cell>
        </row>
        <row r="18">
          <cell r="B18" t="str">
            <v>Flocculant</v>
          </cell>
        </row>
        <row r="19">
          <cell r="B19" t="str">
            <v>Glucose</v>
          </cell>
        </row>
        <row r="20">
          <cell r="B20" t="str">
            <v>Host nutrients</v>
          </cell>
        </row>
        <row r="21">
          <cell r="B21" t="str">
            <v>Sulfur Dioxide</v>
          </cell>
        </row>
        <row r="22">
          <cell r="B22" t="str">
            <v>Sulfuric Acid</v>
          </cell>
        </row>
        <row r="23">
          <cell r="B23" t="str">
            <v>Boiler Chemicals</v>
          </cell>
        </row>
        <row r="24">
          <cell r="B24" t="str">
            <v>FGD Lime</v>
          </cell>
        </row>
        <row r="25">
          <cell r="B25" t="str">
            <v>Cooling Tower Chemicals</v>
          </cell>
        </row>
        <row r="26">
          <cell r="B26" t="str">
            <v>Sodium sulfate salt</v>
          </cell>
        </row>
        <row r="27">
          <cell r="B27" t="str">
            <v>Sulfur Dioxide</v>
          </cell>
        </row>
        <row r="28">
          <cell r="B28" t="str">
            <v>Host nutrients</v>
          </cell>
        </row>
        <row r="29">
          <cell r="B29" t="str">
            <v>Boiler Chemicals</v>
          </cell>
        </row>
        <row r="30">
          <cell r="B30" t="str">
            <v>Cooling Tower Chemicals</v>
          </cell>
        </row>
        <row r="31">
          <cell r="B31" t="str">
            <v>Betaketoadipate</v>
          </cell>
          <cell r="C31" t="str">
            <v>Sequestration</v>
          </cell>
        </row>
        <row r="32">
          <cell r="B32" t="str">
            <v>Polymer</v>
          </cell>
        </row>
        <row r="33">
          <cell r="B33" t="str">
            <v>Lime</v>
          </cell>
        </row>
        <row r="34">
          <cell r="B34" t="str">
            <v>CoMo/γ-Al2O3 Catalyst</v>
          </cell>
        </row>
        <row r="35">
          <cell r="B35" t="str">
            <v>NiMo/γ-Al2O3 Catalyst</v>
          </cell>
        </row>
        <row r="36">
          <cell r="B36" t="str">
            <v>Pt/ Gamma Al2O3 Catalyst</v>
          </cell>
        </row>
        <row r="37">
          <cell r="B37" t="str">
            <v>Ni</v>
          </cell>
        </row>
        <row r="38">
          <cell r="B38" t="str">
            <v>Sludge</v>
          </cell>
        </row>
        <row r="39">
          <cell r="B39" t="str">
            <v>VOC</v>
          </cell>
        </row>
        <row r="40">
          <cell r="B40" t="str">
            <v>CO</v>
          </cell>
        </row>
        <row r="41">
          <cell r="B41" t="str">
            <v>NOx</v>
          </cell>
        </row>
        <row r="42">
          <cell r="B42" t="str">
            <v>PM10</v>
          </cell>
        </row>
        <row r="43">
          <cell r="B43" t="str">
            <v>PM2.5</v>
          </cell>
        </row>
        <row r="44">
          <cell r="B44" t="str">
            <v>SOx</v>
          </cell>
        </row>
        <row r="45">
          <cell r="B45" t="str">
            <v>BC</v>
          </cell>
        </row>
        <row r="46">
          <cell r="B46" t="str">
            <v>OC</v>
          </cell>
        </row>
        <row r="47">
          <cell r="B47" t="str">
            <v>CH4</v>
          </cell>
        </row>
        <row r="48">
          <cell r="B48" t="str">
            <v>N2O</v>
          </cell>
        </row>
        <row r="49">
          <cell r="B49" t="str">
            <v>CO2</v>
          </cell>
        </row>
        <row r="50">
          <cell r="B50" t="str">
            <v>CO2 sequestration</v>
          </cell>
        </row>
        <row r="51">
          <cell r="B51" t="str">
            <v>Biocrude</v>
          </cell>
        </row>
        <row r="52">
          <cell r="B52" t="str">
            <v>Solids from Aqueous Treatment</v>
          </cell>
        </row>
        <row r="53">
          <cell r="B53" t="str">
            <v>Water</v>
          </cell>
        </row>
      </sheetData>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D2BF5-E7D4-45BA-90FA-FFF22E1695FF}" name="Table16" displayName="Table16" ref="A5:T100" totalsRowShown="0" headerRowDxfId="22" dataDxfId="21" tableBorderDxfId="20" dataCellStyle="Percent">
  <autoFilter ref="A5:T100" xr:uid="{1644AED8-49DE-4A1D-989C-1566C9A522B9}"/>
  <tableColumns count="20">
    <tableColumn id="1" xr3:uid="{6E328606-4760-4096-A758-21A4453157E4}" name="Type" dataDxfId="19"/>
    <tableColumn id="2" xr3:uid="{2151F1DC-D17E-4218-9FC7-754EAC5001CD}" name="Category" dataDxfId="18"/>
    <tableColumn id="3" xr3:uid="{09A74ADF-B073-4D0D-8E4B-E7813F1846B8}" name="Resource" dataDxfId="17">
      <calculatedColumnFormula>_xlfn.XLOOKUP($B6,'SI - Resources'!$A$1:$J$1,'SI - Resources'!$A$2:$J$2, "")</calculatedColumnFormula>
    </tableColumn>
    <tableColumn id="4" xr3:uid="{33EEE2F5-240A-4E68-8288-4CE4D0BDE199}" name="End Use" dataDxfId="16">
      <calculatedColumnFormula>IF(_xlfn.XLOOKUP($C6,'SI - End Use'!$B$2:$B$6,'SI - End Use'!$C$2:$C$6, "")="", "", _xlfn.XLOOKUP($C6,'SI - End Use'!$B$2:$B$6,'SI - End Use'!$C$2:$C$6, ""))</calculatedColumnFormula>
    </tableColumn>
    <tableColumn id="5" xr3:uid="{51456D1A-DC2C-465A-A1DA-68239DC62F85}" name="Amount" dataDxfId="15" dataCellStyle="Comma"/>
    <tableColumn id="6" xr3:uid="{1942CFC9-786E-478A-A5E1-C327D2A32E8B}" name="Unit" dataDxfId="14">
      <calculatedColumnFormula array="1">IF($B6="Transportation",  'SI - Units'!$B$9:$B$9, _xlfn.XLOOKUP(_xlfn.XLOOKUP($C6,'SI - Units'!$B$24:$B$109,'SI - Units'!$C$24:$C$109, ""),'SI - Units'!$A$2:$A$8,'SI - Units'!$B$2:$B$8, ""))</calculatedColumnFormula>
    </tableColumn>
    <tableColumn id="7" xr3:uid="{A4C6B6A5-4FBF-4539-A8FB-0BC85256B908}" name="Moisture" dataDxfId="13" dataCellStyle="Percent"/>
    <tableColumn id="8" xr3:uid="{CB7C1EB8-0D63-416C-B2FD-8A029295381E}" name="Previous Stage" dataDxfId="12" dataCellStyle="Percent"/>
    <tableColumn id="9" xr3:uid="{67FE47DB-E35F-4984-AFF9-4AEEE2FAB6B4}" name="Always Use Displacement Method for Co-Product?" dataDxfId="11" dataCellStyle="Percent">
      <calculatedColumnFormula>IF(Table16[[#This Row],[Type]]="Co-product", "No", "")</calculatedColumnFormula>
    </tableColumn>
    <tableColumn id="19" xr3:uid="{A81EF302-17BF-4AC8-B63A-E7F181DA2538}" name="Urban Share" dataDxfId="10" dataCellStyle="Percent"/>
    <tableColumn id="10" xr3:uid="{4BB04949-D931-49DB-A73B-FAA9F047D16E}" name="Product Train" dataDxfId="9"/>
    <tableColumn id="14" xr3:uid="{FE2F881D-4B29-4707-8A3D-02F8CE55DA47}" name="Payload" dataDxfId="8">
      <calculatedColumnFormula>IF(Table16[[#This Row],[Category]]="Transportation", _xlfn.XLOOKUP(Table16[[#This Row],[Resource]], 'SI - Payload'!$A$10:$A$38,'SI - Payload'!$B$10:$B$38,"",0), "")</calculatedColumnFormula>
    </tableColumn>
    <tableColumn id="15" xr3:uid="{A3359969-15C8-4595-8A83-52407EC431B6}" name="Payload Unit" dataDxfId="7">
      <calculatedColumnFormula>IF(Table16[[#This Row],[Category]]="Transportation", "ton", "")</calculatedColumnFormula>
    </tableColumn>
    <tableColumn id="16" xr3:uid="{883AE82A-B394-449E-87E4-EE4E272A5268}" name="Market Price" dataDxfId="6"/>
    <tableColumn id="17" xr3:uid="{2EFCE20B-231A-45AB-B3F8-556CBBE42F8D}" name="Market Price Unit" dataDxfId="5"/>
    <tableColumn id="12" xr3:uid="{14B7BB6F-57F2-40E3-A58D-76125A63CBC0}" name="Incumbent Product" dataDxfId="4">
      <calculatedColumnFormula>IF(OR(Table16[[#This Row],[Type]]="Main Product", Table16[[#This Row],[Type]]="Co-Product"), Table16[[#This Row],[Resource]], "")</calculatedColumnFormula>
    </tableColumn>
    <tableColumn id="13" xr3:uid="{51831DC5-A48F-4955-BE79-BA8F09B5C06E}" name="End Use of Incumbent Product" dataDxfId="3">
      <calculatedColumnFormula>IF(_xlfn.XLOOKUP($P6,'SI - End Use'!$B$2:$B$6,'SI - End Use'!$C$2:$C$6, "")="", "", _xlfn.XLOOKUP($C6,'SI - End Use'!$B$2:$B$6,'SI - End Use'!$C$2:$C$6, ""))</calculatedColumnFormula>
    </tableColumn>
    <tableColumn id="20" xr3:uid="{F42507AC-79CC-4617-A56C-253779E10B42}" name="Surrogate For" dataDxfId="2"/>
    <tableColumn id="18" xr3:uid="{1F66D00A-97C1-4468-98EF-0032E1E75E76}" name="Process" dataDxfId="1"/>
    <tableColumn id="11" xr3:uid="{A4BFE9BB-6B8B-42F1-8265-792D7C11F757}"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topLeftCell="I1" workbookViewId="0">
      <pane ySplit="5" topLeftCell="A6" activePane="bottomLeft" state="frozen"/>
      <selection activeCell="C19" sqref="C19"/>
      <selection pane="bottomLeft" activeCell="P17" sqref="P1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Q6:R100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E5B21-8029-4A8D-AE5C-EEFAA9484672}">
  <sheetPr codeName="Sheet11"/>
  <dimension ref="A1:T100"/>
  <sheetViews>
    <sheetView workbookViewId="0">
      <pane ySplit="5" topLeftCell="A6" activePane="bottomLeft" state="frozen"/>
      <selection activeCell="C19" sqref="C19"/>
      <selection pane="bottomLeft" activeCell="P15" sqref="P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tr">
        <f>_xlfn.XLOOKUP($B6,'[1]SI - Resources'!$A$1:$I$1,'[1]SI - Resources'!$A$2:$I$2, "")</f>
        <v>Biocrude</v>
      </c>
      <c r="D6" s="6" t="str">
        <f>IF(_xlfn.XLOOKUP($C6,'[1]SI - End Use'!$B$2:$B$53,'[1]SI - End Use'!$C$2:$C$53, "")="", "", _xlfn.XLOOKUP($C6,'[1]SI - End Use'!$B$2:$B$53,'[1]SI - End Use'!$C$2:$C$53, ""))</f>
        <v/>
      </c>
      <c r="E6" s="12">
        <v>38962</v>
      </c>
      <c r="F6" s="6" t="s">
        <v>59</v>
      </c>
      <c r="G6" s="25"/>
      <c r="H6" s="25" t="s">
        <v>338</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24</v>
      </c>
      <c r="D7" s="6" t="s">
        <v>232</v>
      </c>
      <c r="E7" s="12">
        <v>2182</v>
      </c>
      <c r="F7" s="6" t="s">
        <v>59</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1673</v>
      </c>
      <c r="F8" s="6" t="s">
        <v>68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37</v>
      </c>
      <c r="C9" s="6" t="s">
        <v>235</v>
      </c>
      <c r="D9" s="6" t="str">
        <f>IF(_xlfn.XLOOKUP($C9,'[1]SI - End Use'!$B$2:$B$53,'[1]SI - End Use'!$C$2:$C$53, "")="", "", _xlfn.XLOOKUP($C9,'[1]SI - End Use'!$B$2:$B$53,'[1]SI - End Use'!$C$2:$C$53, ""))</f>
        <v/>
      </c>
      <c r="E9" s="12">
        <v>29.843721144967688</v>
      </c>
      <c r="F9" s="6" t="s">
        <v>59</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37</v>
      </c>
      <c r="C10" s="6" t="s">
        <v>236</v>
      </c>
      <c r="D10" s="6" t="str">
        <f>IF(_xlfn.XLOOKUP($C10,'[1]SI - End Use'!$B$2:$B$53,'[1]SI - End Use'!$C$2:$C$53, "")="", "", _xlfn.XLOOKUP($C10,'[1]SI - End Use'!$B$2:$B$53,'[1]SI - End Use'!$C$2:$C$53, ""))</f>
        <v/>
      </c>
      <c r="E10" s="12">
        <v>4.8088410991636801</v>
      </c>
      <c r="F10" s="6" t="s">
        <v>59</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0</v>
      </c>
      <c r="B11" s="6" t="s">
        <v>37</v>
      </c>
      <c r="C11" s="6" t="s">
        <v>237</v>
      </c>
      <c r="D11" s="6" t="str">
        <f>IF(_xlfn.XLOOKUP($C11,'[1]SI - End Use'!$B$2:$B$53,'[1]SI - End Use'!$C$2:$C$53, "")="", "", _xlfn.XLOOKUP($C11,'[1]SI - End Use'!$B$2:$B$53,'[1]SI - End Use'!$C$2:$C$53, ""))</f>
        <v/>
      </c>
      <c r="E11" s="12">
        <v>0.24611221499130057</v>
      </c>
      <c r="F11" s="6" t="s">
        <v>59</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0</v>
      </c>
      <c r="B12" s="6" t="s">
        <v>37</v>
      </c>
      <c r="C12" s="6" t="s">
        <v>238</v>
      </c>
      <c r="D12" s="6" t="str">
        <f>IF(_xlfn.XLOOKUP($C12,'[1]SI - End Use'!$B$2:$B$53,'[1]SI - End Use'!$C$2:$C$53, "")="", "", _xlfn.XLOOKUP($C12,'[1]SI - End Use'!$B$2:$B$53,'[1]SI - End Use'!$C$2:$C$53, ""))</f>
        <v/>
      </c>
      <c r="E12" s="12">
        <v>0.4</v>
      </c>
      <c r="F12" s="6" t="s">
        <v>59</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t="s">
        <v>0</v>
      </c>
      <c r="B13" s="6" t="s">
        <v>29</v>
      </c>
      <c r="C13" s="6" t="s">
        <v>29</v>
      </c>
      <c r="D13" s="6" t="str">
        <f>IF(_xlfn.XLOOKUP($C13,'[1]SI - End Use'!$B$2:$B$53,'[1]SI - End Use'!$C$2:$C$53, "")="", "", _xlfn.XLOOKUP($C13,'[1]SI - End Use'!$B$2:$B$53,'[1]SI - End Use'!$C$2:$C$53, ""))</f>
        <v/>
      </c>
      <c r="E13" s="12">
        <v>25049.700867629836</v>
      </c>
      <c r="F13" s="6" t="s">
        <v>59</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29</v>
      </c>
      <c r="C14" s="6" t="s">
        <v>29</v>
      </c>
      <c r="D14" s="6" t="str">
        <f>IF(_xlfn.XLOOKUP($C14,'[1]SI - End Use'!$B$2:$B$53,'[1]SI - End Use'!$C$2:$C$53, "")="", "", _xlfn.XLOOKUP($C14,'[1]SI - End Use'!$B$2:$B$53,'[1]SI - End Use'!$C$2:$C$53, ""))</f>
        <v/>
      </c>
      <c r="E14" s="12">
        <v>11021</v>
      </c>
      <c r="F14" s="6" t="s">
        <v>59</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t="s">
        <v>113</v>
      </c>
      <c r="B15" s="6" t="s">
        <v>244</v>
      </c>
      <c r="C15" s="6" t="s">
        <v>71</v>
      </c>
      <c r="D15" s="6" t="s">
        <v>241</v>
      </c>
      <c r="E15" s="12">
        <v>554.91562999999996</v>
      </c>
      <c r="F15" s="6" t="s">
        <v>70</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
        <v>2</v>
      </c>
      <c r="Q15" s="6" t="s">
        <v>83</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84E63DFE-8F7C-4804-8D70-298AF1B33E8F}">
      <formula1>0</formula1>
      <formula2>1</formula2>
    </dataValidation>
    <dataValidation type="list" allowBlank="1" showInputMessage="1" showErrorMessage="1" sqref="M6:M100" xr:uid="{866515D0-C6DF-426F-BFF4-31B8C95AB225}">
      <formula1>payload_units</formula1>
    </dataValidation>
    <dataValidation type="decimal" operator="greaterThan" allowBlank="1" showInputMessage="1" showErrorMessage="1" error="Please type a positive number." sqref="L6:L100" xr:uid="{B339272A-2DC0-4FA4-95F4-38E4F234F963}">
      <formula1>0</formula1>
    </dataValidation>
    <dataValidation type="decimal" operator="greaterThan" allowBlank="1" showInputMessage="1" showErrorMessage="1" error="Please type a positive price." sqref="N6:N100" xr:uid="{EF04C865-5BFF-4E43-991D-8F3EBFC1C5D1}">
      <formula1>0</formula1>
    </dataValidation>
    <dataValidation type="decimal" allowBlank="1" showInputMessage="1" showErrorMessage="1" error="Please type a number between 0 and 1." sqref="G6:G100" xr:uid="{46C47543-A510-445C-AA74-C62B69034AF0}">
      <formula1>0</formula1>
      <formula2>1</formula2>
    </dataValidation>
    <dataValidation type="custom" allowBlank="1" showInputMessage="1" showErrorMessage="1" sqref="E6:E100" xr:uid="{79FCF697-E877-446A-95C8-576DDA1E7E51}">
      <formula1>ISNUMBER(E6)</formula1>
    </dataValidation>
    <dataValidation type="list" allowBlank="1" showInputMessage="1" showErrorMessage="1" sqref="C2" xr:uid="{C6695C33-2BB9-4C61-AAFD-923CC2C3709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B5B83BA-B6CA-4E54-8AB6-C172D4241F58}">
          <x14:formula1>
            <xm:f>IF($B16="Transportation",  transport_units, INDIRECT(_xlfn.XLOOKUP($C16, 'SI - Units'!$F$26:$F$36,'SI - Units'!$G$26:$G$36,"mass",0)))</xm:f>
          </x14:formula1>
          <xm:sqref>F16:F100</xm:sqref>
        </x14:dataValidation>
        <x14:dataValidation type="list" allowBlank="1" showInputMessage="1" showErrorMessage="1" xr:uid="{70E71531-6210-4853-BBC1-8E9D61DD3EB2}">
          <x14:formula1>
            <xm:f>INDIRECT("p_"&amp;_xlfn.XLOOKUP($C6,'SI - Units'!$F$26:$F$36,'SI - Units'!$G$26:$G$36,"mass",0))</xm:f>
          </x14:formula1>
          <xm:sqref>O6:O100</xm:sqref>
        </x14:dataValidation>
        <x14:dataValidation type="list" allowBlank="1" showInputMessage="1" showErrorMessage="1" xr:uid="{EAA922EB-017E-4A4F-B744-E2BE84CCBABD}">
          <x14:formula1>
            <xm:f>INDIRECT(_xlfn.XLOOKUP($P6,'SI - End Use'!$A$11:$A$17,'SI - End Use'!$B$11:$B$17,"other_end_use",0))</xm:f>
          </x14:formula1>
          <xm:sqref>Q6:R100</xm:sqref>
        </x14:dataValidation>
        <x14:dataValidation type="list" allowBlank="1" showInputMessage="1" xr:uid="{9D590357-3328-42ED-87F4-F5F1B82002D2}">
          <x14:formula1>
            <xm:f>INDIRECT(_xlfn.XLOOKUP($C16,'SI - End Use'!$A$11:$A$17,'SI - End Use'!$B$11:$B$17,"other_end_use",0))</xm:f>
          </x14:formula1>
          <xm:sqref>D16:D100</xm:sqref>
        </x14:dataValidation>
        <x14:dataValidation type="list" allowBlank="1" showInputMessage="1" showErrorMessage="1" xr:uid="{0AAA7BE7-F2BF-4B82-97F3-DD5E556F8E2C}">
          <x14:formula1>
            <xm:f>INDIRECT(_xlfn.XLOOKUP($B6, 'SI - Resources'!$R$1:$R$10,'SI - Resources'!$S$1:$S$10, "placeholder_resource", 0))</xm:f>
          </x14:formula1>
          <xm:sqref>P6:P100 C16:C100</xm:sqref>
        </x14:dataValidation>
        <x14:dataValidation type="list" allowBlank="1" showInputMessage="1" showErrorMessage="1" xr:uid="{C44992AD-CE8B-4598-A25D-D878734E6958}">
          <x14:formula1>
            <xm:f>'SI - Co-products'!$B$2:$B$6</xm:f>
          </x14:formula1>
          <xm:sqref>A16:A100</xm:sqref>
        </x14:dataValidation>
        <x14:dataValidation type="list" allowBlank="1" showInputMessage="1" showErrorMessage="1" xr:uid="{75452651-37D9-48E3-9106-B46D6E8BA346}">
          <x14:formula1>
            <xm:f>'SI - Resources'!$A$1:$J$1</xm:f>
          </x14:formula1>
          <xm:sqref>B16:B100</xm:sqref>
        </x14:dataValidation>
        <x14:dataValidation type="list" allowBlank="1" showInputMessage="1" showErrorMessage="1" xr:uid="{D427360F-6FF9-4258-BE33-738811568FA1}">
          <x14:formula1>
            <xm:f>'SI - Co-products'!$C$2:$C$4</xm:f>
          </x14:formula1>
          <xm:sqref>I6:I100</xm:sqref>
        </x14:dataValidation>
        <x14:dataValidation type="list" allowBlank="1" showInputMessage="1" showErrorMessage="1" xr:uid="{BD492927-FE1E-4216-ABB1-08104F6DCF05}">
          <x14:formula1>
            <xm:f>'SI - Co-products'!$A$2:$A$5</xm:f>
          </x14:formula1>
          <xm:sqref>K6:K100</xm:sqref>
        </x14:dataValidation>
        <x14:dataValidation type="list" allowBlank="1" showInputMessage="1" showErrorMessage="1" xr:uid="{BFD33EC1-F2B0-4290-8DAF-FFD82CDE6D74}">
          <x14:formula1>
            <xm:f>_xlfn.XLOOKUP(_xlfn.XLOOKUP(#REF!,'SI - Units'!$B$24:$B$109,'SI - Units'!$C$24:$C$109),'SI - Units'!$A$2:$A$8,'SI - Units'!$B$2:$R$8)</xm:f>
          </x14:formula1>
          <xm:sqref>F5</xm:sqref>
        </x14:dataValidation>
        <x14:dataValidation type="list" allowBlank="1" showInputMessage="1" showErrorMessage="1" xr:uid="{7E61A212-2A9F-4BE9-819E-D79BE99AC66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2022-10-29T18:38:31Z</dcterms:modified>
</cp:coreProperties>
</file>