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387979B7-E49C-497D-9858-19E85E59149C}" xr6:coauthVersionLast="47" xr6:coauthVersionMax="47" xr10:uidLastSave="{00000000-0000-0000-0000-000000000000}"/>
  <bookViews>
    <workbookView xWindow="-110" yWindow="-110" windowWidth="22780" windowHeight="14660" tabRatio="685"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CO2 delivery" sheetId="25" r:id="rId8"/>
    <sheet name="Algae growth" sheetId="26" r:id="rId9"/>
    <sheet name="Fuel production" sheetId="27" r:id="rId10"/>
    <sheet name="Fuel combustion" sheetId="29"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9" l="1"/>
  <c r="Q100" i="29" s="1"/>
  <c r="M100" i="29"/>
  <c r="L100" i="29"/>
  <c r="I100" i="29"/>
  <c r="C100" i="29"/>
  <c r="F100" i="29" s="1" a="1"/>
  <c r="F100" i="29" s="1"/>
  <c r="Q99" i="29"/>
  <c r="P99" i="29"/>
  <c r="M99" i="29"/>
  <c r="L99" i="29"/>
  <c r="I99" i="29"/>
  <c r="C99" i="29"/>
  <c r="D99" i="29" s="1"/>
  <c r="P98" i="29"/>
  <c r="Q98" i="29" s="1"/>
  <c r="M98" i="29"/>
  <c r="L98" i="29"/>
  <c r="I98" i="29"/>
  <c r="C98" i="29"/>
  <c r="D98" i="29" s="1"/>
  <c r="Q97" i="29"/>
  <c r="P97" i="29"/>
  <c r="M97" i="29"/>
  <c r="L97" i="29"/>
  <c r="I97" i="29"/>
  <c r="F97" i="29" a="1"/>
  <c r="F97" i="29" s="1"/>
  <c r="D97" i="29"/>
  <c r="C97" i="29"/>
  <c r="Q96" i="29"/>
  <c r="P96" i="29"/>
  <c r="M96" i="29"/>
  <c r="L96" i="29"/>
  <c r="I96" i="29"/>
  <c r="F96" i="29" a="1"/>
  <c r="F96" i="29" s="1"/>
  <c r="D96" i="29"/>
  <c r="C96" i="29"/>
  <c r="P95" i="29"/>
  <c r="Q95" i="29" s="1"/>
  <c r="M95" i="29"/>
  <c r="L95" i="29"/>
  <c r="I95" i="29"/>
  <c r="F95" i="29"/>
  <c r="F95" i="29" a="1"/>
  <c r="D95" i="29"/>
  <c r="C95" i="29"/>
  <c r="Q94" i="29"/>
  <c r="P94" i="29"/>
  <c r="M94" i="29"/>
  <c r="L94" i="29"/>
  <c r="I94" i="29"/>
  <c r="F94" i="29"/>
  <c r="F94" i="29" a="1"/>
  <c r="C94" i="29"/>
  <c r="D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D91" i="29" s="1"/>
  <c r="Q90" i="29"/>
  <c r="P90" i="29"/>
  <c r="M90" i="29"/>
  <c r="L90" i="29"/>
  <c r="I90" i="29"/>
  <c r="C90" i="29"/>
  <c r="F90" i="29" s="1" a="1"/>
  <c r="F90" i="29" s="1"/>
  <c r="Q89" i="29"/>
  <c r="P89" i="29"/>
  <c r="M89" i="29"/>
  <c r="L89" i="29"/>
  <c r="I89" i="29"/>
  <c r="D89" i="29"/>
  <c r="C89" i="29"/>
  <c r="F89" i="29" s="1" a="1"/>
  <c r="F89" i="29" s="1"/>
  <c r="Q88" i="29"/>
  <c r="P88" i="29"/>
  <c r="M88" i="29"/>
  <c r="L88" i="29"/>
  <c r="I88" i="29"/>
  <c r="F88" i="29" a="1"/>
  <c r="F88" i="29" s="1"/>
  <c r="D88" i="29"/>
  <c r="C88" i="29"/>
  <c r="P87" i="29"/>
  <c r="Q87" i="29" s="1"/>
  <c r="M87" i="29"/>
  <c r="L87" i="29"/>
  <c r="I87" i="29"/>
  <c r="F87" i="29"/>
  <c r="F87" i="29" a="1"/>
  <c r="D87" i="29"/>
  <c r="C87" i="29"/>
  <c r="P86" i="29"/>
  <c r="Q86" i="29" s="1"/>
  <c r="M86" i="29"/>
  <c r="L86" i="29"/>
  <c r="I86" i="29"/>
  <c r="F86" i="29"/>
  <c r="F86" i="29" a="1"/>
  <c r="C86" i="29"/>
  <c r="D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Q82" i="29"/>
  <c r="P82" i="29"/>
  <c r="M82" i="29"/>
  <c r="L82" i="29"/>
  <c r="I82" i="29"/>
  <c r="C82" i="29"/>
  <c r="Q81" i="29"/>
  <c r="P81" i="29"/>
  <c r="M81" i="29"/>
  <c r="L81" i="29"/>
  <c r="I81" i="29"/>
  <c r="C81" i="29"/>
  <c r="F81" i="29" s="1" a="1"/>
  <c r="F81" i="29" s="1"/>
  <c r="Q80" i="29"/>
  <c r="P80" i="29"/>
  <c r="M80" i="29"/>
  <c r="L80" i="29"/>
  <c r="I80" i="29"/>
  <c r="F80" i="29" a="1"/>
  <c r="F80" i="29" s="1"/>
  <c r="D80" i="29"/>
  <c r="C80" i="29"/>
  <c r="P79" i="29"/>
  <c r="Q79" i="29" s="1"/>
  <c r="M79" i="29"/>
  <c r="L79" i="29"/>
  <c r="I79" i="29"/>
  <c r="F79" i="29" a="1"/>
  <c r="F79" i="29" s="1"/>
  <c r="D79" i="29"/>
  <c r="C79" i="29"/>
  <c r="P78" i="29"/>
  <c r="Q78" i="29" s="1"/>
  <c r="M78" i="29"/>
  <c r="L78" i="29"/>
  <c r="I78" i="29"/>
  <c r="F78" i="29"/>
  <c r="F78" i="29" a="1"/>
  <c r="C78" i="29"/>
  <c r="D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D75" i="29" s="1"/>
  <c r="P74" i="29"/>
  <c r="Q74" i="29" s="1"/>
  <c r="M74" i="29"/>
  <c r="L74" i="29"/>
  <c r="I74" i="29"/>
  <c r="C74" i="29"/>
  <c r="Q73" i="29"/>
  <c r="P73" i="29"/>
  <c r="M73" i="29"/>
  <c r="L73" i="29"/>
  <c r="I73" i="29"/>
  <c r="C73" i="29"/>
  <c r="F73" i="29" s="1" a="1"/>
  <c r="F73" i="29" s="1"/>
  <c r="Q72" i="29"/>
  <c r="P72" i="29"/>
  <c r="M72" i="29"/>
  <c r="L72" i="29"/>
  <c r="I72" i="29"/>
  <c r="F72" i="29" a="1"/>
  <c r="F72" i="29" s="1"/>
  <c r="D72" i="29"/>
  <c r="C72" i="29"/>
  <c r="Q71" i="29"/>
  <c r="P71" i="29"/>
  <c r="M71" i="29"/>
  <c r="L71" i="29"/>
  <c r="I71" i="29"/>
  <c r="F71" i="29"/>
  <c r="F71" i="29" a="1"/>
  <c r="D71" i="29"/>
  <c r="C71" i="29"/>
  <c r="P70" i="29"/>
  <c r="Q70" i="29" s="1"/>
  <c r="M70" i="29"/>
  <c r="L70" i="29"/>
  <c r="I70" i="29"/>
  <c r="F70" i="29"/>
  <c r="F70" i="29" a="1"/>
  <c r="D70" i="29"/>
  <c r="C70" i="29"/>
  <c r="P69" i="29"/>
  <c r="Q69" i="29" s="1"/>
  <c r="M69" i="29"/>
  <c r="L69" i="29"/>
  <c r="I69" i="29"/>
  <c r="F69" i="29"/>
  <c r="F69" i="29" a="1"/>
  <c r="C69" i="29"/>
  <c r="D69" i="29" s="1"/>
  <c r="P68" i="29"/>
  <c r="Q68" i="29" s="1"/>
  <c r="M68" i="29"/>
  <c r="L68" i="29"/>
  <c r="I68" i="29"/>
  <c r="C68" i="29"/>
  <c r="F68" i="29" s="1" a="1"/>
  <c r="F68" i="29" s="1"/>
  <c r="P67" i="29"/>
  <c r="Q67" i="29" s="1"/>
  <c r="M67" i="29"/>
  <c r="L67" i="29"/>
  <c r="I67" i="29"/>
  <c r="C67" i="29"/>
  <c r="F67" i="29" s="1" a="1"/>
  <c r="F67" i="29" s="1"/>
  <c r="Q66" i="29"/>
  <c r="P66" i="29"/>
  <c r="M66" i="29"/>
  <c r="L66" i="29"/>
  <c r="I66" i="29"/>
  <c r="C66" i="29"/>
  <c r="Q65" i="29"/>
  <c r="P65" i="29"/>
  <c r="M65" i="29"/>
  <c r="L65" i="29"/>
  <c r="I65" i="29"/>
  <c r="D65" i="29"/>
  <c r="C65" i="29"/>
  <c r="F65" i="29" s="1" a="1"/>
  <c r="F65" i="29" s="1"/>
  <c r="Q64" i="29"/>
  <c r="P64" i="29"/>
  <c r="M64" i="29"/>
  <c r="L64" i="29"/>
  <c r="I64" i="29"/>
  <c r="F64" i="29" a="1"/>
  <c r="F64" i="29" s="1"/>
  <c r="D64" i="29"/>
  <c r="C64" i="29"/>
  <c r="Q63" i="29"/>
  <c r="P63" i="29"/>
  <c r="M63" i="29"/>
  <c r="L63" i="29"/>
  <c r="I63" i="29"/>
  <c r="F63" i="29" a="1"/>
  <c r="F63" i="29" s="1"/>
  <c r="D63" i="29"/>
  <c r="C63" i="29"/>
  <c r="P62" i="29"/>
  <c r="Q62" i="29" s="1"/>
  <c r="M62" i="29"/>
  <c r="L62" i="29"/>
  <c r="I62" i="29"/>
  <c r="F62" i="29"/>
  <c r="F62" i="29" a="1"/>
  <c r="D62" i="29"/>
  <c r="C62" i="29"/>
  <c r="P61" i="29"/>
  <c r="Q61" i="29" s="1"/>
  <c r="M61" i="29"/>
  <c r="L61" i="29"/>
  <c r="I61" i="29"/>
  <c r="F61" i="29"/>
  <c r="F61" i="29" a="1"/>
  <c r="C61" i="29"/>
  <c r="D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Q57" i="29"/>
  <c r="P57" i="29"/>
  <c r="M57" i="29"/>
  <c r="L57" i="29"/>
  <c r="I57" i="29"/>
  <c r="C57" i="29"/>
  <c r="F57" i="29" s="1" a="1"/>
  <c r="F57" i="29" s="1"/>
  <c r="Q56" i="29"/>
  <c r="P56" i="29"/>
  <c r="M56" i="29"/>
  <c r="L56" i="29"/>
  <c r="I56" i="29"/>
  <c r="F56" i="29" a="1"/>
  <c r="F56" i="29" s="1"/>
  <c r="D56" i="29"/>
  <c r="C56" i="29"/>
  <c r="Q55" i="29"/>
  <c r="P55" i="29"/>
  <c r="M55" i="29"/>
  <c r="L55" i="29"/>
  <c r="I55" i="29"/>
  <c r="F55" i="29" a="1"/>
  <c r="F55" i="29" s="1"/>
  <c r="D55" i="29"/>
  <c r="C55" i="29"/>
  <c r="P54" i="29"/>
  <c r="Q54" i="29" s="1"/>
  <c r="M54" i="29"/>
  <c r="L54" i="29"/>
  <c r="I54" i="29"/>
  <c r="F54" i="29"/>
  <c r="F54" i="29" a="1"/>
  <c r="D54" i="29"/>
  <c r="C54" i="29"/>
  <c r="P53" i="29"/>
  <c r="Q53" i="29" s="1"/>
  <c r="M53" i="29"/>
  <c r="L53" i="29"/>
  <c r="I53" i="29"/>
  <c r="F53" i="29"/>
  <c r="F53" i="29" a="1"/>
  <c r="C53" i="29"/>
  <c r="D53" i="29" s="1"/>
  <c r="P52" i="29"/>
  <c r="Q52" i="29" s="1"/>
  <c r="M52" i="29"/>
  <c r="L52" i="29"/>
  <c r="I52" i="29"/>
  <c r="C52" i="29"/>
  <c r="F52" i="29" s="1" a="1"/>
  <c r="F52" i="29" s="1"/>
  <c r="P51" i="29"/>
  <c r="Q51" i="29" s="1"/>
  <c r="M51" i="29"/>
  <c r="L51" i="29"/>
  <c r="I51" i="29"/>
  <c r="C51" i="29"/>
  <c r="Q50" i="29"/>
  <c r="P50" i="29"/>
  <c r="M50" i="29"/>
  <c r="L50" i="29"/>
  <c r="I50" i="29"/>
  <c r="D50" i="29"/>
  <c r="C50" i="29"/>
  <c r="F50" i="29" s="1" a="1"/>
  <c r="F50" i="29" s="1"/>
  <c r="Q49" i="29"/>
  <c r="P49" i="29"/>
  <c r="M49" i="29"/>
  <c r="L49" i="29"/>
  <c r="I49" i="29"/>
  <c r="F49" i="29" a="1"/>
  <c r="F49" i="29" s="1"/>
  <c r="D49" i="29"/>
  <c r="C49" i="29"/>
  <c r="Q48" i="29"/>
  <c r="P48" i="29"/>
  <c r="M48" i="29"/>
  <c r="L48" i="29"/>
  <c r="I48" i="29"/>
  <c r="F48" i="29" a="1"/>
  <c r="F48" i="29" s="1"/>
  <c r="D48" i="29"/>
  <c r="C48" i="29"/>
  <c r="Q47" i="29"/>
  <c r="P47" i="29"/>
  <c r="M47" i="29"/>
  <c r="L47" i="29"/>
  <c r="I47" i="29"/>
  <c r="F47" i="29"/>
  <c r="F47" i="29" a="1"/>
  <c r="D47" i="29"/>
  <c r="C47" i="29"/>
  <c r="P46" i="29"/>
  <c r="Q46" i="29" s="1"/>
  <c r="M46" i="29"/>
  <c r="L46" i="29"/>
  <c r="I46" i="29"/>
  <c r="F46" i="29"/>
  <c r="F46" i="29" a="1"/>
  <c r="D46" i="29"/>
  <c r="C46" i="29"/>
  <c r="P45" i="29"/>
  <c r="Q45" i="29" s="1"/>
  <c r="M45" i="29"/>
  <c r="L45" i="29"/>
  <c r="I45" i="29"/>
  <c r="F45" i="29"/>
  <c r="F45" i="29" a="1"/>
  <c r="C45" i="29"/>
  <c r="D45" i="29" s="1"/>
  <c r="P44" i="29"/>
  <c r="Q44" i="29" s="1"/>
  <c r="M44" i="29"/>
  <c r="L44" i="29"/>
  <c r="I44" i="29"/>
  <c r="C44" i="29"/>
  <c r="F44" i="29" s="1" a="1"/>
  <c r="F44" i="29" s="1"/>
  <c r="Q43" i="29"/>
  <c r="P43" i="29"/>
  <c r="M43" i="29"/>
  <c r="L43" i="29"/>
  <c r="I43" i="29"/>
  <c r="C43" i="29"/>
  <c r="P42" i="29"/>
  <c r="Q42" i="29" s="1"/>
  <c r="M42" i="29"/>
  <c r="L42" i="29"/>
  <c r="I42" i="29"/>
  <c r="D42" i="29"/>
  <c r="C42" i="29"/>
  <c r="F42" i="29" s="1" a="1"/>
  <c r="F42" i="29" s="1"/>
  <c r="Q41" i="29"/>
  <c r="P41" i="29"/>
  <c r="M41" i="29"/>
  <c r="L41" i="29"/>
  <c r="I41" i="29"/>
  <c r="F41" i="29" a="1"/>
  <c r="F41" i="29" s="1"/>
  <c r="C41" i="29"/>
  <c r="D41" i="29" s="1"/>
  <c r="Q40" i="29"/>
  <c r="P40" i="29"/>
  <c r="M40" i="29"/>
  <c r="L40" i="29"/>
  <c r="I40" i="29"/>
  <c r="F40" i="29"/>
  <c r="F40" i="29" a="1"/>
  <c r="D40" i="29"/>
  <c r="C40" i="29"/>
  <c r="Q39" i="29"/>
  <c r="P39" i="29"/>
  <c r="M39" i="29"/>
  <c r="L39" i="29"/>
  <c r="I39" i="29"/>
  <c r="F39" i="29" a="1"/>
  <c r="F39" i="29" s="1"/>
  <c r="D39" i="29"/>
  <c r="C39" i="29"/>
  <c r="P38" i="29"/>
  <c r="Q38" i="29" s="1"/>
  <c r="M38" i="29"/>
  <c r="L38" i="29"/>
  <c r="I38" i="29"/>
  <c r="F38" i="29"/>
  <c r="F38" i="29" a="1"/>
  <c r="D38" i="29"/>
  <c r="C38" i="29"/>
  <c r="P37" i="29"/>
  <c r="Q37" i="29" s="1"/>
  <c r="M37" i="29"/>
  <c r="L37" i="29"/>
  <c r="I37" i="29"/>
  <c r="F37" i="29"/>
  <c r="F37" i="29" a="1"/>
  <c r="C37" i="29"/>
  <c r="D37" i="29" s="1"/>
  <c r="P36" i="29"/>
  <c r="Q36" i="29" s="1"/>
  <c r="M36" i="29"/>
  <c r="L36" i="29"/>
  <c r="I36" i="29"/>
  <c r="C36" i="29"/>
  <c r="F36" i="29" s="1" a="1"/>
  <c r="F36" i="29" s="1"/>
  <c r="P35" i="29"/>
  <c r="Q35" i="29" s="1"/>
  <c r="M35" i="29"/>
  <c r="L35" i="29"/>
  <c r="I35" i="29"/>
  <c r="C35" i="29"/>
  <c r="P34" i="29"/>
  <c r="Q34" i="29" s="1"/>
  <c r="M34" i="29"/>
  <c r="L34" i="29"/>
  <c r="I34" i="29"/>
  <c r="C34" i="29"/>
  <c r="F34" i="29" s="1" a="1"/>
  <c r="F34" i="29" s="1"/>
  <c r="Q33" i="29"/>
  <c r="P33" i="29"/>
  <c r="M33" i="29"/>
  <c r="L33" i="29"/>
  <c r="I33" i="29"/>
  <c r="C33" i="29"/>
  <c r="F33" i="29" s="1" a="1"/>
  <c r="F33" i="29" s="1"/>
  <c r="Q32" i="29"/>
  <c r="P32" i="29"/>
  <c r="M32" i="29"/>
  <c r="L32" i="29"/>
  <c r="I32" i="29"/>
  <c r="F32" i="29"/>
  <c r="F32" i="29" a="1"/>
  <c r="D32" i="29"/>
  <c r="C32" i="29"/>
  <c r="Q31" i="29"/>
  <c r="P31" i="29"/>
  <c r="M31" i="29"/>
  <c r="L31" i="29"/>
  <c r="I31" i="29"/>
  <c r="F31" i="29" a="1"/>
  <c r="F31" i="29" s="1"/>
  <c r="D31" i="29"/>
  <c r="C31" i="29"/>
  <c r="Q30" i="29"/>
  <c r="P30" i="29"/>
  <c r="M30" i="29"/>
  <c r="L30" i="29"/>
  <c r="I30" i="29"/>
  <c r="F30" i="29"/>
  <c r="F30" i="29" a="1"/>
  <c r="D30" i="29"/>
  <c r="C30" i="29"/>
  <c r="P29" i="29"/>
  <c r="Q29" i="29" s="1"/>
  <c r="M29" i="29"/>
  <c r="L29" i="29"/>
  <c r="I29" i="29"/>
  <c r="F29" i="29"/>
  <c r="F29" i="29" a="1"/>
  <c r="D29" i="29"/>
  <c r="C29" i="29"/>
  <c r="P28" i="29"/>
  <c r="Q28" i="29" s="1"/>
  <c r="M28" i="29"/>
  <c r="L28" i="29"/>
  <c r="I28" i="29"/>
  <c r="C28" i="29"/>
  <c r="F28" i="29" s="1" a="1"/>
  <c r="F28" i="29" s="1"/>
  <c r="Q27" i="29"/>
  <c r="P27" i="29"/>
  <c r="M27" i="29"/>
  <c r="L27" i="29"/>
  <c r="I27" i="29"/>
  <c r="C27" i="29"/>
  <c r="P26" i="29"/>
  <c r="Q26" i="29" s="1"/>
  <c r="M26" i="29"/>
  <c r="L26" i="29"/>
  <c r="I26" i="29"/>
  <c r="C26" i="29"/>
  <c r="F26" i="29" s="1" a="1"/>
  <c r="F26" i="29" s="1"/>
  <c r="Q25" i="29"/>
  <c r="P25" i="29"/>
  <c r="M25" i="29"/>
  <c r="L25" i="29"/>
  <c r="I25" i="29"/>
  <c r="F25" i="29" a="1"/>
  <c r="F25" i="29" s="1"/>
  <c r="C25" i="29"/>
  <c r="D25" i="29" s="1"/>
  <c r="Q24" i="29"/>
  <c r="P24" i="29"/>
  <c r="M24" i="29"/>
  <c r="L24" i="29"/>
  <c r="I24" i="29"/>
  <c r="C24" i="29"/>
  <c r="F24" i="29" s="1" a="1"/>
  <c r="F24" i="29" s="1"/>
  <c r="Q23" i="29"/>
  <c r="P23" i="29"/>
  <c r="M23" i="29"/>
  <c r="L23" i="29"/>
  <c r="I23" i="29"/>
  <c r="F23" i="29" a="1"/>
  <c r="F23" i="29" s="1"/>
  <c r="D23" i="29"/>
  <c r="C23" i="29"/>
  <c r="P22" i="29"/>
  <c r="Q22" i="29" s="1"/>
  <c r="M22" i="29"/>
  <c r="L22" i="29"/>
  <c r="I22" i="29"/>
  <c r="F22" i="29" a="1"/>
  <c r="F22" i="29" s="1"/>
  <c r="D22" i="29"/>
  <c r="C22" i="29"/>
  <c r="P21" i="29"/>
  <c r="Q21" i="29" s="1"/>
  <c r="M21" i="29"/>
  <c r="L21" i="29"/>
  <c r="I21" i="29"/>
  <c r="F21" i="29"/>
  <c r="F21" i="29" a="1"/>
  <c r="D21" i="29"/>
  <c r="C21" i="29"/>
  <c r="P20" i="29"/>
  <c r="Q20" i="29" s="1"/>
  <c r="M20" i="29"/>
  <c r="L20" i="29"/>
  <c r="I20" i="29"/>
  <c r="C20" i="29"/>
  <c r="F20" i="29" s="1" a="1"/>
  <c r="F20" i="29" s="1"/>
  <c r="P19" i="29"/>
  <c r="Q19" i="29" s="1"/>
  <c r="M19" i="29"/>
  <c r="L19" i="29"/>
  <c r="I19" i="29"/>
  <c r="C19" i="29"/>
  <c r="Q18" i="29"/>
  <c r="P18" i="29"/>
  <c r="M18" i="29"/>
  <c r="L18" i="29"/>
  <c r="I18" i="29"/>
  <c r="C18" i="29"/>
  <c r="F18" i="29" s="1" a="1"/>
  <c r="F18" i="29" s="1"/>
  <c r="P17" i="29"/>
  <c r="Q17" i="29" s="1"/>
  <c r="M17" i="29"/>
  <c r="L17" i="29"/>
  <c r="I17" i="29"/>
  <c r="C17" i="29"/>
  <c r="D17" i="29" s="1"/>
  <c r="P16" i="29"/>
  <c r="Q16" i="29" s="1"/>
  <c r="M16" i="29"/>
  <c r="L16" i="29"/>
  <c r="I16" i="29"/>
  <c r="F16" i="29" a="1"/>
  <c r="F16" i="29" s="1"/>
  <c r="D16" i="29"/>
  <c r="C16" i="29"/>
  <c r="Q15" i="29"/>
  <c r="P15" i="29"/>
  <c r="M15" i="29"/>
  <c r="L15" i="29"/>
  <c r="I15" i="29"/>
  <c r="F15" i="29" a="1"/>
  <c r="F15" i="29" s="1"/>
  <c r="C15" i="29"/>
  <c r="D15" i="29" s="1"/>
  <c r="Q14" i="29"/>
  <c r="P14" i="29"/>
  <c r="M14" i="29"/>
  <c r="L14" i="29"/>
  <c r="I14" i="29"/>
  <c r="F14" i="29"/>
  <c r="F14" i="29" a="1"/>
  <c r="D14" i="29"/>
  <c r="C14" i="29"/>
  <c r="P13" i="29"/>
  <c r="Q13" i="29" s="1"/>
  <c r="M13" i="29"/>
  <c r="L13" i="29"/>
  <c r="I13" i="29"/>
  <c r="F13" i="29"/>
  <c r="F13" i="29" a="1"/>
  <c r="D13" i="29"/>
  <c r="C13" i="29"/>
  <c r="P12" i="29"/>
  <c r="Q12" i="29" s="1"/>
  <c r="M12" i="29"/>
  <c r="L12" i="29"/>
  <c r="I12" i="29"/>
  <c r="F12" i="29"/>
  <c r="C12" i="29"/>
  <c r="F12" i="29" s="1" a="1"/>
  <c r="Q11" i="29"/>
  <c r="P11" i="29"/>
  <c r="M11" i="29"/>
  <c r="L11" i="29"/>
  <c r="I11" i="29"/>
  <c r="C11" i="29"/>
  <c r="Q10" i="29"/>
  <c r="P10" i="29"/>
  <c r="M10" i="29"/>
  <c r="L10" i="29"/>
  <c r="I10" i="29"/>
  <c r="D10" i="29"/>
  <c r="C10" i="29"/>
  <c r="F10" i="29" s="1" a="1"/>
  <c r="F10" i="29" s="1"/>
  <c r="P9" i="29"/>
  <c r="Q9" i="29" s="1"/>
  <c r="M9" i="29"/>
  <c r="L9" i="29"/>
  <c r="I9" i="29"/>
  <c r="F9" i="29" a="1"/>
  <c r="F9" i="29" s="1"/>
  <c r="D9" i="29"/>
  <c r="C9" i="29"/>
  <c r="P8" i="29"/>
  <c r="Q8" i="29" s="1"/>
  <c r="M8" i="29"/>
  <c r="L8" i="29"/>
  <c r="I8" i="29"/>
  <c r="C8" i="29"/>
  <c r="F8" i="29" s="1" a="1"/>
  <c r="F8" i="29" s="1"/>
  <c r="M7" i="29"/>
  <c r="L7" i="29"/>
  <c r="I7" i="29"/>
  <c r="P6" i="29"/>
  <c r="Q6" i="29" s="1"/>
  <c r="M6" i="29"/>
  <c r="L6" i="29"/>
  <c r="I6" i="29"/>
  <c r="E46" i="27"/>
  <c r="E42" i="27"/>
  <c r="E35" i="27"/>
  <c r="E34" i="27"/>
  <c r="E33" i="27"/>
  <c r="E32" i="27"/>
  <c r="E31" i="27"/>
  <c r="E30" i="27"/>
  <c r="D35" i="29" l="1"/>
  <c r="F35" i="29" a="1"/>
  <c r="F35" i="29" s="1"/>
  <c r="D82" i="29"/>
  <c r="F82" i="29" a="1"/>
  <c r="F82" i="29" s="1"/>
  <c r="D18" i="29"/>
  <c r="D57" i="29"/>
  <c r="D8" i="29"/>
  <c r="F17" i="29" a="1"/>
  <c r="F17" i="29" s="1"/>
  <c r="D33" i="29"/>
  <c r="D34" i="29"/>
  <c r="D81" i="29"/>
  <c r="F11" i="29" a="1"/>
  <c r="F11" i="29" s="1"/>
  <c r="D11" i="29"/>
  <c r="D27" i="29"/>
  <c r="F27" i="29" a="1"/>
  <c r="F27" i="29" s="1"/>
  <c r="F43" i="29" a="1"/>
  <c r="F43" i="29" s="1"/>
  <c r="D43" i="29"/>
  <c r="D24" i="29"/>
  <c r="D26" i="29"/>
  <c r="F74" i="29" a="1"/>
  <c r="F74" i="29" s="1"/>
  <c r="D74" i="29"/>
  <c r="D51" i="29"/>
  <c r="F51" i="29" a="1"/>
  <c r="F51" i="29" s="1"/>
  <c r="D66" i="29"/>
  <c r="F66" i="29" a="1"/>
  <c r="F66" i="29" s="1"/>
  <c r="F19" i="29" a="1"/>
  <c r="F19" i="29" s="1"/>
  <c r="D19" i="29"/>
  <c r="F58" i="29" a="1"/>
  <c r="F58" i="29" s="1"/>
  <c r="D58" i="29"/>
  <c r="D73" i="29"/>
  <c r="D90" i="29"/>
  <c r="D59" i="29"/>
  <c r="D67" i="29"/>
  <c r="D83" i="29"/>
  <c r="F98" i="29" a="1"/>
  <c r="F98" i="29" s="1"/>
  <c r="D12" i="29"/>
  <c r="D20" i="29"/>
  <c r="D28" i="29"/>
  <c r="D36" i="29"/>
  <c r="D44" i="29"/>
  <c r="D52" i="29"/>
  <c r="D60" i="29"/>
  <c r="D68" i="29"/>
  <c r="F75" i="29" a="1"/>
  <c r="F75" i="29" s="1"/>
  <c r="D76" i="29"/>
  <c r="D84" i="29"/>
  <c r="F91" i="29" a="1"/>
  <c r="F91" i="29" s="1"/>
  <c r="D92" i="29"/>
  <c r="F99" i="29" a="1"/>
  <c r="F99" i="29" s="1"/>
  <c r="D100" i="29"/>
  <c r="D77" i="29"/>
  <c r="D85" i="29"/>
  <c r="D93" i="29"/>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<sst xmlns="http://schemas.openxmlformats.org/spreadsheetml/2006/main" count="1259" uniqueCount="350">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</sst>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4C7317C-46F4-4447-AE37-02CCF0752E5F}" name="Table112" displayName="Table112" ref="A5:T100" totalsRowShown="0" headerRowDxfId="22" dataDxfId="21" tableBorderDxfId="20" dataCellStyle="Percent">
  <autoFilter ref="A5:T100" xr:uid="{1644AED8-49DE-4A1D-989C-1566C9A522B9}"/>
  <tableColumns count="20">
    <tableColumn id="1" xr3:uid="{27BA47F4-2858-4A2B-93AE-B43E2DD5897E}" name="Type" dataDxfId="19"/>
    <tableColumn id="2" xr3:uid="{E2A56930-7E8E-454F-B0AD-79DFA7E11680}" name="Category" dataDxfId="18"/>
    <tableColumn id="3" xr3:uid="{4FC63169-E45B-4848-BB2F-31E6FD5C9359}" name="Resource" dataDxfId="17">
      <calculatedColumnFormula>_xlfn.XLOOKUP($B6,'SI - Resources'!$A$1:$J$1,'SI - Resources'!$A$2:$J$2, "")</calculatedColumnFormula>
    </tableColumn>
    <tableColumn id="4" xr3:uid="{6F7114AB-7930-4077-A080-94EED9B5450A}" name="End Use" dataDxfId="16">
      <calculatedColumnFormula>IF(_xlfn.XLOOKUP($C6,'SI - End Use'!$B$2:$B$6,'SI - End Use'!$C$2:$C$6, "")="", "", _xlfn.XLOOKUP($C6,'SI - End Use'!$B$2:$B$6,'SI - End Use'!$C$2:$C$6, ""))</calculatedColumnFormula>
    </tableColumn>
    <tableColumn id="5" xr3:uid="{E92B5C7E-E3F5-4565-A61D-D9A26FF36EB0}" name="Amount" dataDxfId="15" dataCellStyle="Comma"/>
    <tableColumn id="6" xr3:uid="{90DE3C52-4B6D-4C23-B0D0-3194023D8E45}" name="Unit" dataDxfId="14">
      <calculatedColumnFormula array="1">IF($B6="Transportation",  'SI - Units'!$B$9:$B$9, _xlfn.XLOOKUP(_xlfn.XLOOKUP($C6,'SI - Units'!$B$24:$B$109,'SI - Units'!$C$24:$C$109, ""),'SI - Units'!$A$2:$A$8,'SI - Units'!$B$2:$B$8, ""))</calculatedColumnFormula>
    </tableColumn>
    <tableColumn id="7" xr3:uid="{6574AF84-C2B2-4B4F-AADD-E55AF5E8ACD7}" name="Moisture" dataDxfId="13" dataCellStyle="Percent"/>
    <tableColumn id="8" xr3:uid="{9B68D3F8-010F-41DA-9FE7-55C5B934DBFB}" name="Previous Stage" dataDxfId="12" dataCellStyle="Percent"/>
    <tableColumn id="9" xr3:uid="{CBB90C88-306C-447E-BA63-3CCABD63A2AF}" name="Always Use Displacement Method for Co-Product?" dataDxfId="11" dataCellStyle="Percent">
      <calculatedColumnFormula>IF(Table112[[#This Row],[Type]]="Co-product", "No", "")</calculatedColumnFormula>
    </tableColumn>
    <tableColumn id="19" xr3:uid="{FDEE240E-13E3-45A6-BF02-05AD85C50996}" name="Urban Share" dataDxfId="10" dataCellStyle="Percent"/>
    <tableColumn id="10" xr3:uid="{1FC05E29-781E-4EFD-87E9-AD1CD491366F}" name="Product Train" dataDxfId="9"/>
    <tableColumn id="14" xr3:uid="{2DAF2264-AEAF-427D-ACC8-97A09522C2B2}" name="Payload" dataDxfId="8">
      <calculatedColumnFormula>IF(Table112[[#This Row],[Category]]="Transportation", _xlfn.XLOOKUP(Table112[[#This Row],[Resource]], 'SI - Payload'!$A$10:$A$38,'SI - Payload'!$B$10:$B$38,"",0), "")</calculatedColumnFormula>
    </tableColumn>
    <tableColumn id="15" xr3:uid="{073FF9F7-EF2F-450E-8501-449FDE820097}" name="Payload Unit" dataDxfId="7">
      <calculatedColumnFormula>IF(Table112[[#This Row],[Category]]="Transportation", "ton", "")</calculatedColumnFormula>
    </tableColumn>
    <tableColumn id="16" xr3:uid="{F7DCEEE5-76B6-4A19-8FE1-B225F9F81617}" name="Market Price" dataDxfId="6"/>
    <tableColumn id="17" xr3:uid="{A65ABA09-580A-4BAF-A4CC-FCC343A9B917}" name="Market Price Unit" dataDxfId="5"/>
    <tableColumn id="12" xr3:uid="{5225F87A-312C-4E33-8A6E-59A8B1E186A1}" name="Incumbent Product" dataDxfId="4">
      <calculatedColumnFormula>IF(OR(Table112[[#This Row],[Type]]="Main Product", Table112[[#This Row],[Type]]="Co-Product"), Table112[[#This Row],[Resource]], "")</calculatedColumnFormula>
    </tableColumn>
    <tableColumn id="13" xr3:uid="{6500AF9D-64D7-4B2C-88A7-C2E28662C054}" name="End Use of Incumbent Product" dataDxfId="3">
      <calculatedColumnFormula>IF(_xlfn.XLOOKUP($P6,'SI - End Use'!$B$2:$B$6,'SI - End Use'!$C$2:$C$6, "")="", "", _xlfn.XLOOKUP($C6,'SI - End Use'!$B$2:$B$6,'SI - End Use'!$C$2:$C$6, ""))</calculatedColumnFormula>
    </tableColumn>
    <tableColumn id="20" xr3:uid="{D1C76156-9545-49D4-BBB1-5CC666FE5030}" name="Surrogate For" dataDxfId="2"/>
    <tableColumn id="18" xr3:uid="{CFFB5BE3-BAA7-4B7C-AF2E-8278DFFF5FAB}" name="Process" dataDxfId="1"/>
    <tableColumn id="11" xr3:uid="{46E6F4EB-9A7A-474E-9E95-BD5A52C73C4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tabSelected="1"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I2" sqref="I2"/>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I2" sqref="I2"/>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T6" sqref="T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35">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workbookViewId="0">
      <pane ySplit="5" topLeftCell="A6" activePane="bottomLeft" state="frozen"/>
      <selection activeCell="C19" sqref="C19"/>
      <selection pane="bottomLeft" activeCell="E11" sqref="E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zoomScale="90" zoomScaleNormal="90" workbookViewId="0">
      <pane ySplit="5" topLeftCell="A18" activePane="bottomLeft" state="frozen"/>
      <selection activeCell="C19" sqref="C19"/>
      <selection pane="bottomLeft" activeCell="D39" sqref="D3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15987</v>
      </c>
      <c r="F6" s="6" t="s">
        <v>58</v>
      </c>
      <c r="G6" s="25"/>
      <c r="H6" s="25" t="s">
        <v>340</v>
      </c>
      <c r="I6" s="26" t="s">
        <v>337</v>
      </c>
      <c r="J6" s="25"/>
      <c r="K6" s="6" t="s">
        <v>86</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37</v>
      </c>
      <c r="C7" s="6" t="s">
        <v>106</v>
      </c>
      <c r="D7" s="6" t="s">
        <v>337</v>
      </c>
      <c r="E7" s="12">
        <v>1420</v>
      </c>
      <c r="F7" s="6" t="s">
        <v>58</v>
      </c>
      <c r="G7" s="25">
        <v>7.0000000000000007E-2</v>
      </c>
      <c r="H7" s="25"/>
      <c r="I7" s="26" t="s">
        <v>337</v>
      </c>
      <c r="J7" s="25"/>
      <c r="K7" s="6" t="s">
        <v>86</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37</v>
      </c>
      <c r="C8" s="6" t="s">
        <v>14</v>
      </c>
      <c r="D8" s="6" t="s">
        <v>337</v>
      </c>
      <c r="E8" s="12">
        <v>459</v>
      </c>
      <c r="F8" s="6" t="s">
        <v>58</v>
      </c>
      <c r="G8" s="25"/>
      <c r="H8" s="25"/>
      <c r="I8" s="26" t="s">
        <v>337</v>
      </c>
      <c r="J8" s="25"/>
      <c r="K8" s="6" t="s">
        <v>86</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37</v>
      </c>
      <c r="C9" s="6" t="s">
        <v>289</v>
      </c>
      <c r="D9" s="6" t="s">
        <v>337</v>
      </c>
      <c r="E9" s="12">
        <v>84</v>
      </c>
      <c r="F9" s="6" t="s">
        <v>58</v>
      </c>
      <c r="G9" s="25"/>
      <c r="H9" s="25"/>
      <c r="I9" s="26" t="s">
        <v>337</v>
      </c>
      <c r="J9" s="25"/>
      <c r="K9" s="6" t="s">
        <v>86</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0</v>
      </c>
      <c r="B10" s="6" t="s">
        <v>37</v>
      </c>
      <c r="C10" s="6" t="s">
        <v>87</v>
      </c>
      <c r="D10" s="6" t="s">
        <v>337</v>
      </c>
      <c r="E10" s="12">
        <v>34</v>
      </c>
      <c r="F10" s="6" t="s">
        <v>58</v>
      </c>
      <c r="G10" s="25"/>
      <c r="H10" s="25"/>
      <c r="I10" s="26" t="s">
        <v>337</v>
      </c>
      <c r="J10" s="25"/>
      <c r="K10" s="6" t="s">
        <v>86</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t="s">
        <v>0</v>
      </c>
      <c r="B11" s="6" t="s">
        <v>37</v>
      </c>
      <c r="C11" s="6" t="s">
        <v>290</v>
      </c>
      <c r="D11" s="6" t="s">
        <v>337</v>
      </c>
      <c r="E11" s="12">
        <v>46</v>
      </c>
      <c r="F11" s="6" t="s">
        <v>58</v>
      </c>
      <c r="G11" s="25"/>
      <c r="H11" s="25"/>
      <c r="I11" s="26" t="s">
        <v>337</v>
      </c>
      <c r="J11" s="25"/>
      <c r="K11" s="6" t="s">
        <v>86</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t="s">
        <v>0</v>
      </c>
      <c r="B12" s="6" t="s">
        <v>37</v>
      </c>
      <c r="C12" s="6" t="s">
        <v>293</v>
      </c>
      <c r="D12" s="6"/>
      <c r="E12" s="12">
        <v>5</v>
      </c>
      <c r="F12" s="6" t="s">
        <v>58</v>
      </c>
      <c r="G12" s="25"/>
      <c r="H12" s="25"/>
      <c r="I12" s="26" t="s">
        <v>337</v>
      </c>
      <c r="J12" s="25"/>
      <c r="K12" s="6" t="s">
        <v>86</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t="s">
        <v>0</v>
      </c>
      <c r="B13" s="6" t="s">
        <v>37</v>
      </c>
      <c r="C13" s="6" t="s">
        <v>294</v>
      </c>
      <c r="D13" s="6"/>
      <c r="E13" s="12">
        <v>9</v>
      </c>
      <c r="F13" s="6" t="s">
        <v>58</v>
      </c>
      <c r="G13" s="25"/>
      <c r="H13" s="25"/>
      <c r="I13" s="26" t="s">
        <v>337</v>
      </c>
      <c r="J13" s="25"/>
      <c r="K13" s="6" t="s">
        <v>86</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t="s">
        <v>0</v>
      </c>
      <c r="B14" s="6" t="s">
        <v>37</v>
      </c>
      <c r="C14" s="6" t="s">
        <v>15</v>
      </c>
      <c r="D14" s="6"/>
      <c r="E14" s="12">
        <v>721</v>
      </c>
      <c r="F14" s="6" t="s">
        <v>58</v>
      </c>
      <c r="G14" s="25"/>
      <c r="H14" s="25"/>
      <c r="I14" s="26" t="s">
        <v>337</v>
      </c>
      <c r="J14" s="25"/>
      <c r="K14" s="6" t="s">
        <v>113</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t="s">
        <v>0</v>
      </c>
      <c r="B15" s="6" t="s">
        <v>37</v>
      </c>
      <c r="C15" s="6" t="s">
        <v>287</v>
      </c>
      <c r="D15" s="6" t="s">
        <v>337</v>
      </c>
      <c r="E15" s="12">
        <v>75</v>
      </c>
      <c r="F15" s="6" t="s">
        <v>58</v>
      </c>
      <c r="G15" s="25"/>
      <c r="H15" s="25"/>
      <c r="I15" s="26" t="s">
        <v>337</v>
      </c>
      <c r="J15" s="25"/>
      <c r="K15" s="6" t="s">
        <v>113</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t="s">
        <v>0</v>
      </c>
      <c r="B16" s="6" t="s">
        <v>37</v>
      </c>
      <c r="C16" s="6" t="s">
        <v>298</v>
      </c>
      <c r="D16" s="6" t="s">
        <v>337</v>
      </c>
      <c r="E16" s="12">
        <v>1</v>
      </c>
      <c r="F16" s="6" t="s">
        <v>58</v>
      </c>
      <c r="G16" s="25"/>
      <c r="H16" s="25"/>
      <c r="I16" s="26" t="s">
        <v>337</v>
      </c>
      <c r="J16" s="25"/>
      <c r="K16" s="6" t="s">
        <v>113</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t="s">
        <v>0</v>
      </c>
      <c r="B17" s="6" t="s">
        <v>37</v>
      </c>
      <c r="C17" s="6" t="s">
        <v>18</v>
      </c>
      <c r="D17" s="6" t="s">
        <v>337</v>
      </c>
      <c r="E17" s="12">
        <v>64</v>
      </c>
      <c r="F17" s="6" t="s">
        <v>58</v>
      </c>
      <c r="G17" s="25"/>
      <c r="H17" s="25"/>
      <c r="I17" s="26" t="s">
        <v>337</v>
      </c>
      <c r="J17" s="25"/>
      <c r="K17" s="6" t="s">
        <v>113</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t="s">
        <v>0</v>
      </c>
      <c r="B18" s="6" t="s">
        <v>37</v>
      </c>
      <c r="C18" s="6" t="s">
        <v>289</v>
      </c>
      <c r="D18" s="6" t="s">
        <v>337</v>
      </c>
      <c r="E18" s="12">
        <v>1</v>
      </c>
      <c r="F18" s="6" t="s">
        <v>58</v>
      </c>
      <c r="G18" s="25"/>
      <c r="H18" s="25"/>
      <c r="I18" s="26" t="s">
        <v>337</v>
      </c>
      <c r="J18" s="25"/>
      <c r="K18" s="6" t="s">
        <v>113</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t="s">
        <v>0</v>
      </c>
      <c r="B19" s="6" t="s">
        <v>37</v>
      </c>
      <c r="C19" s="6" t="s">
        <v>299</v>
      </c>
      <c r="D19" s="6" t="s">
        <v>337</v>
      </c>
      <c r="E19" s="12">
        <v>0</v>
      </c>
      <c r="F19" s="6" t="s">
        <v>58</v>
      </c>
      <c r="G19" s="25"/>
      <c r="H19" s="25"/>
      <c r="I19" s="26" t="s">
        <v>337</v>
      </c>
      <c r="J19" s="25"/>
      <c r="K19" s="6" t="s">
        <v>113</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t="s">
        <v>0</v>
      </c>
      <c r="B20" s="6" t="s">
        <v>37</v>
      </c>
      <c r="C20" s="6" t="s">
        <v>300</v>
      </c>
      <c r="D20" s="6" t="s">
        <v>337</v>
      </c>
      <c r="E20" s="12">
        <v>0</v>
      </c>
      <c r="F20" s="6" t="s">
        <v>58</v>
      </c>
      <c r="G20" s="25"/>
      <c r="H20" s="25"/>
      <c r="I20" s="26" t="s">
        <v>337</v>
      </c>
      <c r="J20" s="25"/>
      <c r="K20" s="6" t="s">
        <v>113</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t="s">
        <v>0</v>
      </c>
      <c r="B21" s="6" t="s">
        <v>244</v>
      </c>
      <c r="C21" s="6" t="s">
        <v>309</v>
      </c>
      <c r="D21" s="6"/>
      <c r="E21" s="12">
        <v>107</v>
      </c>
      <c r="F21" s="6" t="s">
        <v>58</v>
      </c>
      <c r="G21" s="25"/>
      <c r="H21" s="25"/>
      <c r="I21" s="26" t="s">
        <v>337</v>
      </c>
      <c r="J21" s="25"/>
      <c r="K21" s="6" t="s">
        <v>113</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t="s">
        <v>0</v>
      </c>
      <c r="B22" s="6" t="s">
        <v>37</v>
      </c>
      <c r="C22" s="6" t="s">
        <v>297</v>
      </c>
      <c r="D22" s="6"/>
      <c r="E22" s="12">
        <v>0.23</v>
      </c>
      <c r="F22" s="6" t="s">
        <v>58</v>
      </c>
      <c r="G22" s="25"/>
      <c r="H22" s="25"/>
      <c r="I22" s="26" t="s">
        <v>337</v>
      </c>
      <c r="J22" s="25"/>
      <c r="K22" s="6" t="s">
        <v>113</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t="s">
        <v>0</v>
      </c>
      <c r="B23" s="6" t="s">
        <v>37</v>
      </c>
      <c r="C23" s="6" t="s">
        <v>301</v>
      </c>
      <c r="D23" s="6"/>
      <c r="E23" s="12">
        <v>347</v>
      </c>
      <c r="F23" s="6" t="s">
        <v>58</v>
      </c>
      <c r="G23" s="25"/>
      <c r="H23" s="25"/>
      <c r="I23" s="26" t="s">
        <v>337</v>
      </c>
      <c r="J23" s="25"/>
      <c r="K23" s="6" t="s">
        <v>85</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t="s">
        <v>0</v>
      </c>
      <c r="B24" s="6" t="s">
        <v>37</v>
      </c>
      <c r="C24" s="6" t="s">
        <v>302</v>
      </c>
      <c r="D24" s="6" t="s">
        <v>337</v>
      </c>
      <c r="E24" s="12">
        <v>549</v>
      </c>
      <c r="F24" s="6" t="s">
        <v>58</v>
      </c>
      <c r="G24" s="25"/>
      <c r="H24" s="25"/>
      <c r="I24" s="26" t="s">
        <v>337</v>
      </c>
      <c r="J24" s="25"/>
      <c r="K24" s="6" t="s">
        <v>85</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t="s">
        <v>0</v>
      </c>
      <c r="B25" s="6" t="s">
        <v>37</v>
      </c>
      <c r="C25" s="6" t="s">
        <v>310</v>
      </c>
      <c r="D25" s="6" t="s">
        <v>337</v>
      </c>
      <c r="E25" s="12">
        <v>52</v>
      </c>
      <c r="F25" s="6" t="s">
        <v>58</v>
      </c>
      <c r="G25" s="25"/>
      <c r="H25" s="25"/>
      <c r="I25" s="26" t="s">
        <v>337</v>
      </c>
      <c r="J25" s="25"/>
      <c r="K25" s="6" t="s">
        <v>85</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t="s">
        <v>0</v>
      </c>
      <c r="B26" s="6" t="s">
        <v>37</v>
      </c>
      <c r="C26" s="6" t="s">
        <v>305</v>
      </c>
      <c r="D26" s="6" t="s">
        <v>337</v>
      </c>
      <c r="E26" s="12">
        <v>953</v>
      </c>
      <c r="F26" s="6" t="s">
        <v>58</v>
      </c>
      <c r="G26" s="25"/>
      <c r="H26" s="25"/>
      <c r="I26" s="26" t="s">
        <v>337</v>
      </c>
      <c r="J26" s="25"/>
      <c r="K26" s="6" t="s">
        <v>85</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t="s">
        <v>0</v>
      </c>
      <c r="B27" s="6" t="s">
        <v>37</v>
      </c>
      <c r="C27" s="6" t="s">
        <v>306</v>
      </c>
      <c r="D27" s="6" t="s">
        <v>337</v>
      </c>
      <c r="E27" s="12">
        <v>9</v>
      </c>
      <c r="F27" s="6" t="s">
        <v>58</v>
      </c>
      <c r="G27" s="25"/>
      <c r="H27" s="25"/>
      <c r="I27" s="26" t="s">
        <v>337</v>
      </c>
      <c r="J27" s="25"/>
      <c r="K27" s="6" t="s">
        <v>85</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t="s">
        <v>0</v>
      </c>
      <c r="B28" s="6" t="s">
        <v>37</v>
      </c>
      <c r="C28" s="6" t="s">
        <v>307</v>
      </c>
      <c r="D28" s="6" t="s">
        <v>337</v>
      </c>
      <c r="E28" s="12">
        <v>17</v>
      </c>
      <c r="F28" s="6" t="s">
        <v>58</v>
      </c>
      <c r="G28" s="25"/>
      <c r="H28" s="25"/>
      <c r="I28" s="26" t="s">
        <v>337</v>
      </c>
      <c r="J28" s="25"/>
      <c r="K28" s="6" t="s">
        <v>85</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t="s">
        <v>0</v>
      </c>
      <c r="B29" s="6" t="s">
        <v>37</v>
      </c>
      <c r="C29" s="6" t="s">
        <v>303</v>
      </c>
      <c r="D29" s="6" t="s">
        <v>337</v>
      </c>
      <c r="E29" s="12">
        <v>9</v>
      </c>
      <c r="F29" s="6" t="s">
        <v>58</v>
      </c>
      <c r="G29" s="25"/>
      <c r="H29" s="25"/>
      <c r="I29" s="26" t="s">
        <v>337</v>
      </c>
      <c r="J29" s="25"/>
      <c r="K29" s="6" t="s">
        <v>85</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12">
        <f>944*0.5</f>
        <v>472</v>
      </c>
      <c r="F30" s="6" t="s">
        <v>58</v>
      </c>
      <c r="G30" s="25"/>
      <c r="H30" s="25"/>
      <c r="I30" s="26" t="s">
        <v>337</v>
      </c>
      <c r="J30" s="25"/>
      <c r="K30" s="6" t="s">
        <v>86</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t="s">
        <v>0</v>
      </c>
      <c r="B31" s="6" t="s">
        <v>244</v>
      </c>
      <c r="C31" s="6" t="s">
        <v>24</v>
      </c>
      <c r="D31" s="6" t="s">
        <v>31</v>
      </c>
      <c r="E31" s="12">
        <f>120*0.5</f>
        <v>60</v>
      </c>
      <c r="F31" s="6" t="s">
        <v>58</v>
      </c>
      <c r="G31" s="25"/>
      <c r="H31" s="25"/>
      <c r="I31" s="26" t="s">
        <v>337</v>
      </c>
      <c r="J31" s="25"/>
      <c r="K31" s="6" t="s">
        <v>113</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t="s">
        <v>0</v>
      </c>
      <c r="B32" s="6" t="s">
        <v>244</v>
      </c>
      <c r="C32" s="6" t="s">
        <v>24</v>
      </c>
      <c r="D32" s="6" t="s">
        <v>31</v>
      </c>
      <c r="E32" s="12">
        <f>914*0.5</f>
        <v>457</v>
      </c>
      <c r="F32" s="6" t="s">
        <v>58</v>
      </c>
      <c r="G32" s="25"/>
      <c r="H32" s="25"/>
      <c r="I32" s="26" t="s">
        <v>337</v>
      </c>
      <c r="J32" s="25"/>
      <c r="K32" s="6" t="s">
        <v>85</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t="s">
        <v>0</v>
      </c>
      <c r="B33" s="6" t="s">
        <v>244</v>
      </c>
      <c r="C33" s="6" t="s">
        <v>24</v>
      </c>
      <c r="D33" s="6" t="s">
        <v>42</v>
      </c>
      <c r="E33" s="12">
        <f>944*0.5</f>
        <v>472</v>
      </c>
      <c r="F33" s="6" t="s">
        <v>58</v>
      </c>
      <c r="G33" s="25"/>
      <c r="H33" s="25"/>
      <c r="I33" s="26" t="s">
        <v>337</v>
      </c>
      <c r="J33" s="25"/>
      <c r="K33" s="6" t="s">
        <v>86</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t="s">
        <v>0</v>
      </c>
      <c r="B34" s="6" t="s">
        <v>244</v>
      </c>
      <c r="C34" s="6" t="s">
        <v>24</v>
      </c>
      <c r="D34" s="6" t="s">
        <v>42</v>
      </c>
      <c r="E34" s="12">
        <f>120*0.5</f>
        <v>60</v>
      </c>
      <c r="F34" s="6" t="s">
        <v>58</v>
      </c>
      <c r="G34" s="25"/>
      <c r="H34" s="25"/>
      <c r="I34" s="26" t="s">
        <v>337</v>
      </c>
      <c r="J34" s="25"/>
      <c r="K34" s="6" t="s">
        <v>113</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t="s">
        <v>0</v>
      </c>
      <c r="B35" s="6" t="s">
        <v>244</v>
      </c>
      <c r="C35" s="6" t="s">
        <v>24</v>
      </c>
      <c r="D35" s="6" t="s">
        <v>42</v>
      </c>
      <c r="E35" s="12">
        <f>914*0.5</f>
        <v>457</v>
      </c>
      <c r="F35" s="6" t="s">
        <v>58</v>
      </c>
      <c r="G35" s="25"/>
      <c r="H35" s="25"/>
      <c r="I35" s="26" t="s">
        <v>337</v>
      </c>
      <c r="J35" s="25"/>
      <c r="K35" s="6" t="s">
        <v>85</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t="s">
        <v>0</v>
      </c>
      <c r="B36" s="6" t="s">
        <v>29</v>
      </c>
      <c r="C36" s="6" t="s">
        <v>29</v>
      </c>
      <c r="D36" s="6" t="s">
        <v>337</v>
      </c>
      <c r="E36" s="12">
        <v>47769</v>
      </c>
      <c r="F36" s="6" t="s">
        <v>58</v>
      </c>
      <c r="G36" s="25"/>
      <c r="H36" s="25"/>
      <c r="I36" s="26" t="s">
        <v>337</v>
      </c>
      <c r="J36" s="25"/>
      <c r="K36" s="6" t="s">
        <v>86</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t="s">
        <v>0</v>
      </c>
      <c r="B37" s="6" t="s">
        <v>29</v>
      </c>
      <c r="C37" s="6" t="s">
        <v>29</v>
      </c>
      <c r="D37" s="6" t="s">
        <v>337</v>
      </c>
      <c r="E37" s="12">
        <v>100</v>
      </c>
      <c r="F37" s="6" t="s">
        <v>58</v>
      </c>
      <c r="G37" s="25"/>
      <c r="H37" s="25"/>
      <c r="I37" s="26" t="s">
        <v>337</v>
      </c>
      <c r="J37" s="25"/>
      <c r="K37" s="6" t="s">
        <v>113</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t="s">
        <v>0</v>
      </c>
      <c r="B38" s="6" t="s">
        <v>29</v>
      </c>
      <c r="C38" s="6" t="s">
        <v>29</v>
      </c>
      <c r="D38" s="6" t="s">
        <v>337</v>
      </c>
      <c r="E38" s="12">
        <v>17774</v>
      </c>
      <c r="F38" s="6" t="s">
        <v>58</v>
      </c>
      <c r="G38" s="25"/>
      <c r="H38" s="25"/>
      <c r="I38" s="26" t="s">
        <v>337</v>
      </c>
      <c r="J38" s="25"/>
      <c r="K38" s="6" t="s">
        <v>85</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t="s">
        <v>113</v>
      </c>
      <c r="B39" s="6" t="s">
        <v>244</v>
      </c>
      <c r="C39" s="6" t="s">
        <v>313</v>
      </c>
      <c r="D39" s="6"/>
      <c r="E39" s="12">
        <v>131.6632984</v>
      </c>
      <c r="F39" s="6" t="s">
        <v>70</v>
      </c>
      <c r="G39" s="25"/>
      <c r="H39" s="25"/>
      <c r="I39" s="26" t="s">
        <v>337</v>
      </c>
      <c r="J39" s="25"/>
      <c r="K39" s="6" t="s">
        <v>113</v>
      </c>
      <c r="L39" s="6" t="s">
        <v>337</v>
      </c>
      <c r="M39" s="6"/>
      <c r="N39" s="6">
        <v>21.535015935911794</v>
      </c>
      <c r="O39" s="6" t="s">
        <v>341</v>
      </c>
      <c r="P39" s="6" t="s">
        <v>2</v>
      </c>
      <c r="Q39" s="6" t="s">
        <v>83</v>
      </c>
      <c r="R39" s="6"/>
      <c r="S39" s="6"/>
      <c r="T39" s="6"/>
    </row>
    <row r="40" spans="1:20" x14ac:dyDescent="0.35">
      <c r="A40" s="6" t="s">
        <v>85</v>
      </c>
      <c r="B40" s="6" t="s">
        <v>3</v>
      </c>
      <c r="C40" s="6" t="s">
        <v>3</v>
      </c>
      <c r="D40" s="6" t="s">
        <v>10</v>
      </c>
      <c r="E40" s="12">
        <v>5045</v>
      </c>
      <c r="F40" s="6" t="s">
        <v>68</v>
      </c>
      <c r="G40" s="25"/>
      <c r="H40" s="25"/>
      <c r="I40" s="26" t="s">
        <v>124</v>
      </c>
      <c r="J40" s="25"/>
      <c r="K40" s="6" t="s">
        <v>86</v>
      </c>
      <c r="L40" s="6" t="s">
        <v>337</v>
      </c>
      <c r="M40" s="6"/>
      <c r="N40" s="6"/>
      <c r="O40" s="6"/>
      <c r="P40" s="6" t="s">
        <v>3</v>
      </c>
      <c r="Q40" s="6" t="s">
        <v>10</v>
      </c>
      <c r="R40" s="6"/>
      <c r="S40" s="6"/>
      <c r="T40" s="6" t="s">
        <v>343</v>
      </c>
    </row>
    <row r="41" spans="1:20" x14ac:dyDescent="0.35">
      <c r="A41" s="6" t="s">
        <v>85</v>
      </c>
      <c r="B41" s="6" t="s">
        <v>37</v>
      </c>
      <c r="C41" s="6" t="s">
        <v>308</v>
      </c>
      <c r="D41" s="6" t="s">
        <v>337</v>
      </c>
      <c r="E41" s="12">
        <v>3593</v>
      </c>
      <c r="F41" s="6" t="s">
        <v>58</v>
      </c>
      <c r="G41" s="25"/>
      <c r="H41" s="25"/>
      <c r="I41" s="26" t="s">
        <v>114</v>
      </c>
      <c r="J41" s="25"/>
      <c r="K41" s="6" t="s">
        <v>85</v>
      </c>
      <c r="L41" s="6" t="s">
        <v>337</v>
      </c>
      <c r="M41" s="6"/>
      <c r="N41" s="6">
        <v>2.04</v>
      </c>
      <c r="O41" s="6" t="s">
        <v>342</v>
      </c>
      <c r="P41" s="6" t="s">
        <v>308</v>
      </c>
      <c r="Q41" s="6" t="s">
        <v>337</v>
      </c>
      <c r="R41" s="6"/>
      <c r="S41" s="6"/>
      <c r="T41" s="6"/>
    </row>
    <row r="42" spans="1:20" x14ac:dyDescent="0.35">
      <c r="A42" s="6" t="s">
        <v>0</v>
      </c>
      <c r="B42" s="6" t="s">
        <v>245</v>
      </c>
      <c r="C42" s="6" t="s">
        <v>229</v>
      </c>
      <c r="D42" s="6" t="s">
        <v>337</v>
      </c>
      <c r="E42" s="12">
        <f>E41*0.6616*0.732*44/12</f>
        <v>6380.2136991999987</v>
      </c>
      <c r="F42" s="6" t="s">
        <v>58</v>
      </c>
      <c r="G42" s="25"/>
      <c r="H42" s="25"/>
      <c r="I42" s="26" t="s">
        <v>337</v>
      </c>
      <c r="J42" s="25"/>
      <c r="K42" s="6" t="s">
        <v>85</v>
      </c>
      <c r="L42" s="6" t="s">
        <v>337</v>
      </c>
      <c r="M42" s="6"/>
      <c r="N42" s="6"/>
      <c r="O42" s="6"/>
      <c r="P42" s="6" t="s">
        <v>337</v>
      </c>
      <c r="Q42" s="6" t="s">
        <v>337</v>
      </c>
      <c r="R42" s="6"/>
      <c r="S42" s="6"/>
      <c r="T42" s="6" t="s">
        <v>344</v>
      </c>
    </row>
    <row r="43" spans="1:20" x14ac:dyDescent="0.35">
      <c r="A43" s="6" t="s">
        <v>85</v>
      </c>
      <c r="B43" s="6" t="s">
        <v>37</v>
      </c>
      <c r="C43" s="6" t="s">
        <v>311</v>
      </c>
      <c r="D43" s="6" t="s">
        <v>337</v>
      </c>
      <c r="E43" s="12">
        <v>19</v>
      </c>
      <c r="F43" s="6" t="s">
        <v>58</v>
      </c>
      <c r="G43" s="25"/>
      <c r="H43" s="25"/>
      <c r="I43" s="26" t="s">
        <v>124</v>
      </c>
      <c r="J43" s="25"/>
      <c r="K43" s="6" t="s">
        <v>86</v>
      </c>
      <c r="L43" s="6" t="s">
        <v>337</v>
      </c>
      <c r="M43" s="6"/>
      <c r="N43" s="6"/>
      <c r="O43" s="6"/>
      <c r="P43" s="6" t="s">
        <v>311</v>
      </c>
      <c r="Q43" s="6" t="s">
        <v>337</v>
      </c>
      <c r="R43" s="6"/>
      <c r="S43" s="6"/>
      <c r="T43" s="6" t="s">
        <v>345</v>
      </c>
    </row>
    <row r="44" spans="1:20" x14ac:dyDescent="0.35">
      <c r="A44" s="6" t="s">
        <v>85</v>
      </c>
      <c r="B44" s="6" t="s">
        <v>37</v>
      </c>
      <c r="C44" s="6" t="s">
        <v>14</v>
      </c>
      <c r="D44" s="6" t="s">
        <v>337</v>
      </c>
      <c r="E44" s="12">
        <v>233</v>
      </c>
      <c r="F44" s="6" t="s">
        <v>58</v>
      </c>
      <c r="G44" s="25"/>
      <c r="H44" s="25"/>
      <c r="I44" s="26" t="s">
        <v>124</v>
      </c>
      <c r="J44" s="25"/>
      <c r="K44" s="6" t="s">
        <v>86</v>
      </c>
      <c r="L44" s="6" t="s">
        <v>337</v>
      </c>
      <c r="M44" s="6"/>
      <c r="N44" s="6"/>
      <c r="O44" s="6"/>
      <c r="P44" s="6" t="s">
        <v>14</v>
      </c>
      <c r="Q44" s="6" t="s">
        <v>337</v>
      </c>
      <c r="R44" s="6"/>
      <c r="S44" s="6"/>
      <c r="T44" s="6" t="s">
        <v>346</v>
      </c>
    </row>
    <row r="45" spans="1:20" x14ac:dyDescent="0.35">
      <c r="A45" s="6" t="s">
        <v>85</v>
      </c>
      <c r="B45" s="6" t="s">
        <v>37</v>
      </c>
      <c r="C45" s="6" t="s">
        <v>287</v>
      </c>
      <c r="D45" s="6" t="s">
        <v>337</v>
      </c>
      <c r="E45" s="12">
        <v>110</v>
      </c>
      <c r="F45" s="6" t="s">
        <v>58</v>
      </c>
      <c r="G45" s="25"/>
      <c r="H45" s="25"/>
      <c r="I45" s="26" t="s">
        <v>124</v>
      </c>
      <c r="J45" s="25"/>
      <c r="K45" s="6" t="s">
        <v>86</v>
      </c>
      <c r="L45" s="6" t="s">
        <v>337</v>
      </c>
      <c r="M45" s="6"/>
      <c r="N45" s="6"/>
      <c r="O45" s="6"/>
      <c r="P45" s="6" t="s">
        <v>287</v>
      </c>
      <c r="Q45" s="6" t="s">
        <v>337</v>
      </c>
      <c r="R45" s="6"/>
      <c r="S45" s="6"/>
      <c r="T45" s="6" t="s">
        <v>347</v>
      </c>
    </row>
    <row r="46" spans="1:20" x14ac:dyDescent="0.35">
      <c r="A46" s="6" t="s">
        <v>257</v>
      </c>
      <c r="B46" s="6" t="s">
        <v>245</v>
      </c>
      <c r="C46" s="6" t="s">
        <v>228</v>
      </c>
      <c r="D46" s="6" t="s">
        <v>337</v>
      </c>
      <c r="E46" s="12">
        <f>-(9090+5986)</f>
        <v>-15076</v>
      </c>
      <c r="F46" s="6" t="s">
        <v>58</v>
      </c>
      <c r="G46" s="25"/>
      <c r="H46" s="25" t="s">
        <v>339</v>
      </c>
      <c r="I46" s="26" t="s">
        <v>337</v>
      </c>
      <c r="J46" s="25"/>
      <c r="K46" s="6" t="s">
        <v>86</v>
      </c>
      <c r="L46" s="6" t="s">
        <v>337</v>
      </c>
      <c r="M46" s="6"/>
      <c r="N46" s="6"/>
      <c r="O46" s="6"/>
      <c r="P46" s="6" t="s">
        <v>337</v>
      </c>
      <c r="Q46" s="6" t="s">
        <v>337</v>
      </c>
      <c r="R46" s="6"/>
      <c r="S46" s="6"/>
      <c r="T46" s="6" t="s">
        <v>348</v>
      </c>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9:N41"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8 N42:N100 O39:O41"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O6:O38 O42:O100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E548E-F8F3-463F-AD0D-00377BDCB4A4}">
  <sheetPr codeName="Sheet13"/>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0.7</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313</v>
      </c>
      <c r="D6" s="6" t="s">
        <v>242</v>
      </c>
      <c r="E6" s="12">
        <v>1</v>
      </c>
      <c r="F6" s="6" t="s">
        <v>70</v>
      </c>
      <c r="G6" s="25"/>
      <c r="H6" s="25" t="s">
        <v>349</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113</v>
      </c>
      <c r="B7" s="6" t="s">
        <v>244</v>
      </c>
      <c r="C7" s="6" t="s">
        <v>313</v>
      </c>
      <c r="D7" s="6" t="s">
        <v>83</v>
      </c>
      <c r="E7" s="12">
        <v>1</v>
      </c>
      <c r="F7" s="6" t="s">
        <v>70</v>
      </c>
      <c r="G7" s="25"/>
      <c r="H7" s="25"/>
      <c r="I7" s="26" t="str">
        <f>IF(Table112[[#This Row],[Type]]="Co-product", "No", "")</f>
        <v/>
      </c>
      <c r="J7" s="25"/>
      <c r="K7" s="6"/>
      <c r="L7" s="6" t="str">
        <f>IF(Table112[[#This Row],[Category]]="Transportation", _xlfn.XLOOKUP(Table112[[#This Row],[Resource]], 'SI - Payload'!$A$10:$A$38,'SI - Payload'!$B$10:$B$38,"",0), "")</f>
        <v/>
      </c>
      <c r="M7" s="6" t="str">
        <f>IF(Table112[[#This Row],[Category]]="Transportation", "ton", "")</f>
        <v/>
      </c>
      <c r="N7" s="6"/>
      <c r="O7" s="6"/>
      <c r="P7" s="6" t="s">
        <v>2</v>
      </c>
      <c r="Q7" s="6" t="s">
        <v>83</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5F49719-5387-4315-90D6-1101251384DC}">
      <formula1>0</formula1>
      <formula2>1</formula2>
    </dataValidation>
    <dataValidation type="list" allowBlank="1" showInputMessage="1" showErrorMessage="1" sqref="M6:M100" xr:uid="{D7F81BEB-B657-411E-946E-BAC637878014}">
      <formula1>payload_units</formula1>
    </dataValidation>
    <dataValidation type="decimal" operator="greaterThan" allowBlank="1" showInputMessage="1" showErrorMessage="1" error="Please type a positive number." sqref="L6:L100" xr:uid="{76F0CD7B-DFB4-43E1-9513-C77F3CD8C7B2}">
      <formula1>0</formula1>
    </dataValidation>
    <dataValidation type="decimal" operator="greaterThan" allowBlank="1" showInputMessage="1" showErrorMessage="1" error="Please type a positive price." sqref="N6:N100" xr:uid="{765EF3C1-7DD9-4041-8D8F-7063F1B591E7}">
      <formula1>0</formula1>
    </dataValidation>
    <dataValidation type="decimal" allowBlank="1" showInputMessage="1" showErrorMessage="1" error="Please type a number between 0 and 1." sqref="G6:G100" xr:uid="{82CDBFBE-0045-42AC-A38B-056EC6007696}">
      <formula1>0</formula1>
      <formula2>1</formula2>
    </dataValidation>
    <dataValidation type="custom" allowBlank="1" showInputMessage="1" showErrorMessage="1" sqref="E6:E100" xr:uid="{39B972AA-E249-4F7D-87DC-3D900AED8C90}">
      <formula1>ISNUMBER(E6)</formula1>
    </dataValidation>
    <dataValidation type="list" allowBlank="1" showInputMessage="1" showErrorMessage="1" sqref="C2" xr:uid="{AB3BAF17-D708-4EEE-8782-AD8E35C7EA1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C7AC495-F386-4536-96FF-299DD3F9853C}">
          <x14:formula1>
            <xm:f>IF($B6="Transportation",  transport_units, INDIRECT(_xlfn.XLOOKUP($C6, 'SI - Units'!$F$26:$F$36,'SI - Units'!$G$26:$G$36,"mass",0)))</xm:f>
          </x14:formula1>
          <xm:sqref>F6:F100</xm:sqref>
        </x14:dataValidation>
        <x14:dataValidation type="list" allowBlank="1" showInputMessage="1" showErrorMessage="1" xr:uid="{9EF5BDD2-8FFD-4EDB-8B6A-05D3AC1BA15D}">
          <x14:formula1>
            <xm:f>INDIRECT("p_"&amp;_xlfn.XLOOKUP($C6,'SI - Units'!$F$26:$F$36,'SI - Units'!$G$26:$G$36,"mass",0))</xm:f>
          </x14:formula1>
          <xm:sqref>O6:O100</xm:sqref>
        </x14:dataValidation>
        <x14:dataValidation type="list" allowBlank="1" showInputMessage="1" showErrorMessage="1" xr:uid="{665A520A-F062-483A-917F-E5FAB1AFA5F1}">
          <x14:formula1>
            <xm:f>INDIRECT(_xlfn.XLOOKUP($P6,'SI - End Use'!$A$11:$A$17,'SI - End Use'!$B$11:$B$17,"other_end_use",0))</xm:f>
          </x14:formula1>
          <xm:sqref>Q6:R100</xm:sqref>
        </x14:dataValidation>
        <x14:dataValidation type="list" allowBlank="1" showInputMessage="1" xr:uid="{B4BDF41D-E35D-40BE-B58B-89BA8D864762}">
          <x14:formula1>
            <xm:f>INDIRECT(_xlfn.XLOOKUP($C6,'SI - End Use'!$A$11:$A$17,'SI - End Use'!$B$11:$B$17,"other_end_use",0))</xm:f>
          </x14:formula1>
          <xm:sqref>D6:D100</xm:sqref>
        </x14:dataValidation>
        <x14:dataValidation type="list" allowBlank="1" showInputMessage="1" showErrorMessage="1" xr:uid="{2846E165-2009-4818-9398-F6F71E1B5856}">
          <x14:formula1>
            <xm:f>INDIRECT(_xlfn.XLOOKUP($B6, 'SI - Resources'!$R$1:$R$10,'SI - Resources'!$S$1:$S$10, "placeholder_resource", 0))</xm:f>
          </x14:formula1>
          <xm:sqref>P6:P100 C6:C100</xm:sqref>
        </x14:dataValidation>
        <x14:dataValidation type="list" allowBlank="1" showInputMessage="1" showErrorMessage="1" xr:uid="{D78946B4-3E55-49D4-94AD-9B0E8B6F24B6}">
          <x14:formula1>
            <xm:f>'SI - Co-products'!$B$2:$B$6</xm:f>
          </x14:formula1>
          <xm:sqref>A6:A100</xm:sqref>
        </x14:dataValidation>
        <x14:dataValidation type="list" allowBlank="1" showInputMessage="1" showErrorMessage="1" xr:uid="{A14F6C86-6FF7-44B7-BF06-A8BF8A5D9A5E}">
          <x14:formula1>
            <xm:f>'SI - Resources'!$A$1:$J$1</xm:f>
          </x14:formula1>
          <xm:sqref>B6:B100</xm:sqref>
        </x14:dataValidation>
        <x14:dataValidation type="list" allowBlank="1" showInputMessage="1" showErrorMessage="1" xr:uid="{3276BD65-ACC2-40D3-A168-54BBB0B811C0}">
          <x14:formula1>
            <xm:f>'SI - Co-products'!$C$2:$C$4</xm:f>
          </x14:formula1>
          <xm:sqref>I6:I100</xm:sqref>
        </x14:dataValidation>
        <x14:dataValidation type="list" allowBlank="1" showInputMessage="1" showErrorMessage="1" xr:uid="{E80D4E95-876E-4257-87DB-DB4BFA8DFAC5}">
          <x14:formula1>
            <xm:f>'SI - Co-products'!$A$2:$A$5</xm:f>
          </x14:formula1>
          <xm:sqref>K6:K100</xm:sqref>
        </x14:dataValidation>
        <x14:dataValidation type="list" allowBlank="1" showInputMessage="1" showErrorMessage="1" xr:uid="{8369E8A8-FD43-47C1-A88E-4C5044800CB3}">
          <x14:formula1>
            <xm:f>_xlfn.XLOOKUP(_xlfn.XLOOKUP(#REF!,'SI - Units'!$B$24:$B$109,'SI - Units'!$C$24:$C$109),'SI - Units'!$A$2:$A$8,'SI - Units'!$B$2:$R$8)</xm:f>
          </x14:formula1>
          <xm:sqref>F5</xm:sqref>
        </x14:dataValidation>
        <x14:dataValidation type="list" allowBlank="1" showInputMessage="1" showErrorMessage="1" xr:uid="{E50AFE8A-363C-4E0F-81FE-56934D5D9CA8}">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2023-01-03T16:29:07Z</dcterms:modified>
</cp:coreProperties>
</file>