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CC67B0EF-2F8F-40E8-96C8-64DD9075C09D}" xr6:coauthVersionLast="47" xr6:coauthVersionMax="47" xr10:uidLastSave="{00000000-0000-0000-0000-000000000000}"/>
  <bookViews>
    <workbookView xWindow="57480" yWindow="-120" windowWidth="38640" windowHeight="21240" tabRatio="685" firstSheet="1" activeTab="7"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 name="Fuel combustion" sheetId="29" r:id="rId11"/>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29" l="1"/>
  <c r="Q100" i="29" s="1"/>
  <c r="M100" i="29"/>
  <c r="L100" i="29"/>
  <c r="I100" i="29"/>
  <c r="C100" i="29"/>
  <c r="F100" i="29" s="1" a="1"/>
  <c r="F100" i="29" s="1"/>
  <c r="Q99" i="29"/>
  <c r="P99" i="29"/>
  <c r="M99" i="29"/>
  <c r="L99" i="29"/>
  <c r="I99" i="29"/>
  <c r="C99" i="29"/>
  <c r="D99" i="29" s="1"/>
  <c r="P98" i="29"/>
  <c r="Q98" i="29" s="1"/>
  <c r="M98" i="29"/>
  <c r="L98" i="29"/>
  <c r="I98" i="29"/>
  <c r="C98" i="29"/>
  <c r="D98" i="29" s="1"/>
  <c r="Q97" i="29"/>
  <c r="P97" i="29"/>
  <c r="M97" i="29"/>
  <c r="L97" i="29"/>
  <c r="I97" i="29"/>
  <c r="F97" i="29" a="1"/>
  <c r="F97" i="29" s="1"/>
  <c r="D97" i="29"/>
  <c r="C97" i="29"/>
  <c r="Q96" i="29"/>
  <c r="P96" i="29"/>
  <c r="M96" i="29"/>
  <c r="L96" i="29"/>
  <c r="I96" i="29"/>
  <c r="F96" i="29" a="1"/>
  <c r="F96" i="29" s="1"/>
  <c r="D96" i="29"/>
  <c r="C96" i="29"/>
  <c r="P95" i="29"/>
  <c r="Q95" i="29" s="1"/>
  <c r="M95" i="29"/>
  <c r="L95" i="29"/>
  <c r="I95" i="29"/>
  <c r="F95" i="29"/>
  <c r="F95" i="29" a="1"/>
  <c r="D95" i="29"/>
  <c r="C95" i="29"/>
  <c r="Q94" i="29"/>
  <c r="P94" i="29"/>
  <c r="M94" i="29"/>
  <c r="L94" i="29"/>
  <c r="I94" i="29"/>
  <c r="F94" i="29"/>
  <c r="F94" i="29" a="1"/>
  <c r="C94" i="29"/>
  <c r="D94" i="29" s="1"/>
  <c r="P93" i="29"/>
  <c r="Q93" i="29" s="1"/>
  <c r="M93" i="29"/>
  <c r="L93" i="29"/>
  <c r="I93" i="29"/>
  <c r="C93" i="29"/>
  <c r="F93" i="29" s="1" a="1"/>
  <c r="F93" i="29" s="1"/>
  <c r="P92" i="29"/>
  <c r="Q92" i="29" s="1"/>
  <c r="M92" i="29"/>
  <c r="L92" i="29"/>
  <c r="I92" i="29"/>
  <c r="C92" i="29"/>
  <c r="F92" i="29" s="1" a="1"/>
  <c r="F92" i="29" s="1"/>
  <c r="P91" i="29"/>
  <c r="Q91" i="29" s="1"/>
  <c r="M91" i="29"/>
  <c r="L91" i="29"/>
  <c r="I91" i="29"/>
  <c r="C91" i="29"/>
  <c r="D91" i="29" s="1"/>
  <c r="Q90" i="29"/>
  <c r="P90" i="29"/>
  <c r="M90" i="29"/>
  <c r="L90" i="29"/>
  <c r="I90" i="29"/>
  <c r="C90" i="29"/>
  <c r="F90" i="29" s="1" a="1"/>
  <c r="F90" i="29" s="1"/>
  <c r="Q89" i="29"/>
  <c r="P89" i="29"/>
  <c r="M89" i="29"/>
  <c r="L89" i="29"/>
  <c r="I89" i="29"/>
  <c r="D89" i="29"/>
  <c r="C89" i="29"/>
  <c r="F89" i="29" s="1" a="1"/>
  <c r="F89" i="29" s="1"/>
  <c r="Q88" i="29"/>
  <c r="P88" i="29"/>
  <c r="M88" i="29"/>
  <c r="L88" i="29"/>
  <c r="I88" i="29"/>
  <c r="F88" i="29" a="1"/>
  <c r="F88" i="29" s="1"/>
  <c r="D88" i="29"/>
  <c r="C88" i="29"/>
  <c r="P87" i="29"/>
  <c r="Q87" i="29" s="1"/>
  <c r="M87" i="29"/>
  <c r="L87" i="29"/>
  <c r="I87" i="29"/>
  <c r="F87" i="29"/>
  <c r="F87" i="29" a="1"/>
  <c r="D87" i="29"/>
  <c r="C87" i="29"/>
  <c r="P86" i="29"/>
  <c r="Q86" i="29" s="1"/>
  <c r="M86" i="29"/>
  <c r="L86" i="29"/>
  <c r="I86" i="29"/>
  <c r="F86" i="29"/>
  <c r="F86" i="29" a="1"/>
  <c r="C86" i="29"/>
  <c r="D86" i="29" s="1"/>
  <c r="P85" i="29"/>
  <c r="Q85" i="29" s="1"/>
  <c r="M85" i="29"/>
  <c r="L85" i="29"/>
  <c r="I85" i="29"/>
  <c r="C85" i="29"/>
  <c r="F85" i="29" s="1" a="1"/>
  <c r="F85" i="29" s="1"/>
  <c r="P84" i="29"/>
  <c r="Q84" i="29" s="1"/>
  <c r="M84" i="29"/>
  <c r="L84" i="29"/>
  <c r="I84" i="29"/>
  <c r="C84" i="29"/>
  <c r="F84" i="29" s="1" a="1"/>
  <c r="F84" i="29" s="1"/>
  <c r="P83" i="29"/>
  <c r="Q83" i="29" s="1"/>
  <c r="M83" i="29"/>
  <c r="L83" i="29"/>
  <c r="I83" i="29"/>
  <c r="C83" i="29"/>
  <c r="F83" i="29" s="1" a="1"/>
  <c r="F83" i="29" s="1"/>
  <c r="Q82" i="29"/>
  <c r="P82" i="29"/>
  <c r="M82" i="29"/>
  <c r="L82" i="29"/>
  <c r="I82" i="29"/>
  <c r="C82" i="29"/>
  <c r="Q81" i="29"/>
  <c r="P81" i="29"/>
  <c r="M81" i="29"/>
  <c r="L81" i="29"/>
  <c r="I81" i="29"/>
  <c r="C81" i="29"/>
  <c r="F81" i="29" s="1" a="1"/>
  <c r="F81" i="29" s="1"/>
  <c r="Q80" i="29"/>
  <c r="P80" i="29"/>
  <c r="M80" i="29"/>
  <c r="L80" i="29"/>
  <c r="I80" i="29"/>
  <c r="F80" i="29" a="1"/>
  <c r="F80" i="29" s="1"/>
  <c r="D80" i="29"/>
  <c r="C80" i="29"/>
  <c r="P79" i="29"/>
  <c r="Q79" i="29" s="1"/>
  <c r="M79" i="29"/>
  <c r="L79" i="29"/>
  <c r="I79" i="29"/>
  <c r="F79" i="29" a="1"/>
  <c r="F79" i="29" s="1"/>
  <c r="D79" i="29"/>
  <c r="C79" i="29"/>
  <c r="P78" i="29"/>
  <c r="Q78" i="29" s="1"/>
  <c r="M78" i="29"/>
  <c r="L78" i="29"/>
  <c r="I78" i="29"/>
  <c r="F78" i="29"/>
  <c r="F78" i="29" a="1"/>
  <c r="C78" i="29"/>
  <c r="D78" i="29" s="1"/>
  <c r="P77" i="29"/>
  <c r="Q77" i="29" s="1"/>
  <c r="M77" i="29"/>
  <c r="L77" i="29"/>
  <c r="I77" i="29"/>
  <c r="C77" i="29"/>
  <c r="F77" i="29" s="1" a="1"/>
  <c r="F77" i="29" s="1"/>
  <c r="P76" i="29"/>
  <c r="Q76" i="29" s="1"/>
  <c r="M76" i="29"/>
  <c r="L76" i="29"/>
  <c r="I76" i="29"/>
  <c r="C76" i="29"/>
  <c r="F76" i="29" s="1" a="1"/>
  <c r="F76" i="29" s="1"/>
  <c r="P75" i="29"/>
  <c r="Q75" i="29" s="1"/>
  <c r="M75" i="29"/>
  <c r="L75" i="29"/>
  <c r="I75" i="29"/>
  <c r="C75" i="29"/>
  <c r="D75" i="29" s="1"/>
  <c r="P74" i="29"/>
  <c r="Q74" i="29" s="1"/>
  <c r="M74" i="29"/>
  <c r="L74" i="29"/>
  <c r="I74" i="29"/>
  <c r="C74" i="29"/>
  <c r="Q73" i="29"/>
  <c r="P73" i="29"/>
  <c r="M73" i="29"/>
  <c r="L73" i="29"/>
  <c r="I73" i="29"/>
  <c r="C73" i="29"/>
  <c r="F73" i="29" s="1" a="1"/>
  <c r="F73" i="29" s="1"/>
  <c r="Q72" i="29"/>
  <c r="P72" i="29"/>
  <c r="M72" i="29"/>
  <c r="L72" i="29"/>
  <c r="I72" i="29"/>
  <c r="F72" i="29" a="1"/>
  <c r="F72" i="29" s="1"/>
  <c r="D72" i="29"/>
  <c r="C72" i="29"/>
  <c r="Q71" i="29"/>
  <c r="P71" i="29"/>
  <c r="M71" i="29"/>
  <c r="L71" i="29"/>
  <c r="I71" i="29"/>
  <c r="F71" i="29"/>
  <c r="F71" i="29" a="1"/>
  <c r="D71" i="29"/>
  <c r="C71" i="29"/>
  <c r="P70" i="29"/>
  <c r="Q70" i="29" s="1"/>
  <c r="M70" i="29"/>
  <c r="L70" i="29"/>
  <c r="I70" i="29"/>
  <c r="F70" i="29"/>
  <c r="F70" i="29" a="1"/>
  <c r="D70" i="29"/>
  <c r="C70" i="29"/>
  <c r="P69" i="29"/>
  <c r="Q69" i="29" s="1"/>
  <c r="M69" i="29"/>
  <c r="L69" i="29"/>
  <c r="I69" i="29"/>
  <c r="F69" i="29"/>
  <c r="F69" i="29" a="1"/>
  <c r="C69" i="29"/>
  <c r="D69" i="29" s="1"/>
  <c r="P68" i="29"/>
  <c r="Q68" i="29" s="1"/>
  <c r="M68" i="29"/>
  <c r="L68" i="29"/>
  <c r="I68" i="29"/>
  <c r="C68" i="29"/>
  <c r="F68" i="29" s="1" a="1"/>
  <c r="F68" i="29" s="1"/>
  <c r="P67" i="29"/>
  <c r="Q67" i="29" s="1"/>
  <c r="M67" i="29"/>
  <c r="L67" i="29"/>
  <c r="I67" i="29"/>
  <c r="C67" i="29"/>
  <c r="F67" i="29" s="1" a="1"/>
  <c r="F67" i="29" s="1"/>
  <c r="Q66" i="29"/>
  <c r="P66" i="29"/>
  <c r="M66" i="29"/>
  <c r="L66" i="29"/>
  <c r="I66" i="29"/>
  <c r="C66" i="29"/>
  <c r="Q65" i="29"/>
  <c r="P65" i="29"/>
  <c r="M65" i="29"/>
  <c r="L65" i="29"/>
  <c r="I65" i="29"/>
  <c r="D65" i="29"/>
  <c r="C65" i="29"/>
  <c r="F65" i="29" s="1" a="1"/>
  <c r="F65" i="29" s="1"/>
  <c r="Q64" i="29"/>
  <c r="P64" i="29"/>
  <c r="M64" i="29"/>
  <c r="L64" i="29"/>
  <c r="I64" i="29"/>
  <c r="F64" i="29" a="1"/>
  <c r="F64" i="29" s="1"/>
  <c r="D64" i="29"/>
  <c r="C64" i="29"/>
  <c r="Q63" i="29"/>
  <c r="P63" i="29"/>
  <c r="M63" i="29"/>
  <c r="L63" i="29"/>
  <c r="I63" i="29"/>
  <c r="F63" i="29" a="1"/>
  <c r="F63" i="29" s="1"/>
  <c r="D63" i="29"/>
  <c r="C63" i="29"/>
  <c r="P62" i="29"/>
  <c r="Q62" i="29" s="1"/>
  <c r="M62" i="29"/>
  <c r="L62" i="29"/>
  <c r="I62" i="29"/>
  <c r="F62" i="29"/>
  <c r="F62" i="29" a="1"/>
  <c r="D62" i="29"/>
  <c r="C62" i="29"/>
  <c r="P61" i="29"/>
  <c r="Q61" i="29" s="1"/>
  <c r="M61" i="29"/>
  <c r="L61" i="29"/>
  <c r="I61" i="29"/>
  <c r="F61" i="29"/>
  <c r="F61" i="29" a="1"/>
  <c r="C61" i="29"/>
  <c r="D61" i="29" s="1"/>
  <c r="P60" i="29"/>
  <c r="Q60" i="29" s="1"/>
  <c r="M60" i="29"/>
  <c r="L60" i="29"/>
  <c r="I60" i="29"/>
  <c r="C60" i="29"/>
  <c r="F60" i="29" s="1" a="1"/>
  <c r="F60" i="29" s="1"/>
  <c r="P59" i="29"/>
  <c r="Q59" i="29" s="1"/>
  <c r="M59" i="29"/>
  <c r="L59" i="29"/>
  <c r="I59" i="29"/>
  <c r="C59" i="29"/>
  <c r="F59" i="29" s="1" a="1"/>
  <c r="F59" i="29" s="1"/>
  <c r="P58" i="29"/>
  <c r="Q58" i="29" s="1"/>
  <c r="M58" i="29"/>
  <c r="L58" i="29"/>
  <c r="I58" i="29"/>
  <c r="C58" i="29"/>
  <c r="Q57" i="29"/>
  <c r="P57" i="29"/>
  <c r="M57" i="29"/>
  <c r="L57" i="29"/>
  <c r="I57" i="29"/>
  <c r="C57" i="29"/>
  <c r="F57" i="29" s="1" a="1"/>
  <c r="F57" i="29" s="1"/>
  <c r="Q56" i="29"/>
  <c r="P56" i="29"/>
  <c r="M56" i="29"/>
  <c r="L56" i="29"/>
  <c r="I56" i="29"/>
  <c r="F56" i="29" a="1"/>
  <c r="F56" i="29" s="1"/>
  <c r="D56" i="29"/>
  <c r="C56" i="29"/>
  <c r="Q55" i="29"/>
  <c r="P55" i="29"/>
  <c r="M55" i="29"/>
  <c r="L55" i="29"/>
  <c r="I55" i="29"/>
  <c r="F55" i="29" a="1"/>
  <c r="F55" i="29" s="1"/>
  <c r="D55" i="29"/>
  <c r="C55" i="29"/>
  <c r="P54" i="29"/>
  <c r="Q54" i="29" s="1"/>
  <c r="M54" i="29"/>
  <c r="L54" i="29"/>
  <c r="I54" i="29"/>
  <c r="F54" i="29"/>
  <c r="F54" i="29" a="1"/>
  <c r="D54" i="29"/>
  <c r="C54" i="29"/>
  <c r="P53" i="29"/>
  <c r="Q53" i="29" s="1"/>
  <c r="M53" i="29"/>
  <c r="L53" i="29"/>
  <c r="I53" i="29"/>
  <c r="F53" i="29"/>
  <c r="F53" i="29" a="1"/>
  <c r="C53" i="29"/>
  <c r="D53" i="29" s="1"/>
  <c r="P52" i="29"/>
  <c r="Q52" i="29" s="1"/>
  <c r="M52" i="29"/>
  <c r="L52" i="29"/>
  <c r="I52" i="29"/>
  <c r="C52" i="29"/>
  <c r="F52" i="29" s="1" a="1"/>
  <c r="F52" i="29" s="1"/>
  <c r="P51" i="29"/>
  <c r="Q51" i="29" s="1"/>
  <c r="M51" i="29"/>
  <c r="L51" i="29"/>
  <c r="I51" i="29"/>
  <c r="C51" i="29"/>
  <c r="Q50" i="29"/>
  <c r="P50" i="29"/>
  <c r="M50" i="29"/>
  <c r="L50" i="29"/>
  <c r="I50" i="29"/>
  <c r="D50" i="29"/>
  <c r="C50" i="29"/>
  <c r="F50" i="29" s="1" a="1"/>
  <c r="F50" i="29" s="1"/>
  <c r="Q49" i="29"/>
  <c r="P49" i="29"/>
  <c r="M49" i="29"/>
  <c r="L49" i="29"/>
  <c r="I49" i="29"/>
  <c r="F49" i="29" a="1"/>
  <c r="F49" i="29" s="1"/>
  <c r="D49" i="29"/>
  <c r="C49" i="29"/>
  <c r="Q48" i="29"/>
  <c r="P48" i="29"/>
  <c r="M48" i="29"/>
  <c r="L48" i="29"/>
  <c r="I48" i="29"/>
  <c r="F48" i="29" a="1"/>
  <c r="F48" i="29" s="1"/>
  <c r="D48" i="29"/>
  <c r="C48" i="29"/>
  <c r="Q47" i="29"/>
  <c r="P47" i="29"/>
  <c r="M47" i="29"/>
  <c r="L47" i="29"/>
  <c r="I47" i="29"/>
  <c r="F47" i="29"/>
  <c r="F47" i="29" a="1"/>
  <c r="D47" i="29"/>
  <c r="C47" i="29"/>
  <c r="P46" i="29"/>
  <c r="Q46" i="29" s="1"/>
  <c r="M46" i="29"/>
  <c r="L46" i="29"/>
  <c r="I46" i="29"/>
  <c r="F46" i="29"/>
  <c r="F46" i="29" a="1"/>
  <c r="D46" i="29"/>
  <c r="C46" i="29"/>
  <c r="P45" i="29"/>
  <c r="Q45" i="29" s="1"/>
  <c r="M45" i="29"/>
  <c r="L45" i="29"/>
  <c r="I45" i="29"/>
  <c r="F45" i="29"/>
  <c r="F45" i="29" a="1"/>
  <c r="C45" i="29"/>
  <c r="D45" i="29" s="1"/>
  <c r="P44" i="29"/>
  <c r="Q44" i="29" s="1"/>
  <c r="M44" i="29"/>
  <c r="L44" i="29"/>
  <c r="I44" i="29"/>
  <c r="C44" i="29"/>
  <c r="F44" i="29" s="1" a="1"/>
  <c r="F44" i="29" s="1"/>
  <c r="Q43" i="29"/>
  <c r="P43" i="29"/>
  <c r="M43" i="29"/>
  <c r="L43" i="29"/>
  <c r="I43" i="29"/>
  <c r="C43" i="29"/>
  <c r="P42" i="29"/>
  <c r="Q42" i="29" s="1"/>
  <c r="M42" i="29"/>
  <c r="L42" i="29"/>
  <c r="I42" i="29"/>
  <c r="D42" i="29"/>
  <c r="C42" i="29"/>
  <c r="F42" i="29" s="1" a="1"/>
  <c r="F42" i="29" s="1"/>
  <c r="Q41" i="29"/>
  <c r="P41" i="29"/>
  <c r="M41" i="29"/>
  <c r="L41" i="29"/>
  <c r="I41" i="29"/>
  <c r="F41" i="29" a="1"/>
  <c r="F41" i="29" s="1"/>
  <c r="C41" i="29"/>
  <c r="D41" i="29" s="1"/>
  <c r="Q40" i="29"/>
  <c r="P40" i="29"/>
  <c r="M40" i="29"/>
  <c r="L40" i="29"/>
  <c r="I40" i="29"/>
  <c r="F40" i="29"/>
  <c r="F40" i="29" a="1"/>
  <c r="D40" i="29"/>
  <c r="C40" i="29"/>
  <c r="Q39" i="29"/>
  <c r="P39" i="29"/>
  <c r="M39" i="29"/>
  <c r="L39" i="29"/>
  <c r="I39" i="29"/>
  <c r="F39" i="29" a="1"/>
  <c r="F39" i="29" s="1"/>
  <c r="D39" i="29"/>
  <c r="C39" i="29"/>
  <c r="P38" i="29"/>
  <c r="Q38" i="29" s="1"/>
  <c r="M38" i="29"/>
  <c r="L38" i="29"/>
  <c r="I38" i="29"/>
  <c r="F38" i="29"/>
  <c r="F38" i="29" a="1"/>
  <c r="D38" i="29"/>
  <c r="C38" i="29"/>
  <c r="P37" i="29"/>
  <c r="Q37" i="29" s="1"/>
  <c r="M37" i="29"/>
  <c r="L37" i="29"/>
  <c r="I37" i="29"/>
  <c r="F37" i="29"/>
  <c r="F37" i="29" a="1"/>
  <c r="C37" i="29"/>
  <c r="D37" i="29" s="1"/>
  <c r="P36" i="29"/>
  <c r="Q36" i="29" s="1"/>
  <c r="M36" i="29"/>
  <c r="L36" i="29"/>
  <c r="I36" i="29"/>
  <c r="C36" i="29"/>
  <c r="F36" i="29" s="1" a="1"/>
  <c r="F36" i="29" s="1"/>
  <c r="P35" i="29"/>
  <c r="Q35" i="29" s="1"/>
  <c r="M35" i="29"/>
  <c r="L35" i="29"/>
  <c r="I35" i="29"/>
  <c r="C35" i="29"/>
  <c r="P34" i="29"/>
  <c r="Q34" i="29" s="1"/>
  <c r="M34" i="29"/>
  <c r="L34" i="29"/>
  <c r="I34" i="29"/>
  <c r="C34" i="29"/>
  <c r="F34" i="29" s="1" a="1"/>
  <c r="F34" i="29" s="1"/>
  <c r="Q33" i="29"/>
  <c r="P33" i="29"/>
  <c r="M33" i="29"/>
  <c r="L33" i="29"/>
  <c r="I33" i="29"/>
  <c r="C33" i="29"/>
  <c r="F33" i="29" s="1" a="1"/>
  <c r="F33" i="29" s="1"/>
  <c r="Q32" i="29"/>
  <c r="P32" i="29"/>
  <c r="M32" i="29"/>
  <c r="L32" i="29"/>
  <c r="I32" i="29"/>
  <c r="F32" i="29"/>
  <c r="F32" i="29" a="1"/>
  <c r="D32" i="29"/>
  <c r="C32" i="29"/>
  <c r="Q31" i="29"/>
  <c r="P31" i="29"/>
  <c r="M31" i="29"/>
  <c r="L31" i="29"/>
  <c r="I31" i="29"/>
  <c r="F31" i="29" a="1"/>
  <c r="F31" i="29" s="1"/>
  <c r="D31" i="29"/>
  <c r="C31" i="29"/>
  <c r="Q30" i="29"/>
  <c r="P30" i="29"/>
  <c r="M30" i="29"/>
  <c r="L30" i="29"/>
  <c r="I30" i="29"/>
  <c r="F30" i="29"/>
  <c r="F30" i="29" a="1"/>
  <c r="D30" i="29"/>
  <c r="C30" i="29"/>
  <c r="P29" i="29"/>
  <c r="Q29" i="29" s="1"/>
  <c r="M29" i="29"/>
  <c r="L29" i="29"/>
  <c r="I29" i="29"/>
  <c r="F29" i="29"/>
  <c r="F29" i="29" a="1"/>
  <c r="D29" i="29"/>
  <c r="C29" i="29"/>
  <c r="P28" i="29"/>
  <c r="Q28" i="29" s="1"/>
  <c r="M28" i="29"/>
  <c r="L28" i="29"/>
  <c r="I28" i="29"/>
  <c r="C28" i="29"/>
  <c r="F28" i="29" s="1" a="1"/>
  <c r="F28" i="29" s="1"/>
  <c r="Q27" i="29"/>
  <c r="P27" i="29"/>
  <c r="M27" i="29"/>
  <c r="L27" i="29"/>
  <c r="I27" i="29"/>
  <c r="C27" i="29"/>
  <c r="P26" i="29"/>
  <c r="Q26" i="29" s="1"/>
  <c r="M26" i="29"/>
  <c r="L26" i="29"/>
  <c r="I26" i="29"/>
  <c r="C26" i="29"/>
  <c r="F26" i="29" s="1" a="1"/>
  <c r="F26" i="29" s="1"/>
  <c r="Q25" i="29"/>
  <c r="P25" i="29"/>
  <c r="M25" i="29"/>
  <c r="L25" i="29"/>
  <c r="I25" i="29"/>
  <c r="F25" i="29" a="1"/>
  <c r="F25" i="29" s="1"/>
  <c r="C25" i="29"/>
  <c r="D25" i="29" s="1"/>
  <c r="Q24" i="29"/>
  <c r="P24" i="29"/>
  <c r="M24" i="29"/>
  <c r="L24" i="29"/>
  <c r="I24" i="29"/>
  <c r="C24" i="29"/>
  <c r="F24" i="29" s="1" a="1"/>
  <c r="F24" i="29" s="1"/>
  <c r="Q23" i="29"/>
  <c r="P23" i="29"/>
  <c r="M23" i="29"/>
  <c r="L23" i="29"/>
  <c r="I23" i="29"/>
  <c r="F23" i="29" a="1"/>
  <c r="F23" i="29" s="1"/>
  <c r="D23" i="29"/>
  <c r="C23" i="29"/>
  <c r="P22" i="29"/>
  <c r="Q22" i="29" s="1"/>
  <c r="M22" i="29"/>
  <c r="L22" i="29"/>
  <c r="I22" i="29"/>
  <c r="F22" i="29" a="1"/>
  <c r="F22" i="29" s="1"/>
  <c r="D22" i="29"/>
  <c r="C22" i="29"/>
  <c r="P21" i="29"/>
  <c r="Q21" i="29" s="1"/>
  <c r="M21" i="29"/>
  <c r="L21" i="29"/>
  <c r="I21" i="29"/>
  <c r="F21" i="29"/>
  <c r="F21" i="29" a="1"/>
  <c r="D21" i="29"/>
  <c r="C21" i="29"/>
  <c r="P20" i="29"/>
  <c r="Q20" i="29" s="1"/>
  <c r="M20" i="29"/>
  <c r="L20" i="29"/>
  <c r="I20" i="29"/>
  <c r="C20" i="29"/>
  <c r="F20" i="29" s="1" a="1"/>
  <c r="F20" i="29" s="1"/>
  <c r="P19" i="29"/>
  <c r="Q19" i="29" s="1"/>
  <c r="M19" i="29"/>
  <c r="L19" i="29"/>
  <c r="I19" i="29"/>
  <c r="C19" i="29"/>
  <c r="Q18" i="29"/>
  <c r="P18" i="29"/>
  <c r="M18" i="29"/>
  <c r="L18" i="29"/>
  <c r="I18" i="29"/>
  <c r="C18" i="29"/>
  <c r="F18" i="29" s="1" a="1"/>
  <c r="F18" i="29" s="1"/>
  <c r="P17" i="29"/>
  <c r="Q17" i="29" s="1"/>
  <c r="M17" i="29"/>
  <c r="L17" i="29"/>
  <c r="I17" i="29"/>
  <c r="C17" i="29"/>
  <c r="D17" i="29" s="1"/>
  <c r="P16" i="29"/>
  <c r="Q16" i="29" s="1"/>
  <c r="M16" i="29"/>
  <c r="L16" i="29"/>
  <c r="I16" i="29"/>
  <c r="F16" i="29" a="1"/>
  <c r="F16" i="29" s="1"/>
  <c r="D16" i="29"/>
  <c r="C16" i="29"/>
  <c r="Q15" i="29"/>
  <c r="P15" i="29"/>
  <c r="M15" i="29"/>
  <c r="L15" i="29"/>
  <c r="I15" i="29"/>
  <c r="F15" i="29" a="1"/>
  <c r="F15" i="29" s="1"/>
  <c r="C15" i="29"/>
  <c r="D15" i="29" s="1"/>
  <c r="Q14" i="29"/>
  <c r="P14" i="29"/>
  <c r="M14" i="29"/>
  <c r="L14" i="29"/>
  <c r="I14" i="29"/>
  <c r="F14" i="29"/>
  <c r="F14" i="29" a="1"/>
  <c r="D14" i="29"/>
  <c r="C14" i="29"/>
  <c r="P13" i="29"/>
  <c r="Q13" i="29" s="1"/>
  <c r="M13" i="29"/>
  <c r="L13" i="29"/>
  <c r="I13" i="29"/>
  <c r="F13" i="29"/>
  <c r="F13" i="29" a="1"/>
  <c r="D13" i="29"/>
  <c r="C13" i="29"/>
  <c r="P12" i="29"/>
  <c r="Q12" i="29" s="1"/>
  <c r="M12" i="29"/>
  <c r="L12" i="29"/>
  <c r="I12" i="29"/>
  <c r="F12" i="29"/>
  <c r="C12" i="29"/>
  <c r="F12" i="29" s="1" a="1"/>
  <c r="Q11" i="29"/>
  <c r="P11" i="29"/>
  <c r="M11" i="29"/>
  <c r="L11" i="29"/>
  <c r="I11" i="29"/>
  <c r="C11" i="29"/>
  <c r="Q10" i="29"/>
  <c r="P10" i="29"/>
  <c r="M10" i="29"/>
  <c r="L10" i="29"/>
  <c r="I10" i="29"/>
  <c r="D10" i="29"/>
  <c r="C10" i="29"/>
  <c r="F10" i="29" s="1" a="1"/>
  <c r="F10" i="29" s="1"/>
  <c r="P9" i="29"/>
  <c r="Q9" i="29" s="1"/>
  <c r="M9" i="29"/>
  <c r="L9" i="29"/>
  <c r="I9" i="29"/>
  <c r="F9" i="29" a="1"/>
  <c r="F9" i="29" s="1"/>
  <c r="D9" i="29"/>
  <c r="C9" i="29"/>
  <c r="P8" i="29"/>
  <c r="Q8" i="29" s="1"/>
  <c r="M8" i="29"/>
  <c r="L8" i="29"/>
  <c r="I8" i="29"/>
  <c r="C8" i="29"/>
  <c r="F8" i="29" s="1" a="1"/>
  <c r="F8" i="29" s="1"/>
  <c r="M7" i="29"/>
  <c r="L7" i="29"/>
  <c r="I7" i="29"/>
  <c r="P6" i="29"/>
  <c r="Q6" i="29" s="1"/>
  <c r="M6" i="29"/>
  <c r="L6" i="29"/>
  <c r="I6" i="29"/>
  <c r="E46" i="27"/>
  <c r="E42" i="27"/>
  <c r="E35" i="27"/>
  <c r="E34" i="27"/>
  <c r="E33" i="27"/>
  <c r="E32" i="27"/>
  <c r="E31" i="27"/>
  <c r="E30" i="27"/>
  <c r="D35" i="29" l="1"/>
  <c r="F35" i="29" a="1"/>
  <c r="F35" i="29" s="1"/>
  <c r="D82" i="29"/>
  <c r="F82" i="29" a="1"/>
  <c r="F82" i="29" s="1"/>
  <c r="D18" i="29"/>
  <c r="D57" i="29"/>
  <c r="D8" i="29"/>
  <c r="F17" i="29" a="1"/>
  <c r="F17" i="29" s="1"/>
  <c r="D33" i="29"/>
  <c r="D34" i="29"/>
  <c r="D81" i="29"/>
  <c r="F11" i="29" a="1"/>
  <c r="F11" i="29" s="1"/>
  <c r="D11" i="29"/>
  <c r="D27" i="29"/>
  <c r="F27" i="29" a="1"/>
  <c r="F27" i="29" s="1"/>
  <c r="F43" i="29" a="1"/>
  <c r="F43" i="29" s="1"/>
  <c r="D43" i="29"/>
  <c r="D24" i="29"/>
  <c r="D26" i="29"/>
  <c r="F74" i="29" a="1"/>
  <c r="F74" i="29" s="1"/>
  <c r="D74" i="29"/>
  <c r="D51" i="29"/>
  <c r="F51" i="29" a="1"/>
  <c r="F51" i="29" s="1"/>
  <c r="D66" i="29"/>
  <c r="F66" i="29" a="1"/>
  <c r="F66" i="29" s="1"/>
  <c r="F19" i="29" a="1"/>
  <c r="F19" i="29" s="1"/>
  <c r="D19" i="29"/>
  <c r="F58" i="29" a="1"/>
  <c r="F58" i="29" s="1"/>
  <c r="D58" i="29"/>
  <c r="D73" i="29"/>
  <c r="D90" i="29"/>
  <c r="D59" i="29"/>
  <c r="D67" i="29"/>
  <c r="D83" i="29"/>
  <c r="F98" i="29" a="1"/>
  <c r="F98" i="29" s="1"/>
  <c r="D12" i="29"/>
  <c r="D20" i="29"/>
  <c r="D28" i="29"/>
  <c r="D36" i="29"/>
  <c r="D44" i="29"/>
  <c r="D52" i="29"/>
  <c r="D60" i="29"/>
  <c r="D68" i="29"/>
  <c r="F75" i="29" a="1"/>
  <c r="F75" i="29" s="1"/>
  <c r="D76" i="29"/>
  <c r="D84" i="29"/>
  <c r="F91" i="29" a="1"/>
  <c r="F91" i="29" s="1"/>
  <c r="D92" i="29"/>
  <c r="F99" i="29" a="1"/>
  <c r="F99" i="29" s="1"/>
  <c r="D100" i="29"/>
  <c r="D77" i="29"/>
  <c r="D85" i="29"/>
  <c r="D93" i="29"/>
  <c r="P100" i="27"/>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8" i="27"/>
  <c r="P38" i="27"/>
  <c r="P37" i="27"/>
  <c r="Q37" i="27" s="1"/>
  <c r="P36" i="27"/>
  <c r="Q36" i="27" s="1"/>
  <c r="P35" i="27"/>
  <c r="Q35" i="27" s="1"/>
  <c r="Q34" i="27"/>
  <c r="P34" i="27"/>
  <c r="Q33" i="27"/>
  <c r="P33" i="27"/>
  <c r="Q32" i="27"/>
  <c r="P32" i="27"/>
  <c r="P31" i="27"/>
  <c r="Q31" i="27" s="1"/>
  <c r="P30" i="27"/>
  <c r="Q30" i="27" s="1"/>
  <c r="P29" i="27"/>
  <c r="Q29" i="27" s="1"/>
  <c r="Q28" i="27"/>
  <c r="P28" i="27"/>
  <c r="Q27" i="27"/>
  <c r="P27" i="27"/>
  <c r="Q26" i="27"/>
  <c r="P26" i="27"/>
  <c r="P25" i="27"/>
  <c r="Q25" i="27" s="1"/>
  <c r="P24" i="27"/>
  <c r="Q24" i="27" s="1"/>
  <c r="P23" i="27"/>
  <c r="Q23" i="27" s="1"/>
  <c r="Q22" i="27"/>
  <c r="P22" i="27"/>
  <c r="Q21" i="27"/>
  <c r="P21" i="27"/>
  <c r="Q20" i="27"/>
  <c r="P20" i="27"/>
  <c r="P19" i="27"/>
  <c r="Q19" i="27" s="1"/>
  <c r="P18" i="27"/>
  <c r="Q18" i="27" s="1"/>
  <c r="P17" i="27"/>
  <c r="Q17" i="27" s="1"/>
  <c r="Q16" i="27"/>
  <c r="P16" i="27"/>
  <c r="Q15" i="27"/>
  <c r="P15" i="27"/>
  <c r="Q14" i="27"/>
  <c r="P14" i="27"/>
  <c r="P13" i="27"/>
  <c r="Q13" i="27" s="1"/>
  <c r="P12" i="27"/>
  <c r="Q12" i="27" s="1"/>
  <c r="P11" i="27"/>
  <c r="Q11" i="27" s="1"/>
  <c r="Q10" i="27"/>
  <c r="P10" i="27"/>
  <c r="Q9" i="27"/>
  <c r="P9" i="27"/>
  <c r="Q8" i="27"/>
  <c r="P8" i="27"/>
  <c r="P7" i="27"/>
  <c r="Q7" i="27" s="1"/>
  <c r="P6" i="27"/>
  <c r="Q6" i="27" s="1"/>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<sst xmlns="http://schemas.openxmlformats.org/spreadsheetml/2006/main" count="1259" uniqueCount="350">
  <si>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</si>
  <si>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</si>
  <si>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</si>
  <si>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</si>
  <si>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</si>
  <si>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</si>
  <si>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</si>
  <si>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</si>
  <si>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</si>
  <si>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</si>
  <si>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</si>
  <si>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</si>
  <si>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</si>
  <si>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</si>
  <si>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</si>
  <si>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</si>
  <si>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</si>
  <si>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</si>
  <si>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</si>
  <si>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</si>
  <si>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</si>
  <si>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</si>
  <si>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</si>
  <si>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</si>
  <si>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</si>
  <si>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</si>
  <si>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</si>
  <si>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</si>
  <si>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</si>
  <si>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</si>
  <si>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</si>
  <si>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</si>
  <si>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</si>
  <si>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</si>
  <si>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</si>
  <si>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</si>
  <si>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</si>
  <si>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</si>
  <si>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</si>
  <si>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</si>
  <si>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</si>
  <si>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</si>
  <si>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</si>
  <si>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</si>
  <si>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</si>
  <si>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</si>
  <si>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</si>
  <si>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</si>
  <si>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</si>
  <si>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</si>
  <si>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</si>
  <si>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</si>
  <si>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</si>
  <si>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</si>
  <si>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</si>
  <si>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</si>
  <si>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</si>
  <si>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</si>
  <si>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</si>
  <si>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</si>
  <si>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</si>
  <si>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</si>
  <si>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</si>
  <si>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</si>
  <si>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</si>
  <si>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</si>
  <si>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</si>
  <si>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</si>
  <si>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</si>
  <si>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</si>
  <si>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</si>
  <si>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</si>
  <si>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</si>
  <si>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</si>
  <si>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</si>
  <si>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</si>
  <si>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</si>
  <si>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</si>
  <si>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</si>
  <si>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</si>
  <si>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</si>
  <si>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</si>
  <si>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</si>
  <si>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</si>
  <si>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</si>
  <si>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</si>
  <si>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</si>
  <si>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</si>
  <si>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</si>
  <si>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</si>
  <si>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</si>
  <si>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</si>
  <si>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</si>
  <si>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</si>
  <si>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</si>
  <si>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</si>
  <si>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</si>
  <si>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</si>
  <si>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</si>
  <si>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</si>
  <si>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</si>
  <si>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</si>
  <si>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</si>
  <si>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</si>
  <si>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</si>
  <si>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</si>
  <si>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</si>
  <si>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</si>
  <si>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</si>
  <si>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</si>
  <si>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</si>
  <si>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</si>
  <si>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</si>
  <si>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</si>
  <si>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</si>
  <si>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</si>
  <si>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</si>
  <si>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</si>
  <si>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</si>
  <si>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</si>
  <si>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</si>
  <si>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</si>
  <si>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</si>
  <si>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</si>
  <si>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</si>
  <si>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</si>
  <si>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</si>
  <si>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</si>
  <si>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</si>
  <si>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</si>
  <si>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</si>
  <si>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</si>
  <si>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</si>
  <si>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</si>
  <si>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</si>
  <si>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</si>
  <si>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</si>
  <si>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</si>
  <si>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</si>
  <si>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</si>
  <si>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</si>
  <si>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</si>
  <si>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</si>
  <si>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</si>
  <si>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</si>
  <si>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</si>
  <si>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</si>
  <si>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</si>
  <si>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</si>
  <si>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</si>
  <si>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</si>
  <si>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</si>
  <si>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</si>
  <si>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</si>
  <si>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</si>
  <si>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</si>
  <si>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</si>
  <si>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</si>
  <si>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</si>
  <si>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</si>
  <si>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</si>
  <si>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</si>
  <si>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</si>
  <si>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</si>
  <si>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</si>
  <si>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</si>
  <si>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</si>
  <si>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</si>
  <si>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</si>
  <si>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</si>
  <si>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</si>
  <si>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</si>
  <si>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</si>
  <si>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</si>
  <si>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</si>
  <si>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</si>
  <si>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</si>
  <si>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</si>
  <si>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</si>
  <si>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</si>
  <si>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</si>
  <si>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</si>
  <si>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</si>
  <si>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</si>
  <si>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</si>
  <si>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</si>
  <si>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</si>
  <si>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</si>
  <si>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</si>
  <si>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</si>
  <si>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</si>
  <si>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</si>
  <si>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</si>
  <si>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</si>
  <si>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</si>
  <si>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</si>
  <si>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</si>
  <si>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</si>
  <si>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</si>
  <si>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</si>
  <si>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</si>
  <si>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</si>
  <si>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</si>
  <si>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</si>
  <si>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</si>
  <si>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</si>
  <si>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</si>
  <si>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</si>
  <si>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</si>
  <si>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</si>
  <si>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</si>
  <si>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</si>
  <si>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</si>
  <si>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</si>
  <si>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</si>
  <si>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</si>
  <si>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</si>
  <si>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</si>
  <si>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</si>
  <si>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</si>
  <si>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</si>
  <si>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</si>
  <si>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</si>
  <si>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</si>
  <si>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</si>
  <si>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</si>
  <si>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</si>
  <si>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</si>
  <si>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</si>
  <si>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</si>
  <si>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</si>
  <si>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</si>
  <si>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</si>
  <si>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</si>
  <si>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</si>
  <si>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</si>
  <si>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</si>
  <si>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</si>
  <si>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</si>
  <si>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</si>
  <si>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</si>
  <si>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</si>
  <si>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</si>
  <si>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</si>
  <si>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</si>
  <si>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</si>
  <si>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</si>
  <si>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</si>
  <si>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</si>
  <si>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</si>
  <si>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</si>
  <si>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</si>
  <si>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</si>
  <si>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</si>
  <si>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</si>
  <si>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</si>
  <si>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</si>
  <si>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</si>
  <si>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</si>
  <si>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</si>
  <si>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</si>
  <si>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</si>
  <si>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</si>
  <si>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</si>
  <si>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</si>
  <si>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</si>
  <si>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</si>
  <si>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</si>
  <si>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</si>
  <si>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</si>
  <si>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</si>
  <si>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</si>
  <si>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</si>
  <si>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</si>
  <si>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</si>
  <si>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</si>
  <si>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</si>
  <si>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</si>
  <si>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</si>
  <si>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</si>
  <si>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</si>
  <si>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</si>
  <si>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</si>
  <si>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</si>
  <si>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</si>
  <si>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</si>
  <si>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</si>
  <si>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</si>
  <si>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</si>
  <si>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</si>
  <si>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</si>
  <si>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</si>
  <si>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</si>
  <si>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</si>
  <si>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</si>
  <si>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</si>
  <si>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</si>
  <si>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</si>
  <si>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</si>
  <si>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</si>
  <si>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</si>
  <si>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</si>
  <si>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</si>
  <si>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</si>
  <si>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</si>
  <si>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</si>
  <si>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</si>
  <si>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</si>
  <si>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</si>
  <si>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</si>
  <si>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</si>
  <si>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</si>
  <si>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</si>
  <si>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</si>
  <si>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</si>
  <si>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</si>
  <si>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</si>
  <si>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</si>
  <si>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</si>
  <si>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</si>
  <si>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</si>
  <si>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</si>
  <si>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</si>
  <si>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</si>
  <si>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</si>
  <si>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</si>
  <si>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</si>
  <si>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</si>
  <si>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</si>
  <si>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</si>
  <si>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</si>
  <si>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</si>
  <si>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</si>
  <si>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</si>
  <si>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</si>
  <si>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</si>
  <si>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</si>
  <si>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</si>
  <si>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</si>
  <si>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</si>
  <si>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</si>
  <si>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</si>
  <si>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</si>
  <si>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</si>
  <si>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</si>
  <si>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</si>
  <si>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</si>
  <si>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</si>
  <si>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</si>
  <si>
    <t>Fuel production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</si>
</sst>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52">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51" dataDxfId="150" tableBorderDxfId="149" dataCellStyle="Percent">
  <autoFilter ref="A5:T100" xr:uid="{1644AED8-49DE-4A1D-989C-1566C9A522B9}"/>
  <tableColumns count="20">
    <tableColumn id="1" xr3:uid="{3C4E83C1-4DAF-4B93-AE9A-B658DBA43631}" name="Type" dataDxfId="148"/>
    <tableColumn id="2" xr3:uid="{7AC9B54E-C457-49EC-A7D6-0ED656B6CFE9}" name="Category" dataDxfId="147"/>
    <tableColumn id="3" xr3:uid="{350F9A14-F368-49FE-AF21-19555EB999FB}" name="Resource" dataDxfId="146">
      <calculatedColumnFormula>_xlfn.XLOOKUP($B6,'SI - Resources'!$A$1:$J$1,'SI - Resources'!$A$2:$J$2, "")</calculatedColumnFormula>
    </tableColumn>
    <tableColumn id="4" xr3:uid="{A0B55D89-6640-4C29-88AC-93188C5097C5}" name="End Use" dataDxfId="145">
      <calculatedColumnFormula>IF(_xlfn.XLOOKUP($C6,'SI - End Use'!$B$2:$B$6,'SI - End Use'!$C$2:$C$6, "")="", "", _xlfn.XLOOKUP($C6,'SI - End Use'!$B$2:$B$6,'SI - End Use'!$C$2:$C$6, ""))</calculatedColumnFormula>
    </tableColumn>
    <tableColumn id="5" xr3:uid="{5ADDDF1D-4510-4428-A882-8D5C8F52BE8C}" name="Amount" dataDxfId="144" dataCellStyle="Comma"/>
    <tableColumn id="6" xr3:uid="{341D427F-5F42-4F22-98AD-9D6883E4330B}" name="Unit" dataDxfId="143">
      <calculatedColumnFormula array="1">IF($B6="Transportation",  'SI - Units'!$B$9:$B$9, _xlfn.XLOOKUP(_xlfn.XLOOKUP($C6,'SI - Units'!$B$24:$B$109,'SI - Units'!$C$24:$C$109, ""),'SI - Units'!$A$2:$A$8,'SI - Units'!$B$2:$B$8, ""))</calculatedColumnFormula>
    </tableColumn>
    <tableColumn id="7" xr3:uid="{515C4DB0-B187-40B1-8F47-45FF3483AEC1}" name="Moisture" dataDxfId="142" dataCellStyle="Percent"/>
    <tableColumn id="8" xr3:uid="{294BC856-42BB-4049-BD49-6A865E88E771}" name="Previous Stage" dataDxfId="141" dataCellStyle="Percent"/>
    <tableColumn id="9" xr3:uid="{CDA23678-EB57-4035-9101-F29AA45C63EE}" name="Always Use Displacement Method for Co-Product?" dataDxfId="140" dataCellStyle="Percent">
      <calculatedColumnFormula>IF(Table1[[#This Row],[Type]]="Co-product", "No", "")</calculatedColumnFormula>
    </tableColumn>
    <tableColumn id="19" xr3:uid="{9ACBBA67-4B7F-43A7-9CF8-0FBB7B61A832}" name="Urban Share" dataDxfId="139" dataCellStyle="Percent"/>
    <tableColumn id="10" xr3:uid="{0E5BF4B8-8667-40EE-B9EF-BC9E06D72AAB}" name="Product Train" dataDxfId="138"/>
    <tableColumn id="14" xr3:uid="{D99A9C54-A8C3-4803-A70D-4659D5193A9A}" name="Payload" dataDxfId="137">
      <calculatedColumnFormula>IF(Table1[[#This Row],[Category]]="Transportation", _xlfn.XLOOKUP(Table1[[#This Row],[Resource]], 'SI - Payload'!$A$10:$A$38,'SI - Payload'!$B$10:$B$38,"",0), "")</calculatedColumnFormula>
    </tableColumn>
    <tableColumn id="15" xr3:uid="{3BF278AE-6D04-4ABA-AACE-E651957B5676}" name="Payload Unit" dataDxfId="136">
      <calculatedColumnFormula>IF(Table1[[#This Row],[Category]]="Transportation", "ton", "")</calculatedColumnFormula>
    </tableColumn>
    <tableColumn id="16" xr3:uid="{B4587E16-116C-48C2-B897-34EA45D2B5E2}" name="Market Price" dataDxfId="135"/>
    <tableColumn id="17" xr3:uid="{CFF030DD-8740-4448-85CE-69419CA7344D}" name="Market Price Unit" dataDxfId="134"/>
    <tableColumn id="12" xr3:uid="{0A5A1CE9-5C17-482C-ACCA-BB3BA789761E}" name="Incumbent Product" dataDxfId="133">
      <calculatedColumnFormula>IF(OR(Table1[[#This Row],[Type]]="Main Product", Table1[[#This Row],[Type]]="Co-Product"), Table1[[#This Row],[Resource]], "")</calculatedColumnFormula>
    </tableColumn>
    <tableColumn id="13" xr3:uid="{A8C514D4-4EE9-4BFC-A5D9-1A3B1C61CAF3}" name="End Use of Incumbent Product" dataDxfId="132">
      <calculatedColumnFormula>IF(_xlfn.XLOOKUP($P6,'SI - End Use'!$B$2:$B$6,'SI - End Use'!$C$2:$C$6, "")="", "", _xlfn.XLOOKUP($C6,'SI - End Use'!$B$2:$B$6,'SI - End Use'!$C$2:$C$6, ""))</calculatedColumnFormula>
    </tableColumn>
    <tableColumn id="20" xr3:uid="{3D510D5D-99B7-4EB4-8590-3620FE598E5C}" name="Surrogate For" dataDxfId="131"/>
    <tableColumn id="18" xr3:uid="{1AFBF91D-E45D-442D-BA06-D58B0AE7953E}" name="Process" dataDxfId="130"/>
    <tableColumn id="11" xr3:uid="{34D8D993-53F9-46B7-8FE9-32F1A6F2DFD2}" name="Note" dataDxfId="1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28" dataDxfId="127">
  <autoFilter ref="A1:K53" xr:uid="{BF352F56-F627-4A8D-9B22-DA497E2644FC}"/>
  <tableColumns count="11">
    <tableColumn id="1" xr3:uid="{B4C1BEA4-EC08-4542-9BC0-5CAC3303F1DE}" name="Biomass" dataDxfId="126"/>
    <tableColumn id="8" xr3:uid="{CA09F49F-4D37-4D57-9F64-66042BBFCAF3}" name="Waste" dataDxfId="125"/>
    <tableColumn id="2" xr3:uid="{16936180-7E0F-4E08-BEC7-75346859C647}" name="Process fuel" dataDxfId="124"/>
    <tableColumn id="6" xr3:uid="{8ABA29FD-C6B0-4B51-8840-E17193E077EC}" name="Electricity" dataDxfId="123"/>
    <tableColumn id="3" xr3:uid="{C1A34163-30E4-47F2-BE75-A919CC80E9BF}" name="Chemicals and catalysts" dataDxfId="122"/>
    <tableColumn id="4" xr3:uid="{CA7E12F4-CA42-4C30-8167-75EC0AE0646A}" name="Water" dataDxfId="121"/>
    <tableColumn id="9" xr3:uid="{6ADE4401-0F6C-4911-9721-036C8287FC6F}" name="Infrastructure" dataDxfId="120"/>
    <tableColumn id="7" xr3:uid="{C235CCC4-A94E-464B-AE35-96309F90FA7A}" name="Transportation" dataDxfId="119"/>
    <tableColumn id="10" xr3:uid="{C8DE9AE9-442D-497B-B981-79FAEF638C23}" name="Other" dataDxfId="118"/>
    <tableColumn id="5" xr3:uid="{FBD24046-BCD6-418A-8FDF-2918685E10CE}" name="Emissions and sequestration" dataDxfId="117"/>
    <tableColumn id="11" xr3:uid="{B559EE47-EDB5-47AD-9A10-77802A08495D}" name="Placeholder"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15"/>
    <tableColumn id="4" xr3:uid="{066E5028-FE97-46DD-94DD-3F5362889CC8}" name="Column4" dataDxfId="114"/>
    <tableColumn id="5" xr3:uid="{518CF11D-9FC1-41DC-A48E-08F72F35ADAA}" name="Column5" dataDxfId="11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12">
  <autoFilter ref="A1:R10" xr:uid="{A38095DD-9874-4EE7-A8C2-2706165CCEBD}"/>
  <tableColumns count="18">
    <tableColumn id="1" xr3:uid="{65B7BBF3-4BCE-43A4-9B03-83AE412598EC}" name="Column1"/>
    <tableColumn id="2" xr3:uid="{FFDF068B-D532-4DC4-904E-48D00A60A52E}" name="Column2" dataDxfId="111"/>
    <tableColumn id="3" xr3:uid="{22885E79-E7D2-4EEE-B0A6-74B1C5779681}" name="Column3" dataDxfId="110"/>
    <tableColumn id="4" xr3:uid="{C1DEFD79-EA05-47FD-8251-B29B3BCC06B2}" name="Column4" dataDxfId="109"/>
    <tableColumn id="5" xr3:uid="{29AEEBB1-E43B-4691-B73C-A8FA6D80443C}" name="Column5" dataDxfId="108"/>
    <tableColumn id="6" xr3:uid="{CC08C1F9-C485-4200-A0F9-C8E59BA65B97}" name="Column6" dataDxfId="107"/>
    <tableColumn id="7" xr3:uid="{6C28381F-6253-4E2E-A800-FF075582292A}" name="Column7" dataDxfId="106"/>
    <tableColumn id="8" xr3:uid="{CA3D0B6B-B24F-4751-A1CE-28D7D0B98174}" name="Column8" dataDxfId="105"/>
    <tableColumn id="9" xr3:uid="{7057E753-ED12-407E-950F-CC59E808A2BF}" name="Column9" dataDxfId="10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03">
  <autoFilter ref="B23:C109" xr:uid="{09147A22-E822-45D3-B3C2-ABDDF48EE5E6}"/>
  <tableColumns count="2">
    <tableColumn id="1" xr3:uid="{CDC0A0AC-3BED-4650-82CE-403A1BF28367}" name="Column1" dataDxfId="102"/>
    <tableColumn id="2" xr3:uid="{B6F8A3B9-3868-4A35-8F6E-BA3E60A1529E}" name="Column2" dataDxfId="10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00">
  <autoFilter ref="A12:R20" xr:uid="{B01EA81C-1645-4ED3-BEC5-6C5396237E43}"/>
  <tableColumns count="18">
    <tableColumn id="1" xr3:uid="{821EE498-6278-4E39-82EF-1F47FBA85A36}" name="Column1"/>
    <tableColumn id="2" xr3:uid="{E81954FF-60B7-4ABD-BC14-40676F73AA3E}" name="Column2" dataDxfId="99">
      <calculatedColumnFormula>IF(B2&lt;&gt;"","$/"&amp;B2, "")</calculatedColumnFormula>
    </tableColumn>
    <tableColumn id="3" xr3:uid="{A15329FC-BC0D-46AE-9A0E-F4CFE0FF184A}" name="Column3" dataDxfId="98">
      <calculatedColumnFormula>IF(C2&lt;&gt;"","$/"&amp;C2, "")</calculatedColumnFormula>
    </tableColumn>
    <tableColumn id="4" xr3:uid="{2197BCF8-40A1-4D22-B05E-D0E1CBFBA215}" name="Column4" dataDxfId="97">
      <calculatedColumnFormula>IF(D2&lt;&gt;"","$/"&amp;D2, "")</calculatedColumnFormula>
    </tableColumn>
    <tableColumn id="5" xr3:uid="{3DAF72F2-745A-4FCF-BD44-BDC825984018}" name="Column5" dataDxfId="96">
      <calculatedColumnFormula>IF(E2&lt;&gt;"","$/"&amp;E2, "")</calculatedColumnFormula>
    </tableColumn>
    <tableColumn id="6" xr3:uid="{820E7353-19C6-4D63-B444-F7CAC7BF01AA}" name="Column6" dataDxfId="95">
      <calculatedColumnFormula>IF(F2&lt;&gt;"","$/"&amp;F2, "")</calculatedColumnFormula>
    </tableColumn>
    <tableColumn id="7" xr3:uid="{91F510E8-B638-43EB-BA78-D4632DA66CD4}" name="Column7" dataDxfId="94">
      <calculatedColumnFormula>IF(G2&lt;&gt;"","$/"&amp;G2, "")</calculatedColumnFormula>
    </tableColumn>
    <tableColumn id="8" xr3:uid="{9CD4EFF6-953E-4257-A2B2-041DCDDBD0BB}" name="Column8" dataDxfId="93">
      <calculatedColumnFormula>IF(H2&lt;&gt;"","$/"&amp;H2, "")</calculatedColumnFormula>
    </tableColumn>
    <tableColumn id="9" xr3:uid="{E1D1E2ED-A567-4428-8C9E-5EE867B5D225}" name="Column9" dataDxfId="9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91" dataDxfId="90" tableBorderDxfId="89" dataCellStyle="Percent">
  <autoFilter ref="A5:T100" xr:uid="{1644AED8-49DE-4A1D-989C-1566C9A522B9}"/>
  <tableColumns count="20">
    <tableColumn id="1" xr3:uid="{5C14494A-D5A7-4384-9BE6-EDADB9A49DA1}" name="Type" dataDxfId="88"/>
    <tableColumn id="2" xr3:uid="{F94EBBB0-529F-4367-99F4-F6B804F6F878}" name="Category" dataDxfId="87"/>
    <tableColumn id="3" xr3:uid="{6C3E8C27-720F-41E8-BDA3-20546064E67C}" name="Resource" dataDxfId="86">
      <calculatedColumnFormula>_xlfn.XLOOKUP($B6,'SI - Resources'!$A$1:$J$1,'SI - Resources'!$A$2:$J$2, "")</calculatedColumnFormula>
    </tableColumn>
    <tableColumn id="4" xr3:uid="{80894DA5-C440-42BB-97D8-9AEF3AA250DD}" name="End Use" dataDxfId="85">
      <calculatedColumnFormula>IF(_xlfn.XLOOKUP($C6,'SI - End Use'!$B$2:$B$6,'SI - End Use'!$C$2:$C$6, "")="", "", _xlfn.XLOOKUP($C6,'SI - End Use'!$B$2:$B$6,'SI - End Use'!$C$2:$C$6, ""))</calculatedColumnFormula>
    </tableColumn>
    <tableColumn id="5" xr3:uid="{50BB472B-3F35-4DC8-ACAB-87021B22A300}" name="Amount" dataDxfId="84" dataCellStyle="Comma"/>
    <tableColumn id="6" xr3:uid="{3BDD631E-6A2A-477E-913A-FC12253EBDD8}" name="Unit" dataDxfId="83">
      <calculatedColumnFormula array="1">IF($B6="Transportation",  'SI - Units'!$B$9:$B$9, _xlfn.XLOOKUP(_xlfn.XLOOKUP($C6,'SI - Units'!$B$24:$B$109,'SI - Units'!$C$24:$C$109, ""),'SI - Units'!$A$2:$A$8,'SI - Units'!$B$2:$B$8, ""))</calculatedColumnFormula>
    </tableColumn>
    <tableColumn id="7" xr3:uid="{4EE01B06-D222-4508-9931-902C581EFD90}" name="Moisture" dataDxfId="82" dataCellStyle="Percent"/>
    <tableColumn id="8" xr3:uid="{879CDC5A-148F-41D3-B45D-581A8E16F835}" name="Previous Stage" dataDxfId="81" dataCellStyle="Percent"/>
    <tableColumn id="9" xr3:uid="{2FD75FD6-A83C-4987-8E58-16B844248EE9}" name="Always Use Displacement Method for Co-Product?" dataDxfId="80" dataCellStyle="Percent">
      <calculatedColumnFormula>IF(Table13[[#This Row],[Type]]="Co-product", "No", "")</calculatedColumnFormula>
    </tableColumn>
    <tableColumn id="19" xr3:uid="{BD732883-5BF3-4D37-BB10-6CB6B03919F0}" name="Urban Share" dataDxfId="79" dataCellStyle="Percent"/>
    <tableColumn id="10" xr3:uid="{3AA89217-79AB-4F5A-B091-69D6E899927A}" name="Product Train" dataDxfId="78"/>
    <tableColumn id="14" xr3:uid="{F774A1BE-A8A8-4EF3-905C-D88A0E72F164}" name="Payload" dataDxfId="77">
      <calculatedColumnFormula>IF(Table13[[#This Row],[Category]]="Transportation", _xlfn.XLOOKUP(Table13[[#This Row],[Resource]], 'SI - Payload'!$A$10:$A$38,'SI - Payload'!$B$10:$B$38,"",0), "")</calculatedColumnFormula>
    </tableColumn>
    <tableColumn id="15" xr3:uid="{C77A7084-E87F-4DC1-A74F-23CB22D0AE8F}" name="Payload Unit" dataDxfId="76">
      <calculatedColumnFormula>IF(Table13[[#This Row],[Category]]="Transportation", "ton", "")</calculatedColumnFormula>
    </tableColumn>
    <tableColumn id="16" xr3:uid="{08EFBD21-F842-4EF6-A0D1-BD7F8826982F}" name="Market Price" dataDxfId="75"/>
    <tableColumn id="17" xr3:uid="{596024E1-87A9-47FC-90C3-A3DAE4E4656A}" name="Market Price Unit" dataDxfId="74"/>
    <tableColumn id="12" xr3:uid="{BF096D49-8C78-41C5-9009-134C663215AA}" name="Incumbent Product" dataDxfId="73">
      <calculatedColumnFormula>IF(OR(Table13[[#This Row],[Type]]="Main Product", Table13[[#This Row],[Type]]="Co-Product"), Table13[[#This Row],[Resource]], "")</calculatedColumnFormula>
    </tableColumn>
    <tableColumn id="13" xr3:uid="{D157D649-42B4-4A10-8A48-6B5B954B9033}" name="End Use of Incumbent Product" dataDxfId="72">
      <calculatedColumnFormula>IF(_xlfn.XLOOKUP($P6,'SI - End Use'!$B$2:$B$6,'SI - End Use'!$C$2:$C$6, "")="", "", _xlfn.XLOOKUP($C6,'SI - End Use'!$B$2:$B$6,'SI - End Use'!$C$2:$C$6, ""))</calculatedColumnFormula>
    </tableColumn>
    <tableColumn id="20" xr3:uid="{9A0C68B5-2C00-453B-BD44-6EB353C48AAA}" name="Surrogate For" dataDxfId="71"/>
    <tableColumn id="18" xr3:uid="{D6CB4ECB-3E2A-49E9-8839-1D66505226AC}" name="Process" dataDxfId="70"/>
    <tableColumn id="11" xr3:uid="{FC977AEA-8815-4A56-875B-A0E729B5481B}" name="Note"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68" dataDxfId="67" tableBorderDxfId="66" dataCellStyle="Percent">
  <autoFilter ref="A5:T100" xr:uid="{1644AED8-49DE-4A1D-989C-1566C9A522B9}"/>
  <tableColumns count="20">
    <tableColumn id="1" xr3:uid="{B1E1B899-7802-451D-B0BD-A67CF42B043E}" name="Type" dataDxfId="65"/>
    <tableColumn id="2" xr3:uid="{A3FEACC3-FE0C-4E49-8BAE-FFF8C11C1D14}" name="Category" dataDxfId="64"/>
    <tableColumn id="3" xr3:uid="{D451C217-D78B-4598-8C0F-6C0C609A5FC5}" name="Resource" dataDxfId="63">
      <calculatedColumnFormula>_xlfn.XLOOKUP($B6,'SI - Resources'!$A$1:$J$1,'SI - Resources'!$A$2:$J$2, "")</calculatedColumnFormula>
    </tableColumn>
    <tableColumn id="4" xr3:uid="{8B094D5C-54AF-40FA-8AE8-7B0CC956B140}" name="End Use" dataDxfId="62">
      <calculatedColumnFormula>IF(_xlfn.XLOOKUP($C6,'SI - End Use'!$B$2:$B$6,'SI - End Use'!$C$2:$C$6, "")="", "", _xlfn.XLOOKUP($C6,'SI - End Use'!$B$2:$B$6,'SI - End Use'!$C$2:$C$6, ""))</calculatedColumnFormula>
    </tableColumn>
    <tableColumn id="5" xr3:uid="{F975F8E8-419C-4756-848A-8A0809237B5D}" name="Amount" dataDxfId="61" dataCellStyle="Comma"/>
    <tableColumn id="6" xr3:uid="{E9851DFF-EDF1-4386-8A51-02564BC99C5E}" name="Unit" dataDxfId="60">
      <calculatedColumnFormula array="1">IF($B6="Transportation",  'SI - Units'!$B$9:$B$9, _xlfn.XLOOKUP(_xlfn.XLOOKUP($C6,'SI - Units'!$B$24:$B$109,'SI - Units'!$C$24:$C$109, ""),'SI - Units'!$A$2:$A$8,'SI - Units'!$B$2:$B$8, ""))</calculatedColumnFormula>
    </tableColumn>
    <tableColumn id="7" xr3:uid="{84BCCC58-E141-4607-B0A1-1D384CAED6C1}" name="Moisture" dataDxfId="59" dataCellStyle="Percent"/>
    <tableColumn id="8" xr3:uid="{0DF5961B-A6FC-499F-8D53-FC3E0E60EABE}" name="Previous Stage" dataDxfId="58" dataCellStyle="Percent"/>
    <tableColumn id="9" xr3:uid="{6470BAD5-A74B-4AA4-AFDA-3219877865CC}" name="Always Use Displacement Method for Co-Product?" dataDxfId="57" dataCellStyle="Percent">
      <calculatedColumnFormula>IF(Table16[[#This Row],[Type]]="Co-product", "No", "")</calculatedColumnFormula>
    </tableColumn>
    <tableColumn id="19" xr3:uid="{C496D3CD-1497-40E5-80D5-0E172FA0BA77}" name="Urban Share" dataDxfId="56" dataCellStyle="Percent"/>
    <tableColumn id="10" xr3:uid="{2F8F8D32-BD83-45FE-8E8A-14A62AA4B315}" name="Product Train" dataDxfId="55"/>
    <tableColumn id="14" xr3:uid="{A458546C-B2B9-4366-B1F2-73D7EB6494B6}" name="Payload" dataDxfId="54">
      <calculatedColumnFormula>IF(Table16[[#This Row],[Category]]="Transportation", _xlfn.XLOOKUP(Table16[[#This Row],[Resource]], 'SI - Payload'!$A$10:$A$38,'SI - Payload'!$B$10:$B$38,"",0), "")</calculatedColumnFormula>
    </tableColumn>
    <tableColumn id="15" xr3:uid="{E2DBB816-FE1C-4500-9B1A-3516CFD6290D}" name="Payload Unit" dataDxfId="53">
      <calculatedColumnFormula>IF(Table16[[#This Row],[Category]]="Transportation", "ton", "")</calculatedColumnFormula>
    </tableColumn>
    <tableColumn id="16" xr3:uid="{FBBBA95E-D41A-444E-83E9-EEE504DB1F2D}" name="Market Price" dataDxfId="52"/>
    <tableColumn id="17" xr3:uid="{369ADA6E-B476-40AF-A3C1-5AE5E5D65121}" name="Market Price Unit" dataDxfId="51"/>
    <tableColumn id="12" xr3:uid="{BEC45118-CA98-421F-BDDA-E5A856A7032A}" name="Incumbent Product" dataDxfId="50">
      <calculatedColumnFormula>IF(OR(Table16[[#This Row],[Type]]="Main Product", Table16[[#This Row],[Type]]="Co-Product"), Table16[[#This Row],[Resource]], "")</calculatedColumnFormula>
    </tableColumn>
    <tableColumn id="13" xr3:uid="{BD99A87C-6C98-4C77-B3F1-3A9B7B1CCA69}" name="End Use of Incumbent Product" dataDxfId="49">
      <calculatedColumnFormula>IF(_xlfn.XLOOKUP($P6,'SI - End Use'!$B$2:$B$6,'SI - End Use'!$C$2:$C$6, "")="", "", _xlfn.XLOOKUP($C6,'SI - End Use'!$B$2:$B$6,'SI - End Use'!$C$2:$C$6, ""))</calculatedColumnFormula>
    </tableColumn>
    <tableColumn id="20" xr3:uid="{F4B88114-3F6B-4BB1-8DF2-98CAD3DCF8A1}" name="Surrogate For" dataDxfId="48"/>
    <tableColumn id="18" xr3:uid="{1B350A15-5218-4FED-8933-C6C3C59C7344}" name="Process" dataDxfId="47"/>
    <tableColumn id="11" xr3:uid="{9FC10FF8-5B7F-4AC1-9BE2-D5A083E424B6}" name="Note" dataDxfId="4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45" dataDxfId="44" tableBorderDxfId="43" dataCellStyle="Percent">
  <autoFilter ref="A5:T100" xr:uid="{1644AED8-49DE-4A1D-989C-1566C9A522B9}"/>
  <tableColumns count="20">
    <tableColumn id="1" xr3:uid="{7EC87DCF-6251-4240-8F5B-613BAEF8BA4B}" name="Type" dataDxfId="42"/>
    <tableColumn id="2" xr3:uid="{7AC0C941-5EB1-4638-9442-07880AFAF357}" name="Category" dataDxfId="41"/>
    <tableColumn id="3" xr3:uid="{1B45774A-C5D3-4D10-B2DA-216965E9899D}" name="Resource" dataDxfId="40">
      <calculatedColumnFormula>_xlfn.XLOOKUP($B6,'SI - Resources'!$A$1:$J$1,'SI - Resources'!$A$2:$J$2, "")</calculatedColumnFormula>
    </tableColumn>
    <tableColumn id="4" xr3:uid="{35598BF0-9968-441A-ABE9-F58557295222}" name="End Use" dataDxfId="39">
      <calculatedColumnFormula>IF(_xlfn.XLOOKUP($C6,'SI - End Use'!$B$2:$B$6,'SI - End Use'!$C$2:$C$6, "")="", "", _xlfn.XLOOKUP($C6,'SI - End Use'!$B$2:$B$6,'SI - End Use'!$C$2:$C$6, ""))</calculatedColumnFormula>
    </tableColumn>
    <tableColumn id="5" xr3:uid="{8035282C-79EC-4419-940C-3B6F900FFA3E}" name="Amount" dataDxfId="38" dataCellStyle="Comma"/>
    <tableColumn id="6" xr3:uid="{7C2A0CDC-E90A-4876-A5C7-2266AF76E97C}" name="Unit" dataDxfId="37">
      <calculatedColumnFormula array="1">IF($B6="Transportation",  'SI - Units'!$B$9:$B$9, _xlfn.XLOOKUP(_xlfn.XLOOKUP($C6,'SI - Units'!$B$24:$B$109,'SI - Units'!$C$24:$C$109, ""),'SI - Units'!$A$2:$A$8,'SI - Units'!$B$2:$B$8, ""))</calculatedColumnFormula>
    </tableColumn>
    <tableColumn id="7" xr3:uid="{EC75E85E-569B-43DF-8ED0-E379204277B4}" name="Moisture" dataDxfId="36" dataCellStyle="Percent"/>
    <tableColumn id="8" xr3:uid="{258DAE84-6B7A-4825-A31A-5FAF2A05FEA9}" name="Previous Stage" dataDxfId="35" dataCellStyle="Percent"/>
    <tableColumn id="9" xr3:uid="{E940E76D-BC8A-427B-B344-DF1CA98194F2}" name="Always Use Displacement Method for Co-Product?" dataDxfId="34" dataCellStyle="Percent">
      <calculatedColumnFormula>IF(Table18[[#This Row],[Type]]="Co-product", "No", "")</calculatedColumnFormula>
    </tableColumn>
    <tableColumn id="19" xr3:uid="{65188A55-96A3-4170-9979-895D73E06177}" name="Urban Share" dataDxfId="33" dataCellStyle="Percent"/>
    <tableColumn id="10" xr3:uid="{C5725508-0FEE-4E75-9FC8-0A5432055E95}" name="Product Train" dataDxfId="32"/>
    <tableColumn id="14" xr3:uid="{ED6BF890-118D-4EA1-8C69-9E40D89D5BEB}" name="Payload" dataDxfId="31">
      <calculatedColumnFormula>IF(Table18[[#This Row],[Category]]="Transportation", _xlfn.XLOOKUP(Table18[[#This Row],[Resource]], 'SI - Payload'!$A$10:$A$38,'SI - Payload'!$B$10:$B$38,"",0), "")</calculatedColumnFormula>
    </tableColumn>
    <tableColumn id="15" xr3:uid="{D8B65983-31C2-4034-99F3-E8D2D54315EE}" name="Payload Unit" dataDxfId="30">
      <calculatedColumnFormula>IF(Table18[[#This Row],[Category]]="Transportation", "ton", "")</calculatedColumnFormula>
    </tableColumn>
    <tableColumn id="16" xr3:uid="{4F619B10-A0F1-4F2D-9FB1-BEE7A0D75C77}" name="Market Price" dataDxfId="29"/>
    <tableColumn id="17" xr3:uid="{207A3310-A728-4407-8642-5DB0B22BA967}" name="Market Price Unit" dataDxfId="28"/>
    <tableColumn id="12" xr3:uid="{7AAF70B5-6A10-48A8-AE77-DB21B9A4EE34}" name="Incumbent Product" dataDxfId="27">
      <calculatedColumnFormula>IF(OR(Table18[[#This Row],[Type]]="Main Product", Table18[[#This Row],[Type]]="Co-Product"), Table18[[#This Row],[Resource]], "")</calculatedColumnFormula>
    </tableColumn>
    <tableColumn id="13" xr3:uid="{529148C2-24C4-4201-8E6F-6B9D17834397}" name="End Use of Incumbent Product" dataDxfId="26">
      <calculatedColumnFormula>IF(_xlfn.XLOOKUP($P6,'SI - End Use'!$B$2:$B$6,'SI - End Use'!$C$2:$C$6, "")="", "", _xlfn.XLOOKUP($C6,'SI - End Use'!$B$2:$B$6,'SI - End Use'!$C$2:$C$6, ""))</calculatedColumnFormula>
    </tableColumn>
    <tableColumn id="20" xr3:uid="{64C311FB-4D25-4B48-8EDA-06F9BDFE5349}" name="Surrogate For" dataDxfId="25"/>
    <tableColumn id="18" xr3:uid="{3B4B9B49-1686-4899-8730-B1D785FEB379}" name="Process" dataDxfId="24"/>
    <tableColumn id="11" xr3:uid="{8CF0C64D-66C0-4CFD-95B3-9813C6B6127C}" name="Note" dataDxfId="2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4C7317C-46F4-4447-AE37-02CCF0752E5F}" name="Table112" displayName="Table112" ref="A5:T100" totalsRowShown="0" headerRowDxfId="22" dataDxfId="21" tableBorderDxfId="20" dataCellStyle="Percent">
  <autoFilter ref="A5:T100" xr:uid="{1644AED8-49DE-4A1D-989C-1566C9A522B9}"/>
  <tableColumns count="20">
    <tableColumn id="1" xr3:uid="{27BA47F4-2858-4A2B-93AE-B43E2DD5897E}" name="Type" dataDxfId="19"/>
    <tableColumn id="2" xr3:uid="{E2A56930-7E8E-454F-B0AD-79DFA7E11680}" name="Category" dataDxfId="18"/>
    <tableColumn id="3" xr3:uid="{4FC63169-E45B-4848-BB2F-31E6FD5C9359}" name="Resource" dataDxfId="17">
      <calculatedColumnFormula>_xlfn.XLOOKUP($B6,'SI - Resources'!$A$1:$J$1,'SI - Resources'!$A$2:$J$2, "")</calculatedColumnFormula>
    </tableColumn>
    <tableColumn id="4" xr3:uid="{6F7114AB-7930-4077-A080-94EED9B5450A}" name="End Use" dataDxfId="16">
      <calculatedColumnFormula>IF(_xlfn.XLOOKUP($C6,'SI - End Use'!$B$2:$B$6,'SI - End Use'!$C$2:$C$6, "")="", "", _xlfn.XLOOKUP($C6,'SI - End Use'!$B$2:$B$6,'SI - End Use'!$C$2:$C$6, ""))</calculatedColumnFormula>
    </tableColumn>
    <tableColumn id="5" xr3:uid="{E92B5C7E-E3F5-4565-A61D-D9A26FF36EB0}" name="Amount" dataDxfId="15" dataCellStyle="Comma"/>
    <tableColumn id="6" xr3:uid="{90DE3C52-4B6D-4C23-B0D0-3194023D8E45}" name="Unit" dataDxfId="14">
      <calculatedColumnFormula array="1">IF($B6="Transportation",  'SI - Units'!$B$9:$B$9, _xlfn.XLOOKUP(_xlfn.XLOOKUP($C6,'SI - Units'!$B$24:$B$109,'SI - Units'!$C$24:$C$109, ""),'SI - Units'!$A$2:$A$8,'SI - Units'!$B$2:$B$8, ""))</calculatedColumnFormula>
    </tableColumn>
    <tableColumn id="7" xr3:uid="{6574AF84-C2B2-4B4F-AADD-E55AF5E8ACD7}" name="Moisture" dataDxfId="13" dataCellStyle="Percent"/>
    <tableColumn id="8" xr3:uid="{9B68D3F8-010F-41DA-9FE7-55C5B934DBFB}" name="Previous Stage" dataDxfId="12" dataCellStyle="Percent"/>
    <tableColumn id="9" xr3:uid="{CBB90C88-306C-447E-BA63-3CCABD63A2AF}" name="Always Use Displacement Method for Co-Product?" dataDxfId="11" dataCellStyle="Percent">
      <calculatedColumnFormula>IF(Table112[[#This Row],[Type]]="Co-product", "No", "")</calculatedColumnFormula>
    </tableColumn>
    <tableColumn id="19" xr3:uid="{FDEE240E-13E3-45A6-BF02-05AD85C50996}" name="Urban Share" dataDxfId="10" dataCellStyle="Percent"/>
    <tableColumn id="10" xr3:uid="{1FC05E29-781E-4EFD-87E9-AD1CD491366F}" name="Product Train" dataDxfId="9"/>
    <tableColumn id="14" xr3:uid="{2DAF2264-AEAF-427D-ACC8-97A09522C2B2}" name="Payload" dataDxfId="8">
      <calculatedColumnFormula>IF(Table112[[#This Row],[Category]]="Transportation", _xlfn.XLOOKUP(Table112[[#This Row],[Resource]], 'SI - Payload'!$A$10:$A$38,'SI - Payload'!$B$10:$B$38,"",0), "")</calculatedColumnFormula>
    </tableColumn>
    <tableColumn id="15" xr3:uid="{073FF9F7-EF2F-450E-8501-449FDE820097}" name="Payload Unit" dataDxfId="7">
      <calculatedColumnFormula>IF(Table112[[#This Row],[Category]]="Transportation", "ton", "")</calculatedColumnFormula>
    </tableColumn>
    <tableColumn id="16" xr3:uid="{F7DCEEE5-76B6-4A19-8FE1-B225F9F81617}" name="Market Price" dataDxfId="6"/>
    <tableColumn id="17" xr3:uid="{A65ABA09-580A-4BAF-A4CC-FCC343A9B917}" name="Market Price Unit" dataDxfId="5"/>
    <tableColumn id="12" xr3:uid="{5225F87A-312C-4E33-8A6E-59A8B1E186A1}" name="Incumbent Product" dataDxfId="4">
      <calculatedColumnFormula>IF(OR(Table112[[#This Row],[Type]]="Main Product", Table112[[#This Row],[Type]]="Co-Product"), Table112[[#This Row],[Resource]], "")</calculatedColumnFormula>
    </tableColumn>
    <tableColumn id="13" xr3:uid="{6500AF9D-64D7-4B2C-88A7-C2E28662C054}" name="End Use of Incumbent Product" dataDxfId="3">
      <calculatedColumnFormula>IF(_xlfn.XLOOKUP($P6,'SI - End Use'!$B$2:$B$6,'SI - End Use'!$C$2:$C$6, "")="", "", _xlfn.XLOOKUP($C6,'SI - End Use'!$B$2:$B$6,'SI - End Use'!$C$2:$C$6, ""))</calculatedColumnFormula>
    </tableColumn>
    <tableColumn id="20" xr3:uid="{D1C76156-9545-49D4-BBB1-5CC666FE5030}" name="Surrogate For" dataDxfId="2"/>
    <tableColumn id="18" xr3:uid="{CFFB5BE3-BAA7-4B7C-AF2E-8278DFFF5FAB}" name="Process" dataDxfId="1"/>
    <tableColumn id="11" xr3:uid="{46E6F4EB-9A7A-474E-9E95-BD5A52C73C4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3" t="s">
        <v>261</v>
      </c>
      <c r="B2" s="63"/>
    </row>
    <row r="3" spans="1:3" ht="29.15" customHeight="1" x14ac:dyDescent="0.35">
      <c r="A3" s="65" t="s">
        <v>274</v>
      </c>
      <c r="B3" s="65"/>
    </row>
    <row r="4" spans="1:3" ht="28" customHeight="1" x14ac:dyDescent="0.35">
      <c r="A4" s="19"/>
      <c r="B4" s="19"/>
    </row>
    <row r="5" spans="1:3" ht="28" customHeight="1" x14ac:dyDescent="0.35">
      <c r="A5" s="64" t="s">
        <v>260</v>
      </c>
      <c r="B5" s="64"/>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G2" sqref="G2"/>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tabSelected="1" workbookViewId="0">
      <pane ySplit="5" topLeftCell="A6" activePane="bottomLeft" state="frozen"/>
      <selection activeCell="C19" sqref="C19"/>
      <selection pane="bottomLeft" activeCell="T6" sqref="T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x14ac:dyDescent="0.35">
      <c r="A7" s="6" t="s">
        <v>0</v>
      </c>
      <c r="B7" s="6" t="s">
        <v>3</v>
      </c>
      <c r="C7" s="6" t="s">
        <v>3</v>
      </c>
      <c r="D7" s="6" t="s">
        <v>10</v>
      </c>
      <c r="E7" s="61">
        <v>1.6131362008370701E-3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workbookViewId="0">
      <pane ySplit="5" topLeftCell="A6" activePane="bottomLeft" state="frozen"/>
      <selection activeCell="C19" sqref="C19"/>
      <selection pane="bottomLeft" activeCell="E11" sqref="E1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282</v>
      </c>
      <c r="C6" s="6" t="s">
        <v>283</v>
      </c>
      <c r="D6" s="6" t="s">
        <v>337</v>
      </c>
      <c r="E6" s="60">
        <v>2.41896770102215E-2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282</v>
      </c>
      <c r="C7" s="6" t="s">
        <v>284</v>
      </c>
      <c r="D7" s="6" t="s">
        <v>337</v>
      </c>
      <c r="E7" s="60">
        <v>9.675870804088585E-4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0</v>
      </c>
      <c r="B8" s="6" t="s">
        <v>282</v>
      </c>
      <c r="C8" s="6" t="s">
        <v>285</v>
      </c>
      <c r="D8" s="6" t="s">
        <v>337</v>
      </c>
      <c r="E8" s="60">
        <v>5.4184876502896074E-3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x14ac:dyDescent="0.35">
      <c r="A9" s="6" t="s">
        <v>0</v>
      </c>
      <c r="B9" s="6" t="s">
        <v>282</v>
      </c>
      <c r="C9" s="6" t="s">
        <v>286</v>
      </c>
      <c r="D9" s="6" t="s">
        <v>337</v>
      </c>
      <c r="E9" s="60">
        <v>3.3865547814310049E-3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t="s">
        <v>0</v>
      </c>
      <c r="B10" s="6" t="s">
        <v>3</v>
      </c>
      <c r="C10" s="6" t="s">
        <v>3</v>
      </c>
      <c r="D10" s="6" t="s">
        <v>10</v>
      </c>
      <c r="E10" s="62">
        <v>0.60306643952299832</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t="s">
        <v>257</v>
      </c>
      <c r="B11" s="6" t="s">
        <v>245</v>
      </c>
      <c r="C11" s="6" t="s">
        <v>228</v>
      </c>
      <c r="D11" s="6" t="s">
        <v>337</v>
      </c>
      <c r="E11" s="62">
        <v>2.2252810902896099</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x14ac:dyDescent="0.35">
      <c r="A13" s="6" t="s">
        <v>0</v>
      </c>
      <c r="B13" s="6" t="s">
        <v>37</v>
      </c>
      <c r="C13" s="6" t="s">
        <v>14</v>
      </c>
      <c r="D13" s="6" t="s">
        <v>337</v>
      </c>
      <c r="E13" s="60">
        <v>2.0034071550255501E-2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t="s">
        <v>0</v>
      </c>
      <c r="B14" s="6" t="s">
        <v>37</v>
      </c>
      <c r="C14" s="6" t="s">
        <v>287</v>
      </c>
      <c r="D14" s="6" t="s">
        <v>337</v>
      </c>
      <c r="E14" s="12">
        <v>9.6763202725724026E-3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zoomScale="90" zoomScaleNormal="90" workbookViewId="0">
      <pane ySplit="5" topLeftCell="A18" activePane="bottomLeft" state="frozen"/>
      <selection activeCell="C19" sqref="C19"/>
      <selection pane="bottomLeft" activeCell="D39" sqref="D3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288</v>
      </c>
      <c r="D6" s="6" t="s">
        <v>337</v>
      </c>
      <c r="E6" s="12">
        <v>15987</v>
      </c>
      <c r="F6" s="6" t="s">
        <v>58</v>
      </c>
      <c r="G6" s="25"/>
      <c r="H6" s="25" t="s">
        <v>340</v>
      </c>
      <c r="I6" s="26" t="s">
        <v>337</v>
      </c>
      <c r="J6" s="25"/>
      <c r="K6" s="6" t="s">
        <v>86</v>
      </c>
      <c r="L6" s="6" t="s">
        <v>337</v>
      </c>
      <c r="M6" s="6"/>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37</v>
      </c>
      <c r="C7" s="6" t="s">
        <v>106</v>
      </c>
      <c r="D7" s="6" t="s">
        <v>337</v>
      </c>
      <c r="E7" s="12">
        <v>1420</v>
      </c>
      <c r="F7" s="6" t="s">
        <v>58</v>
      </c>
      <c r="G7" s="25">
        <v>7.0000000000000007E-2</v>
      </c>
      <c r="H7" s="25"/>
      <c r="I7" s="26" t="s">
        <v>337</v>
      </c>
      <c r="J7" s="25"/>
      <c r="K7" s="6" t="s">
        <v>86</v>
      </c>
      <c r="L7" s="6" t="s">
        <v>337</v>
      </c>
      <c r="M7" s="6"/>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37</v>
      </c>
      <c r="C8" s="6" t="s">
        <v>14</v>
      </c>
      <c r="D8" s="6" t="s">
        <v>337</v>
      </c>
      <c r="E8" s="12">
        <v>459</v>
      </c>
      <c r="F8" s="6" t="s">
        <v>58</v>
      </c>
      <c r="G8" s="25"/>
      <c r="H8" s="25"/>
      <c r="I8" s="26" t="s">
        <v>337</v>
      </c>
      <c r="J8" s="25"/>
      <c r="K8" s="6" t="s">
        <v>86</v>
      </c>
      <c r="L8" s="6" t="s">
        <v>337</v>
      </c>
      <c r="M8" s="6"/>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37</v>
      </c>
      <c r="C9" s="6" t="s">
        <v>289</v>
      </c>
      <c r="D9" s="6" t="s">
        <v>337</v>
      </c>
      <c r="E9" s="12">
        <v>84</v>
      </c>
      <c r="F9" s="6" t="s">
        <v>58</v>
      </c>
      <c r="G9" s="25"/>
      <c r="H9" s="25"/>
      <c r="I9" s="26" t="s">
        <v>337</v>
      </c>
      <c r="J9" s="25"/>
      <c r="K9" s="6" t="s">
        <v>86</v>
      </c>
      <c r="L9" s="6" t="s">
        <v>337</v>
      </c>
      <c r="M9" s="6"/>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0</v>
      </c>
      <c r="B10" s="6" t="s">
        <v>37</v>
      </c>
      <c r="C10" s="6" t="s">
        <v>87</v>
      </c>
      <c r="D10" s="6" t="s">
        <v>337</v>
      </c>
      <c r="E10" s="12">
        <v>34</v>
      </c>
      <c r="F10" s="6" t="s">
        <v>58</v>
      </c>
      <c r="G10" s="25"/>
      <c r="H10" s="25"/>
      <c r="I10" s="26" t="s">
        <v>337</v>
      </c>
      <c r="J10" s="25"/>
      <c r="K10" s="6" t="s">
        <v>86</v>
      </c>
      <c r="L10" s="6" t="s">
        <v>337</v>
      </c>
      <c r="M10" s="6"/>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35">
      <c r="A11" s="6" t="s">
        <v>0</v>
      </c>
      <c r="B11" s="6" t="s">
        <v>37</v>
      </c>
      <c r="C11" s="6" t="s">
        <v>290</v>
      </c>
      <c r="D11" s="6" t="s">
        <v>337</v>
      </c>
      <c r="E11" s="12">
        <v>46</v>
      </c>
      <c r="F11" s="6" t="s">
        <v>58</v>
      </c>
      <c r="G11" s="25"/>
      <c r="H11" s="25"/>
      <c r="I11" s="26" t="s">
        <v>337</v>
      </c>
      <c r="J11" s="25"/>
      <c r="K11" s="6" t="s">
        <v>86</v>
      </c>
      <c r="L11" s="6" t="s">
        <v>337</v>
      </c>
      <c r="M11" s="6"/>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t="s">
        <v>0</v>
      </c>
      <c r="B12" s="6" t="s">
        <v>37</v>
      </c>
      <c r="C12" s="6" t="s">
        <v>293</v>
      </c>
      <c r="D12" s="6"/>
      <c r="E12" s="12">
        <v>5</v>
      </c>
      <c r="F12" s="6" t="s">
        <v>58</v>
      </c>
      <c r="G12" s="25"/>
      <c r="H12" s="25"/>
      <c r="I12" s="26" t="s">
        <v>337</v>
      </c>
      <c r="J12" s="25"/>
      <c r="K12" s="6" t="s">
        <v>86</v>
      </c>
      <c r="L12" s="6" t="s">
        <v>337</v>
      </c>
      <c r="M12" s="6"/>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t="s">
        <v>0</v>
      </c>
      <c r="B13" s="6" t="s">
        <v>37</v>
      </c>
      <c r="C13" s="6" t="s">
        <v>294</v>
      </c>
      <c r="D13" s="6"/>
      <c r="E13" s="12">
        <v>9</v>
      </c>
      <c r="F13" s="6" t="s">
        <v>58</v>
      </c>
      <c r="G13" s="25"/>
      <c r="H13" s="25"/>
      <c r="I13" s="26" t="s">
        <v>337</v>
      </c>
      <c r="J13" s="25"/>
      <c r="K13" s="6" t="s">
        <v>86</v>
      </c>
      <c r="L13" s="6" t="s">
        <v>337</v>
      </c>
      <c r="M13" s="6"/>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t="s">
        <v>0</v>
      </c>
      <c r="B14" s="6" t="s">
        <v>37</v>
      </c>
      <c r="C14" s="6" t="s">
        <v>15</v>
      </c>
      <c r="D14" s="6"/>
      <c r="E14" s="12">
        <v>721</v>
      </c>
      <c r="F14" s="6" t="s">
        <v>58</v>
      </c>
      <c r="G14" s="25"/>
      <c r="H14" s="25"/>
      <c r="I14" s="26" t="s">
        <v>337</v>
      </c>
      <c r="J14" s="25"/>
      <c r="K14" s="6" t="s">
        <v>113</v>
      </c>
      <c r="L14" s="6" t="s">
        <v>337</v>
      </c>
      <c r="M14" s="6"/>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t="s">
        <v>0</v>
      </c>
      <c r="B15" s="6" t="s">
        <v>37</v>
      </c>
      <c r="C15" s="6" t="s">
        <v>287</v>
      </c>
      <c r="D15" s="6" t="s">
        <v>337</v>
      </c>
      <c r="E15" s="12">
        <v>75</v>
      </c>
      <c r="F15" s="6" t="s">
        <v>58</v>
      </c>
      <c r="G15" s="25"/>
      <c r="H15" s="25"/>
      <c r="I15" s="26" t="s">
        <v>337</v>
      </c>
      <c r="J15" s="25"/>
      <c r="K15" s="6" t="s">
        <v>113</v>
      </c>
      <c r="L15" s="6" t="s">
        <v>337</v>
      </c>
      <c r="M15" s="6"/>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t="s">
        <v>0</v>
      </c>
      <c r="B16" s="6" t="s">
        <v>37</v>
      </c>
      <c r="C16" s="6" t="s">
        <v>298</v>
      </c>
      <c r="D16" s="6" t="s">
        <v>337</v>
      </c>
      <c r="E16" s="12">
        <v>1</v>
      </c>
      <c r="F16" s="6" t="s">
        <v>58</v>
      </c>
      <c r="G16" s="25"/>
      <c r="H16" s="25"/>
      <c r="I16" s="26" t="s">
        <v>337</v>
      </c>
      <c r="J16" s="25"/>
      <c r="K16" s="6" t="s">
        <v>113</v>
      </c>
      <c r="L16" s="6" t="s">
        <v>337</v>
      </c>
      <c r="M16" s="6"/>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t="s">
        <v>0</v>
      </c>
      <c r="B17" s="6" t="s">
        <v>37</v>
      </c>
      <c r="C17" s="6" t="s">
        <v>18</v>
      </c>
      <c r="D17" s="6" t="s">
        <v>337</v>
      </c>
      <c r="E17" s="12">
        <v>64</v>
      </c>
      <c r="F17" s="6" t="s">
        <v>58</v>
      </c>
      <c r="G17" s="25"/>
      <c r="H17" s="25"/>
      <c r="I17" s="26" t="s">
        <v>337</v>
      </c>
      <c r="J17" s="25"/>
      <c r="K17" s="6" t="s">
        <v>113</v>
      </c>
      <c r="L17" s="6" t="s">
        <v>337</v>
      </c>
      <c r="M17" s="6"/>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t="s">
        <v>0</v>
      </c>
      <c r="B18" s="6" t="s">
        <v>37</v>
      </c>
      <c r="C18" s="6" t="s">
        <v>289</v>
      </c>
      <c r="D18" s="6" t="s">
        <v>337</v>
      </c>
      <c r="E18" s="12">
        <v>1</v>
      </c>
      <c r="F18" s="6" t="s">
        <v>58</v>
      </c>
      <c r="G18" s="25"/>
      <c r="H18" s="25"/>
      <c r="I18" s="26" t="s">
        <v>337</v>
      </c>
      <c r="J18" s="25"/>
      <c r="K18" s="6" t="s">
        <v>113</v>
      </c>
      <c r="L18" s="6" t="s">
        <v>337</v>
      </c>
      <c r="M18" s="6"/>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t="s">
        <v>0</v>
      </c>
      <c r="B19" s="6" t="s">
        <v>37</v>
      </c>
      <c r="C19" s="6" t="s">
        <v>299</v>
      </c>
      <c r="D19" s="6" t="s">
        <v>337</v>
      </c>
      <c r="E19" s="12">
        <v>0</v>
      </c>
      <c r="F19" s="6" t="s">
        <v>58</v>
      </c>
      <c r="G19" s="25"/>
      <c r="H19" s="25"/>
      <c r="I19" s="26" t="s">
        <v>337</v>
      </c>
      <c r="J19" s="25"/>
      <c r="K19" s="6" t="s">
        <v>113</v>
      </c>
      <c r="L19" s="6" t="s">
        <v>337</v>
      </c>
      <c r="M19" s="6"/>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t="s">
        <v>0</v>
      </c>
      <c r="B20" s="6" t="s">
        <v>37</v>
      </c>
      <c r="C20" s="6" t="s">
        <v>300</v>
      </c>
      <c r="D20" s="6" t="s">
        <v>337</v>
      </c>
      <c r="E20" s="12">
        <v>0</v>
      </c>
      <c r="F20" s="6" t="s">
        <v>58</v>
      </c>
      <c r="G20" s="25"/>
      <c r="H20" s="25"/>
      <c r="I20" s="26" t="s">
        <v>337</v>
      </c>
      <c r="J20" s="25"/>
      <c r="K20" s="6" t="s">
        <v>113</v>
      </c>
      <c r="L20" s="6" t="s">
        <v>337</v>
      </c>
      <c r="M20" s="6"/>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t="s">
        <v>0</v>
      </c>
      <c r="B21" s="6" t="s">
        <v>244</v>
      </c>
      <c r="C21" s="6" t="s">
        <v>309</v>
      </c>
      <c r="D21" s="6"/>
      <c r="E21" s="12">
        <v>107</v>
      </c>
      <c r="F21" s="6" t="s">
        <v>58</v>
      </c>
      <c r="G21" s="25"/>
      <c r="H21" s="25"/>
      <c r="I21" s="26" t="s">
        <v>337</v>
      </c>
      <c r="J21" s="25"/>
      <c r="K21" s="6" t="s">
        <v>113</v>
      </c>
      <c r="L21" s="6" t="s">
        <v>337</v>
      </c>
      <c r="M21" s="6"/>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t="s">
        <v>0</v>
      </c>
      <c r="B22" s="6" t="s">
        <v>37</v>
      </c>
      <c r="C22" s="6" t="s">
        <v>297</v>
      </c>
      <c r="D22" s="6"/>
      <c r="E22" s="12">
        <v>0.23</v>
      </c>
      <c r="F22" s="6" t="s">
        <v>58</v>
      </c>
      <c r="G22" s="25"/>
      <c r="H22" s="25"/>
      <c r="I22" s="26" t="s">
        <v>337</v>
      </c>
      <c r="J22" s="25"/>
      <c r="K22" s="6" t="s">
        <v>113</v>
      </c>
      <c r="L22" s="6" t="s">
        <v>337</v>
      </c>
      <c r="M22" s="6"/>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t="s">
        <v>0</v>
      </c>
      <c r="B23" s="6" t="s">
        <v>37</v>
      </c>
      <c r="C23" s="6" t="s">
        <v>301</v>
      </c>
      <c r="D23" s="6"/>
      <c r="E23" s="12">
        <v>347</v>
      </c>
      <c r="F23" s="6" t="s">
        <v>58</v>
      </c>
      <c r="G23" s="25"/>
      <c r="H23" s="25"/>
      <c r="I23" s="26" t="s">
        <v>337</v>
      </c>
      <c r="J23" s="25"/>
      <c r="K23" s="6" t="s">
        <v>85</v>
      </c>
      <c r="L23" s="6" t="s">
        <v>337</v>
      </c>
      <c r="M23" s="6"/>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t="s">
        <v>0</v>
      </c>
      <c r="B24" s="6" t="s">
        <v>37</v>
      </c>
      <c r="C24" s="6" t="s">
        <v>302</v>
      </c>
      <c r="D24" s="6" t="s">
        <v>337</v>
      </c>
      <c r="E24" s="12">
        <v>549</v>
      </c>
      <c r="F24" s="6" t="s">
        <v>58</v>
      </c>
      <c r="G24" s="25"/>
      <c r="H24" s="25"/>
      <c r="I24" s="26" t="s">
        <v>337</v>
      </c>
      <c r="J24" s="25"/>
      <c r="K24" s="6" t="s">
        <v>85</v>
      </c>
      <c r="L24" s="6" t="s">
        <v>337</v>
      </c>
      <c r="M24" s="6"/>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t="s">
        <v>0</v>
      </c>
      <c r="B25" s="6" t="s">
        <v>37</v>
      </c>
      <c r="C25" s="6" t="s">
        <v>310</v>
      </c>
      <c r="D25" s="6" t="s">
        <v>337</v>
      </c>
      <c r="E25" s="12">
        <v>52</v>
      </c>
      <c r="F25" s="6" t="s">
        <v>58</v>
      </c>
      <c r="G25" s="25"/>
      <c r="H25" s="25"/>
      <c r="I25" s="26" t="s">
        <v>337</v>
      </c>
      <c r="J25" s="25"/>
      <c r="K25" s="6" t="s">
        <v>85</v>
      </c>
      <c r="L25" s="6" t="s">
        <v>337</v>
      </c>
      <c r="M25" s="6"/>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t="s">
        <v>0</v>
      </c>
      <c r="B26" s="6" t="s">
        <v>37</v>
      </c>
      <c r="C26" s="6" t="s">
        <v>305</v>
      </c>
      <c r="D26" s="6" t="s">
        <v>337</v>
      </c>
      <c r="E26" s="12">
        <v>953</v>
      </c>
      <c r="F26" s="6" t="s">
        <v>58</v>
      </c>
      <c r="G26" s="25"/>
      <c r="H26" s="25"/>
      <c r="I26" s="26" t="s">
        <v>337</v>
      </c>
      <c r="J26" s="25"/>
      <c r="K26" s="6" t="s">
        <v>85</v>
      </c>
      <c r="L26" s="6" t="s">
        <v>337</v>
      </c>
      <c r="M26" s="6"/>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t="s">
        <v>0</v>
      </c>
      <c r="B27" s="6" t="s">
        <v>37</v>
      </c>
      <c r="C27" s="6" t="s">
        <v>306</v>
      </c>
      <c r="D27" s="6" t="s">
        <v>337</v>
      </c>
      <c r="E27" s="12">
        <v>9</v>
      </c>
      <c r="F27" s="6" t="s">
        <v>58</v>
      </c>
      <c r="G27" s="25"/>
      <c r="H27" s="25"/>
      <c r="I27" s="26" t="s">
        <v>337</v>
      </c>
      <c r="J27" s="25"/>
      <c r="K27" s="6" t="s">
        <v>85</v>
      </c>
      <c r="L27" s="6" t="s">
        <v>337</v>
      </c>
      <c r="M27" s="6"/>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t="s">
        <v>0</v>
      </c>
      <c r="B28" s="6" t="s">
        <v>37</v>
      </c>
      <c r="C28" s="6" t="s">
        <v>307</v>
      </c>
      <c r="D28" s="6" t="s">
        <v>337</v>
      </c>
      <c r="E28" s="12">
        <v>17</v>
      </c>
      <c r="F28" s="6" t="s">
        <v>58</v>
      </c>
      <c r="G28" s="25"/>
      <c r="H28" s="25"/>
      <c r="I28" s="26" t="s">
        <v>337</v>
      </c>
      <c r="J28" s="25"/>
      <c r="K28" s="6" t="s">
        <v>85</v>
      </c>
      <c r="L28" s="6" t="s">
        <v>337</v>
      </c>
      <c r="M28" s="6"/>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t="s">
        <v>0</v>
      </c>
      <c r="B29" s="6" t="s">
        <v>37</v>
      </c>
      <c r="C29" s="6" t="s">
        <v>303</v>
      </c>
      <c r="D29" s="6" t="s">
        <v>337</v>
      </c>
      <c r="E29" s="12">
        <v>9</v>
      </c>
      <c r="F29" s="6" t="s">
        <v>58</v>
      </c>
      <c r="G29" s="25"/>
      <c r="H29" s="25"/>
      <c r="I29" s="26" t="s">
        <v>337</v>
      </c>
      <c r="J29" s="25"/>
      <c r="K29" s="6" t="s">
        <v>85</v>
      </c>
      <c r="L29" s="6" t="s">
        <v>337</v>
      </c>
      <c r="M29" s="6"/>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t="s">
        <v>0</v>
      </c>
      <c r="B30" s="6" t="s">
        <v>244</v>
      </c>
      <c r="C30" s="6" t="s">
        <v>24</v>
      </c>
      <c r="D30" s="6" t="s">
        <v>31</v>
      </c>
      <c r="E30" s="12">
        <f>944*0.5</f>
        <v>472</v>
      </c>
      <c r="F30" s="6" t="s">
        <v>58</v>
      </c>
      <c r="G30" s="25"/>
      <c r="H30" s="25"/>
      <c r="I30" s="26" t="s">
        <v>337</v>
      </c>
      <c r="J30" s="25"/>
      <c r="K30" s="6" t="s">
        <v>86</v>
      </c>
      <c r="L30" s="6" t="s">
        <v>337</v>
      </c>
      <c r="M30" s="6"/>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t="s">
        <v>0</v>
      </c>
      <c r="B31" s="6" t="s">
        <v>244</v>
      </c>
      <c r="C31" s="6" t="s">
        <v>24</v>
      </c>
      <c r="D31" s="6" t="s">
        <v>31</v>
      </c>
      <c r="E31" s="12">
        <f>120*0.5</f>
        <v>60</v>
      </c>
      <c r="F31" s="6" t="s">
        <v>58</v>
      </c>
      <c r="G31" s="25"/>
      <c r="H31" s="25"/>
      <c r="I31" s="26" t="s">
        <v>337</v>
      </c>
      <c r="J31" s="25"/>
      <c r="K31" s="6" t="s">
        <v>113</v>
      </c>
      <c r="L31" s="6" t="s">
        <v>337</v>
      </c>
      <c r="M31" s="6"/>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t="s">
        <v>0</v>
      </c>
      <c r="B32" s="6" t="s">
        <v>244</v>
      </c>
      <c r="C32" s="6" t="s">
        <v>24</v>
      </c>
      <c r="D32" s="6" t="s">
        <v>31</v>
      </c>
      <c r="E32" s="12">
        <f>914*0.5</f>
        <v>457</v>
      </c>
      <c r="F32" s="6" t="s">
        <v>58</v>
      </c>
      <c r="G32" s="25"/>
      <c r="H32" s="25"/>
      <c r="I32" s="26" t="s">
        <v>337</v>
      </c>
      <c r="J32" s="25"/>
      <c r="K32" s="6" t="s">
        <v>85</v>
      </c>
      <c r="L32" s="6" t="s">
        <v>337</v>
      </c>
      <c r="M32" s="6"/>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t="s">
        <v>0</v>
      </c>
      <c r="B33" s="6" t="s">
        <v>244</v>
      </c>
      <c r="C33" s="6" t="s">
        <v>24</v>
      </c>
      <c r="D33" s="6" t="s">
        <v>42</v>
      </c>
      <c r="E33" s="12">
        <f>944*0.5</f>
        <v>472</v>
      </c>
      <c r="F33" s="6" t="s">
        <v>58</v>
      </c>
      <c r="G33" s="25"/>
      <c r="H33" s="25"/>
      <c r="I33" s="26" t="s">
        <v>337</v>
      </c>
      <c r="J33" s="25"/>
      <c r="K33" s="6" t="s">
        <v>86</v>
      </c>
      <c r="L33" s="6" t="s">
        <v>337</v>
      </c>
      <c r="M33" s="6"/>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t="s">
        <v>0</v>
      </c>
      <c r="B34" s="6" t="s">
        <v>244</v>
      </c>
      <c r="C34" s="6" t="s">
        <v>24</v>
      </c>
      <c r="D34" s="6" t="s">
        <v>42</v>
      </c>
      <c r="E34" s="12">
        <f>120*0.5</f>
        <v>60</v>
      </c>
      <c r="F34" s="6" t="s">
        <v>58</v>
      </c>
      <c r="G34" s="25"/>
      <c r="H34" s="25"/>
      <c r="I34" s="26" t="s">
        <v>337</v>
      </c>
      <c r="J34" s="25"/>
      <c r="K34" s="6" t="s">
        <v>113</v>
      </c>
      <c r="L34" s="6" t="s">
        <v>337</v>
      </c>
      <c r="M34" s="6"/>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t="s">
        <v>0</v>
      </c>
      <c r="B35" s="6" t="s">
        <v>244</v>
      </c>
      <c r="C35" s="6" t="s">
        <v>24</v>
      </c>
      <c r="D35" s="6" t="s">
        <v>42</v>
      </c>
      <c r="E35" s="12">
        <f>914*0.5</f>
        <v>457</v>
      </c>
      <c r="F35" s="6" t="s">
        <v>58</v>
      </c>
      <c r="G35" s="25"/>
      <c r="H35" s="25"/>
      <c r="I35" s="26" t="s">
        <v>337</v>
      </c>
      <c r="J35" s="25"/>
      <c r="K35" s="6" t="s">
        <v>85</v>
      </c>
      <c r="L35" s="6" t="s">
        <v>337</v>
      </c>
      <c r="M35" s="6"/>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t="s">
        <v>0</v>
      </c>
      <c r="B36" s="6" t="s">
        <v>29</v>
      </c>
      <c r="C36" s="6" t="s">
        <v>29</v>
      </c>
      <c r="D36" s="6" t="s">
        <v>337</v>
      </c>
      <c r="E36" s="12">
        <v>47769</v>
      </c>
      <c r="F36" s="6" t="s">
        <v>58</v>
      </c>
      <c r="G36" s="25"/>
      <c r="H36" s="25"/>
      <c r="I36" s="26" t="s">
        <v>337</v>
      </c>
      <c r="J36" s="25"/>
      <c r="K36" s="6" t="s">
        <v>86</v>
      </c>
      <c r="L36" s="6" t="s">
        <v>337</v>
      </c>
      <c r="M36" s="6"/>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t="s">
        <v>0</v>
      </c>
      <c r="B37" s="6" t="s">
        <v>29</v>
      </c>
      <c r="C37" s="6" t="s">
        <v>29</v>
      </c>
      <c r="D37" s="6" t="s">
        <v>337</v>
      </c>
      <c r="E37" s="12">
        <v>100</v>
      </c>
      <c r="F37" s="6" t="s">
        <v>58</v>
      </c>
      <c r="G37" s="25"/>
      <c r="H37" s="25"/>
      <c r="I37" s="26" t="s">
        <v>337</v>
      </c>
      <c r="J37" s="25"/>
      <c r="K37" s="6" t="s">
        <v>113</v>
      </c>
      <c r="L37" s="6" t="s">
        <v>337</v>
      </c>
      <c r="M37" s="6"/>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t="s">
        <v>0</v>
      </c>
      <c r="B38" s="6" t="s">
        <v>29</v>
      </c>
      <c r="C38" s="6" t="s">
        <v>29</v>
      </c>
      <c r="D38" s="6" t="s">
        <v>337</v>
      </c>
      <c r="E38" s="12">
        <v>17774</v>
      </c>
      <c r="F38" s="6" t="s">
        <v>58</v>
      </c>
      <c r="G38" s="25"/>
      <c r="H38" s="25"/>
      <c r="I38" s="26" t="s">
        <v>337</v>
      </c>
      <c r="J38" s="25"/>
      <c r="K38" s="6" t="s">
        <v>85</v>
      </c>
      <c r="L38" s="6" t="s">
        <v>337</v>
      </c>
      <c r="M38" s="6"/>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t="s">
        <v>113</v>
      </c>
      <c r="B39" s="6" t="s">
        <v>244</v>
      </c>
      <c r="C39" s="6" t="s">
        <v>313</v>
      </c>
      <c r="D39" s="6"/>
      <c r="E39" s="12">
        <v>131.6632984</v>
      </c>
      <c r="F39" s="6" t="s">
        <v>70</v>
      </c>
      <c r="G39" s="25"/>
      <c r="H39" s="25"/>
      <c r="I39" s="26" t="s">
        <v>337</v>
      </c>
      <c r="J39" s="25"/>
      <c r="K39" s="6" t="s">
        <v>113</v>
      </c>
      <c r="L39" s="6" t="s">
        <v>337</v>
      </c>
      <c r="M39" s="6"/>
      <c r="N39" s="6">
        <v>21.535015935911794</v>
      </c>
      <c r="O39" s="6" t="s">
        <v>341</v>
      </c>
      <c r="P39" s="6" t="s">
        <v>2</v>
      </c>
      <c r="Q39" s="6" t="s">
        <v>83</v>
      </c>
      <c r="R39" s="6"/>
      <c r="S39" s="6"/>
      <c r="T39" s="6"/>
    </row>
    <row r="40" spans="1:20" x14ac:dyDescent="0.35">
      <c r="A40" s="6" t="s">
        <v>85</v>
      </c>
      <c r="B40" s="6" t="s">
        <v>3</v>
      </c>
      <c r="C40" s="6" t="s">
        <v>3</v>
      </c>
      <c r="D40" s="6" t="s">
        <v>10</v>
      </c>
      <c r="E40" s="12">
        <v>5045</v>
      </c>
      <c r="F40" s="6" t="s">
        <v>68</v>
      </c>
      <c r="G40" s="25"/>
      <c r="H40" s="25"/>
      <c r="I40" s="26" t="s">
        <v>124</v>
      </c>
      <c r="J40" s="25"/>
      <c r="K40" s="6" t="s">
        <v>86</v>
      </c>
      <c r="L40" s="6" t="s">
        <v>337</v>
      </c>
      <c r="M40" s="6"/>
      <c r="N40" s="6"/>
      <c r="O40" s="6"/>
      <c r="P40" s="6" t="s">
        <v>3</v>
      </c>
      <c r="Q40" s="6" t="s">
        <v>10</v>
      </c>
      <c r="R40" s="6"/>
      <c r="S40" s="6"/>
      <c r="T40" s="6" t="s">
        <v>343</v>
      </c>
    </row>
    <row r="41" spans="1:20" x14ac:dyDescent="0.35">
      <c r="A41" s="6" t="s">
        <v>85</v>
      </c>
      <c r="B41" s="6" t="s">
        <v>37</v>
      </c>
      <c r="C41" s="6" t="s">
        <v>308</v>
      </c>
      <c r="D41" s="6" t="s">
        <v>337</v>
      </c>
      <c r="E41" s="12">
        <v>3593</v>
      </c>
      <c r="F41" s="6" t="s">
        <v>58</v>
      </c>
      <c r="G41" s="25"/>
      <c r="H41" s="25"/>
      <c r="I41" s="26" t="s">
        <v>114</v>
      </c>
      <c r="J41" s="25"/>
      <c r="K41" s="6" t="s">
        <v>85</v>
      </c>
      <c r="L41" s="6" t="s">
        <v>337</v>
      </c>
      <c r="M41" s="6"/>
      <c r="N41" s="6">
        <v>2.04</v>
      </c>
      <c r="O41" s="6" t="s">
        <v>342</v>
      </c>
      <c r="P41" s="6" t="s">
        <v>308</v>
      </c>
      <c r="Q41" s="6" t="s">
        <v>337</v>
      </c>
      <c r="R41" s="6"/>
      <c r="S41" s="6"/>
      <c r="T41" s="6"/>
    </row>
    <row r="42" spans="1:20" x14ac:dyDescent="0.35">
      <c r="A42" s="6" t="s">
        <v>0</v>
      </c>
      <c r="B42" s="6" t="s">
        <v>245</v>
      </c>
      <c r="C42" s="6" t="s">
        <v>229</v>
      </c>
      <c r="D42" s="6" t="s">
        <v>337</v>
      </c>
      <c r="E42" s="12">
        <f>E41*0.6616*0.732*44/12</f>
        <v>6380.2136991999987</v>
      </c>
      <c r="F42" s="6" t="s">
        <v>58</v>
      </c>
      <c r="G42" s="25"/>
      <c r="H42" s="25"/>
      <c r="I42" s="26" t="s">
        <v>337</v>
      </c>
      <c r="J42" s="25"/>
      <c r="K42" s="6" t="s">
        <v>85</v>
      </c>
      <c r="L42" s="6" t="s">
        <v>337</v>
      </c>
      <c r="M42" s="6"/>
      <c r="N42" s="6"/>
      <c r="O42" s="6"/>
      <c r="P42" s="6" t="s">
        <v>337</v>
      </c>
      <c r="Q42" s="6" t="s">
        <v>337</v>
      </c>
      <c r="R42" s="6"/>
      <c r="S42" s="6"/>
      <c r="T42" s="6" t="s">
        <v>344</v>
      </c>
    </row>
    <row r="43" spans="1:20" x14ac:dyDescent="0.35">
      <c r="A43" s="6" t="s">
        <v>85</v>
      </c>
      <c r="B43" s="6" t="s">
        <v>37</v>
      </c>
      <c r="C43" s="6" t="s">
        <v>311</v>
      </c>
      <c r="D43" s="6" t="s">
        <v>337</v>
      </c>
      <c r="E43" s="12">
        <v>19</v>
      </c>
      <c r="F43" s="6" t="s">
        <v>58</v>
      </c>
      <c r="G43" s="25"/>
      <c r="H43" s="25"/>
      <c r="I43" s="26" t="s">
        <v>124</v>
      </c>
      <c r="J43" s="25"/>
      <c r="K43" s="6" t="s">
        <v>86</v>
      </c>
      <c r="L43" s="6" t="s">
        <v>337</v>
      </c>
      <c r="M43" s="6"/>
      <c r="N43" s="6"/>
      <c r="O43" s="6"/>
      <c r="P43" s="6" t="s">
        <v>311</v>
      </c>
      <c r="Q43" s="6" t="s">
        <v>337</v>
      </c>
      <c r="R43" s="6"/>
      <c r="S43" s="6"/>
      <c r="T43" s="6" t="s">
        <v>345</v>
      </c>
    </row>
    <row r="44" spans="1:20" x14ac:dyDescent="0.35">
      <c r="A44" s="6" t="s">
        <v>85</v>
      </c>
      <c r="B44" s="6" t="s">
        <v>37</v>
      </c>
      <c r="C44" s="6" t="s">
        <v>14</v>
      </c>
      <c r="D44" s="6" t="s">
        <v>337</v>
      </c>
      <c r="E44" s="12">
        <v>233</v>
      </c>
      <c r="F44" s="6" t="s">
        <v>58</v>
      </c>
      <c r="G44" s="25"/>
      <c r="H44" s="25"/>
      <c r="I44" s="26" t="s">
        <v>124</v>
      </c>
      <c r="J44" s="25"/>
      <c r="K44" s="6" t="s">
        <v>86</v>
      </c>
      <c r="L44" s="6" t="s">
        <v>337</v>
      </c>
      <c r="M44" s="6"/>
      <c r="N44" s="6"/>
      <c r="O44" s="6"/>
      <c r="P44" s="6" t="s">
        <v>14</v>
      </c>
      <c r="Q44" s="6" t="s">
        <v>337</v>
      </c>
      <c r="R44" s="6"/>
      <c r="S44" s="6"/>
      <c r="T44" s="6" t="s">
        <v>346</v>
      </c>
    </row>
    <row r="45" spans="1:20" x14ac:dyDescent="0.35">
      <c r="A45" s="6" t="s">
        <v>85</v>
      </c>
      <c r="B45" s="6" t="s">
        <v>37</v>
      </c>
      <c r="C45" s="6" t="s">
        <v>287</v>
      </c>
      <c r="D45" s="6" t="s">
        <v>337</v>
      </c>
      <c r="E45" s="12">
        <v>110</v>
      </c>
      <c r="F45" s="6" t="s">
        <v>58</v>
      </c>
      <c r="G45" s="25"/>
      <c r="H45" s="25"/>
      <c r="I45" s="26" t="s">
        <v>124</v>
      </c>
      <c r="J45" s="25"/>
      <c r="K45" s="6" t="s">
        <v>86</v>
      </c>
      <c r="L45" s="6" t="s">
        <v>337</v>
      </c>
      <c r="M45" s="6"/>
      <c r="N45" s="6"/>
      <c r="O45" s="6"/>
      <c r="P45" s="6" t="s">
        <v>287</v>
      </c>
      <c r="Q45" s="6" t="s">
        <v>337</v>
      </c>
      <c r="R45" s="6"/>
      <c r="S45" s="6"/>
      <c r="T45" s="6" t="s">
        <v>347</v>
      </c>
    </row>
    <row r="46" spans="1:20" x14ac:dyDescent="0.35">
      <c r="A46" s="6" t="s">
        <v>257</v>
      </c>
      <c r="B46" s="6" t="s">
        <v>245</v>
      </c>
      <c r="C46" s="6" t="s">
        <v>228</v>
      </c>
      <c r="D46" s="6" t="s">
        <v>337</v>
      </c>
      <c r="E46" s="12">
        <f>-(9090+5986)</f>
        <v>-15076</v>
      </c>
      <c r="F46" s="6" t="s">
        <v>58</v>
      </c>
      <c r="G46" s="25"/>
      <c r="H46" s="25" t="s">
        <v>339</v>
      </c>
      <c r="I46" s="26" t="s">
        <v>337</v>
      </c>
      <c r="J46" s="25"/>
      <c r="K46" s="6" t="s">
        <v>86</v>
      </c>
      <c r="L46" s="6" t="s">
        <v>337</v>
      </c>
      <c r="M46" s="6"/>
      <c r="N46" s="6"/>
      <c r="O46" s="6"/>
      <c r="P46" s="6" t="s">
        <v>337</v>
      </c>
      <c r="Q46" s="6" t="s">
        <v>337</v>
      </c>
      <c r="R46" s="6"/>
      <c r="S46" s="6"/>
      <c r="T46" s="6" t="s">
        <v>348</v>
      </c>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CC65BCB-78AF-43E8-8E48-76A554008A0F}">
      <formula1>0</formula1>
      <formula2>1</formula2>
    </dataValidation>
    <dataValidation type="list" allowBlank="1" showInputMessage="1" showErrorMessage="1" sqref="M6:M100 N39:N41"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8 N42:N100 O39:O41"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6:E100"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O6:O38 O42:O100</xm:sqref>
        </x14:dataValidation>
        <x14:dataValidation type="list" allowBlank="1" showInputMessage="1" showErrorMessage="1" xr:uid="{F073EC27-B1D3-40FC-99D9-2C91F459BF75}">
          <x14:formula1>
            <xm:f>INDIRECT(_xlfn.XLOOKUP($P6,'SI - End Use'!$A$11:$A$17,'SI - End Use'!$B$11:$B$17,"other_end_use",0))</xm:f>
          </x14:formula1>
          <xm:sqref>Q6:R100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P6:P100 C6:C100</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K6:K100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E548E-F8F3-463F-AD0D-00377BDCB4A4}">
  <sheetPr codeName="Sheet13"/>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0.7</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313</v>
      </c>
      <c r="D6" s="6" t="s">
        <v>242</v>
      </c>
      <c r="E6" s="12">
        <v>1</v>
      </c>
      <c r="F6" s="6" t="s">
        <v>70</v>
      </c>
      <c r="G6" s="25"/>
      <c r="H6" s="25" t="s">
        <v>349</v>
      </c>
      <c r="I6" s="26" t="str">
        <f>IF(Table112[[#This Row],[Type]]="Co-product", "No", "")</f>
        <v/>
      </c>
      <c r="J6" s="25"/>
      <c r="K6" s="6"/>
      <c r="L6" s="6" t="str">
        <f>IF(Table112[[#This Row],[Category]]="Transportation", _xlfn.XLOOKUP(Table112[[#This Row],[Resource]], 'SI - Payload'!$A$10:$A$38,'SI - Payload'!$B$10:$B$38,"",0),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113</v>
      </c>
      <c r="B7" s="6" t="s">
        <v>244</v>
      </c>
      <c r="C7" s="6" t="s">
        <v>313</v>
      </c>
      <c r="D7" s="6" t="s">
        <v>83</v>
      </c>
      <c r="E7" s="12">
        <v>1</v>
      </c>
      <c r="F7" s="6" t="s">
        <v>70</v>
      </c>
      <c r="G7" s="25"/>
      <c r="H7" s="25"/>
      <c r="I7" s="26" t="str">
        <f>IF(Table112[[#This Row],[Type]]="Co-product", "No", "")</f>
        <v/>
      </c>
      <c r="J7" s="25"/>
      <c r="K7" s="6"/>
      <c r="L7" s="6" t="str">
        <f>IF(Table112[[#This Row],[Category]]="Transportation", _xlfn.XLOOKUP(Table112[[#This Row],[Resource]], 'SI - Payload'!$A$10:$A$38,'SI - Payload'!$B$10:$B$38,"",0), "")</f>
        <v/>
      </c>
      <c r="M7" s="6" t="str">
        <f>IF(Table112[[#This Row],[Category]]="Transportation", "ton", "")</f>
        <v/>
      </c>
      <c r="N7" s="6"/>
      <c r="O7" s="6"/>
      <c r="P7" s="6" t="s">
        <v>2</v>
      </c>
      <c r="Q7" s="6" t="s">
        <v>83</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IF(Table112[[#This Row],[Type]]="Co-product", "No", "")</f>
        <v/>
      </c>
      <c r="J8" s="25"/>
      <c r="K8" s="6"/>
      <c r="L8" s="6" t="str">
        <f>IF(Table112[[#This Row],[Category]]="Transportation", _xlfn.XLOOKUP(Table112[[#This Row],[Resource]], 'SI - Payload'!$A$10:$A$38,'SI - Payload'!$B$10:$B$38,"",0), "")</f>
        <v/>
      </c>
      <c r="M8" s="6" t="str">
        <f>IF(Table112[[#This Row],[Category]]="Transportation", "ton", "")</f>
        <v/>
      </c>
      <c r="N8" s="6"/>
      <c r="O8" s="6"/>
      <c r="P8" s="6" t="str">
        <f>IF(OR(Table112[[#This Row],[Type]]="Main Product", Table112[[#This Row],[Type]]="Co-Product"), Table112[[#This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Payload'!$A$10:$A$38,'SI - Payload'!$B$10:$B$38,"",0),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Payload'!$A$10:$A$38,'SI - Payload'!$B$10:$B$38,"",0),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Payload'!$A$10:$A$38,'SI - Payload'!$B$10:$B$38,"",0),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Payload'!$A$10:$A$38,'SI - Payload'!$B$10:$B$38,"",0),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Payload'!$A$10:$A$38,'SI - Payload'!$B$10:$B$38,"",0),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Payload'!$A$10:$A$38,'SI - Payload'!$B$10:$B$38,"",0),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Payload'!$A$10:$A$38,'SI - Payload'!$B$10:$B$38,"",0),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Payload'!$A$10:$A$38,'SI - Payload'!$B$10:$B$38,"",0),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Payload'!$A$10:$A$38,'SI - Payload'!$B$10:$B$38,"",0),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Payload'!$A$10:$A$38,'SI - Payload'!$B$10:$B$38,"",0),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Payload'!$A$10:$A$38,'SI - Payload'!$B$10:$B$38,"",0),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Payload'!$A$10:$A$38,'SI - Payload'!$B$10:$B$38,"",0),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Payload'!$A$10:$A$38,'SI - Payload'!$B$10:$B$38,"",0),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Payload'!$A$10:$A$38,'SI - Payload'!$B$10:$B$38,"",0),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Payload'!$A$10:$A$38,'SI - Payload'!$B$10:$B$38,"",0),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Payload'!$A$10:$A$38,'SI - Payload'!$B$10:$B$38,"",0),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Payload'!$A$10:$A$38,'SI - Payload'!$B$10:$B$38,"",0),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Payload'!$A$10:$A$38,'SI - Payload'!$B$10:$B$38,"",0),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Payload'!$A$10:$A$38,'SI - Payload'!$B$10:$B$38,"",0),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Payload'!$A$10:$A$38,'SI - Payload'!$B$10:$B$38,"",0),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Payload'!$A$10:$A$38,'SI - Payload'!$B$10:$B$38,"",0),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Payload'!$A$10:$A$38,'SI - Payload'!$B$10:$B$38,"",0),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Payload'!$A$10:$A$38,'SI - Payload'!$B$10:$B$38,"",0),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Payload'!$A$10:$A$38,'SI - Payload'!$B$10:$B$38,"",0),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Payload'!$A$10:$A$38,'SI - Payload'!$B$10:$B$38,"",0),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Payload'!$A$10:$A$38,'SI - Payload'!$B$10:$B$38,"",0),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Payload'!$A$10:$A$38,'SI - Payload'!$B$10:$B$38,"",0),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Payload'!$A$10:$A$38,'SI - Payload'!$B$10:$B$38,"",0),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Payload'!$A$10:$A$38,'SI - Payload'!$B$10:$B$38,"",0),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Payload'!$A$10:$A$38,'SI - Payload'!$B$10:$B$38,"",0),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Payload'!$A$10:$A$38,'SI - Payload'!$B$10:$B$38,"",0),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Payload'!$A$10:$A$38,'SI - Payload'!$B$10:$B$38,"",0),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Payload'!$A$10:$A$38,'SI - Payload'!$B$10:$B$38,"",0),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Payload'!$A$10:$A$38,'SI - Payload'!$B$10:$B$38,"",0),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Payload'!$A$10:$A$38,'SI - Payload'!$B$10:$B$38,"",0),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Payload'!$A$10:$A$38,'SI - Payload'!$B$10:$B$38,"",0),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Payload'!$A$10:$A$38,'SI - Payload'!$B$10:$B$38,"",0),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Payload'!$A$10:$A$38,'SI - Payload'!$B$10:$B$38,"",0),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Payload'!$A$10:$A$38,'SI - Payload'!$B$10:$B$38,"",0),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Payload'!$A$10:$A$38,'SI - Payload'!$B$10:$B$38,"",0),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Payload'!$A$10:$A$38,'SI - Payload'!$B$10:$B$38,"",0),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Payload'!$A$10:$A$38,'SI - Payload'!$B$10:$B$38,"",0),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Payload'!$A$10:$A$38,'SI - Payload'!$B$10:$B$38,"",0),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Payload'!$A$10:$A$38,'SI - Payload'!$B$10:$B$38,"",0),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Payload'!$A$10:$A$38,'SI - Payload'!$B$10:$B$38,"",0),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Payload'!$A$10:$A$38,'SI - Payload'!$B$10:$B$38,"",0),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Payload'!$A$10:$A$38,'SI - Payload'!$B$10:$B$38,"",0),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Payload'!$A$10:$A$38,'SI - Payload'!$B$10:$B$38,"",0),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Payload'!$A$10:$A$38,'SI - Payload'!$B$10:$B$38,"",0),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Payload'!$A$10:$A$38,'SI - Payload'!$B$10:$B$38,"",0),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Payload'!$A$10:$A$38,'SI - Payload'!$B$10:$B$38,"",0),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Payload'!$A$10:$A$38,'SI - Payload'!$B$10:$B$38,"",0),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Payload'!$A$10:$A$38,'SI - Payload'!$B$10:$B$38,"",0),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Payload'!$A$10:$A$38,'SI - Payload'!$B$10:$B$38,"",0),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Payload'!$A$10:$A$38,'SI - Payload'!$B$10:$B$38,"",0),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Payload'!$A$10:$A$38,'SI - Payload'!$B$10:$B$38,"",0),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Payload'!$A$10:$A$38,'SI - Payload'!$B$10:$B$38,"",0),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Payload'!$A$10:$A$38,'SI - Payload'!$B$10:$B$38,"",0),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Payload'!$A$10:$A$38,'SI - Payload'!$B$10:$B$38,"",0),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Payload'!$A$10:$A$38,'SI - Payload'!$B$10:$B$38,"",0),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Payload'!$A$10:$A$38,'SI - Payload'!$B$10:$B$38,"",0),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Payload'!$A$10:$A$38,'SI - Payload'!$B$10:$B$38,"",0),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Payload'!$A$10:$A$38,'SI - Payload'!$B$10:$B$38,"",0),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Payload'!$A$10:$A$38,'SI - Payload'!$B$10:$B$38,"",0),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Payload'!$A$10:$A$38,'SI - Payload'!$B$10:$B$38,"",0),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Payload'!$A$10:$A$38,'SI - Payload'!$B$10:$B$38,"",0),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Payload'!$A$10:$A$38,'SI - Payload'!$B$10:$B$38,"",0),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Payload'!$A$10:$A$38,'SI - Payload'!$B$10:$B$38,"",0),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Payload'!$A$10:$A$38,'SI - Payload'!$B$10:$B$38,"",0),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Payload'!$A$10:$A$38,'SI - Payload'!$B$10:$B$38,"",0),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Payload'!$A$10:$A$38,'SI - Payload'!$B$10:$B$38,"",0),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Payload'!$A$10:$A$38,'SI - Payload'!$B$10:$B$38,"",0),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Payload'!$A$10:$A$38,'SI - Payload'!$B$10:$B$38,"",0),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Payload'!$A$10:$A$38,'SI - Payload'!$B$10:$B$38,"",0),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Payload'!$A$10:$A$38,'SI - Payload'!$B$10:$B$38,"",0),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Payload'!$A$10:$A$38,'SI - Payload'!$B$10:$B$38,"",0),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Payload'!$A$10:$A$38,'SI - Payload'!$B$10:$B$38,"",0),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Payload'!$A$10:$A$38,'SI - Payload'!$B$10:$B$38,"",0),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Payload'!$A$10:$A$38,'SI - Payload'!$B$10:$B$38,"",0),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Payload'!$A$10:$A$38,'SI - Payload'!$B$10:$B$38,"",0),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Payload'!$A$10:$A$38,'SI - Payload'!$B$10:$B$38,"",0),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Payload'!$A$10:$A$38,'SI - Payload'!$B$10:$B$38,"",0),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Payload'!$A$10:$A$38,'SI - Payload'!$B$10:$B$38,"",0),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Payload'!$A$10:$A$38,'SI - Payload'!$B$10:$B$38,"",0),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Payload'!$A$10:$A$38,'SI - Payload'!$B$10:$B$38,"",0),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Payload'!$A$10:$A$38,'SI - Payload'!$B$10:$B$38,"",0),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Payload'!$A$10:$A$38,'SI - Payload'!$B$10:$B$38,"",0),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Payload'!$A$10:$A$38,'SI - Payload'!$B$10:$B$38,"",0),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Payload'!$A$10:$A$38,'SI - Payload'!$B$10:$B$38,"",0),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Payload'!$A$10:$A$38,'SI - Payload'!$B$10:$B$38,"",0),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Payload'!$A$10:$A$38,'SI - Payload'!$B$10:$B$38,"",0),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Payload'!$A$10:$A$38,'SI - Payload'!$B$10:$B$38,"",0),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95F49719-5387-4315-90D6-1101251384DC}">
      <formula1>0</formula1>
      <formula2>1</formula2>
    </dataValidation>
    <dataValidation type="list" allowBlank="1" showInputMessage="1" showErrorMessage="1" sqref="M6:M100" xr:uid="{D7F81BEB-B657-411E-946E-BAC637878014}">
      <formula1>payload_units</formula1>
    </dataValidation>
    <dataValidation type="decimal" operator="greaterThan" allowBlank="1" showInputMessage="1" showErrorMessage="1" error="Please type a positive number." sqref="L6:L100" xr:uid="{76F0CD7B-DFB4-43E1-9513-C77F3CD8C7B2}">
      <formula1>0</formula1>
    </dataValidation>
    <dataValidation type="decimal" operator="greaterThan" allowBlank="1" showInputMessage="1" showErrorMessage="1" error="Please type a positive price." sqref="N6:N100" xr:uid="{765EF3C1-7DD9-4041-8D8F-7063F1B591E7}">
      <formula1>0</formula1>
    </dataValidation>
    <dataValidation type="decimal" allowBlank="1" showInputMessage="1" showErrorMessage="1" error="Please type a number between 0 and 1." sqref="G6:G100" xr:uid="{82CDBFBE-0045-42AC-A38B-056EC6007696}">
      <formula1>0</formula1>
      <formula2>1</formula2>
    </dataValidation>
    <dataValidation type="custom" allowBlank="1" showInputMessage="1" showErrorMessage="1" sqref="E6:E100" xr:uid="{39B972AA-E249-4F7D-87DC-3D900AED8C90}">
      <formula1>ISNUMBER(E6)</formula1>
    </dataValidation>
    <dataValidation type="list" allowBlank="1" showInputMessage="1" showErrorMessage="1" sqref="C2" xr:uid="{AB3BAF17-D708-4EEE-8782-AD8E35C7EA1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BC7AC495-F386-4536-96FF-299DD3F9853C}">
          <x14:formula1>
            <xm:f>IF($B6="Transportation",  transport_units, INDIRECT(_xlfn.XLOOKUP($C6, 'SI - Units'!$F$26:$F$36,'SI - Units'!$G$26:$G$36,"mass",0)))</xm:f>
          </x14:formula1>
          <xm:sqref>F6:F100</xm:sqref>
        </x14:dataValidation>
        <x14:dataValidation type="list" allowBlank="1" showInputMessage="1" showErrorMessage="1" xr:uid="{9EF5BDD2-8FFD-4EDB-8B6A-05D3AC1BA15D}">
          <x14:formula1>
            <xm:f>INDIRECT("p_"&amp;_xlfn.XLOOKUP($C6,'SI - Units'!$F$26:$F$36,'SI - Units'!$G$26:$G$36,"mass",0))</xm:f>
          </x14:formula1>
          <xm:sqref>O6:O100</xm:sqref>
        </x14:dataValidation>
        <x14:dataValidation type="list" allowBlank="1" showInputMessage="1" showErrorMessage="1" xr:uid="{665A520A-F062-483A-917F-E5FAB1AFA5F1}">
          <x14:formula1>
            <xm:f>INDIRECT(_xlfn.XLOOKUP($P6,'SI - End Use'!$A$11:$A$17,'SI - End Use'!$B$11:$B$17,"other_end_use",0))</xm:f>
          </x14:formula1>
          <xm:sqref>Q6:R100</xm:sqref>
        </x14:dataValidation>
        <x14:dataValidation type="list" allowBlank="1" showInputMessage="1" xr:uid="{B4BDF41D-E35D-40BE-B58B-89BA8D864762}">
          <x14:formula1>
            <xm:f>INDIRECT(_xlfn.XLOOKUP($C6,'SI - End Use'!$A$11:$A$17,'SI - End Use'!$B$11:$B$17,"other_end_use",0))</xm:f>
          </x14:formula1>
          <xm:sqref>D6:D100</xm:sqref>
        </x14:dataValidation>
        <x14:dataValidation type="list" allowBlank="1" showInputMessage="1" showErrorMessage="1" xr:uid="{2846E165-2009-4818-9398-F6F71E1B5856}">
          <x14:formula1>
            <xm:f>INDIRECT(_xlfn.XLOOKUP($B6, 'SI - Resources'!$R$1:$R$10,'SI - Resources'!$S$1:$S$10, "placeholder_resource", 0))</xm:f>
          </x14:formula1>
          <xm:sqref>P6:P100 C6:C100</xm:sqref>
        </x14:dataValidation>
        <x14:dataValidation type="list" allowBlank="1" showInputMessage="1" showErrorMessage="1" xr:uid="{D78946B4-3E55-49D4-94AD-9B0E8B6F24B6}">
          <x14:formula1>
            <xm:f>'SI - Co-products'!$B$2:$B$6</xm:f>
          </x14:formula1>
          <xm:sqref>A6:A100</xm:sqref>
        </x14:dataValidation>
        <x14:dataValidation type="list" allowBlank="1" showInputMessage="1" showErrorMessage="1" xr:uid="{A14F6C86-6FF7-44B7-BF06-A8BF8A5D9A5E}">
          <x14:formula1>
            <xm:f>'SI - Resources'!$A$1:$J$1</xm:f>
          </x14:formula1>
          <xm:sqref>B6:B100</xm:sqref>
        </x14:dataValidation>
        <x14:dataValidation type="list" allowBlank="1" showInputMessage="1" showErrorMessage="1" xr:uid="{3276BD65-ACC2-40D3-A168-54BBB0B811C0}">
          <x14:formula1>
            <xm:f>'SI - Co-products'!$C$2:$C$4</xm:f>
          </x14:formula1>
          <xm:sqref>I6:I100</xm:sqref>
        </x14:dataValidation>
        <x14:dataValidation type="list" allowBlank="1" showInputMessage="1" showErrorMessage="1" xr:uid="{E80D4E95-876E-4257-87DB-DB4BFA8DFAC5}">
          <x14:formula1>
            <xm:f>'SI - Co-products'!$A$2:$A$5</xm:f>
          </x14:formula1>
          <xm:sqref>K6:K100</xm:sqref>
        </x14:dataValidation>
        <x14:dataValidation type="list" allowBlank="1" showInputMessage="1" showErrorMessage="1" xr:uid="{8369E8A8-FD43-47C1-A88E-4C5044800CB3}">
          <x14:formula1>
            <xm:f>_xlfn.XLOOKUP(_xlfn.XLOOKUP(#REF!,'SI - Units'!$B$24:$B$109,'SI - Units'!$C$24:$C$109),'SI - Units'!$A$2:$A$8,'SI - Units'!$B$2:$R$8)</xm:f>
          </x14:formula1>
          <xm:sqref>F5</xm:sqref>
        </x14:dataValidation>
        <x14:dataValidation type="list" allowBlank="1" showInputMessage="1" showErrorMessage="1" xr:uid="{E50AFE8A-363C-4E0F-81FE-56934D5D9CA8}">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32</vt:i4>
      </vt:variant>
    </vt:vector>
  </HeadingPairs>
  <TitlesOfParts>
    <vt:vector size="43"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2022-12-26T23:59:53Z</dcterms:modified>
</cp:coreProperties>
</file>