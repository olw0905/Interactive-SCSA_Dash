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8E08DE4-E6C9-423D-90C8-C47BA1D4D24B}" xr6:coauthVersionLast="47" xr6:coauthVersionMax="47" xr10:uidLastSave="{00000000-0000-0000-0000-000000000000}"/>
  <bookViews>
    <workbookView xWindow="33720" yWindow="2610" windowWidth="29040" windowHeight="1584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Transportation to biorefinery" sheetId="36" r:id="rId14"/>
    <sheet name="Blending" sheetId="35"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3" i="37" l="1"/>
  <c r="L34" i="37"/>
  <c r="M34" i="37"/>
  <c r="L35" i="37"/>
  <c r="M35" i="37"/>
  <c r="L36" i="37"/>
  <c r="M36" i="37"/>
  <c r="E11" i="37"/>
  <c r="L12" i="37" l="1"/>
  <c r="M12" i="37"/>
  <c r="P12" i="37"/>
  <c r="Q12" i="37" s="1"/>
  <c r="L13" i="37"/>
  <c r="M13" i="37"/>
  <c r="P13" i="37"/>
  <c r="Q13" i="37"/>
  <c r="L14" i="37"/>
  <c r="M14" i="37"/>
  <c r="P14" i="37"/>
  <c r="Q14" i="37" s="1"/>
  <c r="L15" i="37"/>
  <c r="M15" i="37"/>
  <c r="P15" i="37"/>
  <c r="Q15" i="37"/>
  <c r="L16" i="37"/>
  <c r="M16" i="37"/>
  <c r="P16" i="37"/>
  <c r="Q16" i="37" s="1"/>
  <c r="L17" i="37"/>
  <c r="M17" i="37"/>
  <c r="P17" i="37"/>
  <c r="Q17" i="37"/>
  <c r="L18" i="37"/>
  <c r="M18" i="37"/>
  <c r="P18" i="37"/>
  <c r="Q18" i="37" s="1"/>
  <c r="L19" i="37"/>
  <c r="M19" i="37"/>
  <c r="P19" i="37"/>
  <c r="Q19" i="37"/>
  <c r="L20" i="37"/>
  <c r="M20" i="37"/>
  <c r="P20" i="37"/>
  <c r="Q20" i="37" s="1"/>
  <c r="L21" i="37"/>
  <c r="M21" i="37"/>
  <c r="P21" i="37"/>
  <c r="Q21" i="37"/>
  <c r="L22" i="37"/>
  <c r="M22" i="37"/>
  <c r="P22" i="37"/>
  <c r="Q22" i="37" s="1"/>
  <c r="L23" i="37"/>
  <c r="M23" i="37"/>
  <c r="P23" i="37"/>
  <c r="Q23" i="37"/>
  <c r="L24" i="37"/>
  <c r="M24" i="37"/>
  <c r="P24" i="37"/>
  <c r="Q24" i="37" s="1"/>
  <c r="L25" i="37"/>
  <c r="M25" i="37"/>
  <c r="P25" i="37"/>
  <c r="Q25" i="37"/>
  <c r="L26" i="37"/>
  <c r="M26" i="37"/>
  <c r="P26" i="37"/>
  <c r="Q26" i="37" s="1"/>
  <c r="L27" i="37"/>
  <c r="M27" i="37"/>
  <c r="P27" i="37"/>
  <c r="Q27" i="37"/>
  <c r="L28" i="37"/>
  <c r="M28" i="37"/>
  <c r="P28" i="37"/>
  <c r="Q28" i="37" s="1"/>
  <c r="L29" i="37"/>
  <c r="M29" i="37"/>
  <c r="P29" i="37"/>
  <c r="Q29" i="37"/>
  <c r="L30" i="37"/>
  <c r="M30" i="37"/>
  <c r="P30" i="37"/>
  <c r="Q30" i="37" s="1"/>
  <c r="L31" i="37"/>
  <c r="M31" i="37"/>
  <c r="P31" i="37"/>
  <c r="Q31" i="37"/>
  <c r="L32" i="37"/>
  <c r="M32" i="37"/>
  <c r="P32" i="37"/>
  <c r="Q32" i="37" s="1"/>
  <c r="L33" i="37"/>
  <c r="M33"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c r="F74" i="37" a="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c r="F50" i="37" a="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<sst xmlns="http://schemas.openxmlformats.org/spreadsheetml/2006/main" count="1457" uniqueCount="367">
  <si>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</si>
  <si>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</si>
  <si>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</si>
  <si>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</si>
  <si>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</si>
  <si>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</si>
  <si>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</si>
  <si>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</si>
  <si>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</si>
  <si>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</si>
  <si>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</si>
  <si>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</si>
  <si>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</si>
  <si>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</si>
  <si>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</si>
  <si>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</si>
  <si>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</si>
  <si>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</si>
  <si>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</si>
  <si>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</si>
  <si>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</si>
  <si>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</si>
  <si>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</si>
  <si>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</si>
  <si>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</si>
  <si>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</si>
  <si>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</si>
  <si>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</si>
  <si>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</si>
  <si>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</si>
  <si>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</si>
  <si>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</si>
  <si>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</si>
  <si>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</si>
  <si>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</si>
  <si>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</si>
  <si>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</si>
  <si>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</si>
  <si>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</si>
  <si>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</si>
  <si>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</si>
  <si>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</si>
  <si>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</si>
  <si>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</si>
  <si>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</si>
  <si>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</si>
  <si>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</si>
  <si>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</si>
  <si>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</si>
  <si>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</si>
  <si>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</si>
  <si>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</si>
  <si>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</si>
  <si>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</si>
  <si>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</si>
  <si>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</si>
  <si>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</si>
  <si>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</si>
  <si>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</si>
  <si>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</si>
  <si>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</si>
  <si>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</si>
  <si>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</si>
  <si>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</si>
  <si>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</si>
  <si>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</si>
  <si>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</si>
  <si>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</si>
  <si>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</si>
  <si>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</si>
  <si>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</si>
  <si>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</si>
  <si>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</si>
  <si>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</si>
  <si>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</si>
  <si>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</si>
  <si>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</si>
  <si>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</si>
  <si>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</si>
  <si>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</si>
  <si>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</si>
  <si>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</si>
  <si>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</si>
  <si>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</si>
  <si>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</si>
  <si>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</si>
  <si>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</si>
  <si>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</si>
  <si>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</si>
  <si>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</si>
  <si>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</si>
  <si>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</si>
  <si>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</si>
  <si>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</si>
  <si>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</si>
  <si>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</si>
  <si>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</si>
  <si>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</si>
  <si>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</si>
  <si>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</si>
  <si>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</si>
  <si>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</si>
  <si>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</si>
  <si>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</si>
  <si>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</si>
  <si>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</si>
  <si>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</si>
  <si>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</si>
  <si>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</si>
  <si>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</si>
  <si>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</si>
  <si>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</si>
  <si>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</si>
  <si>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</si>
  <si>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</si>
  <si>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</si>
  <si>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</si>
  <si>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</si>
  <si>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</si>
  <si>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</si>
  <si>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</si>
  <si>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</si>
  <si>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</si>
  <si>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</si>
  <si>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</si>
  <si>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</si>
  <si>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</si>
  <si>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</si>
  <si>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</si>
  <si>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</si>
  <si>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</si>
  <si>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</si>
  <si>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</si>
  <si>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</si>
  <si>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</si>
  <si>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</si>
  <si>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</si>
  <si>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</si>
  <si>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</si>
  <si>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</si>
  <si>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</si>
  <si>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</si>
  <si>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</si>
  <si>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</si>
  <si>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</si>
  <si>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</si>
  <si>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</si>
  <si>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</si>
  <si>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</si>
  <si>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</si>
  <si>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</si>
  <si>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</si>
  <si>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</si>
  <si>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</si>
  <si>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</si>
  <si>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</si>
  <si>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</si>
  <si>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</si>
  <si>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</si>
  <si>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</si>
  <si>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</si>
  <si>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</si>
  <si>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</si>
  <si>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</si>
  <si>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</si>
  <si>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</si>
  <si>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</si>
  <si>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</si>
  <si>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</si>
  <si>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</si>
  <si>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</si>
  <si>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</si>
  <si>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</si>
  <si>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</si>
  <si>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</si>
  <si>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</si>
  <si>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</si>
  <si>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</si>
  <si>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</si>
  <si>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</si>
  <si>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</si>
  <si>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</si>
  <si>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</si>
  <si>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</si>
  <si>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</si>
  <si>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</si>
  <si>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</si>
  <si>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</si>
  <si>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</si>
  <si>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</si>
  <si>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</si>
  <si>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</si>
  <si>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</si>
  <si>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</si>
  <si>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</si>
  <si>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</si>
  <si>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</si>
  <si>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</si>
  <si>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</si>
  <si>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</si>
  <si>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</si>
  <si>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</si>
  <si>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</si>
  <si>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</si>
  <si>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</si>
  <si>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</si>
  <si>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</si>
  <si>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</si>
  <si>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</si>
  <si>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</si>
  <si>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</si>
  <si>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</si>
  <si>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</si>
  <si>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</si>
  <si>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</si>
  <si>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</si>
  <si>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</si>
  <si>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</si>
  <si>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</si>
  <si>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</si>
  <si>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</si>
  <si>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</si>
  <si>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</si>
  <si>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</si>
  <si>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</si>
  <si>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</si>
  <si>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</si>
  <si>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</si>
  <si>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</si>
  <si>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</si>
  <si>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</si>
  <si>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</si>
  <si>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</si>
  <si>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</si>
  <si>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</si>
  <si>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</si>
  <si>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</si>
  <si>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</si>
  <si>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</si>
  <si>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</si>
  <si>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</si>
  <si>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</si>
  <si>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</si>
  <si>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</si>
  <si>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</si>
  <si>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</si>
  <si>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</si>
  <si>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</si>
  <si>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</si>
  <si>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</si>
  <si>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</si>
  <si>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</si>
  <si>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</si>
  <si>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</si>
  <si>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</si>
  <si>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</si>
  <si>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</si>
  <si>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</si>
  <si>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</si>
  <si>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</si>
  <si>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</si>
  <si>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</si>
  <si>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</si>
  <si>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</si>
  <si>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</si>
  <si>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</si>
  <si>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</si>
  <si>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</si>
  <si>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</si>
  <si>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</si>
  <si>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</si>
  <si>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</si>
  <si>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</si>
  <si>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</si>
  <si>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</si>
  <si>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</si>
  <si>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</si>
  <si>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</si>
  <si>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</si>
  <si>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</si>
  <si>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</si>
  <si>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</si>
  <si>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</si>
  <si>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</si>
  <si>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</si>
  <si>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</si>
  <si>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</si>
  <si>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</si>
  <si>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</si>
  <si>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</si>
  <si>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</si>
  <si>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</si>
  <si>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</si>
  <si>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</si>
  <si>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</si>
  <si>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</si>
  <si>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</si>
  <si>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</si>
  <si>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</si>
  <si>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</si>
  <si>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</si>
  <si>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</si>
  <si>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</si>
  <si>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</si>
  <si>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</si>
  <si>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</si>
  <si>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</si>
  <si>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</si>
  <si>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</si>
  <si>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</si>
  <si>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</si>
  <si>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</si>
  <si>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</si>
  <si>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</si>
  <si>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</si>
  <si>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</si>
  <si>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</si>
  <si>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</si>
  <si>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</si>
  <si>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</si>
  <si>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</si>
  <si>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</si>
  <si>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</si>
  <si>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</si>
  <si>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</si>
  <si>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</si>
  <si>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</si>
  <si>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</si>
  <si>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</si>
  <si>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</si>
  <si>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</si>
  <si>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</si>
  <si>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</si>
  <si>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</si>
  <si>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</si>
  <si>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</si>
  <si>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</si>
  <si>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</si>
  <si>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</si>
  <si>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</si>
  <si>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</si>
  <si>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</si>
  <si>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</si>
  <si>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</si>
  <si>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</si>
  <si>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</si>
  <si>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</si>
  <si>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</si>
  <si>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</si>
  <si>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</si>
  <si>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</si>
  <si>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</si>
  <si>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</si>
  <si>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</si>
  <si>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</si>
  <si>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</si>
  <si>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</si>
  <si>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</si>
  <si>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</si>
  <si>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</si>
  <si>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</si>
  <si>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</si>
  <si>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Sequestration</t>
  </si>
  <si>
    <t>$/mmBTU</t>
  </si>
  <si>
    <t>$/kg</t>
  </si>
  <si>
    <t>Fuel production</t>
  </si>
  <si>
    <t>CO2 emissions from the use of Na2CO3.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</si>
</sst>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8"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65" fontId="0" fillId="0" borderId="2" xfId="1" applyNumberFormat="1" applyFont="1" applyFill="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E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91" dataDxfId="90" tableBorderDxfId="89" dataCellStyle="Percent">
  <autoFilter ref="A5:T100" xr:uid="{1644AED8-49DE-4A1D-989C-1566C9A522B9}"/>
  <tableColumns count="20">
    <tableColumn id="1" xr3:uid="{2C7BD698-AF81-4FF8-929B-FA65C95AB055}" name="Type" dataDxfId="88"/>
    <tableColumn id="2" xr3:uid="{8ABE79B0-EB47-434F-9597-1E5E0ADB71DC}" name="Category" dataDxfId="87"/>
    <tableColumn id="3" xr3:uid="{69D78EC1-407B-4DFE-AC99-A38B57A2C09E}" name="Resource" dataDxfId="86">
      <calculatedColumnFormula>_xlfn.XLOOKUP($B6,'SI - Resources'!$A$1:$J$1,'SI - Resources'!$A$2:$J$2, "")</calculatedColumnFormula>
    </tableColumn>
    <tableColumn id="4" xr3:uid="{52F75706-D18E-4442-BFC4-410DC293AAA3}" name="End Use" dataDxfId="85">
      <calculatedColumnFormula>IF(_xlfn.XLOOKUP($C6,'SI - End Use'!$B$2:$B$6,'SI - End Use'!$C$2:$C$6, "")="", "", _xlfn.XLOOKUP($C6,'SI - End Use'!$B$2:$B$6,'SI - End Use'!$C$2:$C$6, ""))</calculatedColumnFormula>
    </tableColumn>
    <tableColumn id="5" xr3:uid="{9F38E5ED-CDF5-4F83-890D-24FB06E235FC}" name="Amount" dataDxfId="84" dataCellStyle="Comma"/>
    <tableColumn id="6" xr3:uid="{3ACEA781-8167-43A0-A833-46625CC99CBE}" name="Unit" dataDxfId="83">
      <calculatedColumnFormula array="1">IF($B6="Transportation",  'SI - Units'!$B$9:$B$9, _xlfn.XLOOKUP(_xlfn.XLOOKUP($C6,'SI - Units'!$B$24:$B$109,'SI - Units'!$C$24:$C$109, ""),'SI - Units'!$A$2:$A$8,'SI - Units'!$B$2:$B$8, ""))</calculatedColumnFormula>
    </tableColumn>
    <tableColumn id="7" xr3:uid="{B5C83816-A716-4C88-8E16-9100286A1C6F}" name="Moisture" dataDxfId="82" dataCellStyle="Percent"/>
    <tableColumn id="8" xr3:uid="{961A9FAE-AD98-485E-B669-B4C538DA0995}" name="Previous Stage" dataDxfId="81" dataCellStyle="Percent"/>
    <tableColumn id="9" xr3:uid="{60E7FA53-9DF4-4D04-BFA2-AD3E323325F3}" name="Always Use Displacement Method for Co-Product?" dataDxfId="80" dataCellStyle="Percent">
      <calculatedColumnFormula>IF(Table117[[#This Row],[Type]]="Co-product", "No", "")</calculatedColumnFormula>
    </tableColumn>
    <tableColumn id="19" xr3:uid="{4410DE15-CD0A-43E3-BF1B-26946EDD4937}" name="Urban Share" dataDxfId="79" dataCellStyle="Percent"/>
    <tableColumn id="10" xr3:uid="{465CE46E-54E8-4FE9-B164-133479785B61}" name="Product Train" dataDxfId="78"/>
    <tableColumn id="14" xr3:uid="{C64B9C10-A92F-4D3E-9E49-F202FF99E30C}" name="Payload" dataDxfId="77">
      <calculatedColumnFormula>IF(Table117[[#This Row],[Category]]="Transportation", _xlfn.XLOOKUP(Table117[[#This Row],[Resource]], 'SI - Payload'!$A$10:$A$40,'SI - Payload'!$B$10:$B$40,"",0), "")</calculatedColumnFormula>
    </tableColumn>
    <tableColumn id="15" xr3:uid="{B2C6C9FF-AF37-4C49-8B8F-6DEA98EBF439}" name="Payload Unit" dataDxfId="76">
      <calculatedColumnFormula>IF(Table117[[#This Row],[Category]]="Transportation", "ton", "")</calculatedColumnFormula>
    </tableColumn>
    <tableColumn id="16" xr3:uid="{B9643C62-FDA6-4407-BDFB-10192C826E3A}" name="Market Price" dataDxfId="75"/>
    <tableColumn id="17" xr3:uid="{BFADB77B-6181-4E0A-9A94-8646D6882E21}" name="Market Price Unit" dataDxfId="74"/>
    <tableColumn id="12" xr3:uid="{0AABAEB9-8482-432F-93D1-2C5764D984A9}" name="Incumbent Product" dataDxfId="73">
      <calculatedColumnFormula>IF(OR(Table117[[#This Row],[Type]]="Main Product", Table117[[#This Row],[Type]]="Co-Product"), Table117[[#This Row],[Resource]], "")</calculatedColumnFormula>
    </tableColumn>
    <tableColumn id="13" xr3:uid="{ABEEA1D9-5769-4EC6-87EC-2F86E4D4BFE1}" name="End Use of Incumbent Product" dataDxfId="72">
      <calculatedColumnFormula>IF(_xlfn.XLOOKUP($P6,'SI - End Use'!$B$2:$B$6,'SI - End Use'!$C$2:$C$6, "")="", "", _xlfn.XLOOKUP($C6,'SI - End Use'!$B$2:$B$6,'SI - End Use'!$C$2:$C$6, ""))</calculatedColumnFormula>
    </tableColumn>
    <tableColumn id="20" xr3:uid="{B78E94FF-F088-4CC4-8EC6-5C0AEFC572C4}" name="Surrogate For" dataDxfId="71"/>
    <tableColumn id="18" xr3:uid="{9EC012AC-619E-4FBF-90F7-699244F53C6D}" name="Process" dataDxfId="70"/>
    <tableColumn id="11" xr3:uid="{6C9CCC6B-ACAC-4023-B69D-D41E81C4CC41}"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8" dataDxfId="67" tableBorderDxfId="66" dataCellStyle="Percent">
  <autoFilter ref="A5:T100" xr:uid="{1644AED8-49DE-4A1D-989C-1566C9A522B9}"/>
  <tableColumns count="20">
    <tableColumn id="1" xr3:uid="{267E8A30-959C-452C-A6CC-D6C057F24543}" name="Type" dataDxfId="65"/>
    <tableColumn id="2" xr3:uid="{07E5344F-F415-4CAB-A649-6C35315EF5B7}" name="Category" dataDxfId="64"/>
    <tableColumn id="3" xr3:uid="{C09C5A40-063E-452B-A093-23FB4FA8086B}" name="Resource" dataDxfId="63">
      <calculatedColumnFormula>_xlfn.XLOOKUP($B6,'SI - Resources'!$A$1:$J$1,'SI - Resources'!$A$2:$J$2, "")</calculatedColumnFormula>
    </tableColumn>
    <tableColumn id="4" xr3:uid="{AA9A4A88-0172-49D3-96EA-55F32D6BAB91}" name="End Use" dataDxfId="62">
      <calculatedColumnFormula>IF(_xlfn.XLOOKUP($C6,'SI - End Use'!$B$2:$B$6,'SI - End Use'!$C$2:$C$6, "")="", "", _xlfn.XLOOKUP($C6,'SI - End Use'!$B$2:$B$6,'SI - End Use'!$C$2:$C$6, ""))</calculatedColumnFormula>
    </tableColumn>
    <tableColumn id="5" xr3:uid="{1AA4EF4A-5725-47E2-B9EE-C54F0D72DC13}" name="Amount" dataDxfId="61" dataCellStyle="Comma"/>
    <tableColumn id="6" xr3:uid="{B99294AF-16AB-4D4C-88A6-B972A98F31AE}" name="Unit" dataDxfId="60">
      <calculatedColumnFormula array="1">IF($B6="Transportation",  'SI - Units'!$B$9:$B$9, _xlfn.XLOOKUP(_xlfn.XLOOKUP($C6,'SI - Units'!$B$24:$B$109,'SI - Units'!$C$24:$C$109, ""),'SI - Units'!$A$2:$A$8,'SI - Units'!$B$2:$B$8, ""))</calculatedColumnFormula>
    </tableColumn>
    <tableColumn id="7" xr3:uid="{35C6737C-6381-45D5-BB1F-62660D37158A}" name="Moisture" dataDxfId="59" dataCellStyle="Percent"/>
    <tableColumn id="8" xr3:uid="{5A915426-D154-405B-85EA-20D604C2DC96}" name="Previous Stage" dataDxfId="58" dataCellStyle="Percent"/>
    <tableColumn id="9" xr3:uid="{DA069634-EA62-4D00-B776-F52E30B37700}" name="Always Use Displacement Method for Co-Product?" dataDxfId="57" dataCellStyle="Percent">
      <calculatedColumnFormula>IF(Table116[[#This Row],[Type]]="Co-product", "No", "")</calculatedColumnFormula>
    </tableColumn>
    <tableColumn id="19" xr3:uid="{A2FE0DBA-BA56-437F-8017-8F35B66080EA}" name="Urban Share" dataDxfId="56" dataCellStyle="Percent"/>
    <tableColumn id="10" xr3:uid="{3FC1D276-6044-43EA-8FFE-6330C18AAAEA}" name="Product Train" dataDxfId="55"/>
    <tableColumn id="14" xr3:uid="{F39A9E14-47FB-437A-874D-1CE4D6F486BD}" name="Payload" dataDxfId="54">
      <calculatedColumnFormula>IF(Table116[[#This Row],[Category]]="Transportation", _xlfn.XLOOKUP(Table116[[#This Row],[Resource]], 'SI - Payload'!$A$10:$A$40,'SI - Payload'!$B$10:$B$40,"",0), "")</calculatedColumnFormula>
    </tableColumn>
    <tableColumn id="15" xr3:uid="{6A16A909-B4F9-4008-8D8C-A21FD5344F33}" name="Payload Unit" dataDxfId="53">
      <calculatedColumnFormula>IF(Table116[[#This Row],[Category]]="Transportation", "ton", "")</calculatedColumnFormula>
    </tableColumn>
    <tableColumn id="16" xr3:uid="{7ACFF5A1-530E-4574-8CCF-6014A17DED1F}" name="Market Price" dataDxfId="52"/>
    <tableColumn id="17" xr3:uid="{10CC7E25-16C3-4487-9020-2364320BB0F6}" name="Market Price Unit" dataDxfId="51"/>
    <tableColumn id="12" xr3:uid="{E491674C-1C98-45D7-83FC-555A3096D908}" name="Incumbent Product" dataDxfId="50">
      <calculatedColumnFormula>IF(OR(Table116[[#This Row],[Type]]="Main Product", Table116[[#This Row],[Type]]="Co-Product"), Table116[[#This Row],[Resource]], "")</calculatedColumnFormula>
    </tableColumn>
    <tableColumn id="13" xr3:uid="{856720A5-3900-4615-BB7A-57514C89726D}" name="End Use of Incumbent Product" dataDxfId="49">
      <calculatedColumnFormula>IF(_xlfn.XLOOKUP($P6,'SI - End Use'!$B$2:$B$6,'SI - End Use'!$C$2:$C$6, "")="", "", _xlfn.XLOOKUP($C6,'SI - End Use'!$B$2:$B$6,'SI - End Use'!$C$2:$C$6, ""))</calculatedColumnFormula>
    </tableColumn>
    <tableColumn id="20" xr3:uid="{5A90943D-16D5-4BDA-962C-19A13F6E8AB8}" name="Surrogate For" dataDxfId="48"/>
    <tableColumn id="18" xr3:uid="{CF6EBF07-BA8B-43CE-82C3-59E29FEF9D74}" name="Process" dataDxfId="47"/>
    <tableColumn id="11" xr3:uid="{19B3CDDE-677F-4341-B2BF-5A637D5F6385}"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2">
      <calculatedColumnFormula>IF(_xlfn.XLOOKUP($C6,'SI - End Use'!$B$2:$B$6,'SI - End Use'!$C$2:$C$6, "")="", "", _xlfn.XLOOKUP($C6,'SI - End Use'!$B$2:$B$6,'SI - End Use'!$C$2:$C$6, ""))</calculatedColumnFormula>
    </tableColumn>
    <tableColumn id="5" xr3:uid="{08CA2DFA-7917-4F9F-9929-262733A67D2D}" name="Amount" dataDxfId="0" dataCellStyle="Comma"/>
    <tableColumn id="6" xr3:uid="{48DD1BF5-6754-4E37-A41F-24DB63B55472}" name="Unit" dataDxfId="1">
      <calculatedColumnFormula array="1">IF($B6="Transportation",  'SI - Units'!$B$9:$B$9, _xlfn.XLOOKUP(_xlfn.XLOOKUP($C6,'SI - Units'!$B$24:$B$109,'SI - Units'!$C$24:$C$109, ""),'SI - Units'!$A$2:$A$8,'SI - Units'!$B$2:$B$8, ""))</calculatedColumnFormula>
    </tableColumn>
    <tableColumn id="7" xr3:uid="{8C2F4A69-5DE6-4732-879A-0022BDE8BD39}" name="Moisture" dataDxfId="39" dataCellStyle="Percent"/>
    <tableColumn id="8" xr3:uid="{475953B8-DE11-4506-848C-234264A47BD5}" name="Previous Stage" dataDxfId="38" dataCellStyle="Percent"/>
    <tableColumn id="9" xr3:uid="{A2848191-4749-4960-87D1-D85422A5FC3F}" name="Always Use Displacement Method for Co-Product?" dataDxfId="37" dataCellStyle="Percent">
      <calculatedColumnFormula>IF(Table118[[#This Row],[Type]]="Co-product", "No", "")</calculatedColumnFormula>
    </tableColumn>
    <tableColumn id="19" xr3:uid="{23F2E37F-E955-4384-8A73-A84B5B8E1AA4}" name="Urban Share" dataDxfId="36" dataCellStyle="Percent"/>
    <tableColumn id="10" xr3:uid="{48331A88-0403-41B4-B872-D0095188E4C8}" name="Product Train" dataDxfId="35"/>
    <tableColumn id="14" xr3:uid="{A65F31CF-5A62-4173-B206-0D065BC124B9}" name="Payload" dataDxfId="34">
      <calculatedColumnFormula>IF(Table118[[#This Row],[Category]]="Transportation", _xlfn.XLOOKUP(Table118[[#This Row],[Resource]], 'SI - Payload'!$A$10:$A$40,'SI - Payload'!$B$10:$B$40,"",0), "")</calculatedColumnFormula>
    </tableColumn>
    <tableColumn id="15" xr3:uid="{38ED7F84-2990-44C0-80BA-681DB1F3A1B3}" name="Payload Unit" dataDxfId="33">
      <calculatedColumnFormula>IF(Table118[[#This Row],[Category]]="Transportation", "ton", "")</calculatedColumnFormula>
    </tableColumn>
    <tableColumn id="16" xr3:uid="{3EA90AC8-EF73-4B41-8054-C7C08D14E555}" name="Market Price" dataDxfId="32"/>
    <tableColumn id="17" xr3:uid="{60B40A22-4EE8-4AFB-986E-C06DC97ABD59}" name="Market Price Unit" dataDxfId="31"/>
    <tableColumn id="12" xr3:uid="{E81D3FE1-05F3-491A-8711-9141BC7493CE}" name="Incumbent Product" dataDxfId="30">
      <calculatedColumnFormula>IF(OR(Table118[[#This Row],[Type]]="Main Product", Table118[[#This Row],[Type]]="Co-Product"), Table118[[#This Row],[Resource]], "")</calculatedColumnFormula>
    </tableColumn>
    <tableColumn id="13" xr3:uid="{35B40548-1955-485D-8692-F91CEF43CF7D}" name="End Use of Incumbent Product" dataDxfId="29">
      <calculatedColumnFormula>IF(_xlfn.XLOOKUP($P6,'SI - End Use'!$B$2:$B$6,'SI - End Use'!$C$2:$C$6, "")="", "", _xlfn.XLOOKUP($C6,'SI - End Use'!$B$2:$B$6,'SI - End Use'!$C$2:$C$6, ""))</calculatedColumnFormula>
    </tableColumn>
    <tableColumn id="20" xr3:uid="{F45BBE6F-28CD-4986-81B6-36E0801004AE}" name="Surrogate For" dataDxfId="28"/>
    <tableColumn id="18" xr3:uid="{FEED3D3D-1054-4240-9EEB-176D1CC5BEDC}" name="Process" dataDxfId="27"/>
    <tableColumn id="11" xr3:uid="{0A104DC0-C05E-4618-BB00-4946D0FE3063}" name="Note" dataDxfId="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5" dataDxfId="24" tableBorderDxfId="23" dataCellStyle="Percent">
  <autoFilter ref="A5:T100" xr:uid="{1644AED8-49DE-4A1D-989C-1566C9A522B9}"/>
  <tableColumns count="20">
    <tableColumn id="1" xr3:uid="{3976C997-9556-498C-92F1-16680EA2F3CB}" name="Type" dataDxfId="22"/>
    <tableColumn id="2" xr3:uid="{9D2055FE-353B-420C-B5E6-0F45671CDF94}" name="Category" dataDxfId="21"/>
    <tableColumn id="3" xr3:uid="{0C3E5568-6184-4D8B-8788-D60CC3F7976B}" name="Resource" dataDxfId="20">
      <calculatedColumnFormula>_xlfn.XLOOKUP($B6,'SI - Resources'!$A$1:$J$1,'SI - Resources'!$A$2:$J$2, "")</calculatedColumnFormula>
    </tableColumn>
    <tableColumn id="4" xr3:uid="{BC6B62C5-30F2-4A35-9E90-D2D012F89BF4}" name="End Use" dataDxfId="19">
      <calculatedColumnFormula>IF(_xlfn.XLOOKUP($C6,'SI - End Use'!$B$2:$B$6,'SI - End Use'!$C$2:$C$6, "")="", "", _xlfn.XLOOKUP($C6,'SI - End Use'!$B$2:$B$6,'SI - End Use'!$C$2:$C$6, ""))</calculatedColumnFormula>
    </tableColumn>
    <tableColumn id="5" xr3:uid="{75A3A8AC-EF17-45C3-BC88-7648CAA2EBD6}" name="Amount" dataDxfId="18" dataCellStyle="Comma"/>
    <tableColumn id="6" xr3:uid="{4397A965-B7DE-49CC-A938-33B87880C189}" name="Unit" dataDxfId="17">
      <calculatedColumnFormula array="1">IF($B6="Transportation",  'SI - Units'!$B$9:$B$9, _xlfn.XLOOKUP(_xlfn.XLOOKUP($C6,'SI - Units'!$B$24:$B$109,'SI - Units'!$C$24:$C$109, ""),'SI - Units'!$A$2:$A$8,'SI - Units'!$B$2:$B$8, ""))</calculatedColumnFormula>
    </tableColumn>
    <tableColumn id="7" xr3:uid="{3208E6C4-35DE-48E5-BE93-4A799EAA8F07}" name="Moisture" dataDxfId="16" dataCellStyle="Percent"/>
    <tableColumn id="8" xr3:uid="{4698F969-6E84-403E-866B-18B8D0A5D614}" name="Previous Stage" dataDxfId="15" dataCellStyle="Percent"/>
    <tableColumn id="9" xr3:uid="{5C05716A-7BF7-419B-AE66-1E468E6E2F3C}" name="Always Use Displacement Method for Co-Product?" dataDxfId="14" dataCellStyle="Percent">
      <calculatedColumnFormula>IF(Table13[[#This Row],[Type]]="Co-product", "No", "")</calculatedColumnFormula>
    </tableColumn>
    <tableColumn id="19" xr3:uid="{B41E83AF-8DE0-49FE-B222-37D37BB5255F}" name="Urban Share" dataDxfId="13" dataCellStyle="Percent"/>
    <tableColumn id="10" xr3:uid="{7B07E87A-0B23-4911-ABE6-FC378C641CAB}" name="Product Train" dataDxfId="12"/>
    <tableColumn id="14" xr3:uid="{4AA1D20A-4450-4D21-9861-929E238434C9}" name="Payload" dataDxfId="11">
      <calculatedColumnFormula>IF(Table13[[#This Row],[Category]]="Transportation", _xlfn.XLOOKUP(Table13[[#This Row],[Resource]], 'SI - Payload'!$A$10:$A$40,'SI - Payload'!$B$10:$B$40,"",0), "")</calculatedColumnFormula>
    </tableColumn>
    <tableColumn id="15" xr3:uid="{188AE9FC-FC9F-4667-8EAE-F093ACB6E6D6}" name="Payload Unit" dataDxfId="10">
      <calculatedColumnFormula>IF(Table13[[#This Row],[Category]]="Transportation", "ton", "")</calculatedColumnFormula>
    </tableColumn>
    <tableColumn id="16" xr3:uid="{38EABF0F-C94B-43DF-A42F-75D54CB27131}" name="Market Price" dataDxfId="9"/>
    <tableColumn id="17" xr3:uid="{903BF539-5272-4066-8F31-94F4CDB884B3}" name="Market Price Unit" dataDxfId="8"/>
    <tableColumn id="12" xr3:uid="{DAE1F886-9154-4461-B40A-00F330C13C90}" name="Incumbent Product" dataDxfId="7">
      <calculatedColumnFormula>IF(OR(Table13[[#This Row],[Type]]="Main Product", Table13[[#This Row],[Type]]="Co-Product"), Table13[[#This Row],[Resource]], "")</calculatedColumnFormula>
    </tableColumn>
    <tableColumn id="13" xr3:uid="{DEB35349-08F5-4848-B427-22B70C63FF93}" name="End Use of Incumbent Product" dataDxfId="6">
      <calculatedColumnFormula>IF(_xlfn.XLOOKUP($P6,'SI - End Use'!$B$2:$B$6,'SI - End Use'!$C$2:$C$6, "")="", "", _xlfn.XLOOKUP($C6,'SI - End Use'!$B$2:$B$6,'SI - End Use'!$C$2:$C$6, ""))</calculatedColumnFormula>
    </tableColumn>
    <tableColumn id="20" xr3:uid="{50A2A0DF-C425-4153-A0C9-9EB2DE42E92C}" name="Surrogate For" dataDxfId="5"/>
    <tableColumn id="18" xr3:uid="{6F740BA7-F290-4A1A-A3E7-67F405978F05}" name="Process" dataDxfId="4"/>
    <tableColumn id="11" xr3:uid="{1559A99A-CB76-4BFE-A55F-B718712109D8}" name="Note"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8" t="s">
        <v>261</v>
      </c>
      <c r="B2" s="78"/>
    </row>
    <row r="3" spans="1:3" ht="29.15" customHeight="1" x14ac:dyDescent="0.35">
      <c r="A3" s="80" t="s">
        <v>274</v>
      </c>
      <c r="B3" s="80"/>
    </row>
    <row r="4" spans="1:3" ht="28" customHeight="1" x14ac:dyDescent="0.35">
      <c r="A4" s="19"/>
      <c r="B4" s="19"/>
    </row>
    <row r="5" spans="1:3" ht="28" customHeight="1" x14ac:dyDescent="0.35">
      <c r="A5" s="79" t="s">
        <v>260</v>
      </c>
      <c r="B5" s="79"/>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15" activePane="bottomLeft" state="frozen"/>
      <selection activeCell="C19" sqref="C19"/>
      <selection pane="bottomLeft" activeCell="E32" sqref="E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4.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86">
        <v>104166.667</v>
      </c>
      <c r="F6" s="6" t="s">
        <v>58</v>
      </c>
      <c r="G6" s="25">
        <v>0.2</v>
      </c>
      <c r="H6" s="25" t="s">
        <v>361</v>
      </c>
      <c r="I6" s="26" t="s">
        <v>337</v>
      </c>
      <c r="J6" s="25"/>
      <c r="K6" s="6" t="s">
        <v>86</v>
      </c>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86">
        <v>11374.7161</v>
      </c>
      <c r="F7" s="6" t="s">
        <v>58</v>
      </c>
      <c r="G7" s="25">
        <v>7.0000000000000007E-2</v>
      </c>
      <c r="H7" s="25"/>
      <c r="I7" s="26" t="s">
        <v>337</v>
      </c>
      <c r="J7" s="25"/>
      <c r="K7" s="6" t="s">
        <v>85</v>
      </c>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86">
        <v>2279.9626440000002</v>
      </c>
      <c r="F8" s="6" t="s">
        <v>58</v>
      </c>
      <c r="G8" s="25"/>
      <c r="H8" s="25"/>
      <c r="I8" s="26" t="s">
        <v>337</v>
      </c>
      <c r="J8" s="25"/>
      <c r="K8" s="6" t="s">
        <v>85</v>
      </c>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86">
        <v>2000</v>
      </c>
      <c r="F9" s="6" t="s">
        <v>58</v>
      </c>
      <c r="G9" s="25"/>
      <c r="H9" s="25"/>
      <c r="I9" s="26" t="s">
        <v>337</v>
      </c>
      <c r="J9" s="25"/>
      <c r="K9" s="6" t="s">
        <v>86</v>
      </c>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c r="E10" s="86">
        <v>6666.6666699999996</v>
      </c>
      <c r="F10" s="6" t="s">
        <v>58</v>
      </c>
      <c r="G10" s="25"/>
      <c r="H10" s="25"/>
      <c r="I10" s="26" t="s">
        <v>337</v>
      </c>
      <c r="J10" s="25"/>
      <c r="K10" s="6" t="s">
        <v>86</v>
      </c>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245</v>
      </c>
      <c r="C11" s="6" t="s">
        <v>228</v>
      </c>
      <c r="D11" s="6" t="s">
        <v>337</v>
      </c>
      <c r="E11" s="86">
        <f>E10*12/106*44/12</f>
        <v>2767.2955988679241</v>
      </c>
      <c r="F11" s="6" t="s">
        <v>58</v>
      </c>
      <c r="G11" s="25"/>
      <c r="H11" s="25"/>
      <c r="I11" s="26" t="s">
        <v>337</v>
      </c>
      <c r="J11" s="25"/>
      <c r="K11" s="6" t="s">
        <v>86</v>
      </c>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t="s">
        <v>366</v>
      </c>
    </row>
    <row r="12" spans="1:20" x14ac:dyDescent="0.35">
      <c r="A12" s="6" t="s">
        <v>0</v>
      </c>
      <c r="B12" s="6" t="s">
        <v>37</v>
      </c>
      <c r="C12" s="6" t="s">
        <v>14</v>
      </c>
      <c r="D12" s="6" t="s">
        <v>337</v>
      </c>
      <c r="E12" s="86">
        <v>62</v>
      </c>
      <c r="F12" s="6" t="s">
        <v>58</v>
      </c>
      <c r="G12" s="25"/>
      <c r="H12" s="25"/>
      <c r="I12" s="26" t="s">
        <v>337</v>
      </c>
      <c r="J12" s="25"/>
      <c r="K12" s="6" t="s">
        <v>113</v>
      </c>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86">
        <v>17</v>
      </c>
      <c r="F13" s="6" t="s">
        <v>58</v>
      </c>
      <c r="G13" s="25"/>
      <c r="H13" s="25"/>
      <c r="I13" s="26" t="s">
        <v>337</v>
      </c>
      <c r="J13" s="25"/>
      <c r="K13" s="6" t="s">
        <v>85</v>
      </c>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14</v>
      </c>
      <c r="D14" s="6" t="s">
        <v>337</v>
      </c>
      <c r="E14" s="86">
        <v>2240.1724822183105</v>
      </c>
      <c r="F14" s="6" t="s">
        <v>58</v>
      </c>
      <c r="G14" s="25"/>
      <c r="H14" s="25"/>
      <c r="I14" s="26" t="s">
        <v>337</v>
      </c>
      <c r="J14" s="25"/>
      <c r="K14" s="6" t="s">
        <v>86</v>
      </c>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19</v>
      </c>
      <c r="D15" s="6" t="s">
        <v>337</v>
      </c>
      <c r="E15" s="86">
        <v>1311.6449</v>
      </c>
      <c r="F15" s="6" t="s">
        <v>58</v>
      </c>
      <c r="G15" s="25"/>
      <c r="H15" s="25"/>
      <c r="I15" s="26" t="s">
        <v>337</v>
      </c>
      <c r="J15" s="25"/>
      <c r="K15" s="6" t="s">
        <v>113</v>
      </c>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15</v>
      </c>
      <c r="D16" s="6" t="s">
        <v>337</v>
      </c>
      <c r="E16" s="86">
        <v>1225.9310363</v>
      </c>
      <c r="F16" s="6" t="s">
        <v>58</v>
      </c>
      <c r="G16" s="25"/>
      <c r="H16" s="25"/>
      <c r="I16" s="26" t="s">
        <v>337</v>
      </c>
      <c r="J16" s="25"/>
      <c r="K16" s="6" t="s">
        <v>113</v>
      </c>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17</v>
      </c>
      <c r="D17" s="6" t="s">
        <v>337</v>
      </c>
      <c r="E17" s="86">
        <v>7.2460908700000006</v>
      </c>
      <c r="F17" s="6" t="s">
        <v>58</v>
      </c>
      <c r="G17" s="25"/>
      <c r="H17" s="25"/>
      <c r="I17" s="26" t="s">
        <v>337</v>
      </c>
      <c r="J17" s="25"/>
      <c r="K17" s="6" t="s">
        <v>113</v>
      </c>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20</v>
      </c>
      <c r="D18" s="6" t="s">
        <v>337</v>
      </c>
      <c r="E18" s="86">
        <v>36.535699700000002</v>
      </c>
      <c r="F18" s="6" t="s">
        <v>58</v>
      </c>
      <c r="G18" s="25"/>
      <c r="H18" s="25"/>
      <c r="I18" s="26" t="s">
        <v>337</v>
      </c>
      <c r="J18" s="25"/>
      <c r="K18" s="6" t="s">
        <v>113</v>
      </c>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21</v>
      </c>
      <c r="D19" s="6" t="s">
        <v>337</v>
      </c>
      <c r="E19" s="86">
        <v>8.9047192000000006</v>
      </c>
      <c r="F19" s="6" t="s">
        <v>58</v>
      </c>
      <c r="G19" s="25"/>
      <c r="H19" s="25"/>
      <c r="I19" s="26" t="s">
        <v>337</v>
      </c>
      <c r="J19" s="25"/>
      <c r="K19" s="6" t="s">
        <v>113</v>
      </c>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16</v>
      </c>
      <c r="D20" s="6" t="s">
        <v>337</v>
      </c>
      <c r="E20" s="86">
        <v>168.61225699710999</v>
      </c>
      <c r="F20" s="6" t="s">
        <v>58</v>
      </c>
      <c r="G20" s="25"/>
      <c r="H20" s="25"/>
      <c r="I20" s="26" t="s">
        <v>337</v>
      </c>
      <c r="J20" s="25"/>
      <c r="K20" s="6" t="s">
        <v>113</v>
      </c>
      <c r="L20" s="6" t="str">
        <f>IF(Table118[[#This Row],[Category]]="Transportation", _xlfn.XLOOKUP(Table118[[#This Row],[Resource]], 'SI - Payload'!$A$10:$A$40,'SI - Payload'!$B$10:$B$40,"",0),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37</v>
      </c>
      <c r="C21" s="6" t="s">
        <v>18</v>
      </c>
      <c r="D21" s="6" t="s">
        <v>337</v>
      </c>
      <c r="E21" s="86">
        <v>407.44879600000002</v>
      </c>
      <c r="F21" s="6" t="s">
        <v>58</v>
      </c>
      <c r="G21" s="25"/>
      <c r="H21" s="25"/>
      <c r="I21" s="26" t="s">
        <v>337</v>
      </c>
      <c r="J21" s="25"/>
      <c r="K21" s="6" t="s">
        <v>113</v>
      </c>
      <c r="L21" s="6" t="str">
        <f>IF(Table118[[#This Row],[Category]]="Transportation", _xlfn.XLOOKUP(Table118[[#This Row],[Resource]], 'SI - Payload'!$A$10:$A$40,'SI - Payload'!$B$10:$B$40,"",0),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244</v>
      </c>
      <c r="C22" s="6" t="s">
        <v>22</v>
      </c>
      <c r="D22" s="6" t="s">
        <v>337</v>
      </c>
      <c r="E22" s="86">
        <v>0</v>
      </c>
      <c r="F22" s="6" t="s">
        <v>58</v>
      </c>
      <c r="G22" s="25"/>
      <c r="H22" s="25"/>
      <c r="I22" s="26" t="s">
        <v>337</v>
      </c>
      <c r="J22" s="25"/>
      <c r="K22" s="6" t="s">
        <v>113</v>
      </c>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36</v>
      </c>
      <c r="D23" s="6" t="s">
        <v>337</v>
      </c>
      <c r="E23" s="86">
        <v>0.30701758699999998</v>
      </c>
      <c r="F23" s="6" t="s">
        <v>58</v>
      </c>
      <c r="G23" s="25"/>
      <c r="H23" s="25"/>
      <c r="I23" s="26" t="s">
        <v>337</v>
      </c>
      <c r="J23" s="25"/>
      <c r="K23" s="6" t="s">
        <v>86</v>
      </c>
      <c r="L23" s="6" t="str">
        <f>IF(Table118[[#This Row],[Category]]="Transportation", _xlfn.XLOOKUP(Table118[[#This Row],[Resource]], 'SI - Payload'!$A$10:$A$40,'SI - Payload'!$B$10:$B$40,"",0),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23</v>
      </c>
      <c r="D24" s="6" t="s">
        <v>337</v>
      </c>
      <c r="E24" s="86">
        <v>197.30273199999999</v>
      </c>
      <c r="F24" s="6" t="s">
        <v>58</v>
      </c>
      <c r="G24" s="25"/>
      <c r="H24" s="25"/>
      <c r="I24" s="26" t="s">
        <v>337</v>
      </c>
      <c r="J24" s="25"/>
      <c r="K24" s="6" t="s">
        <v>86</v>
      </c>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37</v>
      </c>
      <c r="C25" s="6" t="s">
        <v>25</v>
      </c>
      <c r="D25" s="6" t="s">
        <v>337</v>
      </c>
      <c r="E25" s="86">
        <v>1.27822462</v>
      </c>
      <c r="F25" s="6" t="s">
        <v>58</v>
      </c>
      <c r="G25" s="25"/>
      <c r="H25" s="25"/>
      <c r="I25" s="26" t="s">
        <v>337</v>
      </c>
      <c r="J25" s="25"/>
      <c r="K25" s="6" t="s">
        <v>86</v>
      </c>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29</v>
      </c>
      <c r="C26" s="6" t="s">
        <v>29</v>
      </c>
      <c r="D26" s="6" t="s">
        <v>337</v>
      </c>
      <c r="E26" s="86">
        <v>262876.36200000002</v>
      </c>
      <c r="F26" s="6" t="s">
        <v>58</v>
      </c>
      <c r="G26" s="25"/>
      <c r="H26" s="25"/>
      <c r="I26" s="26" t="s">
        <v>337</v>
      </c>
      <c r="J26" s="25"/>
      <c r="K26" s="6" t="s">
        <v>86</v>
      </c>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244</v>
      </c>
      <c r="C27" s="6" t="s">
        <v>24</v>
      </c>
      <c r="D27" s="6" t="s">
        <v>31</v>
      </c>
      <c r="E27" s="86">
        <v>100</v>
      </c>
      <c r="F27" s="6" t="s">
        <v>58</v>
      </c>
      <c r="G27" s="25"/>
      <c r="H27" s="25"/>
      <c r="I27" s="26" t="s">
        <v>337</v>
      </c>
      <c r="J27" s="25"/>
      <c r="K27" s="6" t="s">
        <v>86</v>
      </c>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86">
        <v>22194</v>
      </c>
      <c r="F28" s="6" t="s">
        <v>68</v>
      </c>
      <c r="G28" s="25"/>
      <c r="H28" s="25"/>
      <c r="I28" s="26" t="s">
        <v>337</v>
      </c>
      <c r="J28" s="25"/>
      <c r="K28" s="6" t="s">
        <v>113</v>
      </c>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86">
        <v>3311</v>
      </c>
      <c r="F29" s="6" t="s">
        <v>68</v>
      </c>
      <c r="G29" s="25"/>
      <c r="H29" s="25"/>
      <c r="I29" s="26" t="s">
        <v>337</v>
      </c>
      <c r="J29" s="25"/>
      <c r="K29" s="6" t="s">
        <v>85</v>
      </c>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3</v>
      </c>
      <c r="C30" s="6" t="s">
        <v>3</v>
      </c>
      <c r="D30" s="6" t="s">
        <v>10</v>
      </c>
      <c r="E30" s="86">
        <v>31364.087596999998</v>
      </c>
      <c r="F30" s="6" t="s">
        <v>68</v>
      </c>
      <c r="G30" s="25"/>
      <c r="H30" s="25"/>
      <c r="I30" s="26" t="s">
        <v>337</v>
      </c>
      <c r="J30" s="25"/>
      <c r="K30" s="6" t="s">
        <v>86</v>
      </c>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86">
        <v>38.926145448658801</v>
      </c>
      <c r="F31" s="6" t="s">
        <v>70</v>
      </c>
      <c r="G31" s="25"/>
      <c r="H31" s="25"/>
      <c r="I31" s="26" t="s">
        <v>337</v>
      </c>
      <c r="J31" s="25"/>
      <c r="K31" s="6" t="s">
        <v>113</v>
      </c>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t="s">
        <v>0</v>
      </c>
      <c r="B32" s="6" t="s">
        <v>37</v>
      </c>
      <c r="C32" s="6" t="s">
        <v>50</v>
      </c>
      <c r="D32" s="6"/>
      <c r="E32" s="86">
        <v>90</v>
      </c>
      <c r="F32" s="6" t="s">
        <v>58</v>
      </c>
      <c r="G32" s="25"/>
      <c r="H32" s="25"/>
      <c r="I32" s="26" t="s">
        <v>337</v>
      </c>
      <c r="J32" s="25"/>
      <c r="K32" s="6" t="s">
        <v>113</v>
      </c>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t="s">
        <v>0</v>
      </c>
      <c r="B33" s="6" t="s">
        <v>245</v>
      </c>
      <c r="C33" s="6" t="s">
        <v>228</v>
      </c>
      <c r="D33" s="6"/>
      <c r="E33" s="86">
        <f>12*7/(12*7+8*1)*44/12*E32</f>
        <v>301.30434782608694</v>
      </c>
      <c r="F33" s="6" t="s">
        <v>70</v>
      </c>
      <c r="G33" s="25"/>
      <c r="H33" s="25"/>
      <c r="I33" s="26" t="s">
        <v>337</v>
      </c>
      <c r="J33" s="25"/>
      <c r="K33" s="6" t="s">
        <v>113</v>
      </c>
      <c r="L33" s="6" t="str">
        <f>IF(Table118[[#This Row],[Category]]="Transportation", _xlfn.XLOOKUP(Table118[[#This Row],[Resource]], 'SI - Payload'!$A$10:$A$40,'SI - Payload'!$B$10:$B$40,"",0), "")</f>
        <v/>
      </c>
      <c r="M33" s="6" t="str">
        <f>IF(Table118[[#This Row],[Category]]="Transportation", "ton", "")</f>
        <v/>
      </c>
      <c r="N33" s="6">
        <v>21.535015935911794</v>
      </c>
      <c r="O33" s="6" t="s">
        <v>363</v>
      </c>
      <c r="P33" s="6" t="s">
        <v>2</v>
      </c>
      <c r="Q33" s="6" t="s">
        <v>83</v>
      </c>
      <c r="R33" s="6"/>
      <c r="S33" s="6"/>
      <c r="T33" s="6"/>
    </row>
    <row r="34" spans="1:20" x14ac:dyDescent="0.35">
      <c r="A34" s="6" t="s">
        <v>113</v>
      </c>
      <c r="B34" s="6" t="s">
        <v>244</v>
      </c>
      <c r="C34" s="6" t="s">
        <v>277</v>
      </c>
      <c r="D34" s="6"/>
      <c r="E34" s="86">
        <v>409.26462775866599</v>
      </c>
      <c r="F34" s="6" t="s">
        <v>70</v>
      </c>
      <c r="G34" s="25"/>
      <c r="H34" s="25"/>
      <c r="I34" s="26" t="s">
        <v>337</v>
      </c>
      <c r="J34" s="25"/>
      <c r="K34" s="6" t="s">
        <v>113</v>
      </c>
      <c r="L34" s="6" t="str">
        <f>IF(Table118[[#This Row],[Category]]="Transportation", _xlfn.XLOOKUP(Table118[[#This Row],[Resource]], 'SI - Payload'!$A$10:$A$40,'SI - Payload'!$B$10:$B$40,"",0), "")</f>
        <v/>
      </c>
      <c r="M34" s="6" t="str">
        <f>IF(Table118[[#This Row],[Category]]="Transportation", "ton", "")</f>
        <v/>
      </c>
      <c r="N34" s="6">
        <v>21.535015935911794</v>
      </c>
      <c r="O34" s="6" t="s">
        <v>363</v>
      </c>
      <c r="P34" s="6" t="s">
        <v>2</v>
      </c>
      <c r="Q34" s="6" t="s">
        <v>83</v>
      </c>
      <c r="R34" s="6"/>
      <c r="S34" s="6"/>
      <c r="T34" s="6"/>
    </row>
    <row r="35" spans="1:20" x14ac:dyDescent="0.35">
      <c r="A35" s="6" t="s">
        <v>85</v>
      </c>
      <c r="B35" s="6" t="s">
        <v>37</v>
      </c>
      <c r="C35" s="6" t="s">
        <v>51</v>
      </c>
      <c r="D35" s="6" t="s">
        <v>362</v>
      </c>
      <c r="E35" s="86">
        <v>1991.2560900000001</v>
      </c>
      <c r="F35" s="6" t="s">
        <v>58</v>
      </c>
      <c r="G35" s="25"/>
      <c r="H35" s="25"/>
      <c r="I35" s="26" t="s">
        <v>114</v>
      </c>
      <c r="J35" s="25"/>
      <c r="K35" s="6" t="s">
        <v>85</v>
      </c>
      <c r="L35" s="6" t="str">
        <f>IF(Table118[[#This Row],[Category]]="Transportation", _xlfn.XLOOKUP(Table118[[#This Row],[Resource]], 'SI - Payload'!$A$10:$A$40,'SI - Payload'!$B$10:$B$40,"",0), "")</f>
        <v/>
      </c>
      <c r="M35" s="6" t="str">
        <f>IF(Table118[[#This Row],[Category]]="Transportation", "ton", "")</f>
        <v/>
      </c>
      <c r="N35" s="6">
        <v>1.8739390198196608</v>
      </c>
      <c r="O35" s="6" t="s">
        <v>364</v>
      </c>
      <c r="P35" s="6" t="s">
        <v>278</v>
      </c>
      <c r="Q35" s="6"/>
      <c r="R35" s="6"/>
      <c r="S35" s="6"/>
      <c r="T35" s="6"/>
    </row>
    <row r="36" spans="1:20" x14ac:dyDescent="0.35">
      <c r="A36" s="6" t="s">
        <v>85</v>
      </c>
      <c r="B36" s="6" t="s">
        <v>37</v>
      </c>
      <c r="C36" s="6" t="s">
        <v>280</v>
      </c>
      <c r="D36" s="6" t="s">
        <v>337</v>
      </c>
      <c r="E36" s="86">
        <v>14639.1765</v>
      </c>
      <c r="F36" s="6" t="s">
        <v>58</v>
      </c>
      <c r="G36" s="25"/>
      <c r="H36" s="25"/>
      <c r="I36" s="26" t="s">
        <v>124</v>
      </c>
      <c r="J36" s="25"/>
      <c r="K36" s="6" t="s">
        <v>86</v>
      </c>
      <c r="L36" s="6" t="str">
        <f>IF(Table118[[#This Row],[Category]]="Transportation", _xlfn.XLOOKUP(Table118[[#This Row],[Resource]], 'SI - Payload'!$A$10:$A$40,'SI - Payload'!$B$10:$B$40,"",0), "")</f>
        <v/>
      </c>
      <c r="M36" s="6" t="str">
        <f>IF(Table118[[#This Row],[Category]]="Transportation", "ton", "")</f>
        <v/>
      </c>
      <c r="N36" s="6"/>
      <c r="O36" s="6"/>
      <c r="P36" s="6" t="s">
        <v>280</v>
      </c>
      <c r="Q36" s="6" t="s">
        <v>337</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86"/>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86"/>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86"/>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86"/>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86"/>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86"/>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86"/>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86"/>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86"/>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86"/>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86"/>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86"/>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86"/>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86"/>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86"/>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86"/>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86"/>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86"/>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86"/>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86"/>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86"/>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86"/>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86"/>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86"/>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86"/>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86"/>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86"/>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86"/>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86"/>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86"/>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86"/>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86"/>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86"/>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86"/>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86"/>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86"/>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86"/>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86"/>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86"/>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86"/>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86"/>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86"/>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86"/>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86"/>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86"/>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86"/>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86"/>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86"/>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86"/>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86"/>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86"/>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86"/>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86"/>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86"/>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86"/>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86"/>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86"/>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86"/>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86"/>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86"/>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86"/>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86"/>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86"/>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86"/>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7">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IF(_xlfn.XLOOKUP($C6,'SI - End Use'!$B$2:$B$6,'SI - End Use'!$C$2:$C$6, "")="", "", _xlfn.XLOOKUP($C6,'SI - End Use'!$B$2:$B$6,'SI - End Use'!$C$2:$C$6, ""))</f>
        <v/>
      </c>
      <c r="E6" s="76">
        <v>1.000045143067781</v>
      </c>
      <c r="F6" s="6" t="s">
        <v>70</v>
      </c>
      <c r="G6" s="25"/>
      <c r="H6" s="25" t="s">
        <v>365</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2" t="s">
        <v>338</v>
      </c>
      <c r="C1" s="82"/>
      <c r="D1" s="62" t="s">
        <v>339</v>
      </c>
      <c r="E1" s="62" t="s">
        <v>340</v>
      </c>
      <c r="F1" s="62" t="s">
        <v>341</v>
      </c>
      <c r="G1" s="62" t="s">
        <v>342</v>
      </c>
      <c r="H1" s="62" t="s">
        <v>343</v>
      </c>
    </row>
    <row r="2" spans="1:8" x14ac:dyDescent="0.35">
      <c r="A2" s="62" t="s">
        <v>344</v>
      </c>
      <c r="B2" s="81">
        <v>89.04</v>
      </c>
      <c r="C2" s="81"/>
      <c r="D2" s="64">
        <v>1</v>
      </c>
      <c r="E2" s="63"/>
      <c r="F2" s="63"/>
      <c r="G2" s="65">
        <v>0.3</v>
      </c>
      <c r="H2" s="65">
        <v>0</v>
      </c>
    </row>
    <row r="3" spans="1:8" x14ac:dyDescent="0.35">
      <c r="A3" s="62" t="s">
        <v>345</v>
      </c>
      <c r="B3" s="83">
        <v>23.19</v>
      </c>
      <c r="C3" s="84"/>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5" t="s">
        <v>349</v>
      </c>
      <c r="C8" s="85"/>
      <c r="D8" s="69" t="s">
        <v>339</v>
      </c>
      <c r="E8" s="69" t="s">
        <v>340</v>
      </c>
      <c r="F8" s="69" t="s">
        <v>341</v>
      </c>
      <c r="G8" s="69" t="s">
        <v>342</v>
      </c>
      <c r="H8" s="62" t="s">
        <v>343</v>
      </c>
    </row>
    <row r="9" spans="1:8" x14ac:dyDescent="0.35">
      <c r="A9" s="62" t="s">
        <v>350</v>
      </c>
      <c r="B9" s="81">
        <v>10.92</v>
      </c>
      <c r="C9" s="81"/>
      <c r="D9" s="63"/>
      <c r="E9" s="64">
        <v>1</v>
      </c>
      <c r="F9" s="63"/>
      <c r="G9" s="71">
        <v>0.11409999999999999</v>
      </c>
      <c r="H9" s="71">
        <v>8.1557678177810455E-2</v>
      </c>
    </row>
    <row r="10" spans="1:8" x14ac:dyDescent="0.35">
      <c r="A10" s="62" t="s">
        <v>351</v>
      </c>
      <c r="B10" s="81">
        <v>289.14999999999998</v>
      </c>
      <c r="C10" s="81"/>
      <c r="D10" s="63"/>
      <c r="E10" s="64">
        <v>1</v>
      </c>
      <c r="F10" s="63"/>
      <c r="G10" s="71">
        <v>0.11409999999999999</v>
      </c>
      <c r="H10" s="71">
        <v>0.02</v>
      </c>
    </row>
    <row r="11" spans="1:8" x14ac:dyDescent="0.35">
      <c r="A11" s="62" t="s">
        <v>352</v>
      </c>
      <c r="B11" s="81">
        <v>7.72</v>
      </c>
      <c r="C11" s="81"/>
      <c r="D11" s="72">
        <v>0.89500000000000002</v>
      </c>
      <c r="E11" s="72">
        <f>1-D11</f>
        <v>0.10499999999999998</v>
      </c>
      <c r="F11" s="63"/>
      <c r="G11" s="71">
        <v>0.11409999999999999</v>
      </c>
      <c r="H11" s="71">
        <v>0</v>
      </c>
    </row>
    <row r="12" spans="1:8" x14ac:dyDescent="0.35">
      <c r="A12" s="62" t="s">
        <v>353</v>
      </c>
      <c r="B12" s="81">
        <v>0</v>
      </c>
      <c r="C12" s="81"/>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Transportation to biorefinery</vt:lpstr>
      <vt:lpstr>Blending</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2022-11-03T20:18:30Z</dcterms:modified>
</cp:coreProperties>
</file>