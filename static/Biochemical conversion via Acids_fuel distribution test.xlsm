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B0D6C68-F264-4494-B096-4D858B4FFF6F}" xr6:coauthVersionLast="47" xr6:coauthVersionMax="47" xr10:uidLastSave="{00000000-0000-0000-0000-000000000000}"/>
  <bookViews>
    <workbookView xWindow="33720" yWindow="2610" windowWidth="29040" windowHeight="15840" tabRatio="685" firstSheet="8"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c r="F74" i="37" a="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P35" i="37"/>
  <c r="Q35" i="37" s="1"/>
  <c r="M35" i="37"/>
  <c r="L35" i="37"/>
  <c r="I35" i="37"/>
  <c r="C35" i="37"/>
  <c r="D35" i="37" s="1"/>
  <c r="M34" i="37"/>
  <c r="L34" i="37"/>
  <c r="M33" i="37"/>
  <c r="L33" i="37"/>
  <c r="M32" i="37"/>
  <c r="L32"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Q19" i="37"/>
  <c r="P19" i="37"/>
  <c r="M19" i="37"/>
  <c r="L19" i="37"/>
  <c r="P18" i="37"/>
  <c r="Q18" i="37" s="1"/>
  <c r="M18" i="37"/>
  <c r="L18" i="37"/>
  <c r="P17" i="37"/>
  <c r="Q17" i="37" s="1"/>
  <c r="M17" i="37"/>
  <c r="L17" i="37"/>
  <c r="Q16" i="37"/>
  <c r="P16" i="37"/>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5" i="37" a="1"/>
  <c r="F35" i="37" s="1"/>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<sst xmlns="http://schemas.openxmlformats.org/spreadsheetml/2006/main" count="1442" uniqueCount="368">
  <si>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</si>
  <si>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</si>
  <si>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</si>
  <si>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</si>
  <si>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</si>
  <si>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</si>
  <si>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</si>
  <si>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</si>
  <si>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</si>
  <si>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</si>
  <si>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</si>
  <si>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</si>
  <si>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</si>
  <si>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</si>
  <si>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</si>
  <si>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</si>
  <si>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</si>
  <si>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</si>
  <si>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</si>
  <si>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</si>
  <si>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</si>
  <si>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</si>
  <si>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</si>
  <si>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</si>
  <si>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</si>
  <si>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</si>
  <si>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</si>
  <si>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</si>
  <si>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</si>
  <si>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</si>
  <si>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</si>
  <si>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</si>
  <si>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</si>
  <si>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</si>
  <si>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</si>
  <si>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</si>
  <si>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</si>
  <si>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</si>
  <si>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</si>
  <si>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</si>
  <si>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</si>
  <si>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</si>
  <si>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</si>
  <si>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</si>
  <si>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</si>
  <si>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</si>
  <si>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</si>
  <si>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</si>
  <si>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</si>
  <si>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</si>
  <si>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</si>
  <si>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</si>
  <si>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</si>
  <si>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</si>
  <si>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</si>
  <si>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</si>
  <si>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</si>
  <si>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</si>
  <si>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</si>
  <si>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</si>
  <si>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</si>
  <si>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</si>
  <si>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</si>
  <si>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</si>
  <si>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</si>
  <si>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</si>
  <si>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</si>
  <si>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</si>
  <si>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</si>
  <si>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</si>
  <si>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</si>
  <si>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</si>
  <si>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</si>
  <si>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</si>
  <si>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</si>
  <si>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</si>
  <si>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</si>
  <si>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</si>
  <si>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</si>
  <si>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</si>
  <si>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</si>
  <si>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</si>
  <si>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</si>
  <si>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</si>
  <si>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</si>
  <si>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</si>
  <si>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</si>
  <si>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</si>
  <si>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</si>
  <si>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</si>
  <si>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</si>
  <si>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</si>
  <si>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</si>
  <si>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</si>
  <si>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</si>
  <si>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</si>
  <si>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</si>
  <si>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</si>
  <si>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</si>
  <si>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</si>
  <si>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</si>
  <si>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</si>
  <si>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</si>
  <si>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</si>
  <si>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</si>
  <si>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</si>
  <si>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</si>
  <si>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</si>
  <si>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</si>
  <si>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</si>
  <si>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</si>
  <si>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</si>
  <si>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</si>
  <si>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</si>
  <si>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</si>
  <si>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</si>
  <si>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</si>
  <si>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</si>
  <si>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</si>
  <si>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</si>
  <si>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</si>
  <si>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</si>
  <si>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</si>
  <si>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</si>
  <si>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</si>
  <si>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</si>
  <si>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</si>
  <si>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</si>
  <si>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</si>
  <si>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</si>
  <si>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</si>
  <si>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</si>
  <si>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</si>
  <si>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</si>
  <si>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</si>
  <si>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</si>
  <si>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</si>
  <si>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</si>
  <si>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</si>
  <si>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</si>
  <si>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</si>
  <si>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</si>
  <si>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</si>
  <si>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</si>
  <si>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</si>
  <si>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</si>
  <si>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</si>
  <si>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</si>
  <si>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</si>
  <si>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</si>
  <si>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</si>
  <si>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</si>
  <si>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</si>
  <si>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</si>
  <si>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</si>
  <si>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</si>
  <si>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</si>
  <si>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</si>
  <si>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</si>
  <si>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</si>
  <si>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</si>
  <si>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</si>
  <si>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</si>
  <si>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</si>
  <si>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</si>
  <si>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</si>
  <si>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</si>
  <si>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</si>
  <si>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</si>
  <si>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</si>
  <si>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</si>
  <si>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</si>
  <si>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</si>
  <si>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</si>
  <si>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</si>
  <si>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</si>
  <si>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</si>
  <si>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</si>
  <si>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</si>
  <si>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</si>
  <si>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</si>
  <si>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</si>
  <si>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</si>
  <si>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</si>
  <si>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</si>
  <si>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</si>
  <si>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</si>
  <si>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</si>
  <si>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</si>
  <si>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</si>
  <si>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</si>
  <si>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</si>
  <si>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</si>
  <si>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</si>
  <si>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</si>
  <si>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</si>
  <si>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</si>
  <si>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</si>
  <si>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</si>
  <si>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</si>
  <si>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</si>
  <si>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</si>
  <si>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</si>
  <si>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</si>
  <si>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</si>
  <si>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</si>
  <si>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</si>
  <si>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</si>
  <si>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</si>
  <si>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</si>
  <si>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</si>
  <si>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</si>
  <si>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</si>
  <si>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</si>
  <si>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</si>
  <si>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</si>
  <si>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</si>
  <si>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</si>
  <si>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</si>
  <si>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</si>
  <si>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</si>
  <si>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</si>
  <si>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</si>
  <si>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</si>
  <si>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</si>
  <si>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</si>
  <si>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</si>
  <si>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</si>
  <si>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</si>
  <si>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</si>
  <si>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</si>
  <si>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</si>
  <si>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</si>
  <si>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</si>
  <si>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</si>
  <si>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</si>
  <si>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</si>
  <si>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</si>
  <si>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</si>
  <si>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</si>
  <si>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</si>
  <si>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</si>
  <si>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</si>
  <si>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</si>
  <si>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</si>
  <si>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</si>
  <si>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</si>
  <si>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</si>
  <si>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</si>
  <si>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</si>
  <si>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</si>
  <si>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</si>
  <si>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</si>
  <si>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</si>
  <si>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</si>
  <si>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</si>
  <si>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</si>
  <si>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</si>
  <si>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</si>
  <si>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</si>
  <si>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</si>
  <si>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</si>
  <si>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</si>
  <si>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</si>
  <si>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</si>
  <si>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</si>
  <si>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</si>
  <si>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</si>
  <si>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</si>
  <si>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</si>
  <si>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</si>
  <si>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</si>
  <si>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</si>
  <si>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</si>
  <si>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</si>
  <si>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</si>
  <si>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</si>
  <si>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</si>
  <si>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</si>
  <si>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</si>
  <si>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</si>
  <si>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</si>
  <si>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</si>
  <si>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</si>
  <si>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</si>
  <si>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</si>
  <si>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</si>
  <si>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</si>
  <si>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</si>
  <si>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</si>
  <si>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</si>
  <si>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</si>
  <si>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</si>
  <si>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</si>
  <si>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</si>
  <si>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</si>
  <si>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</si>
  <si>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</si>
  <si>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</si>
  <si>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</si>
  <si>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</si>
  <si>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</si>
  <si>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</si>
  <si>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</si>
  <si>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</si>
  <si>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</si>
  <si>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</si>
  <si>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</si>
  <si>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</si>
  <si>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</si>
  <si>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</si>
  <si>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</si>
  <si>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</si>
  <si>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</si>
  <si>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</si>
  <si>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</si>
  <si>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</si>
  <si>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</si>
  <si>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</si>
  <si>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</si>
  <si>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</si>
  <si>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</si>
  <si>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</si>
  <si>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</si>
  <si>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</si>
  <si>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</si>
  <si>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</si>
  <si>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</si>
  <si>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</si>
  <si>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</si>
  <si>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</si>
  <si>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</si>
  <si>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</si>
  <si>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</si>
  <si>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</si>
  <si>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</si>
  <si>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</si>
  <si>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</si>
  <si>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</si>
  <si>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</si>
  <si>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</si>
  <si>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</si>
  <si>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</si>
  <si>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</si>
  <si>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</si>
  <si>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</si>
  <si>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</si>
  <si>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</si>
  <si>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</si>
  <si>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</si>
  <si>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</si>
  <si>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</si>
  <si>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</si>
  <si>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</si>
  <si>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</si>
  <si>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</si>
  <si>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</si>
  <si>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</si>
  <si>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</si>
  <si>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</si>
  <si>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</si>
  <si>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</si>
  <si>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</si>
  <si>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Combustion</t>
  </si>
  <si>
    <t>Sequestration</t>
  </si>
  <si>
    <t>$/mmBTU</t>
  </si>
  <si>
    <t>$/kg</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</si>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</sst>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16" activePane="bottomLeft" state="frozen"/>
      <selection activeCell="C19" sqref="C19"/>
      <selection pane="bottomLeft" activeCell="D32" sqref="D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11374.7161</v>
      </c>
      <c r="F7" s="6" t="s">
        <v>58</v>
      </c>
      <c r="G7" s="25">
        <v>7.0000000000000007E-2</v>
      </c>
      <c r="H7" s="25"/>
      <c r="I7" s="26" t="s">
        <v>337</v>
      </c>
      <c r="J7" s="25"/>
      <c r="K7" s="6" t="s">
        <v>85</v>
      </c>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2279.9626440000002</v>
      </c>
      <c r="F8" s="6" t="s">
        <v>58</v>
      </c>
      <c r="G8" s="25"/>
      <c r="H8" s="25"/>
      <c r="I8" s="26" t="s">
        <v>337</v>
      </c>
      <c r="J8" s="25"/>
      <c r="K8" s="6" t="s">
        <v>85</v>
      </c>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12">
        <v>2240.1724822183105</v>
      </c>
      <c r="F13" s="6" t="s">
        <v>58</v>
      </c>
      <c r="G13" s="25"/>
      <c r="H13" s="25"/>
      <c r="I13" s="26" t="s">
        <v>337</v>
      </c>
      <c r="J13" s="25"/>
      <c r="K13" s="6" t="s">
        <v>86</v>
      </c>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337</v>
      </c>
      <c r="E15" s="12">
        <v>1225.9310363</v>
      </c>
      <c r="F15" s="6" t="s">
        <v>58</v>
      </c>
      <c r="G15" s="25"/>
      <c r="H15" s="25"/>
      <c r="I15" s="26" t="s">
        <v>337</v>
      </c>
      <c r="J15" s="25"/>
      <c r="K15" s="6" t="s">
        <v>113</v>
      </c>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337</v>
      </c>
      <c r="E19" s="12">
        <v>168.61225699710999</v>
      </c>
      <c r="F19" s="6" t="s">
        <v>58</v>
      </c>
      <c r="G19" s="25"/>
      <c r="H19" s="25"/>
      <c r="I19" s="26" t="s">
        <v>337</v>
      </c>
      <c r="J19" s="25"/>
      <c r="K19" s="6" t="s">
        <v>113</v>
      </c>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337</v>
      </c>
      <c r="E20" s="76">
        <v>407.44879600000002</v>
      </c>
      <c r="F20" s="6" t="s">
        <v>58</v>
      </c>
      <c r="G20" s="25"/>
      <c r="H20" s="25"/>
      <c r="I20" s="26" t="s">
        <v>337</v>
      </c>
      <c r="J20" s="25"/>
      <c r="K20" s="6" t="s">
        <v>113</v>
      </c>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337</v>
      </c>
      <c r="E21" s="12">
        <v>0</v>
      </c>
      <c r="F21" s="6" t="s">
        <v>58</v>
      </c>
      <c r="G21" s="25"/>
      <c r="H21" s="25"/>
      <c r="I21" s="26" t="s">
        <v>337</v>
      </c>
      <c r="J21" s="25"/>
      <c r="K21" s="6" t="s">
        <v>113</v>
      </c>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337</v>
      </c>
      <c r="E22" s="76">
        <v>0.30701758699999998</v>
      </c>
      <c r="F22" s="6" t="s">
        <v>58</v>
      </c>
      <c r="G22" s="25"/>
      <c r="H22" s="25"/>
      <c r="I22" s="26" t="s">
        <v>337</v>
      </c>
      <c r="J22" s="25"/>
      <c r="K22" s="6" t="s">
        <v>86</v>
      </c>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337</v>
      </c>
      <c r="E23" s="12">
        <v>197.30273199999999</v>
      </c>
      <c r="F23" s="6" t="s">
        <v>58</v>
      </c>
      <c r="G23" s="25"/>
      <c r="H23" s="25"/>
      <c r="I23" s="26" t="s">
        <v>337</v>
      </c>
      <c r="J23" s="25"/>
      <c r="K23" s="6" t="s">
        <v>86</v>
      </c>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262876.36200000002</v>
      </c>
      <c r="F25" s="6" t="s">
        <v>58</v>
      </c>
      <c r="G25" s="25"/>
      <c r="H25" s="25"/>
      <c r="I25" s="26" t="s">
        <v>337</v>
      </c>
      <c r="J25" s="25"/>
      <c r="K25" s="6" t="s">
        <v>86</v>
      </c>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76">
        <v>100</v>
      </c>
      <c r="F26" s="6" t="s">
        <v>58</v>
      </c>
      <c r="G26" s="25"/>
      <c r="H26" s="25"/>
      <c r="I26" s="26" t="s">
        <v>337</v>
      </c>
      <c r="J26" s="25"/>
      <c r="K26" s="6" t="s">
        <v>86</v>
      </c>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22194</v>
      </c>
      <c r="F27" s="6" t="s">
        <v>68</v>
      </c>
      <c r="G27" s="25"/>
      <c r="H27" s="25"/>
      <c r="I27" s="26" t="s">
        <v>337</v>
      </c>
      <c r="J27" s="25"/>
      <c r="K27" s="6" t="s">
        <v>113</v>
      </c>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3311</v>
      </c>
      <c r="F28" s="6" t="s">
        <v>68</v>
      </c>
      <c r="G28" s="25"/>
      <c r="H28" s="25"/>
      <c r="I28" s="26" t="s">
        <v>337</v>
      </c>
      <c r="J28" s="25"/>
      <c r="K28" s="6" t="s">
        <v>85</v>
      </c>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31364.087596999998</v>
      </c>
      <c r="F29" s="6" t="s">
        <v>68</v>
      </c>
      <c r="G29" s="25"/>
      <c r="H29" s="25"/>
      <c r="I29" s="26" t="s">
        <v>337</v>
      </c>
      <c r="J29" s="25"/>
      <c r="K29" s="6" t="s">
        <v>86</v>
      </c>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77">
        <v>38.926145448658801</v>
      </c>
      <c r="F30" s="6" t="s">
        <v>70</v>
      </c>
      <c r="G30" s="25"/>
      <c r="H30" s="25"/>
      <c r="I30" s="26" t="s">
        <v>337</v>
      </c>
      <c r="J30" s="25"/>
      <c r="K30" s="6" t="s">
        <v>113</v>
      </c>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37</v>
      </c>
      <c r="C31" s="6" t="s">
        <v>50</v>
      </c>
      <c r="D31" s="6" t="s">
        <v>363</v>
      </c>
      <c r="E31" s="12">
        <v>90</v>
      </c>
      <c r="F31" s="6" t="s">
        <v>58</v>
      </c>
      <c r="G31" s="25"/>
      <c r="H31" s="25"/>
      <c r="I31" s="26" t="s">
        <v>337</v>
      </c>
      <c r="J31" s="25"/>
      <c r="K31" s="6" t="s">
        <v>113</v>
      </c>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113</v>
      </c>
      <c r="B32" s="6" t="s">
        <v>244</v>
      </c>
      <c r="C32" s="6" t="s">
        <v>277</v>
      </c>
      <c r="D32" s="6"/>
      <c r="E32" s="12">
        <v>409.26462775866599</v>
      </c>
      <c r="F32" s="6" t="s">
        <v>70</v>
      </c>
      <c r="G32" s="25"/>
      <c r="H32" s="25"/>
      <c r="I32" s="26" t="s">
        <v>337</v>
      </c>
      <c r="J32" s="25"/>
      <c r="K32" s="6" t="s">
        <v>113</v>
      </c>
      <c r="L32" s="6" t="str">
        <f>IF(Table118[[#This Row],[Category]]="Transportation", _xlfn.XLOOKUP(Table118[[#This Row],[Resource]], 'SI - Payload'!$A$10:$A$40,'SI - Payload'!$B$10:$B$40,"",0), "")</f>
        <v/>
      </c>
      <c r="M32" s="6" t="str">
        <f>IF(Table118[[#This Row],[Category]]="Transportation", "ton", "")</f>
        <v/>
      </c>
      <c r="N32" s="6">
        <v>21.535015935911794</v>
      </c>
      <c r="O32" s="6" t="s">
        <v>365</v>
      </c>
      <c r="P32" s="6" t="s">
        <v>2</v>
      </c>
      <c r="Q32" s="6" t="s">
        <v>83</v>
      </c>
      <c r="R32" s="6"/>
      <c r="S32" s="6"/>
      <c r="T32" s="6"/>
    </row>
    <row r="33" spans="1:20" x14ac:dyDescent="0.35">
      <c r="A33" s="6" t="s">
        <v>85</v>
      </c>
      <c r="B33" s="6" t="s">
        <v>37</v>
      </c>
      <c r="C33" s="6" t="s">
        <v>51</v>
      </c>
      <c r="D33" s="6" t="s">
        <v>364</v>
      </c>
      <c r="E33" s="12">
        <v>1991.2560900000001</v>
      </c>
      <c r="F33" s="6" t="s">
        <v>58</v>
      </c>
      <c r="G33" s="25"/>
      <c r="H33" s="25"/>
      <c r="I33" s="26" t="s">
        <v>114</v>
      </c>
      <c r="J33" s="25"/>
      <c r="K33" s="6" t="s">
        <v>85</v>
      </c>
      <c r="L33" s="6" t="str">
        <f>IF(Table118[[#This Row],[Category]]="Transportation", _xlfn.XLOOKUP(Table118[[#This Row],[Resource]], 'SI - Payload'!$A$10:$A$40,'SI - Payload'!$B$10:$B$40,"",0), "")</f>
        <v/>
      </c>
      <c r="M33" s="6" t="str">
        <f>IF(Table118[[#This Row],[Category]]="Transportation", "ton", "")</f>
        <v/>
      </c>
      <c r="N33" s="6">
        <v>1.8739390198196608</v>
      </c>
      <c r="O33" s="6" t="s">
        <v>366</v>
      </c>
      <c r="P33" s="6" t="s">
        <v>278</v>
      </c>
      <c r="Q33" s="6"/>
      <c r="R33" s="6"/>
      <c r="S33" s="6"/>
      <c r="T33" s="6"/>
    </row>
    <row r="34" spans="1:20" x14ac:dyDescent="0.35">
      <c r="A34" s="6" t="s">
        <v>85</v>
      </c>
      <c r="B34" s="6" t="s">
        <v>37</v>
      </c>
      <c r="C34" s="6" t="s">
        <v>280</v>
      </c>
      <c r="D34" s="6" t="s">
        <v>337</v>
      </c>
      <c r="E34" s="12">
        <v>14639.1765</v>
      </c>
      <c r="F34" s="6" t="s">
        <v>58</v>
      </c>
      <c r="G34" s="25"/>
      <c r="H34" s="25"/>
      <c r="I34" s="26" t="s">
        <v>124</v>
      </c>
      <c r="J34" s="25"/>
      <c r="K34" s="6" t="s">
        <v>86</v>
      </c>
      <c r="L34" s="6" t="str">
        <f>IF(Table118[[#This Row],[Category]]="Transportation", _xlfn.XLOOKUP(Table118[[#This Row],[Resource]], 'SI - Payload'!$A$10:$A$40,'SI - Payload'!$B$10:$B$40,"",0), "")</f>
        <v/>
      </c>
      <c r="M34" s="6" t="str">
        <f>IF(Table118[[#This Row],[Category]]="Transportation", "ton", "")</f>
        <v/>
      </c>
      <c r="N34" s="6"/>
      <c r="O34" s="6"/>
      <c r="P34" s="6" t="s">
        <v>280</v>
      </c>
      <c r="Q34" s="6" t="s">
        <v>337</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tabSelected="1"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9">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8">
        <v>1.000045143067781</v>
      </c>
      <c r="F6" s="6" t="s">
        <v>70</v>
      </c>
      <c r="G6" s="25"/>
      <c r="H6" s="25" t="s">
        <v>367</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4" t="s">
        <v>338</v>
      </c>
      <c r="C1" s="84"/>
      <c r="D1" s="62" t="s">
        <v>339</v>
      </c>
      <c r="E1" s="62" t="s">
        <v>340</v>
      </c>
      <c r="F1" s="62" t="s">
        <v>341</v>
      </c>
      <c r="G1" s="62" t="s">
        <v>342</v>
      </c>
      <c r="H1" s="62" t="s">
        <v>343</v>
      </c>
    </row>
    <row r="2" spans="1:8" x14ac:dyDescent="0.35">
      <c r="A2" s="62" t="s">
        <v>344</v>
      </c>
      <c r="B2" s="83">
        <v>89.04</v>
      </c>
      <c r="C2" s="83"/>
      <c r="D2" s="64">
        <v>1</v>
      </c>
      <c r="E2" s="63"/>
      <c r="F2" s="63"/>
      <c r="G2" s="65">
        <v>0.3</v>
      </c>
      <c r="H2" s="65">
        <v>0</v>
      </c>
    </row>
    <row r="3" spans="1:8" x14ac:dyDescent="0.35">
      <c r="A3" s="62" t="s">
        <v>345</v>
      </c>
      <c r="B3" s="85">
        <v>23.19</v>
      </c>
      <c r="C3" s="86"/>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7" t="s">
        <v>349</v>
      </c>
      <c r="C8" s="87"/>
      <c r="D8" s="69" t="s">
        <v>339</v>
      </c>
      <c r="E8" s="69" t="s">
        <v>340</v>
      </c>
      <c r="F8" s="69" t="s">
        <v>341</v>
      </c>
      <c r="G8" s="69" t="s">
        <v>342</v>
      </c>
      <c r="H8" s="62" t="s">
        <v>343</v>
      </c>
    </row>
    <row r="9" spans="1:8" x14ac:dyDescent="0.35">
      <c r="A9" s="62" t="s">
        <v>350</v>
      </c>
      <c r="B9" s="83">
        <v>10.92</v>
      </c>
      <c r="C9" s="83"/>
      <c r="D9" s="63"/>
      <c r="E9" s="64">
        <v>1</v>
      </c>
      <c r="F9" s="63"/>
      <c r="G9" s="71">
        <v>0.11409999999999999</v>
      </c>
      <c r="H9" s="71">
        <v>8.1557678177810455E-2</v>
      </c>
    </row>
    <row r="10" spans="1:8" x14ac:dyDescent="0.35">
      <c r="A10" s="62" t="s">
        <v>351</v>
      </c>
      <c r="B10" s="83">
        <v>289.14999999999998</v>
      </c>
      <c r="C10" s="83"/>
      <c r="D10" s="63"/>
      <c r="E10" s="64">
        <v>1</v>
      </c>
      <c r="F10" s="63"/>
      <c r="G10" s="71">
        <v>0.11409999999999999</v>
      </c>
      <c r="H10" s="71">
        <v>0.02</v>
      </c>
    </row>
    <row r="11" spans="1:8" x14ac:dyDescent="0.35">
      <c r="A11" s="62" t="s">
        <v>352</v>
      </c>
      <c r="B11" s="83">
        <v>7.72</v>
      </c>
      <c r="C11" s="83"/>
      <c r="D11" s="72">
        <v>0.89500000000000002</v>
      </c>
      <c r="E11" s="72">
        <f>1-D11</f>
        <v>0.10499999999999998</v>
      </c>
      <c r="F11" s="63"/>
      <c r="G11" s="71">
        <v>0.11409999999999999</v>
      </c>
      <c r="H11" s="71">
        <v>0</v>
      </c>
    </row>
    <row r="12" spans="1:8" x14ac:dyDescent="0.35">
      <c r="A12" s="62" t="s">
        <v>353</v>
      </c>
      <c r="B12" s="83">
        <v>0</v>
      </c>
      <c r="C12" s="83"/>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2022-11-01T20:50:27Z</dcterms:modified>
</cp:coreProperties>
</file>