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5488E005-4667-4185-B558-A4C03742CAAB}" xr6:coauthVersionLast="47" xr6:coauthVersionMax="47" xr10:uidLastSave="{00000000-0000-0000-0000-000000000000}"/>
  <bookViews>
    <workbookView xWindow="-110" yWindow="-110" windowWidth="22780" windowHeight="14660" tabRatio="685" firstSheet="10" activeTab="16"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P6" i="38"/>
  <c r="Q6" i="38" s="1"/>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8" i="37"/>
  <c r="Q98" i="37" s="1"/>
  <c r="M98" i="37"/>
  <c r="L98" i="37"/>
  <c r="I98" i="37"/>
  <c r="C98" i="37"/>
  <c r="F98" i="37" s="1" a="1"/>
  <c r="F98" i="37" s="1"/>
  <c r="P97" i="37"/>
  <c r="Q97" i="37" s="1"/>
  <c r="M97" i="37"/>
  <c r="L97" i="37"/>
  <c r="I97" i="37"/>
  <c r="C97" i="37"/>
  <c r="D97" i="37" s="1"/>
  <c r="P96" i="37"/>
  <c r="Q96" i="37" s="1"/>
  <c r="M96" i="37"/>
  <c r="L96" i="37"/>
  <c r="I96" i="37"/>
  <c r="C96" i="37"/>
  <c r="D96" i="37" s="1"/>
  <c r="P95" i="37"/>
  <c r="Q95" i="37" s="1"/>
  <c r="M95" i="37"/>
  <c r="L95" i="37"/>
  <c r="I95" i="37"/>
  <c r="C95" i="37"/>
  <c r="D95" i="37" s="1"/>
  <c r="P94" i="37"/>
  <c r="Q94" i="37" s="1"/>
  <c r="M94" i="37"/>
  <c r="L94" i="37"/>
  <c r="I94" i="37"/>
  <c r="C94" i="37"/>
  <c r="F94" i="37" s="1" a="1"/>
  <c r="F94" i="37" s="1"/>
  <c r="P93" i="37"/>
  <c r="Q93" i="37" s="1"/>
  <c r="M93" i="37"/>
  <c r="L93" i="37"/>
  <c r="I93" i="37"/>
  <c r="C93" i="37"/>
  <c r="F93" i="37" s="1" a="1"/>
  <c r="F93" i="37" s="1"/>
  <c r="P92" i="37"/>
  <c r="Q92" i="37" s="1"/>
  <c r="M92" i="37"/>
  <c r="L92" i="37"/>
  <c r="I92" i="37"/>
  <c r="F92" i="37" a="1"/>
  <c r="F92" i="37" s="1"/>
  <c r="C92" i="37"/>
  <c r="D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D89" i="37" s="1"/>
  <c r="P88" i="37"/>
  <c r="Q88" i="37" s="1"/>
  <c r="M88" i="37"/>
  <c r="L88" i="37"/>
  <c r="I88" i="37"/>
  <c r="D88" i="37"/>
  <c r="C88" i="37"/>
  <c r="F88" i="37" s="1" a="1"/>
  <c r="F88" i="37" s="1"/>
  <c r="P87" i="37"/>
  <c r="Q87" i="37" s="1"/>
  <c r="M87" i="37"/>
  <c r="L87" i="37"/>
  <c r="I87" i="37"/>
  <c r="C87" i="37"/>
  <c r="D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Q81" i="37"/>
  <c r="P81" i="37"/>
  <c r="M81" i="37"/>
  <c r="L81" i="37"/>
  <c r="I81" i="37"/>
  <c r="F81" i="37" a="1"/>
  <c r="F81" i="37" s="1"/>
  <c r="C81" i="37"/>
  <c r="D81" i="37" s="1"/>
  <c r="P80" i="37"/>
  <c r="Q80" i="37" s="1"/>
  <c r="M80" i="37"/>
  <c r="L80" i="37"/>
  <c r="I80" i="37"/>
  <c r="C80" i="37"/>
  <c r="F80" i="37" s="1" a="1"/>
  <c r="F80" i="37" s="1"/>
  <c r="P79" i="37"/>
  <c r="Q79" i="37" s="1"/>
  <c r="M79" i="37"/>
  <c r="L79" i="37"/>
  <c r="I79" i="37"/>
  <c r="C79" i="37"/>
  <c r="D79" i="37" s="1"/>
  <c r="P78" i="37"/>
  <c r="Q78" i="37" s="1"/>
  <c r="M78" i="37"/>
  <c r="L78" i="37"/>
  <c r="I78" i="37"/>
  <c r="C78" i="37"/>
  <c r="F78" i="37" s="1" a="1"/>
  <c r="F78" i="37" s="1"/>
  <c r="P77" i="37"/>
  <c r="Q77" i="37" s="1"/>
  <c r="M77" i="37"/>
  <c r="L77" i="37"/>
  <c r="I77" i="37"/>
  <c r="D77" i="37"/>
  <c r="C77" i="37"/>
  <c r="F77" i="37" s="1" a="1"/>
  <c r="F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Q73" i="37"/>
  <c r="P73" i="37"/>
  <c r="M73" i="37"/>
  <c r="L73" i="37"/>
  <c r="I73" i="37"/>
  <c r="C73" i="37"/>
  <c r="D73" i="37" s="1"/>
  <c r="P72" i="37"/>
  <c r="Q72" i="37" s="1"/>
  <c r="M72" i="37"/>
  <c r="L72" i="37"/>
  <c r="I72" i="37"/>
  <c r="F72" i="37"/>
  <c r="F72" i="37" a="1"/>
  <c r="C72" i="37"/>
  <c r="D72" i="37" s="1"/>
  <c r="P71" i="37"/>
  <c r="Q71" i="37" s="1"/>
  <c r="M71" i="37"/>
  <c r="L71" i="37"/>
  <c r="I71" i="37"/>
  <c r="C71" i="37"/>
  <c r="D71" i="37" s="1"/>
  <c r="P70" i="37"/>
  <c r="Q70" i="37" s="1"/>
  <c r="M70" i="37"/>
  <c r="L70" i="37"/>
  <c r="I70" i="37"/>
  <c r="C70" i="37"/>
  <c r="F70" i="37" s="1" a="1"/>
  <c r="F70" i="37" s="1"/>
  <c r="Q69" i="37"/>
  <c r="P69" i="37"/>
  <c r="M69" i="37"/>
  <c r="L69" i="37"/>
  <c r="I69" i="37"/>
  <c r="C69" i="37"/>
  <c r="F69" i="37" s="1" a="1"/>
  <c r="F69" i="37" s="1"/>
  <c r="P68" i="37"/>
  <c r="Q68" i="37" s="1"/>
  <c r="M68" i="37"/>
  <c r="L68" i="37"/>
  <c r="I68" i="37"/>
  <c r="D68" i="37"/>
  <c r="C68" i="37"/>
  <c r="F68" i="37" s="1" a="1"/>
  <c r="F68" i="37" s="1"/>
  <c r="P67" i="37"/>
  <c r="Q67" i="37" s="1"/>
  <c r="M67" i="37"/>
  <c r="L67" i="37"/>
  <c r="I67" i="37"/>
  <c r="C67" i="37"/>
  <c r="F67" i="37" s="1" a="1"/>
  <c r="F67" i="37" s="1"/>
  <c r="P66" i="37"/>
  <c r="Q66" i="37" s="1"/>
  <c r="M66" i="37"/>
  <c r="L66" i="37"/>
  <c r="I66" i="37"/>
  <c r="D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F63" i="37" a="1"/>
  <c r="F63" i="37" s="1"/>
  <c r="C63" i="37"/>
  <c r="D63" i="37" s="1"/>
  <c r="P62" i="37"/>
  <c r="Q62" i="37" s="1"/>
  <c r="M62" i="37"/>
  <c r="L62" i="37"/>
  <c r="I62" i="37"/>
  <c r="C62" i="37"/>
  <c r="F62" i="37" s="1" a="1"/>
  <c r="F62" i="37" s="1"/>
  <c r="P61" i="37"/>
  <c r="Q61" i="37" s="1"/>
  <c r="M61" i="37"/>
  <c r="L61" i="37"/>
  <c r="I61" i="37"/>
  <c r="C61" i="37"/>
  <c r="F61" i="37" s="1" a="1"/>
  <c r="F61" i="37" s="1"/>
  <c r="P60" i="37"/>
  <c r="Q60" i="37" s="1"/>
  <c r="M60" i="37"/>
  <c r="L60" i="37"/>
  <c r="I60" i="37"/>
  <c r="F60" i="37" a="1"/>
  <c r="F60" i="37" s="1"/>
  <c r="D60" i="37"/>
  <c r="C60" i="37"/>
  <c r="P59" i="37"/>
  <c r="Q59" i="37" s="1"/>
  <c r="M59" i="37"/>
  <c r="L59" i="37"/>
  <c r="I59" i="37"/>
  <c r="C59" i="37"/>
  <c r="F59" i="37" s="1" a="1"/>
  <c r="F59" i="37" s="1"/>
  <c r="P58" i="37"/>
  <c r="Q58" i="37" s="1"/>
  <c r="M58" i="37"/>
  <c r="L58" i="37"/>
  <c r="I58" i="37"/>
  <c r="D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D55" i="37" s="1"/>
  <c r="Q54" i="37"/>
  <c r="P54" i="37"/>
  <c r="M54" i="37"/>
  <c r="L54" i="37"/>
  <c r="I54" i="37"/>
  <c r="C54" i="37"/>
  <c r="F54" i="37" s="1" a="1"/>
  <c r="F54" i="37" s="1"/>
  <c r="P53" i="37"/>
  <c r="Q53" i="37" s="1"/>
  <c r="M53" i="37"/>
  <c r="L53" i="37"/>
  <c r="I53" i="37"/>
  <c r="C53" i="37"/>
  <c r="F53" i="37" s="1" a="1"/>
  <c r="F53" i="37" s="1"/>
  <c r="P52" i="37"/>
  <c r="Q52" i="37" s="1"/>
  <c r="M52" i="37"/>
  <c r="L52" i="37"/>
  <c r="I52" i="37"/>
  <c r="C52" i="37"/>
  <c r="D52" i="37" s="1"/>
  <c r="P51" i="37"/>
  <c r="Q51" i="37" s="1"/>
  <c r="M51" i="37"/>
  <c r="L51" i="37"/>
  <c r="I51" i="37"/>
  <c r="C51" i="37"/>
  <c r="F51" i="37" s="1" a="1"/>
  <c r="F51" i="37" s="1"/>
  <c r="P50" i="37"/>
  <c r="Q50" i="37" s="1"/>
  <c r="M50" i="37"/>
  <c r="L50" i="37"/>
  <c r="I50" i="37"/>
  <c r="C50" i="37"/>
  <c r="F50" i="37" s="1" a="1"/>
  <c r="F50" i="37" s="1"/>
  <c r="P49" i="37"/>
  <c r="Q49" i="37" s="1"/>
  <c r="M49" i="37"/>
  <c r="L49" i="37"/>
  <c r="I49" i="37"/>
  <c r="F49" i="37" a="1"/>
  <c r="F49" i="37" s="1"/>
  <c r="C49" i="37"/>
  <c r="D49" i="37" s="1"/>
  <c r="P48" i="37"/>
  <c r="Q48" i="37" s="1"/>
  <c r="M48" i="37"/>
  <c r="L48" i="37"/>
  <c r="I48" i="37"/>
  <c r="C48" i="37"/>
  <c r="D48" i="37" s="1"/>
  <c r="P47" i="37"/>
  <c r="Q47" i="37" s="1"/>
  <c r="M47" i="37"/>
  <c r="L47" i="37"/>
  <c r="I47" i="37"/>
  <c r="F47" i="37" a="1"/>
  <c r="F47" i="37" s="1"/>
  <c r="D47" i="37"/>
  <c r="C47" i="37"/>
  <c r="P46" i="37"/>
  <c r="Q46" i="37" s="1"/>
  <c r="M46" i="37"/>
  <c r="L46" i="37"/>
  <c r="I46" i="37"/>
  <c r="C46" i="37"/>
  <c r="F46" i="37" s="1" a="1"/>
  <c r="F46" i="37" s="1"/>
  <c r="Q45" i="37"/>
  <c r="P45" i="37"/>
  <c r="M45" i="37"/>
  <c r="L45" i="37"/>
  <c r="I45" i="37"/>
  <c r="C45" i="37"/>
  <c r="F45" i="37" s="1" a="1"/>
  <c r="F45" i="37" s="1"/>
  <c r="P44" i="37"/>
  <c r="Q44" i="37" s="1"/>
  <c r="M44" i="37"/>
  <c r="L44" i="37"/>
  <c r="I44" i="37"/>
  <c r="D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D41" i="37" s="1"/>
  <c r="P40" i="37"/>
  <c r="Q40" i="37" s="1"/>
  <c r="M40" i="37"/>
  <c r="L40" i="37"/>
  <c r="I40" i="37"/>
  <c r="D40" i="37"/>
  <c r="C40" i="37"/>
  <c r="F40" i="37" s="1" a="1"/>
  <c r="F40" i="37" s="1"/>
  <c r="P39" i="37"/>
  <c r="Q39" i="37" s="1"/>
  <c r="M39" i="37"/>
  <c r="L39" i="37"/>
  <c r="I39" i="37"/>
  <c r="D39" i="37"/>
  <c r="C39" i="37"/>
  <c r="F39" i="37" s="1" a="1"/>
  <c r="F39" i="37" s="1"/>
  <c r="P38" i="37"/>
  <c r="Q38" i="37" s="1"/>
  <c r="M38" i="37"/>
  <c r="L38" i="37"/>
  <c r="I38" i="37"/>
  <c r="C38" i="37"/>
  <c r="F38" i="37" s="1" a="1"/>
  <c r="F38" i="37" s="1"/>
  <c r="Q37" i="37"/>
  <c r="P37" i="37"/>
  <c r="M37" i="37"/>
  <c r="L37" i="37"/>
  <c r="I37" i="37"/>
  <c r="D37" i="37"/>
  <c r="C37" i="37"/>
  <c r="F37" i="37" s="1" a="1"/>
  <c r="F37" i="37" s="1"/>
  <c r="P36" i="37"/>
  <c r="Q36" i="37" s="1"/>
  <c r="M36" i="37"/>
  <c r="L36" i="37"/>
  <c r="I36" i="37"/>
  <c r="D36" i="37"/>
  <c r="C36" i="37"/>
  <c r="F36" i="37" s="1" a="1"/>
  <c r="F36" i="37" s="1"/>
  <c r="P35" i="37"/>
  <c r="Q35" i="37" s="1"/>
  <c r="M35" i="37"/>
  <c r="L35" i="37"/>
  <c r="I35" i="37"/>
  <c r="C35" i="37"/>
  <c r="F35" i="37" s="1" a="1"/>
  <c r="F35" i="37" s="1"/>
  <c r="P34" i="37"/>
  <c r="Q34" i="37" s="1"/>
  <c r="M34" i="37"/>
  <c r="L34" i="37"/>
  <c r="I34" i="37"/>
  <c r="C34" i="37"/>
  <c r="F34" i="37" s="1" a="1"/>
  <c r="F34"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8" i="37" l="1" a="1"/>
  <c r="F48" i="37" s="1"/>
  <c r="F52" i="37" a="1"/>
  <c r="F52" i="37" s="1"/>
  <c r="D69" i="37"/>
  <c r="D80" i="37"/>
  <c r="D90" i="37"/>
  <c r="F89" i="37" a="1"/>
  <c r="F89" i="37" s="1"/>
  <c r="D34" i="37"/>
  <c r="D42" i="37"/>
  <c r="F57" i="37" a="1"/>
  <c r="F57" i="37" s="1"/>
  <c r="F71" i="37" a="1"/>
  <c r="F71" i="37" s="1"/>
  <c r="F41" i="37" a="1"/>
  <c r="F41" i="37" s="1"/>
  <c r="D56" i="37"/>
  <c r="F95" i="37" a="1"/>
  <c r="F95"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0" i="37"/>
  <c r="F55" i="37" a="1"/>
  <c r="F55" i="37" s="1"/>
  <c r="D61" i="37"/>
  <c r="F73" i="37" a="1"/>
  <c r="F73" i="37" s="1"/>
  <c r="D84" i="37"/>
  <c r="F96" i="37" a="1"/>
  <c r="F96"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3" i="37"/>
  <c r="D64" i="37"/>
  <c r="F65" i="37" a="1"/>
  <c r="F65" i="37" s="1"/>
  <c r="D76"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5" i="37"/>
  <c r="D82" i="37"/>
  <c r="F87" i="37" a="1"/>
  <c r="F87" i="37" s="1"/>
  <c r="D93"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8"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4" i="37"/>
  <c r="F79" i="37" a="1"/>
  <c r="F79" i="37" s="1"/>
  <c r="D85" i="37"/>
  <c r="F97" i="37" a="1"/>
  <c r="F97" i="37" s="1"/>
  <c r="D17" i="38"/>
  <c r="D25" i="38"/>
  <c r="D33" i="38"/>
  <c r="D35" i="37"/>
  <c r="D43" i="37"/>
  <c r="D51" i="37"/>
  <c r="D59" i="37"/>
  <c r="D67" i="37"/>
  <c r="D75" i="37"/>
  <c r="D83" i="37"/>
  <c r="D91" i="37"/>
  <c r="D38" i="37"/>
  <c r="D46" i="37"/>
  <c r="D54" i="37"/>
  <c r="D62" i="37"/>
  <c r="D70" i="37"/>
  <c r="D78" i="37"/>
  <c r="D86" i="37"/>
  <c r="D94"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<sst xmlns="http://schemas.openxmlformats.org/spreadsheetml/2006/main" count="1541" uniqueCount="367">
  <si>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</si>
  <si>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</si>
  <si>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</si>
  <si>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</si>
  <si>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</si>
  <si>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</si>
  <si>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</si>
  <si>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</si>
  <si>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</si>
  <si>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</si>
  <si>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</si>
  <si>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</si>
  <si>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</si>
  <si>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</si>
  <si>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</si>
  <si>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</si>
  <si>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</si>
  <si>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</si>
  <si>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</si>
  <si>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</si>
  <si>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</si>
  <si>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</si>
  <si>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</si>
  <si>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</si>
  <si>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</si>
  <si>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</si>
  <si>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</si>
  <si>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</si>
  <si>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</si>
  <si>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</si>
  <si>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</si>
  <si>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</si>
  <si>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</si>
  <si>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</si>
  <si>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</si>
  <si>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</si>
  <si>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</si>
  <si>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</si>
  <si>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</si>
  <si>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</si>
  <si>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</si>
  <si>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</si>
  <si>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</si>
  <si>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</si>
  <si>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</si>
  <si>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</si>
  <si>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</si>
  <si>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</si>
  <si>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</si>
  <si>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</si>
  <si>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</si>
  <si>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</si>
  <si>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</si>
  <si>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</si>
  <si>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</si>
  <si>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</si>
  <si>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</si>
  <si>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</si>
  <si>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</si>
  <si>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</si>
  <si>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</si>
  <si>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</si>
  <si>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</si>
  <si>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</si>
  <si>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</si>
  <si>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</si>
  <si>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</si>
  <si>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</si>
  <si>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</si>
  <si>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</si>
  <si>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</si>
  <si>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</si>
  <si>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</si>
  <si>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</si>
  <si>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</si>
  <si>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</si>
  <si>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</si>
  <si>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</si>
  <si>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</si>
  <si>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</si>
  <si>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</si>
  <si>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</si>
  <si>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</si>
  <si>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</si>
  <si>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</si>
  <si>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</si>
  <si>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</si>
  <si>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</si>
  <si>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</si>
  <si>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</si>
  <si>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</si>
  <si>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</si>
  <si>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</si>
  <si>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</si>
  <si>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</si>
  <si>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</si>
  <si>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</si>
  <si>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</si>
  <si>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</si>
  <si>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</si>
  <si>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</si>
  <si>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</si>
  <si>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</si>
  <si>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</si>
  <si>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</si>
  <si>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</si>
  <si>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</si>
  <si>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</si>
  <si>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</si>
  <si>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</si>
  <si>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</si>
  <si>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</si>
  <si>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</si>
  <si>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</si>
  <si>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</si>
  <si>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</si>
  <si>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</si>
  <si>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</si>
  <si>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</si>
  <si>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</si>
  <si>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</si>
  <si>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</si>
  <si>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</si>
  <si>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</si>
  <si>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</si>
  <si>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</si>
  <si>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</si>
  <si>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</si>
  <si>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</si>
  <si>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</si>
  <si>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</si>
  <si>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</si>
  <si>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</si>
  <si>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</si>
  <si>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</si>
  <si>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</si>
  <si>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</si>
  <si>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</si>
  <si>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</si>
  <si>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</si>
  <si>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</si>
  <si>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</si>
  <si>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</si>
  <si>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</si>
  <si>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</si>
  <si>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</si>
  <si>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</si>
  <si>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</si>
  <si>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</si>
  <si>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</si>
  <si>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</si>
  <si>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</si>
  <si>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</si>
  <si>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</si>
  <si>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</si>
  <si>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</si>
  <si>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</si>
  <si>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</si>
  <si>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</si>
  <si>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</si>
  <si>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</si>
  <si>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</si>
  <si>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</si>
  <si>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</si>
  <si>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</si>
  <si>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</si>
  <si>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</si>
  <si>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</si>
  <si>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</si>
  <si>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</si>
  <si>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</si>
  <si>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</si>
  <si>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</si>
  <si>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</si>
  <si>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</si>
  <si>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</si>
  <si>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</si>
  <si>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</si>
  <si>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</si>
  <si>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</si>
  <si>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</si>
  <si>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</si>
  <si>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</si>
  <si>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</si>
  <si>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</si>
  <si>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</si>
  <si>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</si>
  <si>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</si>
  <si>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</si>
  <si>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</si>
  <si>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</si>
  <si>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</si>
  <si>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</si>
  <si>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</si>
  <si>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</si>
  <si>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</si>
  <si>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</si>
  <si>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</si>
  <si>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</si>
  <si>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</si>
  <si>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</si>
  <si>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</si>
  <si>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</si>
  <si>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</si>
  <si>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</si>
  <si>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</si>
  <si>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</si>
  <si>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</si>
  <si>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</si>
  <si>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</si>
  <si>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</si>
  <si>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</si>
  <si>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</si>
  <si>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</si>
  <si>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</si>
  <si>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</si>
  <si>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</si>
  <si>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</si>
  <si>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</si>
  <si>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</si>
  <si>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</si>
  <si>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</si>
  <si>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</si>
  <si>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</si>
  <si>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</si>
  <si>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</si>
  <si>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</si>
  <si>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</si>
  <si>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</si>
  <si>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</si>
  <si>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</si>
  <si>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</si>
  <si>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</si>
  <si>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</si>
  <si>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</si>
  <si>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</si>
  <si>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</si>
  <si>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</si>
  <si>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</si>
  <si>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</si>
  <si>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</si>
  <si>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</si>
  <si>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</si>
  <si>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</si>
  <si>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</si>
  <si>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</si>
  <si>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</si>
  <si>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</si>
  <si>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</si>
  <si>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</si>
  <si>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</si>
  <si>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</si>
  <si>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</si>
  <si>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</si>
  <si>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</si>
  <si>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</si>
  <si>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</si>
  <si>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</si>
  <si>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</si>
  <si>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</si>
  <si>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</si>
  <si>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</si>
  <si>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</si>
  <si>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</si>
  <si>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</si>
  <si>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</si>
  <si>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</si>
  <si>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</si>
  <si>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</si>
  <si>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</si>
  <si>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</si>
  <si>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</si>
  <si>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</si>
  <si>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</si>
  <si>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</si>
  <si>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</si>
  <si>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</si>
  <si>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</si>
  <si>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</si>
  <si>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</si>
  <si>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</si>
  <si>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</si>
  <si>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</si>
  <si>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</si>
  <si>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</si>
  <si>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</si>
  <si>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</si>
  <si>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</si>
  <si>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</si>
  <si>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</si>
  <si>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</si>
  <si>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</si>
  <si>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</si>
  <si>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</si>
  <si>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</si>
  <si>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</si>
  <si>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</si>
  <si>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</si>
  <si>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</si>
  <si>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</si>
  <si>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</si>
  <si>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</si>
  <si>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</si>
  <si>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</si>
  <si>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</si>
  <si>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</si>
  <si>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</si>
  <si>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</si>
  <si>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</si>
  <si>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</si>
  <si>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</si>
  <si>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</si>
  <si>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</si>
  <si>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</si>
  <si>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</si>
  <si>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</si>
  <si>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</si>
  <si>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</si>
  <si>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</si>
  <si>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</si>
  <si>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</si>
  <si>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</si>
  <si>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</si>
  <si>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</si>
  <si>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</si>
  <si>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</si>
  <si>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</si>
  <si>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</si>
  <si>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</si>
  <si>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</si>
  <si>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</si>
  <si>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</si>
  <si>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</si>
  <si>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</si>
  <si>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</si>
  <si>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</si>
  <si>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</si>
  <si>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</si>
  <si>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</si>
  <si>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</si>
  <si>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</si>
  <si>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</si>
  <si>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</si>
  <si>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</si>
  <si>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</si>
  <si>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</si>
  <si>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</si>
  <si>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</si>
  <si>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</si>
  <si>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</si>
  <si>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</si>
  <si>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</si>
  <si>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</si>
  <si>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</si>
  <si>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</si>
  <si>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</si>
  <si>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</si>
  <si>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</si>
  <si>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</si>
  <si>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</si>
  <si>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</si>
  <si>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</si>
  <si>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Sequestration</t>
  </si>
  <si>
    <t>$/mmBTU</t>
  </si>
  <si>
    <t>$/kg</t>
  </si>
  <si>
    <t>Fuel production</t>
  </si>
  <si>
    <t>CO2 emissions from the use of Na2CO3.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</si>
</sst>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8" totalsRowShown="0" headerRowDxfId="45" dataDxfId="44" tableBorderDxfId="43" dataCellStyle="Percent">
  <autoFilter ref="A5:T98"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8"/>
  <sheetViews>
    <sheetView workbookViewId="0">
      <pane ySplit="5" topLeftCell="A18" activePane="bottomLeft" state="frozen"/>
      <selection activeCell="C19" sqref="C19"/>
      <selection pane="bottomLeft" activeCell="E6" sqref="E6:E3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35">
      <c r="A7" s="6" t="s">
        <v>0</v>
      </c>
      <c r="B7" s="6" t="s">
        <v>37</v>
      </c>
      <c r="C7" s="6" t="s">
        <v>106</v>
      </c>
      <c r="D7" s="6"/>
      <c r="E7" s="12">
        <v>12472.156300000001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35">
      <c r="A8" s="6" t="s">
        <v>0</v>
      </c>
      <c r="B8" s="6" t="s">
        <v>37</v>
      </c>
      <c r="C8" s="6" t="s">
        <v>13</v>
      </c>
      <c r="D8" s="6"/>
      <c r="E8" s="76">
        <v>1800</v>
      </c>
      <c r="F8" s="6" t="s">
        <v>58</v>
      </c>
      <c r="G8" s="25"/>
      <c r="H8" s="25"/>
      <c r="I8" s="26" t="s">
        <v>337</v>
      </c>
      <c r="J8" s="25"/>
      <c r="K8" s="6" t="s">
        <v>85</v>
      </c>
      <c r="L8" s="6" t="s">
        <v>337</v>
      </c>
      <c r="M8" s="6" t="s">
        <v>337</v>
      </c>
      <c r="N8" s="6"/>
      <c r="O8" s="6"/>
      <c r="P8" s="6" t="s">
        <v>337</v>
      </c>
      <c r="Q8" s="6" t="s">
        <v>337</v>
      </c>
      <c r="R8" s="6"/>
      <c r="S8" s="6"/>
      <c r="T8" s="6"/>
    </row>
    <row r="9" spans="1:20" x14ac:dyDescent="0.35">
      <c r="A9" s="6" t="s">
        <v>0</v>
      </c>
      <c r="B9" s="6" t="s">
        <v>37</v>
      </c>
      <c r="C9" s="6" t="s">
        <v>13</v>
      </c>
      <c r="D9" s="6" t="s">
        <v>337</v>
      </c>
      <c r="E9" s="12">
        <v>2749.7741029999997</v>
      </c>
      <c r="F9" s="6" t="s">
        <v>58</v>
      </c>
      <c r="G9" s="25"/>
      <c r="H9" s="25"/>
      <c r="I9" s="26" t="s">
        <v>337</v>
      </c>
      <c r="J9" s="25"/>
      <c r="K9" s="6" t="s">
        <v>86</v>
      </c>
      <c r="L9" s="6" t="s">
        <v>337</v>
      </c>
      <c r="M9" s="6" t="s">
        <v>337</v>
      </c>
      <c r="N9" s="6"/>
      <c r="O9" s="6"/>
      <c r="P9" s="6" t="s">
        <v>337</v>
      </c>
      <c r="Q9" s="6" t="s">
        <v>337</v>
      </c>
      <c r="R9" s="6"/>
      <c r="S9" s="6"/>
      <c r="T9" s="6"/>
    </row>
    <row r="10" spans="1:20" x14ac:dyDescent="0.35">
      <c r="A10" s="6" t="s">
        <v>0</v>
      </c>
      <c r="B10" s="6" t="s">
        <v>37</v>
      </c>
      <c r="C10" s="6" t="s">
        <v>26</v>
      </c>
      <c r="D10" s="6"/>
      <c r="E10" s="76">
        <v>7500</v>
      </c>
      <c r="F10" s="6" t="s">
        <v>58</v>
      </c>
      <c r="G10" s="25"/>
      <c r="H10" s="25"/>
      <c r="I10" s="26" t="s">
        <v>337</v>
      </c>
      <c r="J10" s="25"/>
      <c r="K10" s="6" t="s">
        <v>86</v>
      </c>
      <c r="L10" s="6" t="s">
        <v>337</v>
      </c>
      <c r="M10" s="6" t="s">
        <v>337</v>
      </c>
      <c r="N10" s="6"/>
      <c r="O10" s="6"/>
      <c r="P10" s="6" t="s">
        <v>337</v>
      </c>
      <c r="Q10" s="6" t="s">
        <v>337</v>
      </c>
      <c r="R10" s="6"/>
      <c r="S10" s="6"/>
      <c r="T10" s="6"/>
    </row>
    <row r="11" spans="1:20" x14ac:dyDescent="0.35">
      <c r="A11" s="6" t="s">
        <v>0</v>
      </c>
      <c r="B11" s="6" t="s">
        <v>245</v>
      </c>
      <c r="C11" s="6" t="s">
        <v>228</v>
      </c>
      <c r="D11" s="6" t="s">
        <v>337</v>
      </c>
      <c r="E11" s="12">
        <v>3113.2075471698113</v>
      </c>
      <c r="F11" s="6" t="s">
        <v>58</v>
      </c>
      <c r="G11" s="25"/>
      <c r="H11" s="25"/>
      <c r="I11" s="26" t="s">
        <v>337</v>
      </c>
      <c r="J11" s="25"/>
      <c r="K11" s="6" t="s">
        <v>86</v>
      </c>
      <c r="L11" s="6" t="s">
        <v>337</v>
      </c>
      <c r="M11" s="6" t="s">
        <v>337</v>
      </c>
      <c r="N11" s="6"/>
      <c r="O11" s="6"/>
      <c r="P11" s="6" t="s">
        <v>337</v>
      </c>
      <c r="Q11" s="6" t="s">
        <v>337</v>
      </c>
      <c r="R11" s="6"/>
      <c r="S11" s="6"/>
      <c r="T11" s="6" t="s">
        <v>366</v>
      </c>
    </row>
    <row r="12" spans="1:20" x14ac:dyDescent="0.35">
      <c r="A12" s="6" t="s">
        <v>0</v>
      </c>
      <c r="B12" s="6" t="s">
        <v>37</v>
      </c>
      <c r="C12" s="6" t="s">
        <v>14</v>
      </c>
      <c r="D12" s="6" t="s">
        <v>337</v>
      </c>
      <c r="E12" s="79">
        <v>64</v>
      </c>
      <c r="F12" s="6" t="s">
        <v>58</v>
      </c>
      <c r="G12" s="25"/>
      <c r="H12" s="25"/>
      <c r="I12" s="26" t="s">
        <v>337</v>
      </c>
      <c r="J12" s="25"/>
      <c r="K12" s="6" t="s">
        <v>113</v>
      </c>
      <c r="L12" s="6" t="s">
        <v>337</v>
      </c>
      <c r="M12" s="6" t="s">
        <v>337</v>
      </c>
      <c r="N12" s="6"/>
      <c r="O12" s="6"/>
      <c r="P12" s="6" t="s">
        <v>337</v>
      </c>
      <c r="Q12" s="6" t="s">
        <v>337</v>
      </c>
      <c r="R12" s="6"/>
      <c r="S12" s="6"/>
      <c r="T12" s="6"/>
    </row>
    <row r="13" spans="1:20" x14ac:dyDescent="0.35">
      <c r="A13" s="6" t="s">
        <v>0</v>
      </c>
      <c r="B13" s="6" t="s">
        <v>37</v>
      </c>
      <c r="C13" s="6" t="s">
        <v>14</v>
      </c>
      <c r="D13" s="6" t="s">
        <v>337</v>
      </c>
      <c r="E13" s="79">
        <v>17</v>
      </c>
      <c r="F13" s="6" t="s">
        <v>58</v>
      </c>
      <c r="G13" s="25"/>
      <c r="H13" s="25"/>
      <c r="I13" s="26" t="s">
        <v>337</v>
      </c>
      <c r="J13" s="25"/>
      <c r="K13" s="6" t="s">
        <v>85</v>
      </c>
      <c r="L13" s="6" t="s">
        <v>337</v>
      </c>
      <c r="M13" s="6" t="s">
        <v>337</v>
      </c>
      <c r="N13" s="6"/>
      <c r="O13" s="6"/>
      <c r="P13" s="6" t="s">
        <v>337</v>
      </c>
      <c r="Q13" s="6" t="s">
        <v>337</v>
      </c>
      <c r="R13" s="6"/>
      <c r="S13" s="6"/>
      <c r="T13" s="6"/>
    </row>
    <row r="14" spans="1:20" x14ac:dyDescent="0.35">
      <c r="A14" s="6" t="s">
        <v>0</v>
      </c>
      <c r="B14" s="6" t="s">
        <v>37</v>
      </c>
      <c r="C14" s="6" t="s">
        <v>14</v>
      </c>
      <c r="D14" s="6" t="s">
        <v>337</v>
      </c>
      <c r="E14" s="79">
        <v>1879</v>
      </c>
      <c r="F14" s="6" t="s">
        <v>58</v>
      </c>
      <c r="G14" s="25"/>
      <c r="H14" s="25"/>
      <c r="I14" s="26" t="s">
        <v>337</v>
      </c>
      <c r="J14" s="25"/>
      <c r="K14" s="6" t="s">
        <v>86</v>
      </c>
      <c r="L14" s="6" t="s">
        <v>337</v>
      </c>
      <c r="M14" s="6" t="s">
        <v>337</v>
      </c>
      <c r="N14" s="6"/>
      <c r="O14" s="6"/>
      <c r="P14" s="6" t="s">
        <v>337</v>
      </c>
      <c r="Q14" s="6" t="s">
        <v>337</v>
      </c>
      <c r="R14" s="6"/>
      <c r="S14" s="6"/>
      <c r="T14" s="6"/>
    </row>
    <row r="15" spans="1:20" x14ac:dyDescent="0.35">
      <c r="A15" s="6" t="s">
        <v>0</v>
      </c>
      <c r="B15" s="6" t="s">
        <v>37</v>
      </c>
      <c r="C15" s="6" t="s">
        <v>19</v>
      </c>
      <c r="D15" s="6" t="s">
        <v>337</v>
      </c>
      <c r="E15" s="79">
        <v>1335.9596300000001</v>
      </c>
      <c r="F15" s="6" t="s">
        <v>58</v>
      </c>
      <c r="G15" s="25"/>
      <c r="H15" s="25"/>
      <c r="I15" s="26" t="s">
        <v>337</v>
      </c>
      <c r="J15" s="25"/>
      <c r="K15" s="6" t="s">
        <v>113</v>
      </c>
      <c r="L15" s="6" t="s">
        <v>337</v>
      </c>
      <c r="M15" s="6" t="s">
        <v>337</v>
      </c>
      <c r="N15" s="6"/>
      <c r="O15" s="6"/>
      <c r="P15" s="6" t="s">
        <v>337</v>
      </c>
      <c r="Q15" s="6" t="s">
        <v>337</v>
      </c>
      <c r="R15" s="6"/>
      <c r="S15" s="6"/>
      <c r="T15" s="6"/>
    </row>
    <row r="16" spans="1:20" x14ac:dyDescent="0.35">
      <c r="A16" s="6" t="s">
        <v>0</v>
      </c>
      <c r="B16" s="6" t="s">
        <v>37</v>
      </c>
      <c r="C16" s="6" t="s">
        <v>15</v>
      </c>
      <c r="D16" s="6" t="s">
        <v>337</v>
      </c>
      <c r="E16" s="79">
        <v>928.97244530000012</v>
      </c>
      <c r="F16" s="6" t="s">
        <v>58</v>
      </c>
      <c r="G16" s="25"/>
      <c r="H16" s="25"/>
      <c r="I16" s="26" t="s">
        <v>337</v>
      </c>
      <c r="J16" s="25"/>
      <c r="K16" s="6" t="s">
        <v>113</v>
      </c>
      <c r="L16" s="6" t="s">
        <v>337</v>
      </c>
      <c r="M16" s="6" t="s">
        <v>337</v>
      </c>
      <c r="N16" s="6"/>
      <c r="O16" s="6"/>
      <c r="P16" s="6" t="s">
        <v>337</v>
      </c>
      <c r="Q16" s="6" t="s">
        <v>337</v>
      </c>
      <c r="R16" s="6"/>
      <c r="S16" s="6"/>
      <c r="T16" s="6"/>
    </row>
    <row r="17" spans="1:20" x14ac:dyDescent="0.35">
      <c r="A17" s="6" t="s">
        <v>0</v>
      </c>
      <c r="B17" s="6" t="s">
        <v>37</v>
      </c>
      <c r="C17" s="6" t="s">
        <v>17</v>
      </c>
      <c r="D17" s="6" t="s">
        <v>337</v>
      </c>
      <c r="E17" s="79">
        <v>7.3804090899999997</v>
      </c>
      <c r="F17" s="6" t="s">
        <v>58</v>
      </c>
      <c r="G17" s="25"/>
      <c r="H17" s="25"/>
      <c r="I17" s="26" t="s">
        <v>337</v>
      </c>
      <c r="J17" s="25"/>
      <c r="K17" s="6" t="s">
        <v>113</v>
      </c>
      <c r="L17" s="6" t="s">
        <v>337</v>
      </c>
      <c r="M17" s="6" t="s">
        <v>337</v>
      </c>
      <c r="N17" s="6"/>
      <c r="O17" s="6"/>
      <c r="P17" s="6" t="s">
        <v>337</v>
      </c>
      <c r="Q17" s="6" t="s">
        <v>337</v>
      </c>
      <c r="R17" s="6"/>
      <c r="S17" s="6"/>
      <c r="T17" s="6"/>
    </row>
    <row r="18" spans="1:20" x14ac:dyDescent="0.35">
      <c r="A18" s="6" t="s">
        <v>0</v>
      </c>
      <c r="B18" s="6" t="s">
        <v>37</v>
      </c>
      <c r="C18" s="6" t="s">
        <v>20</v>
      </c>
      <c r="D18" s="6" t="s">
        <v>337</v>
      </c>
      <c r="E18" s="79">
        <v>37.2129835</v>
      </c>
      <c r="F18" s="6" t="s">
        <v>58</v>
      </c>
      <c r="G18" s="25"/>
      <c r="H18" s="25"/>
      <c r="I18" s="26" t="s">
        <v>337</v>
      </c>
      <c r="J18" s="25"/>
      <c r="K18" s="6" t="s">
        <v>113</v>
      </c>
      <c r="L18" s="6" t="s">
        <v>337</v>
      </c>
      <c r="M18" s="6" t="s">
        <v>337</v>
      </c>
      <c r="N18" s="6"/>
      <c r="O18" s="6"/>
      <c r="P18" s="6" t="s">
        <v>337</v>
      </c>
      <c r="Q18" s="6" t="s">
        <v>337</v>
      </c>
      <c r="R18" s="6"/>
      <c r="S18" s="6"/>
      <c r="T18" s="6"/>
    </row>
    <row r="19" spans="1:20" x14ac:dyDescent="0.35">
      <c r="A19" s="6" t="s">
        <v>0</v>
      </c>
      <c r="B19" s="6" t="s">
        <v>37</v>
      </c>
      <c r="C19" s="6" t="s">
        <v>21</v>
      </c>
      <c r="D19" s="6" t="s">
        <v>337</v>
      </c>
      <c r="E19" s="79">
        <v>9.0697912299999999</v>
      </c>
      <c r="F19" s="6" t="s">
        <v>58</v>
      </c>
      <c r="G19" s="25"/>
      <c r="H19" s="25"/>
      <c r="I19" s="26" t="s">
        <v>337</v>
      </c>
      <c r="J19" s="25"/>
      <c r="K19" s="6" t="s">
        <v>113</v>
      </c>
      <c r="L19" s="6" t="s">
        <v>337</v>
      </c>
      <c r="M19" s="6" t="s">
        <v>337</v>
      </c>
      <c r="N19" s="6"/>
      <c r="O19" s="6"/>
      <c r="P19" s="6" t="s">
        <v>337</v>
      </c>
      <c r="Q19" s="6" t="s">
        <v>337</v>
      </c>
      <c r="R19" s="6"/>
      <c r="S19" s="6"/>
      <c r="T19" s="6"/>
    </row>
    <row r="20" spans="1:20" x14ac:dyDescent="0.35">
      <c r="A20" s="6" t="s">
        <v>0</v>
      </c>
      <c r="B20" s="6" t="s">
        <v>37</v>
      </c>
      <c r="C20" s="6" t="s">
        <v>16</v>
      </c>
      <c r="D20" s="6" t="s">
        <v>337</v>
      </c>
      <c r="E20" s="79">
        <v>103.75222799711</v>
      </c>
      <c r="F20" s="6" t="s">
        <v>58</v>
      </c>
      <c r="G20" s="25"/>
      <c r="H20" s="25"/>
      <c r="I20" s="26" t="s">
        <v>337</v>
      </c>
      <c r="J20" s="25"/>
      <c r="K20" s="6" t="s">
        <v>113</v>
      </c>
      <c r="L20" s="6" t="s">
        <v>337</v>
      </c>
      <c r="M20" s="6" t="s">
        <v>337</v>
      </c>
      <c r="N20" s="6"/>
      <c r="O20" s="6"/>
      <c r="P20" s="6" t="s">
        <v>337</v>
      </c>
      <c r="Q20" s="6" t="s">
        <v>337</v>
      </c>
      <c r="R20" s="6"/>
      <c r="S20" s="6"/>
      <c r="T20" s="6"/>
    </row>
    <row r="21" spans="1:20" x14ac:dyDescent="0.35">
      <c r="A21" s="6" t="s">
        <v>0</v>
      </c>
      <c r="B21" s="6" t="s">
        <v>37</v>
      </c>
      <c r="C21" s="6" t="s">
        <v>18</v>
      </c>
      <c r="D21" s="6" t="s">
        <v>337</v>
      </c>
      <c r="E21" s="79">
        <v>432.90545600000002</v>
      </c>
      <c r="F21" s="6" t="s">
        <v>58</v>
      </c>
      <c r="G21" s="25"/>
      <c r="H21" s="25"/>
      <c r="I21" s="26" t="s">
        <v>337</v>
      </c>
      <c r="J21" s="25"/>
      <c r="K21" s="6" t="s">
        <v>113</v>
      </c>
      <c r="L21" s="6" t="s">
        <v>337</v>
      </c>
      <c r="M21" s="6" t="s">
        <v>337</v>
      </c>
      <c r="N21" s="6"/>
      <c r="O21" s="6"/>
      <c r="P21" s="6" t="s">
        <v>337</v>
      </c>
      <c r="Q21" s="6" t="s">
        <v>337</v>
      </c>
      <c r="R21" s="6"/>
      <c r="S21" s="6"/>
      <c r="T21" s="6"/>
    </row>
    <row r="22" spans="1:20" x14ac:dyDescent="0.35">
      <c r="A22" s="6" t="s">
        <v>0</v>
      </c>
      <c r="B22" s="6" t="s">
        <v>244</v>
      </c>
      <c r="C22" s="6" t="s">
        <v>22</v>
      </c>
      <c r="D22" s="6" t="s">
        <v>337</v>
      </c>
      <c r="E22" s="79">
        <v>947.58393999999998</v>
      </c>
      <c r="F22" s="6" t="s">
        <v>58</v>
      </c>
      <c r="G22" s="25"/>
      <c r="H22" s="25"/>
      <c r="I22" s="26" t="s">
        <v>337</v>
      </c>
      <c r="J22" s="25"/>
      <c r="K22" s="6" t="s">
        <v>113</v>
      </c>
      <c r="L22" s="6" t="s">
        <v>337</v>
      </c>
      <c r="M22" s="6" t="s">
        <v>337</v>
      </c>
      <c r="N22" s="6"/>
      <c r="O22" s="6"/>
      <c r="P22" s="6" t="s">
        <v>337</v>
      </c>
      <c r="Q22" s="6" t="s">
        <v>337</v>
      </c>
      <c r="R22" s="6"/>
      <c r="S22" s="6"/>
      <c r="T22" s="6"/>
    </row>
    <row r="23" spans="1:20" x14ac:dyDescent="0.35">
      <c r="A23" s="6" t="s">
        <v>0</v>
      </c>
      <c r="B23" s="6" t="s">
        <v>37</v>
      </c>
      <c r="C23" s="6" t="s">
        <v>36</v>
      </c>
      <c r="D23" s="6" t="s">
        <v>337</v>
      </c>
      <c r="E23" s="79">
        <v>0.54501831099999998</v>
      </c>
      <c r="F23" s="6" t="s">
        <v>58</v>
      </c>
      <c r="G23" s="25"/>
      <c r="H23" s="25"/>
      <c r="I23" s="26" t="s">
        <v>337</v>
      </c>
      <c r="J23" s="25"/>
      <c r="K23" s="6" t="s">
        <v>86</v>
      </c>
      <c r="L23" s="6" t="s">
        <v>337</v>
      </c>
      <c r="M23" s="6" t="s">
        <v>337</v>
      </c>
      <c r="N23" s="6"/>
      <c r="O23" s="6"/>
      <c r="P23" s="6" t="s">
        <v>337</v>
      </c>
      <c r="Q23" s="6" t="s">
        <v>337</v>
      </c>
      <c r="R23" s="6"/>
      <c r="S23" s="6"/>
      <c r="T23" s="6"/>
    </row>
    <row r="24" spans="1:20" x14ac:dyDescent="0.35">
      <c r="A24" s="6" t="s">
        <v>0</v>
      </c>
      <c r="B24" s="6" t="s">
        <v>37</v>
      </c>
      <c r="C24" s="6" t="s">
        <v>23</v>
      </c>
      <c r="D24" s="6" t="s">
        <v>337</v>
      </c>
      <c r="E24" s="79">
        <v>173.99815000000001</v>
      </c>
      <c r="F24" s="6" t="s">
        <v>58</v>
      </c>
      <c r="G24" s="25"/>
      <c r="H24" s="25"/>
      <c r="I24" s="26" t="s">
        <v>337</v>
      </c>
      <c r="J24" s="25"/>
      <c r="K24" s="6" t="s">
        <v>86</v>
      </c>
      <c r="L24" s="6" t="s">
        <v>337</v>
      </c>
      <c r="M24" s="6" t="s">
        <v>337</v>
      </c>
      <c r="N24" s="6"/>
      <c r="O24" s="6"/>
      <c r="P24" s="6" t="s">
        <v>337</v>
      </c>
      <c r="Q24" s="6" t="s">
        <v>337</v>
      </c>
      <c r="R24" s="6"/>
      <c r="S24" s="6"/>
      <c r="T24" s="6"/>
    </row>
    <row r="25" spans="1:20" x14ac:dyDescent="0.35">
      <c r="A25" s="6" t="s">
        <v>0</v>
      </c>
      <c r="B25" s="6" t="s">
        <v>37</v>
      </c>
      <c r="C25" s="6" t="s">
        <v>25</v>
      </c>
      <c r="D25" s="6" t="s">
        <v>337</v>
      </c>
      <c r="E25" s="12">
        <v>1.33870585</v>
      </c>
      <c r="F25" s="6" t="s">
        <v>58</v>
      </c>
      <c r="G25" s="25"/>
      <c r="H25" s="25"/>
      <c r="I25" s="26" t="s">
        <v>337</v>
      </c>
      <c r="J25" s="25"/>
      <c r="K25" s="6" t="s">
        <v>86</v>
      </c>
      <c r="L25" s="6" t="s">
        <v>337</v>
      </c>
      <c r="M25" s="6" t="s">
        <v>337</v>
      </c>
      <c r="N25" s="6"/>
      <c r="O25" s="6"/>
      <c r="P25" s="6" t="s">
        <v>337</v>
      </c>
      <c r="Q25" s="6" t="s">
        <v>337</v>
      </c>
      <c r="R25" s="6"/>
      <c r="S25" s="6"/>
      <c r="T25" s="6"/>
    </row>
    <row r="26" spans="1:20" x14ac:dyDescent="0.35">
      <c r="A26" s="6" t="s">
        <v>0</v>
      </c>
      <c r="B26" s="6" t="s">
        <v>29</v>
      </c>
      <c r="C26" s="6" t="s">
        <v>29</v>
      </c>
      <c r="D26" s="6" t="s">
        <v>337</v>
      </c>
      <c r="E26" s="76">
        <v>144834.35500000001</v>
      </c>
      <c r="F26" s="6" t="s">
        <v>58</v>
      </c>
      <c r="G26" s="25"/>
      <c r="H26" s="25"/>
      <c r="I26" s="26" t="s">
        <v>337</v>
      </c>
      <c r="J26" s="25"/>
      <c r="K26" s="6" t="s">
        <v>86</v>
      </c>
      <c r="L26" s="6" t="s">
        <v>337</v>
      </c>
      <c r="M26" s="6" t="s">
        <v>337</v>
      </c>
      <c r="N26" s="6"/>
      <c r="O26" s="6"/>
      <c r="P26" s="6" t="s">
        <v>337</v>
      </c>
      <c r="Q26" s="6" t="s">
        <v>337</v>
      </c>
      <c r="R26" s="6"/>
      <c r="S26" s="6"/>
      <c r="T26" s="6"/>
    </row>
    <row r="27" spans="1:20" x14ac:dyDescent="0.35">
      <c r="A27" s="6" t="s">
        <v>0</v>
      </c>
      <c r="B27" s="6" t="s">
        <v>244</v>
      </c>
      <c r="C27" s="6" t="s">
        <v>24</v>
      </c>
      <c r="D27" s="6" t="s">
        <v>31</v>
      </c>
      <c r="E27" s="12">
        <v>6800</v>
      </c>
      <c r="F27" s="6" t="s">
        <v>58</v>
      </c>
      <c r="G27" s="25"/>
      <c r="H27" s="25"/>
      <c r="I27" s="26" t="s">
        <v>337</v>
      </c>
      <c r="J27" s="25"/>
      <c r="K27" s="6" t="s">
        <v>86</v>
      </c>
      <c r="L27" s="6" t="s">
        <v>337</v>
      </c>
      <c r="M27" s="6" t="s">
        <v>337</v>
      </c>
      <c r="N27" s="6"/>
      <c r="O27" s="6"/>
      <c r="P27" s="6" t="s">
        <v>337</v>
      </c>
      <c r="Q27" s="6" t="s">
        <v>337</v>
      </c>
      <c r="R27" s="6"/>
      <c r="S27" s="6"/>
      <c r="T27" s="6"/>
    </row>
    <row r="28" spans="1:20" x14ac:dyDescent="0.35">
      <c r="A28" s="6" t="s">
        <v>0</v>
      </c>
      <c r="B28" s="6" t="s">
        <v>3</v>
      </c>
      <c r="C28" s="6" t="s">
        <v>3</v>
      </c>
      <c r="D28" s="6" t="s">
        <v>10</v>
      </c>
      <c r="E28" s="76">
        <v>19571</v>
      </c>
      <c r="F28" s="6" t="s">
        <v>68</v>
      </c>
      <c r="G28" s="25"/>
      <c r="H28" s="25"/>
      <c r="I28" s="26" t="s">
        <v>337</v>
      </c>
      <c r="J28" s="25"/>
      <c r="K28" s="6" t="s">
        <v>113</v>
      </c>
      <c r="L28" s="6" t="s">
        <v>337</v>
      </c>
      <c r="M28" s="6" t="s">
        <v>337</v>
      </c>
      <c r="N28" s="6"/>
      <c r="O28" s="6"/>
      <c r="P28" s="6" t="s">
        <v>337</v>
      </c>
      <c r="Q28" s="6" t="s">
        <v>337</v>
      </c>
      <c r="R28" s="6"/>
      <c r="S28" s="6"/>
      <c r="T28" s="6"/>
    </row>
    <row r="29" spans="1:20" x14ac:dyDescent="0.35">
      <c r="A29" s="6" t="s">
        <v>0</v>
      </c>
      <c r="B29" s="6" t="s">
        <v>3</v>
      </c>
      <c r="C29" s="6" t="s">
        <v>3</v>
      </c>
      <c r="D29" s="6" t="s">
        <v>10</v>
      </c>
      <c r="E29" s="12">
        <v>4308</v>
      </c>
      <c r="F29" s="6" t="s">
        <v>68</v>
      </c>
      <c r="G29" s="25"/>
      <c r="H29" s="25"/>
      <c r="I29" s="26" t="s">
        <v>337</v>
      </c>
      <c r="J29" s="25"/>
      <c r="K29" s="6" t="s">
        <v>85</v>
      </c>
      <c r="L29" s="6" t="s">
        <v>337</v>
      </c>
      <c r="M29" s="6" t="s">
        <v>337</v>
      </c>
      <c r="N29" s="6"/>
      <c r="O29" s="6"/>
      <c r="P29" s="6" t="s">
        <v>337</v>
      </c>
      <c r="Q29" s="6" t="s">
        <v>337</v>
      </c>
      <c r="R29" s="6"/>
      <c r="S29" s="6"/>
      <c r="T29" s="6"/>
    </row>
    <row r="30" spans="1:20" x14ac:dyDescent="0.35">
      <c r="A30" s="6" t="s">
        <v>0</v>
      </c>
      <c r="B30" s="6" t="s">
        <v>3</v>
      </c>
      <c r="C30" s="6" t="s">
        <v>3</v>
      </c>
      <c r="D30" s="6" t="s">
        <v>10</v>
      </c>
      <c r="E30" s="12">
        <v>20474.434896999999</v>
      </c>
      <c r="F30" s="6" t="s">
        <v>68</v>
      </c>
      <c r="G30" s="25"/>
      <c r="H30" s="25"/>
      <c r="I30" s="26" t="s">
        <v>337</v>
      </c>
      <c r="J30" s="25"/>
      <c r="K30" s="6" t="s">
        <v>86</v>
      </c>
      <c r="L30" s="6" t="s">
        <v>337</v>
      </c>
      <c r="M30" s="6" t="s">
        <v>337</v>
      </c>
      <c r="N30" s="6"/>
      <c r="O30" s="6"/>
      <c r="P30" s="6" t="s">
        <v>337</v>
      </c>
      <c r="Q30" s="6" t="s">
        <v>337</v>
      </c>
      <c r="R30" s="6"/>
      <c r="S30" s="6"/>
      <c r="T30" s="6"/>
    </row>
    <row r="31" spans="1:20" x14ac:dyDescent="0.35">
      <c r="A31" s="6" t="s">
        <v>113</v>
      </c>
      <c r="B31" s="6" t="s">
        <v>244</v>
      </c>
      <c r="C31" s="6" t="s">
        <v>276</v>
      </c>
      <c r="D31" s="6"/>
      <c r="E31" s="12">
        <v>501.55026516129396</v>
      </c>
      <c r="F31" s="6" t="s">
        <v>70</v>
      </c>
      <c r="G31" s="25"/>
      <c r="H31" s="25"/>
      <c r="I31" s="26" t="s">
        <v>337</v>
      </c>
      <c r="J31" s="25"/>
      <c r="K31" s="6" t="s">
        <v>113</v>
      </c>
      <c r="L31" s="6" t="s">
        <v>337</v>
      </c>
      <c r="M31" s="6" t="s">
        <v>337</v>
      </c>
      <c r="N31" s="6">
        <v>21.535015935911794</v>
      </c>
      <c r="O31" s="6" t="s">
        <v>363</v>
      </c>
      <c r="P31" s="6" t="s">
        <v>2</v>
      </c>
      <c r="Q31" s="6" t="s">
        <v>83</v>
      </c>
      <c r="R31" s="6"/>
      <c r="S31" s="6"/>
      <c r="T31" s="6"/>
    </row>
    <row r="32" spans="1:20" x14ac:dyDescent="0.35">
      <c r="A32" s="6" t="s">
        <v>85</v>
      </c>
      <c r="B32" s="6" t="s">
        <v>37</v>
      </c>
      <c r="C32" s="6" t="s">
        <v>51</v>
      </c>
      <c r="D32" s="6" t="s">
        <v>362</v>
      </c>
      <c r="E32" s="12">
        <v>2645.1004699999999</v>
      </c>
      <c r="F32" s="6" t="s">
        <v>58</v>
      </c>
      <c r="G32" s="25"/>
      <c r="H32" s="25"/>
      <c r="I32" s="26" t="s">
        <v>114</v>
      </c>
      <c r="J32" s="25"/>
      <c r="K32" s="6" t="s">
        <v>85</v>
      </c>
      <c r="L32" s="6" t="s">
        <v>337</v>
      </c>
      <c r="M32" s="6" t="s">
        <v>337</v>
      </c>
      <c r="N32" s="6">
        <v>1.8739390198196608</v>
      </c>
      <c r="O32" s="6" t="s">
        <v>364</v>
      </c>
      <c r="P32" s="6" t="s">
        <v>278</v>
      </c>
      <c r="Q32" s="6"/>
      <c r="R32" s="6"/>
      <c r="S32" s="6"/>
      <c r="T32" s="6"/>
    </row>
    <row r="33" spans="1:20" x14ac:dyDescent="0.35">
      <c r="A33" s="6" t="s">
        <v>85</v>
      </c>
      <c r="B33" s="6" t="s">
        <v>37</v>
      </c>
      <c r="C33" s="6" t="s">
        <v>280</v>
      </c>
      <c r="D33" s="6" t="s">
        <v>337</v>
      </c>
      <c r="E33" s="12">
        <v>16549.5265</v>
      </c>
      <c r="F33" s="6" t="s">
        <v>58</v>
      </c>
      <c r="G33" s="25"/>
      <c r="H33" s="25"/>
      <c r="I33" s="26" t="s">
        <v>124</v>
      </c>
      <c r="J33" s="25"/>
      <c r="K33" s="6" t="s">
        <v>86</v>
      </c>
      <c r="L33" s="6" t="s">
        <v>337</v>
      </c>
      <c r="M33" s="6" t="s">
        <v>337</v>
      </c>
      <c r="N33" s="6"/>
      <c r="O33" s="6"/>
      <c r="P33" s="6" t="s">
        <v>280</v>
      </c>
      <c r="Q33" s="6" t="s">
        <v>337</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8" xr:uid="{2E780E09-E48E-406E-A27B-DB9924F9A17F}">
      <formula1>0</formula1>
      <formula2>1</formula2>
    </dataValidation>
    <dataValidation type="list" allowBlank="1" showInputMessage="1" showErrorMessage="1" sqref="M6:M98" xr:uid="{801C2333-1E78-4AFE-91E1-F879E6C4B0AC}">
      <formula1>payload_units</formula1>
    </dataValidation>
    <dataValidation type="decimal" operator="greaterThan" allowBlank="1" showInputMessage="1" showErrorMessage="1" error="Please type a positive number." sqref="L6:L98" xr:uid="{C786CC9A-A489-4A10-B74C-6742400B0318}">
      <formula1>0</formula1>
    </dataValidation>
    <dataValidation type="decimal" operator="greaterThan" allowBlank="1" showInputMessage="1" showErrorMessage="1" error="Please type a positive price." sqref="N6:N98" xr:uid="{54CCC6ED-D4ED-484E-BD5A-A8DBE927EB80}">
      <formula1>0</formula1>
    </dataValidation>
    <dataValidation type="decimal" allowBlank="1" showInputMessage="1" showErrorMessage="1" error="Please type a number between 0 and 1." sqref="G6:G98" xr:uid="{D4415697-233F-4DC1-97AC-092ADA5B0734}">
      <formula1>0</formula1>
      <formula2>1</formula2>
    </dataValidation>
    <dataValidation type="custom" allowBlank="1" showInputMessage="1" showErrorMessage="1" sqref="E6:E98"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F6:F98</xm:sqref>
        </x14:dataValidation>
        <x14:dataValidation type="list" allowBlank="1" showInputMessage="1" showErrorMessage="1" xr:uid="{BC898F8B-9D0C-4D76-8FBF-49373E8FCC12}">
          <x14:formula1>
            <xm:f>INDIRECT("p_"&amp;_xlfn.XLOOKUP($C6,'SI - Units'!$F$26:$F$36,'SI - Units'!$G$26:$G$36,"mass",0))</xm:f>
          </x14:formula1>
          <xm:sqref>O6:O98</xm:sqref>
        </x14:dataValidation>
        <x14:dataValidation type="list" allowBlank="1" showInputMessage="1" showErrorMessage="1" xr:uid="{D4B16CB1-7F44-4449-A772-716793E2AF6A}">
          <x14:formula1>
            <xm:f>INDIRECT(_xlfn.XLOOKUP($P6,'SI - End Use'!$A$11:$A$17,'SI - End Use'!$B$11:$B$17,"other_end_use",0))</xm:f>
          </x14:formula1>
          <xm:sqref>Q6:R98</xm:sqref>
        </x14:dataValidation>
        <x14:dataValidation type="list" allowBlank="1" showInputMessage="1" xr:uid="{A026ABCD-9090-484C-8035-86332534803F}">
          <x14:formula1>
            <xm:f>INDIRECT(_xlfn.XLOOKUP($C6,'SI - End Use'!$A$11:$A$17,'SI - End Use'!$B$11:$B$17,"other_end_use",0))</xm:f>
          </x14:formula1>
          <xm:sqref>D6:D98</xm:sqref>
        </x14:dataValidation>
        <x14:dataValidation type="list" allowBlank="1" showInputMessage="1" showErrorMessage="1" xr:uid="{904E694A-45BB-4B94-897E-3907D357430E}">
          <x14:formula1>
            <xm:f>INDIRECT(_xlfn.XLOOKUP($B6, 'SI - Resources'!$R$1:$R$10,'SI - Resources'!$S$1:$S$10, "placeholder_resource", 0))</xm:f>
          </x14:formula1>
          <xm:sqref>C6:C98 P6:P98</xm:sqref>
        </x14:dataValidation>
        <x14:dataValidation type="list" allowBlank="1" showInputMessage="1" showErrorMessage="1" xr:uid="{A6556E34-1713-47C4-BBE6-25D582262715}">
          <x14:formula1>
            <xm:f>'SI - Co-products'!$B$2:$B$6</xm:f>
          </x14:formula1>
          <xm:sqref>A6:A98</xm:sqref>
        </x14:dataValidation>
        <x14:dataValidation type="list" allowBlank="1" showInputMessage="1" showErrorMessage="1" xr:uid="{FA116AF0-7221-484C-805C-A86D516E6E07}">
          <x14:formula1>
            <xm:f>'SI - Resources'!$A$1:$J$1</xm:f>
          </x14:formula1>
          <xm:sqref>B6:B98</xm:sqref>
        </x14:dataValidation>
        <x14:dataValidation type="list" allowBlank="1" showInputMessage="1" showErrorMessage="1" xr:uid="{DDD203C8-AF69-422E-A440-DCF3CD30F809}">
          <x14:formula1>
            <xm:f>'SI - Co-products'!$C$2:$C$4</xm:f>
          </x14:formula1>
          <xm:sqref>I6:I98</xm:sqref>
        </x14:dataValidation>
        <x14:dataValidation type="list" allowBlank="1" showInputMessage="1" showErrorMessage="1" xr:uid="{663B9A35-527C-4790-A0CD-A709044001BC}">
          <x14:formula1>
            <xm:f>'SI - Co-products'!$A$2:$A$5</xm:f>
          </x14:formula1>
          <xm:sqref>K6:K98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tabSelected="1" workbookViewId="0">
      <pane ySplit="5" topLeftCell="A6" activePane="bottomLeft" state="frozen"/>
      <selection activeCell="C19" sqref="C19"/>
      <selection pane="bottomLeft" activeCell="C9" sqref="C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8">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276</v>
      </c>
      <c r="D6" s="6" t="str">
        <f>IF(_xlfn.XLOOKUP($C6,'SI - End Use'!$B$2:$B$6,'SI - End Use'!$C$2:$C$6, "")="", "", _xlfn.XLOOKUP($C6,'SI - End Use'!$B$2:$B$6,'SI - End Use'!$C$2:$C$6, ""))</f>
        <v/>
      </c>
      <c r="E6" s="77">
        <v>1.000045143067781</v>
      </c>
      <c r="F6" s="6" t="s">
        <v>70</v>
      </c>
      <c r="G6" s="25"/>
      <c r="H6" s="25" t="s">
        <v>365</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4" t="s">
        <v>338</v>
      </c>
      <c r="C1" s="84"/>
      <c r="D1" s="62" t="s">
        <v>339</v>
      </c>
      <c r="E1" s="62" t="s">
        <v>340</v>
      </c>
      <c r="F1" s="62" t="s">
        <v>341</v>
      </c>
      <c r="G1" s="62" t="s">
        <v>342</v>
      </c>
      <c r="H1" s="62" t="s">
        <v>343</v>
      </c>
    </row>
    <row r="2" spans="1:8" x14ac:dyDescent="0.35">
      <c r="A2" s="62" t="s">
        <v>344</v>
      </c>
      <c r="B2" s="83">
        <v>89.04</v>
      </c>
      <c r="C2" s="83"/>
      <c r="D2" s="64">
        <v>1</v>
      </c>
      <c r="E2" s="63"/>
      <c r="F2" s="63"/>
      <c r="G2" s="65">
        <v>0.3</v>
      </c>
      <c r="H2" s="65">
        <v>0</v>
      </c>
    </row>
    <row r="3" spans="1:8" x14ac:dyDescent="0.35">
      <c r="A3" s="62" t="s">
        <v>345</v>
      </c>
      <c r="B3" s="85">
        <v>23.19</v>
      </c>
      <c r="C3" s="86"/>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7" t="s">
        <v>349</v>
      </c>
      <c r="C8" s="87"/>
      <c r="D8" s="69" t="s">
        <v>339</v>
      </c>
      <c r="E8" s="69" t="s">
        <v>340</v>
      </c>
      <c r="F8" s="69" t="s">
        <v>341</v>
      </c>
      <c r="G8" s="69" t="s">
        <v>342</v>
      </c>
      <c r="H8" s="62" t="s">
        <v>343</v>
      </c>
    </row>
    <row r="9" spans="1:8" x14ac:dyDescent="0.35">
      <c r="A9" s="62" t="s">
        <v>350</v>
      </c>
      <c r="B9" s="83">
        <v>10.92</v>
      </c>
      <c r="C9" s="83"/>
      <c r="D9" s="63"/>
      <c r="E9" s="64">
        <v>1</v>
      </c>
      <c r="F9" s="63"/>
      <c r="G9" s="71">
        <v>0.11409999999999999</v>
      </c>
      <c r="H9" s="71">
        <v>8.1557678177810455E-2</v>
      </c>
    </row>
    <row r="10" spans="1:8" x14ac:dyDescent="0.35">
      <c r="A10" s="62" t="s">
        <v>351</v>
      </c>
      <c r="B10" s="83">
        <v>289.14999999999998</v>
      </c>
      <c r="C10" s="83"/>
      <c r="D10" s="63"/>
      <c r="E10" s="64">
        <v>1</v>
      </c>
      <c r="F10" s="63"/>
      <c r="G10" s="71">
        <v>0.11409999999999999</v>
      </c>
      <c r="H10" s="71">
        <v>0.02</v>
      </c>
    </row>
    <row r="11" spans="1:8" x14ac:dyDescent="0.35">
      <c r="A11" s="62" t="s">
        <v>352</v>
      </c>
      <c r="B11" s="83">
        <v>7.72</v>
      </c>
      <c r="C11" s="83"/>
      <c r="D11" s="72">
        <v>0.89500000000000002</v>
      </c>
      <c r="E11" s="72">
        <f>1-D11</f>
        <v>0.10499999999999998</v>
      </c>
      <c r="F11" s="63"/>
      <c r="G11" s="71">
        <v>0.11409999999999999</v>
      </c>
      <c r="H11" s="71">
        <v>0</v>
      </c>
    </row>
    <row r="12" spans="1:8" x14ac:dyDescent="0.35">
      <c r="A12" s="62" t="s">
        <v>353</v>
      </c>
      <c r="B12" s="83">
        <v>0</v>
      </c>
      <c r="C12" s="83"/>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2022-11-08T02:57:32Z</dcterms:modified>
</cp:coreProperties>
</file>