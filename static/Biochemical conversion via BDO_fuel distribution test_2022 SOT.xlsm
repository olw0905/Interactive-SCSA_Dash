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7.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8.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tables/table9.xml" ContentType="application/vnd.openxmlformats-officedocument.spreadsheetml.table+xml"/>
  <Override PartName="/xl/drawings/drawing6.xml" ContentType="application/vnd.openxmlformats-officedocument.drawing+xml"/>
  <Override PartName="/xl/ctrlProps/ctrlProp6.xml" ContentType="application/vnd.ms-excel.controlproperties+xml"/>
  <Override PartName="/xl/tables/table10.xml" ContentType="application/vnd.openxmlformats-officedocument.spreadsheetml.table+xml"/>
  <Override PartName="/xl/drawings/drawing7.xml" ContentType="application/vnd.openxmlformats-officedocument.drawing+xml"/>
  <Override PartName="/xl/ctrlProps/ctrlProp7.xml" ContentType="application/vnd.ms-excel.controlproperties+xml"/>
  <Override PartName="/xl/tables/table11.xml" ContentType="application/vnd.openxmlformats-officedocument.spreadsheetml.table+xml"/>
  <Override PartName="/xl/drawings/drawing8.xml" ContentType="application/vnd.openxmlformats-officedocument.drawing+xml"/>
  <Override PartName="/xl/ctrlProps/ctrlProp8.xml" ContentType="application/vnd.ms-excel.controlproperties+xml"/>
  <Override PartName="/xl/tables/table12.xml" ContentType="application/vnd.openxmlformats-officedocument.spreadsheetml.table+xml"/>
  <Override PartName="/xl/drawings/drawing9.xml" ContentType="application/vnd.openxmlformats-officedocument.drawing+xml"/>
  <Override PartName="/xl/ctrlProps/ctrlProp9.xml" ContentType="application/vnd.ms-excel.controlproperties+xml"/>
  <Override PartName="/xl/tables/table13.xml" ContentType="application/vnd.openxmlformats-officedocument.spreadsheetml.table+xml"/>
  <Override PartName="/xl/drawings/drawing10.xml" ContentType="application/vnd.openxmlformats-officedocument.drawing+xml"/>
  <Override PartName="/xl/ctrlProps/ctrlProp10.xml" ContentType="application/vnd.ms-excel.controlproperties+xml"/>
  <Override PartName="/xl/tables/table14.xml" ContentType="application/vnd.openxmlformats-officedocument.spreadsheetml.table+xml"/>
  <Override PartName="/xl/drawings/drawing11.xml" ContentType="application/vnd.openxmlformats-officedocument.drawing+xml"/>
  <Override PartName="/xl/ctrlProps/ctrlProp11.xml" ContentType="application/vnd.ms-excel.controlproperties+xml"/>
  <Override PartName="/xl/tables/table15.xml" ContentType="application/vnd.openxmlformats-officedocument.spreadsheetml.table+xml"/>
  <Override PartName="/xl/drawings/drawing12.xml" ContentType="application/vnd.openxmlformats-officedocument.drawing+xml"/>
  <Override PartName="/xl/ctrlProps/ctrlProp12.xml" ContentType="application/vnd.ms-excel.controlproperties+xml"/>
  <Override PartName="/xl/tables/table16.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Longwen Ou\Desktop\dash_development\Interactive-SCSA_Dash\static\"/>
    </mc:Choice>
  </mc:AlternateContent>
  <xr:revisionPtr revIDLastSave="0" documentId="13_ncr:1_{16A91E16-3ABC-4C21-A66F-BEA313EBFC49}" xr6:coauthVersionLast="47" xr6:coauthVersionMax="47" xr10:uidLastSave="{00000000-0000-0000-0000-000000000000}"/>
  <bookViews>
    <workbookView xWindow="57480" yWindow="-120" windowWidth="38640" windowHeight="21240" tabRatio="685" firstSheet="4" activeTab="16" xr2:uid="{CD6380C4-55CF-4A2B-8B40-E0431B51BF74}"/>
  </bookViews>
  <sheets>
    <sheet name="Introduction" sheetId="16" r:id="rId1"/>
    <sheet name="Template" sheetId="10" r:id="rId2"/>
    <sheet name="SI - Payload" sheetId="24" r:id="rId3"/>
    <sheet name="SI - Resources" sheetId="6" r:id="rId4"/>
    <sheet name="SI - End Use" sheetId="7" r:id="rId5"/>
    <sheet name="SI - Units" sheetId="8" r:id="rId6"/>
    <sheet name="SI - Co-products" sheetId="9" r:id="rId7"/>
    <sheet name="Harvest and collection" sheetId="27" r:id="rId8"/>
    <sheet name="Field storage" sheetId="30" r:id="rId9"/>
    <sheet name="Transportation to depot" sheetId="31" r:id="rId10"/>
    <sheet name="Depot storage" sheetId="32" r:id="rId11"/>
    <sheet name="Preprocessing" sheetId="33" r:id="rId12"/>
    <sheet name="Handling" sheetId="34" r:id="rId13"/>
    <sheet name="Blending" sheetId="35" r:id="rId14"/>
    <sheet name="Transportation to biorefinery" sheetId="36" r:id="rId15"/>
    <sheet name="Fuel production" sheetId="37" r:id="rId16"/>
    <sheet name="Fuel distribution" sheetId="38" r:id="rId17"/>
    <sheet name="INL Data" sheetId="28" r:id="rId18"/>
  </sheets>
  <externalReferences>
    <externalReference r:id="rId19"/>
  </externalReferences>
  <definedNames>
    <definedName name="biomass_resource">'SI - Resources'!$A$2:$A$3</definedName>
    <definedName name="chemicals_resource">'SI - Resources'!$E$2:$E$53</definedName>
    <definedName name="diesel_end_use">'SI - End Use'!$C$2:$H$2</definedName>
    <definedName name="electricity_end_use">'SI - End Use'!$C$5:$O$5</definedName>
    <definedName name="electricity_resource">'SI - Resources'!$D$2:$D$2</definedName>
    <definedName name="electricity_units">'SI - Units'!$B$8:$H$8</definedName>
    <definedName name="emission_resource">'SI - Resources'!$J$2:$J$13</definedName>
    <definedName name="fuel_resource">'SI - Resources'!$C$2:$C$10</definedName>
    <definedName name="infra_resource">'SI - Resources'!$G$2</definedName>
    <definedName name="kWh2Btu">#REF!</definedName>
    <definedName name="mass">'SI - Units'!$B$6:$F$6</definedName>
    <definedName name="mass_energy">'SI - Units'!$B$4:$M$4</definedName>
    <definedName name="mass_volume">'SI - Units'!$B$3:$K$3</definedName>
    <definedName name="mass_volume_energy">'SI - Units'!$B$2:$R$2</definedName>
    <definedName name="mmkcal2mmbtu">[1]SI!$B$1</definedName>
    <definedName name="ng_end_use">'SI - End Use'!$C$3:$L$3</definedName>
    <definedName name="NGLHV">#REF!</definedName>
    <definedName name="other_end_use">'SI - End Use'!$C$6:$C$6</definedName>
    <definedName name="other_resource">'SI - Resources'!$I$2:$I$4</definedName>
    <definedName name="p_electricity_units">'SI - Units'!$B$19:$H$19</definedName>
    <definedName name="p_mass">'SI - Units'!$B$17:$F$17</definedName>
    <definedName name="p_mass_energy">'SI - Units'!$B$15:$M$15</definedName>
    <definedName name="p_mass_volume">'SI - Units'!$B$14:$K$14</definedName>
    <definedName name="p_mass_volume_energy">'SI - Units'!$B$13:$R$13</definedName>
    <definedName name="p_volume">'SI - Units'!$B$18:$F$18</definedName>
    <definedName name="p_volume_energy">'SI - Units'!$B$16:$M$16</definedName>
    <definedName name="payload_units">'SI - Units'!$B$10:$F$10</definedName>
    <definedName name="placeholder_resource">'SI - Resources'!$K$2:$K$2</definedName>
    <definedName name="rd_end_use">'SI - End Use'!$C$4:$E$4</definedName>
    <definedName name="transport_resource">'SI - Resources'!$H$2:$H$10</definedName>
    <definedName name="transport_units">'SI - Units'!$B$9:$E$9</definedName>
    <definedName name="volume">'SI - Units'!$B$7:$F$7</definedName>
    <definedName name="volume_energy">'SI - Units'!$B$5:$M$5</definedName>
    <definedName name="waste_resource">'SI - Resources'!$B$2:$B$2</definedName>
    <definedName name="water_resource">'SI - Resources'!$F$2:$F$2</definedName>
  </definedNames>
  <calcPr calcId="191029" calcMode="manual"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1" i="28" l="1"/>
  <c r="E33" i="37"/>
  <c r="F33" i="37"/>
  <c r="B18" i="24"/>
  <c r="B17" i="24"/>
  <c r="M9" i="38" l="1"/>
  <c r="L9" i="38"/>
  <c r="I9" i="38"/>
  <c r="P100" i="38" l="1"/>
  <c r="Q100" i="38" s="1"/>
  <c r="M100" i="38"/>
  <c r="L100" i="38"/>
  <c r="I100" i="38"/>
  <c r="C100" i="38"/>
  <c r="D100" i="38" s="1"/>
  <c r="P99" i="38"/>
  <c r="Q99" i="38" s="1"/>
  <c r="M99" i="38"/>
  <c r="L99" i="38"/>
  <c r="I99" i="38"/>
  <c r="F99" i="38" a="1"/>
  <c r="F99" i="38" s="1"/>
  <c r="C99" i="38"/>
  <c r="D99" i="38" s="1"/>
  <c r="Q98" i="38"/>
  <c r="P98" i="38"/>
  <c r="M98" i="38"/>
  <c r="L98" i="38"/>
  <c r="I98" i="38"/>
  <c r="D98" i="38"/>
  <c r="C98" i="38"/>
  <c r="F98" i="38" s="1" a="1"/>
  <c r="F98" i="38" s="1"/>
  <c r="P97" i="38"/>
  <c r="Q97" i="38" s="1"/>
  <c r="M97" i="38"/>
  <c r="L97" i="38"/>
  <c r="I97" i="38"/>
  <c r="D97" i="38"/>
  <c r="C97" i="38"/>
  <c r="F97" i="38" s="1" a="1"/>
  <c r="F97" i="38" s="1"/>
  <c r="P96" i="38"/>
  <c r="Q96" i="38" s="1"/>
  <c r="M96" i="38"/>
  <c r="L96" i="38"/>
  <c r="I96" i="38"/>
  <c r="C96" i="38"/>
  <c r="D96" i="38" s="1"/>
  <c r="P95" i="38"/>
  <c r="Q95" i="38" s="1"/>
  <c r="M95" i="38"/>
  <c r="L95" i="38"/>
  <c r="I95" i="38"/>
  <c r="F95" i="38" a="1"/>
  <c r="F95" i="38" s="1"/>
  <c r="C95" i="38"/>
  <c r="D95" i="38" s="1"/>
  <c r="Q94" i="38"/>
  <c r="P94" i="38"/>
  <c r="M94" i="38"/>
  <c r="L94" i="38"/>
  <c r="I94" i="38"/>
  <c r="D94" i="38"/>
  <c r="C94" i="38"/>
  <c r="F94" i="38" s="1" a="1"/>
  <c r="F94" i="38" s="1"/>
  <c r="P93" i="38"/>
  <c r="Q93" i="38" s="1"/>
  <c r="M93" i="38"/>
  <c r="L93" i="38"/>
  <c r="I93" i="38"/>
  <c r="D93" i="38"/>
  <c r="C93" i="38"/>
  <c r="F93" i="38" s="1" a="1"/>
  <c r="F93" i="38" s="1"/>
  <c r="P92" i="38"/>
  <c r="Q92" i="38" s="1"/>
  <c r="M92" i="38"/>
  <c r="L92" i="38"/>
  <c r="I92" i="38"/>
  <c r="C92" i="38"/>
  <c r="D92" i="38" s="1"/>
  <c r="P91" i="38"/>
  <c r="Q91" i="38" s="1"/>
  <c r="M91" i="38"/>
  <c r="L91" i="38"/>
  <c r="I91" i="38"/>
  <c r="F91" i="38" a="1"/>
  <c r="F91" i="38" s="1"/>
  <c r="C91" i="38"/>
  <c r="D91" i="38" s="1"/>
  <c r="Q90" i="38"/>
  <c r="P90" i="38"/>
  <c r="M90" i="38"/>
  <c r="L90" i="38"/>
  <c r="I90" i="38"/>
  <c r="D90" i="38"/>
  <c r="C90" i="38"/>
  <c r="F90" i="38" s="1" a="1"/>
  <c r="F90" i="38" s="1"/>
  <c r="Q89" i="38"/>
  <c r="P89" i="38"/>
  <c r="M89" i="38"/>
  <c r="L89" i="38"/>
  <c r="I89" i="38"/>
  <c r="C89" i="38"/>
  <c r="F89" i="38" s="1" a="1"/>
  <c r="F89" i="38" s="1"/>
  <c r="P88" i="38"/>
  <c r="Q88" i="38" s="1"/>
  <c r="M88" i="38"/>
  <c r="L88" i="38"/>
  <c r="I88" i="38"/>
  <c r="F88" i="38" a="1"/>
  <c r="F88" i="38" s="1"/>
  <c r="C88" i="38"/>
  <c r="D88" i="38" s="1"/>
  <c r="P87" i="38"/>
  <c r="Q87" i="38" s="1"/>
  <c r="M87" i="38"/>
  <c r="L87" i="38"/>
  <c r="I87" i="38"/>
  <c r="D87" i="38"/>
  <c r="C87" i="38"/>
  <c r="F87" i="38" s="1" a="1"/>
  <c r="F87" i="38" s="1"/>
  <c r="P86" i="38"/>
  <c r="Q86" i="38" s="1"/>
  <c r="M86" i="38"/>
  <c r="L86" i="38"/>
  <c r="I86" i="38"/>
  <c r="C86" i="38"/>
  <c r="F86" i="38" s="1" a="1"/>
  <c r="F86" i="38" s="1"/>
  <c r="P85" i="38"/>
  <c r="Q85" i="38" s="1"/>
  <c r="M85" i="38"/>
  <c r="L85" i="38"/>
  <c r="I85" i="38"/>
  <c r="D85" i="38"/>
  <c r="C85" i="38"/>
  <c r="F85" i="38" s="1" a="1"/>
  <c r="F85" i="38" s="1"/>
  <c r="P84" i="38"/>
  <c r="Q84" i="38" s="1"/>
  <c r="M84" i="38"/>
  <c r="L84" i="38"/>
  <c r="I84" i="38"/>
  <c r="C84" i="38"/>
  <c r="D84" i="38" s="1"/>
  <c r="P83" i="38"/>
  <c r="Q83" i="38" s="1"/>
  <c r="M83" i="38"/>
  <c r="L83" i="38"/>
  <c r="I83" i="38"/>
  <c r="F83" i="38" a="1"/>
  <c r="F83" i="38" s="1"/>
  <c r="C83" i="38"/>
  <c r="D83" i="38" s="1"/>
  <c r="Q82" i="38"/>
  <c r="P82" i="38"/>
  <c r="M82" i="38"/>
  <c r="L82" i="38"/>
  <c r="I82" i="38"/>
  <c r="D82" i="38"/>
  <c r="C82" i="38"/>
  <c r="F82" i="38" s="1" a="1"/>
  <c r="F82" i="38" s="1"/>
  <c r="Q81" i="38"/>
  <c r="P81" i="38"/>
  <c r="M81" i="38"/>
  <c r="L81" i="38"/>
  <c r="I81" i="38"/>
  <c r="C81" i="38"/>
  <c r="F81" i="38" s="1" a="1"/>
  <c r="F81" i="38" s="1"/>
  <c r="P80" i="38"/>
  <c r="Q80" i="38" s="1"/>
  <c r="M80" i="38"/>
  <c r="L80" i="38"/>
  <c r="I80" i="38"/>
  <c r="F80" i="38" a="1"/>
  <c r="F80" i="38" s="1"/>
  <c r="C80" i="38"/>
  <c r="D80" i="38" s="1"/>
  <c r="P79" i="38"/>
  <c r="Q79" i="38" s="1"/>
  <c r="M79" i="38"/>
  <c r="L79" i="38"/>
  <c r="I79" i="38"/>
  <c r="D79" i="38"/>
  <c r="C79" i="38"/>
  <c r="F79" i="38" s="1" a="1"/>
  <c r="F79" i="38" s="1"/>
  <c r="P78" i="38"/>
  <c r="Q78" i="38" s="1"/>
  <c r="M78" i="38"/>
  <c r="L78" i="38"/>
  <c r="I78" i="38"/>
  <c r="C78" i="38"/>
  <c r="F78" i="38" s="1" a="1"/>
  <c r="F78" i="38" s="1"/>
  <c r="P77" i="38"/>
  <c r="Q77" i="38" s="1"/>
  <c r="M77" i="38"/>
  <c r="L77" i="38"/>
  <c r="I77" i="38"/>
  <c r="D77" i="38"/>
  <c r="C77" i="38"/>
  <c r="F77" i="38" s="1" a="1"/>
  <c r="F77" i="38" s="1"/>
  <c r="P76" i="38"/>
  <c r="Q76" i="38" s="1"/>
  <c r="M76" i="38"/>
  <c r="L76" i="38"/>
  <c r="I76" i="38"/>
  <c r="C76" i="38"/>
  <c r="D76" i="38" s="1"/>
  <c r="P75" i="38"/>
  <c r="Q75" i="38" s="1"/>
  <c r="M75" i="38"/>
  <c r="L75" i="38"/>
  <c r="I75" i="38"/>
  <c r="F75" i="38" a="1"/>
  <c r="F75" i="38" s="1"/>
  <c r="C75" i="38"/>
  <c r="D75" i="38" s="1"/>
  <c r="Q74" i="38"/>
  <c r="P74" i="38"/>
  <c r="M74" i="38"/>
  <c r="L74" i="38"/>
  <c r="I74" i="38"/>
  <c r="D74" i="38"/>
  <c r="C74" i="38"/>
  <c r="F74" i="38" s="1" a="1"/>
  <c r="F74" i="38" s="1"/>
  <c r="Q73" i="38"/>
  <c r="P73" i="38"/>
  <c r="M73" i="38"/>
  <c r="L73" i="38"/>
  <c r="I73" i="38"/>
  <c r="C73" i="38"/>
  <c r="F73" i="38" s="1" a="1"/>
  <c r="F73" i="38" s="1"/>
  <c r="P72" i="38"/>
  <c r="Q72" i="38" s="1"/>
  <c r="M72" i="38"/>
  <c r="L72" i="38"/>
  <c r="I72" i="38"/>
  <c r="F72" i="38" a="1"/>
  <c r="F72" i="38" s="1"/>
  <c r="C72" i="38"/>
  <c r="D72" i="38" s="1"/>
  <c r="P71" i="38"/>
  <c r="Q71" i="38" s="1"/>
  <c r="M71" i="38"/>
  <c r="L71" i="38"/>
  <c r="I71" i="38"/>
  <c r="F71" i="38" a="1"/>
  <c r="F71" i="38" s="1"/>
  <c r="D71" i="38"/>
  <c r="C71" i="38"/>
  <c r="P70" i="38"/>
  <c r="Q70" i="38" s="1"/>
  <c r="M70" i="38"/>
  <c r="L70" i="38"/>
  <c r="I70" i="38"/>
  <c r="C70" i="38"/>
  <c r="F70" i="38" s="1" a="1"/>
  <c r="F70" i="38" s="1"/>
  <c r="P69" i="38"/>
  <c r="Q69" i="38" s="1"/>
  <c r="M69" i="38"/>
  <c r="L69" i="38"/>
  <c r="I69" i="38"/>
  <c r="C69" i="38"/>
  <c r="F69" i="38" s="1" a="1"/>
  <c r="F69" i="38" s="1"/>
  <c r="P68" i="38"/>
  <c r="Q68" i="38" s="1"/>
  <c r="M68" i="38"/>
  <c r="L68" i="38"/>
  <c r="I68" i="38"/>
  <c r="F68" i="38" a="1"/>
  <c r="F68" i="38" s="1"/>
  <c r="D68" i="38"/>
  <c r="C68" i="38"/>
  <c r="P67" i="38"/>
  <c r="Q67" i="38" s="1"/>
  <c r="M67" i="38"/>
  <c r="L67" i="38"/>
  <c r="I67" i="38"/>
  <c r="F67" i="38" a="1"/>
  <c r="F67" i="38" s="1"/>
  <c r="D67" i="38"/>
  <c r="C67" i="38"/>
  <c r="P66" i="38"/>
  <c r="Q66" i="38" s="1"/>
  <c r="M66" i="38"/>
  <c r="L66" i="38"/>
  <c r="I66" i="38"/>
  <c r="C66" i="38"/>
  <c r="F66" i="38" s="1" a="1"/>
  <c r="F66" i="38" s="1"/>
  <c r="P65" i="38"/>
  <c r="Q65" i="38" s="1"/>
  <c r="M65" i="38"/>
  <c r="L65" i="38"/>
  <c r="I65" i="38"/>
  <c r="D65" i="38"/>
  <c r="C65" i="38"/>
  <c r="F65" i="38" s="1" a="1"/>
  <c r="F65" i="38" s="1"/>
  <c r="P64" i="38"/>
  <c r="Q64" i="38" s="1"/>
  <c r="M64" i="38"/>
  <c r="L64" i="38"/>
  <c r="I64" i="38"/>
  <c r="C64" i="38"/>
  <c r="F64" i="38" s="1" a="1"/>
  <c r="F64" i="38" s="1"/>
  <c r="P63" i="38"/>
  <c r="Q63" i="38" s="1"/>
  <c r="M63" i="38"/>
  <c r="L63" i="38"/>
  <c r="I63" i="38"/>
  <c r="F63" i="38" a="1"/>
  <c r="F63" i="38" s="1"/>
  <c r="C63" i="38"/>
  <c r="D63" i="38" s="1"/>
  <c r="Q62" i="38"/>
  <c r="P62" i="38"/>
  <c r="M62" i="38"/>
  <c r="L62" i="38"/>
  <c r="I62" i="38"/>
  <c r="D62" i="38"/>
  <c r="C62" i="38"/>
  <c r="F62" i="38" s="1" a="1"/>
  <c r="F62" i="38" s="1"/>
  <c r="P61" i="38"/>
  <c r="Q61" i="38" s="1"/>
  <c r="M61" i="38"/>
  <c r="L61" i="38"/>
  <c r="I61" i="38"/>
  <c r="C61" i="38"/>
  <c r="F61" i="38" s="1" a="1"/>
  <c r="F61" i="38" s="1"/>
  <c r="P60" i="38"/>
  <c r="Q60" i="38" s="1"/>
  <c r="M60" i="38"/>
  <c r="L60" i="38"/>
  <c r="I60" i="38"/>
  <c r="F60" i="38" a="1"/>
  <c r="F60" i="38" s="1"/>
  <c r="C60" i="38"/>
  <c r="D60" i="38" s="1"/>
  <c r="P59" i="38"/>
  <c r="Q59" i="38" s="1"/>
  <c r="M59" i="38"/>
  <c r="L59" i="38"/>
  <c r="I59" i="38"/>
  <c r="F59" i="38" a="1"/>
  <c r="F59" i="38" s="1"/>
  <c r="D59" i="38"/>
  <c r="C59" i="38"/>
  <c r="P58" i="38"/>
  <c r="Q58" i="38" s="1"/>
  <c r="M58" i="38"/>
  <c r="L58" i="38"/>
  <c r="I58" i="38"/>
  <c r="C58" i="38"/>
  <c r="F58" i="38" s="1" a="1"/>
  <c r="F58" i="38" s="1"/>
  <c r="P57" i="38"/>
  <c r="Q57" i="38" s="1"/>
  <c r="M57" i="38"/>
  <c r="L57" i="38"/>
  <c r="I57" i="38"/>
  <c r="D57" i="38"/>
  <c r="C57" i="38"/>
  <c r="F57" i="38" s="1" a="1"/>
  <c r="F57" i="38" s="1"/>
  <c r="P56" i="38"/>
  <c r="Q56" i="38" s="1"/>
  <c r="M56" i="38"/>
  <c r="L56" i="38"/>
  <c r="I56" i="38"/>
  <c r="C56" i="38"/>
  <c r="F56" i="38" s="1" a="1"/>
  <c r="F56" i="38" s="1"/>
  <c r="P55" i="38"/>
  <c r="Q55" i="38" s="1"/>
  <c r="M55" i="38"/>
  <c r="L55" i="38"/>
  <c r="I55" i="38"/>
  <c r="F55" i="38" a="1"/>
  <c r="F55" i="38" s="1"/>
  <c r="C55" i="38"/>
  <c r="D55" i="38" s="1"/>
  <c r="Q54" i="38"/>
  <c r="P54" i="38"/>
  <c r="M54" i="38"/>
  <c r="L54" i="38"/>
  <c r="I54" i="38"/>
  <c r="D54" i="38"/>
  <c r="C54" i="38"/>
  <c r="F54" i="38" s="1" a="1"/>
  <c r="F54" i="38" s="1"/>
  <c r="P53" i="38"/>
  <c r="Q53" i="38" s="1"/>
  <c r="M53" i="38"/>
  <c r="L53" i="38"/>
  <c r="I53" i="38"/>
  <c r="C53" i="38"/>
  <c r="F53" i="38" s="1" a="1"/>
  <c r="F53" i="38" s="1"/>
  <c r="P52" i="38"/>
  <c r="Q52" i="38" s="1"/>
  <c r="M52" i="38"/>
  <c r="L52" i="38"/>
  <c r="I52" i="38"/>
  <c r="F52" i="38" a="1"/>
  <c r="F52" i="38" s="1"/>
  <c r="C52" i="38"/>
  <c r="D52" i="38" s="1"/>
  <c r="P51" i="38"/>
  <c r="Q51" i="38" s="1"/>
  <c r="M51" i="38"/>
  <c r="L51" i="38"/>
  <c r="I51" i="38"/>
  <c r="F51" i="38" a="1"/>
  <c r="F51" i="38" s="1"/>
  <c r="D51" i="38"/>
  <c r="C51" i="38"/>
  <c r="P50" i="38"/>
  <c r="Q50" i="38" s="1"/>
  <c r="M50" i="38"/>
  <c r="L50" i="38"/>
  <c r="I50" i="38"/>
  <c r="C50" i="38"/>
  <c r="F50" i="38" s="1" a="1"/>
  <c r="F50" i="38" s="1"/>
  <c r="P49" i="38"/>
  <c r="Q49" i="38" s="1"/>
  <c r="M49" i="38"/>
  <c r="L49" i="38"/>
  <c r="I49" i="38"/>
  <c r="D49" i="38"/>
  <c r="C49" i="38"/>
  <c r="F49" i="38" s="1" a="1"/>
  <c r="F49" i="38" s="1"/>
  <c r="P48" i="38"/>
  <c r="Q48" i="38" s="1"/>
  <c r="M48" i="38"/>
  <c r="L48" i="38"/>
  <c r="I48" i="38"/>
  <c r="C48" i="38"/>
  <c r="F48" i="38" s="1" a="1"/>
  <c r="F48" i="38" s="1"/>
  <c r="P47" i="38"/>
  <c r="Q47" i="38" s="1"/>
  <c r="M47" i="38"/>
  <c r="L47" i="38"/>
  <c r="I47" i="38"/>
  <c r="F47" i="38" a="1"/>
  <c r="F47" i="38" s="1"/>
  <c r="C47" i="38"/>
  <c r="D47" i="38" s="1"/>
  <c r="Q46" i="38"/>
  <c r="P46" i="38"/>
  <c r="M46" i="38"/>
  <c r="L46" i="38"/>
  <c r="I46" i="38"/>
  <c r="D46" i="38"/>
  <c r="C46" i="38"/>
  <c r="F46" i="38" s="1" a="1"/>
  <c r="F46" i="38" s="1"/>
  <c r="P45" i="38"/>
  <c r="Q45" i="38" s="1"/>
  <c r="M45" i="38"/>
  <c r="L45" i="38"/>
  <c r="I45" i="38"/>
  <c r="C45" i="38"/>
  <c r="F45" i="38" s="1" a="1"/>
  <c r="F45" i="38" s="1"/>
  <c r="P44" i="38"/>
  <c r="Q44" i="38" s="1"/>
  <c r="M44" i="38"/>
  <c r="L44" i="38"/>
  <c r="I44" i="38"/>
  <c r="F44" i="38" a="1"/>
  <c r="F44" i="38" s="1"/>
  <c r="C44" i="38"/>
  <c r="D44" i="38" s="1"/>
  <c r="P43" i="38"/>
  <c r="Q43" i="38" s="1"/>
  <c r="M43" i="38"/>
  <c r="L43" i="38"/>
  <c r="I43" i="38"/>
  <c r="F43" i="38" a="1"/>
  <c r="F43" i="38" s="1"/>
  <c r="D43" i="38"/>
  <c r="C43" i="38"/>
  <c r="P42" i="38"/>
  <c r="Q42" i="38" s="1"/>
  <c r="M42" i="38"/>
  <c r="L42" i="38"/>
  <c r="I42" i="38"/>
  <c r="C42" i="38"/>
  <c r="F42" i="38" s="1" a="1"/>
  <c r="F42" i="38" s="1"/>
  <c r="P41" i="38"/>
  <c r="Q41" i="38" s="1"/>
  <c r="M41" i="38"/>
  <c r="L41" i="38"/>
  <c r="I41" i="38"/>
  <c r="D41" i="38"/>
  <c r="C41" i="38"/>
  <c r="F41" i="38" s="1" a="1"/>
  <c r="F41" i="38" s="1"/>
  <c r="P40" i="38"/>
  <c r="Q40" i="38" s="1"/>
  <c r="M40" i="38"/>
  <c r="L40" i="38"/>
  <c r="I40" i="38"/>
  <c r="C40" i="38"/>
  <c r="F40" i="38" s="1" a="1"/>
  <c r="F40" i="38" s="1"/>
  <c r="P39" i="38"/>
  <c r="Q39" i="38" s="1"/>
  <c r="M39" i="38"/>
  <c r="L39" i="38"/>
  <c r="I39" i="38"/>
  <c r="F39" i="38" a="1"/>
  <c r="F39" i="38" s="1"/>
  <c r="C39" i="38"/>
  <c r="D39" i="38" s="1"/>
  <c r="P38" i="38"/>
  <c r="Q38" i="38" s="1"/>
  <c r="M38" i="38"/>
  <c r="L38" i="38"/>
  <c r="I38" i="38"/>
  <c r="D38" i="38"/>
  <c r="C38" i="38"/>
  <c r="F38" i="38" s="1" a="1"/>
  <c r="F38" i="38" s="1"/>
  <c r="P37" i="38"/>
  <c r="Q37" i="38" s="1"/>
  <c r="M37" i="38"/>
  <c r="L37" i="38"/>
  <c r="I37" i="38"/>
  <c r="C37" i="38"/>
  <c r="F37" i="38" s="1" a="1"/>
  <c r="F37" i="38" s="1"/>
  <c r="P36" i="38"/>
  <c r="Q36" i="38" s="1"/>
  <c r="M36" i="38"/>
  <c r="L36" i="38"/>
  <c r="I36" i="38"/>
  <c r="F36" i="38" a="1"/>
  <c r="F36" i="38" s="1"/>
  <c r="C36" i="38"/>
  <c r="D36" i="38" s="1"/>
  <c r="P35" i="38"/>
  <c r="Q35" i="38" s="1"/>
  <c r="M35" i="38"/>
  <c r="L35" i="38"/>
  <c r="I35" i="38"/>
  <c r="F35" i="38" a="1"/>
  <c r="F35" i="38" s="1"/>
  <c r="D35" i="38"/>
  <c r="C35" i="38"/>
  <c r="P34" i="38"/>
  <c r="Q34" i="38" s="1"/>
  <c r="M34" i="38"/>
  <c r="L34" i="38"/>
  <c r="I34" i="38"/>
  <c r="C34" i="38"/>
  <c r="F34" i="38" s="1" a="1"/>
  <c r="F34" i="38" s="1"/>
  <c r="P33" i="38"/>
  <c r="Q33" i="38" s="1"/>
  <c r="M33" i="38"/>
  <c r="L33" i="38"/>
  <c r="I33" i="38"/>
  <c r="C33" i="38"/>
  <c r="F33" i="38" s="1" a="1"/>
  <c r="F33" i="38" s="1"/>
  <c r="P32" i="38"/>
  <c r="Q32" i="38" s="1"/>
  <c r="M32" i="38"/>
  <c r="L32" i="38"/>
  <c r="I32" i="38"/>
  <c r="C32" i="38"/>
  <c r="F32" i="38" s="1" a="1"/>
  <c r="F32" i="38" s="1"/>
  <c r="P31" i="38"/>
  <c r="Q31" i="38" s="1"/>
  <c r="M31" i="38"/>
  <c r="L31" i="38"/>
  <c r="I31" i="38"/>
  <c r="F31" i="38" a="1"/>
  <c r="F31" i="38" s="1"/>
  <c r="C31" i="38"/>
  <c r="D31" i="38" s="1"/>
  <c r="P30" i="38"/>
  <c r="Q30" i="38" s="1"/>
  <c r="M30" i="38"/>
  <c r="L30" i="38"/>
  <c r="I30" i="38"/>
  <c r="D30" i="38"/>
  <c r="C30" i="38"/>
  <c r="F30" i="38" s="1" a="1"/>
  <c r="F30" i="38" s="1"/>
  <c r="P29" i="38"/>
  <c r="Q29" i="38" s="1"/>
  <c r="M29" i="38"/>
  <c r="L29" i="38"/>
  <c r="I29" i="38"/>
  <c r="C29" i="38"/>
  <c r="F29" i="38" s="1" a="1"/>
  <c r="F29" i="38" s="1"/>
  <c r="P28" i="38"/>
  <c r="Q28" i="38" s="1"/>
  <c r="M28" i="38"/>
  <c r="L28" i="38"/>
  <c r="I28" i="38"/>
  <c r="F28" i="38" a="1"/>
  <c r="F28" i="38" s="1"/>
  <c r="C28" i="38"/>
  <c r="D28" i="38" s="1"/>
  <c r="P27" i="38"/>
  <c r="Q27" i="38" s="1"/>
  <c r="M27" i="38"/>
  <c r="L27" i="38"/>
  <c r="I27" i="38"/>
  <c r="F27" i="38" a="1"/>
  <c r="F27" i="38" s="1"/>
  <c r="D27" i="38"/>
  <c r="C27" i="38"/>
  <c r="P26" i="38"/>
  <c r="Q26" i="38" s="1"/>
  <c r="M26" i="38"/>
  <c r="L26" i="38"/>
  <c r="I26" i="38"/>
  <c r="C26" i="38"/>
  <c r="F26" i="38" s="1" a="1"/>
  <c r="F26" i="38" s="1"/>
  <c r="P25" i="38"/>
  <c r="Q25" i="38" s="1"/>
  <c r="M25" i="38"/>
  <c r="L25" i="38"/>
  <c r="I25" i="38"/>
  <c r="C25" i="38"/>
  <c r="F25" i="38" s="1" a="1"/>
  <c r="F25" i="38" s="1"/>
  <c r="P24" i="38"/>
  <c r="Q24" i="38" s="1"/>
  <c r="M24" i="38"/>
  <c r="L24" i="38"/>
  <c r="I24" i="38"/>
  <c r="C24" i="38"/>
  <c r="F24" i="38" s="1" a="1"/>
  <c r="F24" i="38" s="1"/>
  <c r="P23" i="38"/>
  <c r="Q23" i="38" s="1"/>
  <c r="M23" i="38"/>
  <c r="L23" i="38"/>
  <c r="I23" i="38"/>
  <c r="F23" i="38" a="1"/>
  <c r="F23" i="38" s="1"/>
  <c r="D23" i="38"/>
  <c r="C23" i="38"/>
  <c r="P22" i="38"/>
  <c r="Q22" i="38" s="1"/>
  <c r="M22" i="38"/>
  <c r="L22" i="38"/>
  <c r="I22" i="38"/>
  <c r="D22" i="38"/>
  <c r="C22" i="38"/>
  <c r="F22" i="38" s="1" a="1"/>
  <c r="F22" i="38" s="1"/>
  <c r="P21" i="38"/>
  <c r="Q21" i="38" s="1"/>
  <c r="M21" i="38"/>
  <c r="L21" i="38"/>
  <c r="I21" i="38"/>
  <c r="C21" i="38"/>
  <c r="F21" i="38" s="1" a="1"/>
  <c r="F21" i="38" s="1"/>
  <c r="P20" i="38"/>
  <c r="Q20" i="38" s="1"/>
  <c r="M20" i="38"/>
  <c r="L20" i="38"/>
  <c r="I20" i="38"/>
  <c r="F20" i="38" a="1"/>
  <c r="F20" i="38" s="1"/>
  <c r="C20" i="38"/>
  <c r="D20" i="38" s="1"/>
  <c r="P19" i="38"/>
  <c r="Q19" i="38" s="1"/>
  <c r="M19" i="38"/>
  <c r="L19" i="38"/>
  <c r="I19" i="38"/>
  <c r="F19" i="38" a="1"/>
  <c r="F19" i="38" s="1"/>
  <c r="D19" i="38"/>
  <c r="C19" i="38"/>
  <c r="P18" i="38"/>
  <c r="Q18" i="38" s="1"/>
  <c r="M18" i="38"/>
  <c r="L18" i="38"/>
  <c r="I18" i="38"/>
  <c r="C18" i="38"/>
  <c r="F18" i="38" s="1" a="1"/>
  <c r="F18" i="38" s="1"/>
  <c r="P17" i="38"/>
  <c r="Q17" i="38" s="1"/>
  <c r="M17" i="38"/>
  <c r="L17" i="38"/>
  <c r="I17" i="38"/>
  <c r="C17" i="38"/>
  <c r="F17" i="38" s="1" a="1"/>
  <c r="F17" i="38" s="1"/>
  <c r="P16" i="38"/>
  <c r="Q16" i="38" s="1"/>
  <c r="M16" i="38"/>
  <c r="L16" i="38"/>
  <c r="I16" i="38"/>
  <c r="C16" i="38"/>
  <c r="F16" i="38" s="1" a="1"/>
  <c r="F16" i="38" s="1"/>
  <c r="P15" i="38"/>
  <c r="Q15" i="38" s="1"/>
  <c r="M15" i="38"/>
  <c r="L15" i="38"/>
  <c r="I15" i="38"/>
  <c r="F15" i="38" a="1"/>
  <c r="F15" i="38" s="1"/>
  <c r="D15" i="38"/>
  <c r="C15" i="38"/>
  <c r="P14" i="38"/>
  <c r="Q14" i="38" s="1"/>
  <c r="M14" i="38"/>
  <c r="L14" i="38"/>
  <c r="I14" i="38"/>
  <c r="D14" i="38"/>
  <c r="C14" i="38"/>
  <c r="F14" i="38" s="1" a="1"/>
  <c r="F14" i="38" s="1"/>
  <c r="P13" i="38"/>
  <c r="Q13" i="38" s="1"/>
  <c r="M13" i="38"/>
  <c r="L13" i="38"/>
  <c r="I13" i="38"/>
  <c r="C13" i="38"/>
  <c r="F13" i="38" s="1" a="1"/>
  <c r="F13" i="38" s="1"/>
  <c r="P12" i="38"/>
  <c r="Q12" i="38" s="1"/>
  <c r="M12" i="38"/>
  <c r="L12" i="38"/>
  <c r="I12" i="38"/>
  <c r="F12" i="38" a="1"/>
  <c r="F12" i="38" s="1"/>
  <c r="C12" i="38"/>
  <c r="D12" i="38" s="1"/>
  <c r="P11" i="38"/>
  <c r="Q11" i="38" s="1"/>
  <c r="M11" i="38"/>
  <c r="L11" i="38"/>
  <c r="I11" i="38"/>
  <c r="F11" i="38" a="1"/>
  <c r="F11" i="38" s="1"/>
  <c r="D11" i="38"/>
  <c r="C11" i="38"/>
  <c r="P10" i="38"/>
  <c r="Q10" i="38" s="1"/>
  <c r="M10" i="38"/>
  <c r="L10" i="38"/>
  <c r="I10" i="38"/>
  <c r="C10" i="38"/>
  <c r="F10" i="38" s="1" a="1"/>
  <c r="F10" i="38" s="1"/>
  <c r="M8" i="38"/>
  <c r="I8" i="38"/>
  <c r="P7" i="38"/>
  <c r="Q7" i="38" s="1"/>
  <c r="M7" i="38"/>
  <c r="L7" i="38"/>
  <c r="I7" i="38"/>
  <c r="D7" i="38"/>
  <c r="P6" i="38"/>
  <c r="Q6" i="38" s="1"/>
  <c r="M6" i="38"/>
  <c r="L6" i="38"/>
  <c r="I6" i="38"/>
  <c r="D6" i="38"/>
  <c r="E10" i="27"/>
  <c r="E9" i="27"/>
  <c r="E8" i="27"/>
  <c r="E7" i="27"/>
  <c r="E10" i="30"/>
  <c r="E9" i="30"/>
  <c r="E8" i="30"/>
  <c r="E7" i="30"/>
  <c r="E8" i="31"/>
  <c r="E7" i="31"/>
  <c r="E10" i="32"/>
  <c r="E9" i="32"/>
  <c r="E8" i="32"/>
  <c r="E7" i="32"/>
  <c r="E10" i="33"/>
  <c r="E9" i="33"/>
  <c r="E8" i="33"/>
  <c r="E7" i="33"/>
  <c r="E10" i="34"/>
  <c r="E9" i="34"/>
  <c r="E8" i="34"/>
  <c r="E7" i="34"/>
  <c r="E10" i="35"/>
  <c r="E9" i="35"/>
  <c r="E8" i="35"/>
  <c r="E7" i="35"/>
  <c r="E8" i="36"/>
  <c r="E7" i="36"/>
  <c r="P99" i="37"/>
  <c r="Q99" i="37" s="1"/>
  <c r="M99" i="37"/>
  <c r="L99" i="37"/>
  <c r="I99" i="37"/>
  <c r="C99" i="37"/>
  <c r="F99" i="37" s="1" a="1"/>
  <c r="F99" i="37" s="1"/>
  <c r="P98" i="37"/>
  <c r="Q98" i="37" s="1"/>
  <c r="M98" i="37"/>
  <c r="L98" i="37"/>
  <c r="I98" i="37"/>
  <c r="C98" i="37"/>
  <c r="D98" i="37" s="1"/>
  <c r="P97" i="37"/>
  <c r="Q97" i="37" s="1"/>
  <c r="M97" i="37"/>
  <c r="L97" i="37"/>
  <c r="I97" i="37"/>
  <c r="C97" i="37"/>
  <c r="D97" i="37" s="1"/>
  <c r="P96" i="37"/>
  <c r="Q96" i="37" s="1"/>
  <c r="M96" i="37"/>
  <c r="L96" i="37"/>
  <c r="I96" i="37"/>
  <c r="C96" i="37"/>
  <c r="D96" i="37" s="1"/>
  <c r="P95" i="37"/>
  <c r="Q95" i="37" s="1"/>
  <c r="M95" i="37"/>
  <c r="L95" i="37"/>
  <c r="I95" i="37"/>
  <c r="C95" i="37"/>
  <c r="F95" i="37" s="1" a="1"/>
  <c r="F95" i="37" s="1"/>
  <c r="P94" i="37"/>
  <c r="Q94" i="37" s="1"/>
  <c r="M94" i="37"/>
  <c r="L94" i="37"/>
  <c r="I94" i="37"/>
  <c r="C94" i="37"/>
  <c r="F94" i="37" s="1" a="1"/>
  <c r="F94" i="37" s="1"/>
  <c r="P93" i="37"/>
  <c r="Q93" i="37" s="1"/>
  <c r="M93" i="37"/>
  <c r="L93" i="37"/>
  <c r="I93" i="37"/>
  <c r="F93" i="37" a="1"/>
  <c r="F93" i="37" s="1"/>
  <c r="C93" i="37"/>
  <c r="D93" i="37" s="1"/>
  <c r="P92" i="37"/>
  <c r="Q92" i="37" s="1"/>
  <c r="M92" i="37"/>
  <c r="L92" i="37"/>
  <c r="I92" i="37"/>
  <c r="C92" i="37"/>
  <c r="F92" i="37" s="1" a="1"/>
  <c r="F92" i="37" s="1"/>
  <c r="P91" i="37"/>
  <c r="Q91" i="37" s="1"/>
  <c r="M91" i="37"/>
  <c r="L91" i="37"/>
  <c r="I91" i="37"/>
  <c r="C91" i="37"/>
  <c r="F91" i="37" s="1" a="1"/>
  <c r="F91" i="37" s="1"/>
  <c r="P90" i="37"/>
  <c r="Q90" i="37" s="1"/>
  <c r="M90" i="37"/>
  <c r="L90" i="37"/>
  <c r="I90" i="37"/>
  <c r="C90" i="37"/>
  <c r="D90" i="37" s="1"/>
  <c r="P89" i="37"/>
  <c r="Q89" i="37" s="1"/>
  <c r="M89" i="37"/>
  <c r="L89" i="37"/>
  <c r="I89" i="37"/>
  <c r="C89" i="37"/>
  <c r="F89" i="37" s="1" a="1"/>
  <c r="F89" i="37" s="1"/>
  <c r="P88" i="37"/>
  <c r="Q88" i="37" s="1"/>
  <c r="M88" i="37"/>
  <c r="L88" i="37"/>
  <c r="I88" i="37"/>
  <c r="C88" i="37"/>
  <c r="D88" i="37" s="1"/>
  <c r="P87" i="37"/>
  <c r="Q87" i="37" s="1"/>
  <c r="M87" i="37"/>
  <c r="L87" i="37"/>
  <c r="I87" i="37"/>
  <c r="C87" i="37"/>
  <c r="F87" i="37" s="1" a="1"/>
  <c r="F87" i="37" s="1"/>
  <c r="P86" i="37"/>
  <c r="Q86" i="37" s="1"/>
  <c r="M86" i="37"/>
  <c r="L86" i="37"/>
  <c r="I86" i="37"/>
  <c r="C86" i="37"/>
  <c r="F86" i="37" s="1" a="1"/>
  <c r="F86" i="37" s="1"/>
  <c r="P85" i="37"/>
  <c r="Q85" i="37" s="1"/>
  <c r="M85" i="37"/>
  <c r="L85" i="37"/>
  <c r="I85" i="37"/>
  <c r="C85" i="37"/>
  <c r="F85" i="37" s="1" a="1"/>
  <c r="F85" i="37" s="1"/>
  <c r="P84" i="37"/>
  <c r="Q84" i="37" s="1"/>
  <c r="M84" i="37"/>
  <c r="L84" i="37"/>
  <c r="I84" i="37"/>
  <c r="C84" i="37"/>
  <c r="F84" i="37" s="1" a="1"/>
  <c r="F84" i="37" s="1"/>
  <c r="P83" i="37"/>
  <c r="Q83" i="37" s="1"/>
  <c r="M83" i="37"/>
  <c r="L83" i="37"/>
  <c r="I83" i="37"/>
  <c r="C83" i="37"/>
  <c r="F83" i="37" s="1" a="1"/>
  <c r="F83" i="37" s="1"/>
  <c r="P82" i="37"/>
  <c r="Q82" i="37" s="1"/>
  <c r="M82" i="37"/>
  <c r="L82" i="37"/>
  <c r="I82" i="37"/>
  <c r="C82" i="37"/>
  <c r="D82" i="37" s="1"/>
  <c r="P81" i="37"/>
  <c r="Q81" i="37" s="1"/>
  <c r="M81" i="37"/>
  <c r="L81" i="37"/>
  <c r="I81" i="37"/>
  <c r="C81" i="37"/>
  <c r="F81" i="37" s="1" a="1"/>
  <c r="F81" i="37" s="1"/>
  <c r="P80" i="37"/>
  <c r="Q80" i="37" s="1"/>
  <c r="M80" i="37"/>
  <c r="L80" i="37"/>
  <c r="I80" i="37"/>
  <c r="C80" i="37"/>
  <c r="D80" i="37" s="1"/>
  <c r="P79" i="37"/>
  <c r="Q79" i="37" s="1"/>
  <c r="M79" i="37"/>
  <c r="L79" i="37"/>
  <c r="I79" i="37"/>
  <c r="C79" i="37"/>
  <c r="F79" i="37" s="1" a="1"/>
  <c r="F79" i="37" s="1"/>
  <c r="P78" i="37"/>
  <c r="Q78" i="37" s="1"/>
  <c r="M78" i="37"/>
  <c r="L78" i="37"/>
  <c r="I78" i="37"/>
  <c r="D78" i="37"/>
  <c r="C78" i="37"/>
  <c r="F78" i="37" s="1" a="1"/>
  <c r="F78" i="37" s="1"/>
  <c r="P77" i="37"/>
  <c r="Q77" i="37" s="1"/>
  <c r="M77" i="37"/>
  <c r="L77" i="37"/>
  <c r="I77" i="37"/>
  <c r="C77" i="37"/>
  <c r="F77" i="37" s="1" a="1"/>
  <c r="F77" i="37" s="1"/>
  <c r="P76" i="37"/>
  <c r="Q76" i="37" s="1"/>
  <c r="M76" i="37"/>
  <c r="L76" i="37"/>
  <c r="I76" i="37"/>
  <c r="C76" i="37"/>
  <c r="F76" i="37" s="1" a="1"/>
  <c r="F76" i="37" s="1"/>
  <c r="P75" i="37"/>
  <c r="Q75" i="37" s="1"/>
  <c r="M75" i="37"/>
  <c r="L75" i="37"/>
  <c r="I75" i="37"/>
  <c r="C75" i="37"/>
  <c r="F75" i="37" s="1" a="1"/>
  <c r="F75" i="37" s="1"/>
  <c r="P74" i="37"/>
  <c r="Q74" i="37" s="1"/>
  <c r="M74" i="37"/>
  <c r="L74" i="37"/>
  <c r="I74" i="37"/>
  <c r="C74" i="37"/>
  <c r="D74" i="37" s="1"/>
  <c r="P73" i="37"/>
  <c r="Q73" i="37" s="1"/>
  <c r="M73" i="37"/>
  <c r="L73" i="37"/>
  <c r="I73" i="37"/>
  <c r="F73" i="37" a="1"/>
  <c r="F73" i="37" s="1"/>
  <c r="C73" i="37"/>
  <c r="D73" i="37" s="1"/>
  <c r="P72" i="37"/>
  <c r="Q72" i="37" s="1"/>
  <c r="M72" i="37"/>
  <c r="L72" i="37"/>
  <c r="I72" i="37"/>
  <c r="C72" i="37"/>
  <c r="D72" i="37" s="1"/>
  <c r="P71" i="37"/>
  <c r="Q71" i="37" s="1"/>
  <c r="M71" i="37"/>
  <c r="L71" i="37"/>
  <c r="I71" i="37"/>
  <c r="C71" i="37"/>
  <c r="F71" i="37" s="1" a="1"/>
  <c r="F71" i="37" s="1"/>
  <c r="Q70" i="37"/>
  <c r="P70" i="37"/>
  <c r="M70" i="37"/>
  <c r="L70" i="37"/>
  <c r="I70" i="37"/>
  <c r="C70" i="37"/>
  <c r="F70" i="37" s="1" a="1"/>
  <c r="F70" i="37" s="1"/>
  <c r="P69" i="37"/>
  <c r="Q69" i="37" s="1"/>
  <c r="M69" i="37"/>
  <c r="L69" i="37"/>
  <c r="I69" i="37"/>
  <c r="C69" i="37"/>
  <c r="F69" i="37" s="1" a="1"/>
  <c r="F69" i="37" s="1"/>
  <c r="P68" i="37"/>
  <c r="Q68" i="37" s="1"/>
  <c r="M68" i="37"/>
  <c r="L68" i="37"/>
  <c r="I68" i="37"/>
  <c r="C68" i="37"/>
  <c r="F68" i="37" s="1" a="1"/>
  <c r="F68" i="37" s="1"/>
  <c r="P67" i="37"/>
  <c r="Q67" i="37" s="1"/>
  <c r="M67" i="37"/>
  <c r="L67" i="37"/>
  <c r="I67" i="37"/>
  <c r="D67" i="37"/>
  <c r="C67" i="37"/>
  <c r="F67" i="37" s="1" a="1"/>
  <c r="F67" i="37" s="1"/>
  <c r="P66" i="37"/>
  <c r="Q66" i="37" s="1"/>
  <c r="M66" i="37"/>
  <c r="L66" i="37"/>
  <c r="I66" i="37"/>
  <c r="C66" i="37"/>
  <c r="D66" i="37" s="1"/>
  <c r="P65" i="37"/>
  <c r="Q65" i="37" s="1"/>
  <c r="M65" i="37"/>
  <c r="L65" i="37"/>
  <c r="I65" i="37"/>
  <c r="C65" i="37"/>
  <c r="F65" i="37" s="1" a="1"/>
  <c r="F65" i="37" s="1"/>
  <c r="P64" i="37"/>
  <c r="Q64" i="37" s="1"/>
  <c r="M64" i="37"/>
  <c r="L64" i="37"/>
  <c r="I64" i="37"/>
  <c r="C64" i="37"/>
  <c r="D64" i="37" s="1"/>
  <c r="P63" i="37"/>
  <c r="Q63" i="37" s="1"/>
  <c r="M63" i="37"/>
  <c r="L63" i="37"/>
  <c r="I63" i="37"/>
  <c r="C63" i="37"/>
  <c r="F63" i="37" s="1" a="1"/>
  <c r="F63" i="37" s="1"/>
  <c r="P62" i="37"/>
  <c r="Q62" i="37" s="1"/>
  <c r="M62" i="37"/>
  <c r="L62" i="37"/>
  <c r="I62" i="37"/>
  <c r="C62" i="37"/>
  <c r="F62" i="37" s="1" a="1"/>
  <c r="F62" i="37" s="1"/>
  <c r="P61" i="37"/>
  <c r="Q61" i="37" s="1"/>
  <c r="M61" i="37"/>
  <c r="L61" i="37"/>
  <c r="I61" i="37"/>
  <c r="F61" i="37" a="1"/>
  <c r="F61" i="37" s="1"/>
  <c r="C61" i="37"/>
  <c r="D61" i="37" s="1"/>
  <c r="P60" i="37"/>
  <c r="Q60" i="37" s="1"/>
  <c r="M60" i="37"/>
  <c r="L60" i="37"/>
  <c r="I60" i="37"/>
  <c r="C60" i="37"/>
  <c r="F60" i="37" s="1" a="1"/>
  <c r="F60" i="37" s="1"/>
  <c r="P59" i="37"/>
  <c r="Q59" i="37" s="1"/>
  <c r="M59" i="37"/>
  <c r="L59" i="37"/>
  <c r="I59" i="37"/>
  <c r="D59" i="37"/>
  <c r="C59" i="37"/>
  <c r="F59" i="37" s="1" a="1"/>
  <c r="F59" i="37" s="1"/>
  <c r="P58" i="37"/>
  <c r="Q58" i="37" s="1"/>
  <c r="M58" i="37"/>
  <c r="L58" i="37"/>
  <c r="I58" i="37"/>
  <c r="C58" i="37"/>
  <c r="D58" i="37" s="1"/>
  <c r="P57" i="37"/>
  <c r="Q57" i="37" s="1"/>
  <c r="M57" i="37"/>
  <c r="L57" i="37"/>
  <c r="I57" i="37"/>
  <c r="C57" i="37"/>
  <c r="F57" i="37" s="1" a="1"/>
  <c r="F57" i="37" s="1"/>
  <c r="P56" i="37"/>
  <c r="Q56" i="37" s="1"/>
  <c r="M56" i="37"/>
  <c r="L56" i="37"/>
  <c r="I56" i="37"/>
  <c r="C56" i="37"/>
  <c r="D56" i="37" s="1"/>
  <c r="P55" i="37"/>
  <c r="Q55" i="37" s="1"/>
  <c r="M55" i="37"/>
  <c r="L55" i="37"/>
  <c r="I55" i="37"/>
  <c r="C55" i="37"/>
  <c r="F55" i="37" s="1" a="1"/>
  <c r="F55" i="37" s="1"/>
  <c r="P54" i="37"/>
  <c r="Q54" i="37" s="1"/>
  <c r="M54" i="37"/>
  <c r="L54" i="37"/>
  <c r="I54" i="37"/>
  <c r="C54" i="37"/>
  <c r="F54" i="37" s="1" a="1"/>
  <c r="F54" i="37" s="1"/>
  <c r="P53" i="37"/>
  <c r="Q53" i="37" s="1"/>
  <c r="M53" i="37"/>
  <c r="L53" i="37"/>
  <c r="I53" i="37"/>
  <c r="C53" i="37"/>
  <c r="D53" i="37" s="1"/>
  <c r="P52" i="37"/>
  <c r="Q52" i="37" s="1"/>
  <c r="M52" i="37"/>
  <c r="L52" i="37"/>
  <c r="I52" i="37"/>
  <c r="C52" i="37"/>
  <c r="F52" i="37" s="1" a="1"/>
  <c r="F52" i="37" s="1"/>
  <c r="P51" i="37"/>
  <c r="Q51" i="37" s="1"/>
  <c r="M51" i="37"/>
  <c r="L51" i="37"/>
  <c r="I51" i="37"/>
  <c r="C51" i="37"/>
  <c r="F51" i="37" s="1" a="1"/>
  <c r="F51" i="37" s="1"/>
  <c r="P50" i="37"/>
  <c r="Q50" i="37" s="1"/>
  <c r="M50" i="37"/>
  <c r="L50" i="37"/>
  <c r="I50" i="37"/>
  <c r="C50" i="37"/>
  <c r="D50" i="37" s="1"/>
  <c r="P49" i="37"/>
  <c r="Q49" i="37" s="1"/>
  <c r="M49" i="37"/>
  <c r="L49" i="37"/>
  <c r="I49" i="37"/>
  <c r="C49" i="37"/>
  <c r="D49" i="37" s="1"/>
  <c r="P48" i="37"/>
  <c r="Q48" i="37" s="1"/>
  <c r="M48" i="37"/>
  <c r="L48" i="37"/>
  <c r="I48" i="37"/>
  <c r="C48" i="37"/>
  <c r="F48" i="37" s="1" a="1"/>
  <c r="F48" i="37" s="1"/>
  <c r="P47" i="37"/>
  <c r="Q47" i="37" s="1"/>
  <c r="M47" i="37"/>
  <c r="L47" i="37"/>
  <c r="I47" i="37"/>
  <c r="C47" i="37"/>
  <c r="F47" i="37" s="1" a="1"/>
  <c r="F47" i="37" s="1"/>
  <c r="P46" i="37"/>
  <c r="Q46" i="37" s="1"/>
  <c r="M46" i="37"/>
  <c r="L46" i="37"/>
  <c r="I46" i="37"/>
  <c r="C46" i="37"/>
  <c r="F46" i="37" s="1" a="1"/>
  <c r="F46" i="37" s="1"/>
  <c r="P45" i="37"/>
  <c r="Q45" i="37" s="1"/>
  <c r="M45" i="37"/>
  <c r="L45" i="37"/>
  <c r="I45" i="37"/>
  <c r="D45" i="37"/>
  <c r="C45" i="37"/>
  <c r="F45" i="37" s="1" a="1"/>
  <c r="F45" i="37" s="1"/>
  <c r="P44" i="37"/>
  <c r="Q44" i="37" s="1"/>
  <c r="M44" i="37"/>
  <c r="L44" i="37"/>
  <c r="I44" i="37"/>
  <c r="C44" i="37"/>
  <c r="F44" i="37" s="1" a="1"/>
  <c r="F44" i="37" s="1"/>
  <c r="P43" i="37"/>
  <c r="Q43" i="37" s="1"/>
  <c r="M43" i="37"/>
  <c r="L43" i="37"/>
  <c r="I43" i="37"/>
  <c r="C43" i="37"/>
  <c r="F43" i="37" s="1" a="1"/>
  <c r="F43" i="37" s="1"/>
  <c r="P42" i="37"/>
  <c r="Q42" i="37" s="1"/>
  <c r="M42" i="37"/>
  <c r="L42" i="37"/>
  <c r="I42" i="37"/>
  <c r="C42" i="37"/>
  <c r="D42" i="37" s="1"/>
  <c r="P41" i="37"/>
  <c r="Q41" i="37" s="1"/>
  <c r="M41" i="37"/>
  <c r="L41" i="37"/>
  <c r="I41" i="37"/>
  <c r="C41" i="37"/>
  <c r="F41" i="37" s="1" a="1"/>
  <c r="F41" i="37" s="1"/>
  <c r="P40" i="37"/>
  <c r="Q40" i="37" s="1"/>
  <c r="M40" i="37"/>
  <c r="L40" i="37"/>
  <c r="I40" i="37"/>
  <c r="D40" i="37"/>
  <c r="C40" i="37"/>
  <c r="F40" i="37" s="1" a="1"/>
  <c r="F40" i="37" s="1"/>
  <c r="P39" i="37"/>
  <c r="Q39" i="37" s="1"/>
  <c r="M39" i="37"/>
  <c r="L39" i="37"/>
  <c r="I39" i="37"/>
  <c r="C39" i="37"/>
  <c r="F39" i="37" s="1" a="1"/>
  <c r="F39" i="37" s="1"/>
  <c r="P38" i="37"/>
  <c r="Q38" i="37" s="1"/>
  <c r="M38" i="37"/>
  <c r="L38" i="37"/>
  <c r="I38" i="37"/>
  <c r="D38" i="37"/>
  <c r="C38" i="37"/>
  <c r="F38" i="37" s="1" a="1"/>
  <c r="F38" i="37" s="1"/>
  <c r="P37" i="37"/>
  <c r="Q37" i="37" s="1"/>
  <c r="M37" i="37"/>
  <c r="L37" i="37"/>
  <c r="I37" i="37"/>
  <c r="C37" i="37"/>
  <c r="F37" i="37" s="1" a="1"/>
  <c r="F37" i="37" s="1"/>
  <c r="P36" i="37"/>
  <c r="Q36" i="37" s="1"/>
  <c r="M36" i="37"/>
  <c r="L36" i="37"/>
  <c r="I36" i="37"/>
  <c r="C36" i="37"/>
  <c r="F36" i="37" s="1" a="1"/>
  <c r="F36" i="37" s="1"/>
  <c r="P35" i="37"/>
  <c r="Q35" i="37" s="1"/>
  <c r="M35" i="37"/>
  <c r="L35" i="37"/>
  <c r="I35" i="37"/>
  <c r="C35" i="37"/>
  <c r="F35" i="37" s="1" a="1"/>
  <c r="F35" i="37" s="1"/>
  <c r="L6" i="31"/>
  <c r="L7" i="31"/>
  <c r="L8" i="31"/>
  <c r="L9" i="31"/>
  <c r="L10" i="31"/>
  <c r="L11" i="31"/>
  <c r="L12" i="31"/>
  <c r="L13" i="31"/>
  <c r="L14" i="31"/>
  <c r="L15" i="31"/>
  <c r="L16" i="31"/>
  <c r="L17" i="31"/>
  <c r="L18" i="31"/>
  <c r="L19" i="31"/>
  <c r="L20" i="31"/>
  <c r="L21" i="31"/>
  <c r="L22" i="31"/>
  <c r="L23" i="31"/>
  <c r="L24" i="31"/>
  <c r="L25" i="31"/>
  <c r="L26" i="31"/>
  <c r="L27" i="31"/>
  <c r="L28" i="31"/>
  <c r="L29" i="31"/>
  <c r="L30" i="31"/>
  <c r="L31" i="31"/>
  <c r="L32" i="31"/>
  <c r="L33" i="31"/>
  <c r="L34" i="31"/>
  <c r="L35" i="31"/>
  <c r="L36" i="31"/>
  <c r="L37" i="31"/>
  <c r="L38" i="31"/>
  <c r="L39" i="31"/>
  <c r="L40" i="31"/>
  <c r="L41" i="31"/>
  <c r="L42" i="31"/>
  <c r="L43" i="31"/>
  <c r="L44" i="31"/>
  <c r="L45" i="31"/>
  <c r="L46" i="31"/>
  <c r="L47" i="31"/>
  <c r="L48" i="31"/>
  <c r="L49" i="31"/>
  <c r="L50" i="31"/>
  <c r="L51" i="31"/>
  <c r="L52" i="31"/>
  <c r="L53" i="31"/>
  <c r="L54" i="31"/>
  <c r="L55" i="31"/>
  <c r="L56" i="31"/>
  <c r="L57" i="31"/>
  <c r="L58" i="31"/>
  <c r="L59" i="31"/>
  <c r="L60" i="31"/>
  <c r="L61" i="31"/>
  <c r="L62" i="31"/>
  <c r="L63" i="31"/>
  <c r="L64" i="31"/>
  <c r="L65" i="31"/>
  <c r="L66" i="31"/>
  <c r="L67" i="31"/>
  <c r="L68" i="31"/>
  <c r="L69" i="31"/>
  <c r="L70" i="31"/>
  <c r="L71" i="31"/>
  <c r="L72" i="31"/>
  <c r="L73" i="31"/>
  <c r="L74" i="31"/>
  <c r="L75" i="31"/>
  <c r="L76" i="31"/>
  <c r="L77" i="31"/>
  <c r="L78" i="31"/>
  <c r="L79" i="31"/>
  <c r="L80" i="31"/>
  <c r="L81" i="31"/>
  <c r="L82" i="31"/>
  <c r="L83" i="31"/>
  <c r="L84" i="31"/>
  <c r="L85" i="31"/>
  <c r="L86" i="31"/>
  <c r="L87" i="31"/>
  <c r="L88" i="31"/>
  <c r="L89" i="31"/>
  <c r="L90" i="31"/>
  <c r="L91" i="31"/>
  <c r="L92" i="31"/>
  <c r="L93" i="31"/>
  <c r="L94" i="31"/>
  <c r="L95" i="31"/>
  <c r="L96" i="31"/>
  <c r="L97" i="31"/>
  <c r="L98" i="31"/>
  <c r="L99" i="31"/>
  <c r="L100" i="31"/>
  <c r="L6" i="36"/>
  <c r="L7" i="36"/>
  <c r="L8" i="36"/>
  <c r="L9" i="36"/>
  <c r="L10" i="36"/>
  <c r="L11" i="36"/>
  <c r="L12" i="36"/>
  <c r="L13" i="36"/>
  <c r="L14" i="36"/>
  <c r="L15" i="36"/>
  <c r="L16" i="36"/>
  <c r="L17" i="36"/>
  <c r="L18" i="36"/>
  <c r="L19" i="36"/>
  <c r="L20" i="36"/>
  <c r="L21" i="36"/>
  <c r="L22" i="36"/>
  <c r="L23" i="36"/>
  <c r="L24" i="36"/>
  <c r="L25" i="36"/>
  <c r="L26" i="36"/>
  <c r="L27" i="36"/>
  <c r="L28" i="36"/>
  <c r="L29" i="36"/>
  <c r="L30" i="36"/>
  <c r="L31" i="36"/>
  <c r="L32" i="36"/>
  <c r="L33" i="36"/>
  <c r="L34" i="36"/>
  <c r="L35" i="36"/>
  <c r="L36" i="36"/>
  <c r="L37" i="36"/>
  <c r="L38" i="36"/>
  <c r="L39" i="36"/>
  <c r="L40" i="36"/>
  <c r="L41" i="36"/>
  <c r="L42" i="36"/>
  <c r="L43" i="36"/>
  <c r="L44" i="36"/>
  <c r="L45" i="36"/>
  <c r="L46" i="36"/>
  <c r="L47" i="36"/>
  <c r="L48" i="36"/>
  <c r="L49" i="36"/>
  <c r="L50" i="36"/>
  <c r="L51" i="36"/>
  <c r="L52" i="36"/>
  <c r="L53" i="36"/>
  <c r="L54" i="36"/>
  <c r="L55" i="36"/>
  <c r="L56" i="36"/>
  <c r="L57" i="36"/>
  <c r="L58" i="36"/>
  <c r="L59" i="36"/>
  <c r="L60" i="36"/>
  <c r="L61" i="36"/>
  <c r="L62" i="36"/>
  <c r="L63" i="36"/>
  <c r="L64" i="36"/>
  <c r="L65" i="36"/>
  <c r="L66" i="36"/>
  <c r="L67" i="36"/>
  <c r="L68" i="36"/>
  <c r="L69" i="36"/>
  <c r="L70" i="36"/>
  <c r="L71" i="36"/>
  <c r="L72" i="36"/>
  <c r="L73" i="36"/>
  <c r="L74" i="36"/>
  <c r="L75" i="36"/>
  <c r="L76" i="36"/>
  <c r="L77" i="36"/>
  <c r="L78" i="36"/>
  <c r="L79" i="36"/>
  <c r="L80" i="36"/>
  <c r="L81" i="36"/>
  <c r="L82" i="36"/>
  <c r="L83" i="36"/>
  <c r="L84" i="36"/>
  <c r="L85" i="36"/>
  <c r="L86" i="36"/>
  <c r="L87" i="36"/>
  <c r="L88" i="36"/>
  <c r="L89" i="36"/>
  <c r="L90" i="36"/>
  <c r="L91" i="36"/>
  <c r="L92" i="36"/>
  <c r="L93" i="36"/>
  <c r="L94" i="36"/>
  <c r="L95" i="36"/>
  <c r="L96" i="36"/>
  <c r="L97" i="36"/>
  <c r="L98" i="36"/>
  <c r="L99" i="36"/>
  <c r="L100" i="36"/>
  <c r="P100" i="36"/>
  <c r="Q100" i="36" s="1"/>
  <c r="M100" i="36"/>
  <c r="I100" i="36"/>
  <c r="D100" i="36"/>
  <c r="C100" i="36"/>
  <c r="F100" i="36" s="1" a="1"/>
  <c r="F100" i="36" s="1"/>
  <c r="P99" i="36"/>
  <c r="Q99" i="36" s="1"/>
  <c r="M99" i="36"/>
  <c r="I99" i="36"/>
  <c r="F99" i="36" a="1"/>
  <c r="F99" i="36" s="1"/>
  <c r="C99" i="36"/>
  <c r="D99" i="36" s="1"/>
  <c r="Q98" i="36"/>
  <c r="P98" i="36"/>
  <c r="M98" i="36"/>
  <c r="I98" i="36"/>
  <c r="C98" i="36"/>
  <c r="F98" i="36" s="1" a="1"/>
  <c r="F98" i="36" s="1"/>
  <c r="P97" i="36"/>
  <c r="Q97" i="36" s="1"/>
  <c r="M97" i="36"/>
  <c r="I97" i="36"/>
  <c r="D97" i="36"/>
  <c r="C97" i="36"/>
  <c r="F97" i="36" s="1" a="1"/>
  <c r="F97" i="36" s="1"/>
  <c r="P96" i="36"/>
  <c r="Q96" i="36" s="1"/>
  <c r="M96" i="36"/>
  <c r="I96" i="36"/>
  <c r="C96" i="36"/>
  <c r="F96" i="36" s="1" a="1"/>
  <c r="F96" i="36" s="1"/>
  <c r="P95" i="36"/>
  <c r="Q95" i="36" s="1"/>
  <c r="M95" i="36"/>
  <c r="I95" i="36"/>
  <c r="C95" i="36"/>
  <c r="F95" i="36" s="1" a="1"/>
  <c r="F95" i="36" s="1"/>
  <c r="P94" i="36"/>
  <c r="Q94" i="36" s="1"/>
  <c r="M94" i="36"/>
  <c r="I94" i="36"/>
  <c r="C94" i="36"/>
  <c r="F94" i="36" s="1" a="1"/>
  <c r="F94" i="36" s="1"/>
  <c r="Q93" i="36"/>
  <c r="P93" i="36"/>
  <c r="M93" i="36"/>
  <c r="I93" i="36"/>
  <c r="C93" i="36"/>
  <c r="F93" i="36" s="1" a="1"/>
  <c r="F93" i="36" s="1"/>
  <c r="Q92" i="36"/>
  <c r="P92" i="36"/>
  <c r="M92" i="36"/>
  <c r="I92" i="36"/>
  <c r="D92" i="36"/>
  <c r="C92" i="36"/>
  <c r="F92" i="36" s="1" a="1"/>
  <c r="F92" i="36" s="1"/>
  <c r="P91" i="36"/>
  <c r="Q91" i="36" s="1"/>
  <c r="M91" i="36"/>
  <c r="I91" i="36"/>
  <c r="C91" i="36"/>
  <c r="F91" i="36" s="1" a="1"/>
  <c r="F91" i="36" s="1"/>
  <c r="Q90" i="36"/>
  <c r="P90" i="36"/>
  <c r="M90" i="36"/>
  <c r="I90" i="36"/>
  <c r="C90" i="36"/>
  <c r="F90" i="36" s="1" a="1"/>
  <c r="F90" i="36" s="1"/>
  <c r="P89" i="36"/>
  <c r="Q89" i="36" s="1"/>
  <c r="M89" i="36"/>
  <c r="I89" i="36"/>
  <c r="D89" i="36"/>
  <c r="C89" i="36"/>
  <c r="F89" i="36" s="1" a="1"/>
  <c r="F89" i="36" s="1"/>
  <c r="P88" i="36"/>
  <c r="Q88" i="36" s="1"/>
  <c r="M88" i="36"/>
  <c r="I88" i="36"/>
  <c r="C88" i="36"/>
  <c r="F88" i="36" s="1" a="1"/>
  <c r="F88" i="36" s="1"/>
  <c r="P87" i="36"/>
  <c r="Q87" i="36" s="1"/>
  <c r="M87" i="36"/>
  <c r="I87" i="36"/>
  <c r="C87" i="36"/>
  <c r="F87" i="36" s="1" a="1"/>
  <c r="F87" i="36" s="1"/>
  <c r="P86" i="36"/>
  <c r="Q86" i="36" s="1"/>
  <c r="M86" i="36"/>
  <c r="I86" i="36"/>
  <c r="C86" i="36"/>
  <c r="F86" i="36" s="1" a="1"/>
  <c r="F86" i="36" s="1"/>
  <c r="Q85" i="36"/>
  <c r="P85" i="36"/>
  <c r="M85" i="36"/>
  <c r="I85" i="36"/>
  <c r="C85" i="36"/>
  <c r="F85" i="36" s="1" a="1"/>
  <c r="F85" i="36" s="1"/>
  <c r="P84" i="36"/>
  <c r="Q84" i="36" s="1"/>
  <c r="M84" i="36"/>
  <c r="I84" i="36"/>
  <c r="C84" i="36"/>
  <c r="F84" i="36" s="1" a="1"/>
  <c r="F84" i="36" s="1"/>
  <c r="P83" i="36"/>
  <c r="Q83" i="36" s="1"/>
  <c r="M83" i="36"/>
  <c r="I83" i="36"/>
  <c r="D83" i="36"/>
  <c r="C83" i="36"/>
  <c r="F83" i="36" s="1" a="1"/>
  <c r="F83" i="36" s="1"/>
  <c r="P82" i="36"/>
  <c r="Q82" i="36" s="1"/>
  <c r="M82" i="36"/>
  <c r="I82" i="36"/>
  <c r="C82" i="36"/>
  <c r="F82" i="36" s="1" a="1"/>
  <c r="F82" i="36" s="1"/>
  <c r="P81" i="36"/>
  <c r="Q81" i="36" s="1"/>
  <c r="M81" i="36"/>
  <c r="I81" i="36"/>
  <c r="C81" i="36"/>
  <c r="F81" i="36" s="1" a="1"/>
  <c r="F81" i="36" s="1"/>
  <c r="P80" i="36"/>
  <c r="Q80" i="36" s="1"/>
  <c r="M80" i="36"/>
  <c r="I80" i="36"/>
  <c r="C80" i="36"/>
  <c r="D80" i="36" s="1"/>
  <c r="Q79" i="36"/>
  <c r="P79" i="36"/>
  <c r="M79" i="36"/>
  <c r="I79" i="36"/>
  <c r="C79" i="36"/>
  <c r="F79" i="36" s="1" a="1"/>
  <c r="F79" i="36" s="1"/>
  <c r="P78" i="36"/>
  <c r="Q78" i="36" s="1"/>
  <c r="M78" i="36"/>
  <c r="I78" i="36"/>
  <c r="D78" i="36"/>
  <c r="C78" i="36"/>
  <c r="F78" i="36" s="1" a="1"/>
  <c r="F78" i="36" s="1"/>
  <c r="P77" i="36"/>
  <c r="Q77" i="36" s="1"/>
  <c r="M77" i="36"/>
  <c r="I77" i="36"/>
  <c r="C77" i="36"/>
  <c r="F77" i="36" s="1" a="1"/>
  <c r="F77" i="36" s="1"/>
  <c r="Q76" i="36"/>
  <c r="P76" i="36"/>
  <c r="M76" i="36"/>
  <c r="I76" i="36"/>
  <c r="C76" i="36"/>
  <c r="F76" i="36" s="1" a="1"/>
  <c r="F76" i="36" s="1"/>
  <c r="P75" i="36"/>
  <c r="Q75" i="36" s="1"/>
  <c r="M75" i="36"/>
  <c r="I75" i="36"/>
  <c r="F75" i="36" a="1"/>
  <c r="F75" i="36" s="1"/>
  <c r="C75" i="36"/>
  <c r="D75" i="36" s="1"/>
  <c r="P74" i="36"/>
  <c r="Q74" i="36" s="1"/>
  <c r="M74" i="36"/>
  <c r="I74" i="36"/>
  <c r="C74" i="36"/>
  <c r="F74" i="36" s="1" a="1"/>
  <c r="F74" i="36" s="1"/>
  <c r="P73" i="36"/>
  <c r="Q73" i="36" s="1"/>
  <c r="M73" i="36"/>
  <c r="I73" i="36"/>
  <c r="C73" i="36"/>
  <c r="F73" i="36" s="1" a="1"/>
  <c r="F73" i="36" s="1"/>
  <c r="P72" i="36"/>
  <c r="Q72" i="36" s="1"/>
  <c r="M72" i="36"/>
  <c r="I72" i="36"/>
  <c r="F72" i="36" a="1"/>
  <c r="F72" i="36" s="1"/>
  <c r="C72" i="36"/>
  <c r="D72" i="36" s="1"/>
  <c r="P71" i="36"/>
  <c r="Q71" i="36" s="1"/>
  <c r="M71" i="36"/>
  <c r="I71" i="36"/>
  <c r="C71" i="36"/>
  <c r="F71" i="36" s="1" a="1"/>
  <c r="F71" i="36" s="1"/>
  <c r="P70" i="36"/>
  <c r="Q70" i="36" s="1"/>
  <c r="M70" i="36"/>
  <c r="I70" i="36"/>
  <c r="C70" i="36"/>
  <c r="F70" i="36" s="1" a="1"/>
  <c r="F70" i="36" s="1"/>
  <c r="Q69" i="36"/>
  <c r="P69" i="36"/>
  <c r="M69" i="36"/>
  <c r="I69" i="36"/>
  <c r="C69" i="36"/>
  <c r="F69" i="36" s="1" a="1"/>
  <c r="F69" i="36" s="1"/>
  <c r="P68" i="36"/>
  <c r="Q68" i="36" s="1"/>
  <c r="M68" i="36"/>
  <c r="I68" i="36"/>
  <c r="C68" i="36"/>
  <c r="F68" i="36" s="1" a="1"/>
  <c r="F68" i="36" s="1"/>
  <c r="P67" i="36"/>
  <c r="Q67" i="36" s="1"/>
  <c r="M67" i="36"/>
  <c r="I67" i="36"/>
  <c r="C67" i="36"/>
  <c r="F67" i="36" s="1" a="1"/>
  <c r="F67" i="36" s="1"/>
  <c r="P66" i="36"/>
  <c r="Q66" i="36" s="1"/>
  <c r="M66" i="36"/>
  <c r="I66" i="36"/>
  <c r="C66" i="36"/>
  <c r="F66" i="36" s="1" a="1"/>
  <c r="F66" i="36" s="1"/>
  <c r="P65" i="36"/>
  <c r="Q65" i="36" s="1"/>
  <c r="M65" i="36"/>
  <c r="I65" i="36"/>
  <c r="C65" i="36"/>
  <c r="F65" i="36" s="1" a="1"/>
  <c r="F65" i="36" s="1"/>
  <c r="P64" i="36"/>
  <c r="Q64" i="36" s="1"/>
  <c r="M64" i="36"/>
  <c r="I64" i="36"/>
  <c r="C64" i="36"/>
  <c r="D64" i="36" s="1"/>
  <c r="Q63" i="36"/>
  <c r="P63" i="36"/>
  <c r="M63" i="36"/>
  <c r="I63" i="36"/>
  <c r="C63" i="36"/>
  <c r="F63" i="36" s="1" a="1"/>
  <c r="F63" i="36" s="1"/>
  <c r="P62" i="36"/>
  <c r="Q62" i="36" s="1"/>
  <c r="M62" i="36"/>
  <c r="I62" i="36"/>
  <c r="D62" i="36"/>
  <c r="C62" i="36"/>
  <c r="F62" i="36" s="1" a="1"/>
  <c r="F62" i="36" s="1"/>
  <c r="P61" i="36"/>
  <c r="Q61" i="36" s="1"/>
  <c r="M61" i="36"/>
  <c r="I61" i="36"/>
  <c r="C61" i="36"/>
  <c r="F61" i="36" s="1" a="1"/>
  <c r="F61" i="36" s="1"/>
  <c r="P60" i="36"/>
  <c r="Q60" i="36" s="1"/>
  <c r="M60" i="36"/>
  <c r="I60" i="36"/>
  <c r="D60" i="36"/>
  <c r="C60" i="36"/>
  <c r="F60" i="36" s="1" a="1"/>
  <c r="F60" i="36" s="1"/>
  <c r="P59" i="36"/>
  <c r="Q59" i="36" s="1"/>
  <c r="M59" i="36"/>
  <c r="I59" i="36"/>
  <c r="F59" i="36" a="1"/>
  <c r="F59" i="36" s="1"/>
  <c r="C59" i="36"/>
  <c r="D59" i="36" s="1"/>
  <c r="Q58" i="36"/>
  <c r="P58" i="36"/>
  <c r="M58" i="36"/>
  <c r="I58" i="36"/>
  <c r="C58" i="36"/>
  <c r="F58" i="36" s="1" a="1"/>
  <c r="F58" i="36" s="1"/>
  <c r="P57" i="36"/>
  <c r="Q57" i="36" s="1"/>
  <c r="M57" i="36"/>
  <c r="I57" i="36"/>
  <c r="D57" i="36"/>
  <c r="C57" i="36"/>
  <c r="F57" i="36" s="1" a="1"/>
  <c r="F57" i="36" s="1"/>
  <c r="P56" i="36"/>
  <c r="Q56" i="36" s="1"/>
  <c r="M56" i="36"/>
  <c r="I56" i="36"/>
  <c r="F56" i="36" a="1"/>
  <c r="F56" i="36" s="1"/>
  <c r="C56" i="36"/>
  <c r="D56" i="36" s="1"/>
  <c r="P55" i="36"/>
  <c r="Q55" i="36" s="1"/>
  <c r="M55" i="36"/>
  <c r="I55" i="36"/>
  <c r="C55" i="36"/>
  <c r="F55" i="36" s="1" a="1"/>
  <c r="F55" i="36" s="1"/>
  <c r="P54" i="36"/>
  <c r="Q54" i="36" s="1"/>
  <c r="M54" i="36"/>
  <c r="I54" i="36"/>
  <c r="C54" i="36"/>
  <c r="F54" i="36" s="1" a="1"/>
  <c r="F54" i="36" s="1"/>
  <c r="Q53" i="36"/>
  <c r="P53" i="36"/>
  <c r="M53" i="36"/>
  <c r="I53" i="36"/>
  <c r="C53" i="36"/>
  <c r="F53" i="36" s="1" a="1"/>
  <c r="F53" i="36" s="1"/>
  <c r="P52" i="36"/>
  <c r="Q52" i="36" s="1"/>
  <c r="M52" i="36"/>
  <c r="I52" i="36"/>
  <c r="C52" i="36"/>
  <c r="F52" i="36" s="1" a="1"/>
  <c r="F52" i="36" s="1"/>
  <c r="P51" i="36"/>
  <c r="Q51" i="36" s="1"/>
  <c r="M51" i="36"/>
  <c r="I51" i="36"/>
  <c r="D51" i="36"/>
  <c r="C51" i="36"/>
  <c r="F51" i="36" s="1" a="1"/>
  <c r="F51" i="36" s="1"/>
  <c r="P50" i="36"/>
  <c r="Q50" i="36" s="1"/>
  <c r="M50" i="36"/>
  <c r="I50" i="36"/>
  <c r="C50" i="36"/>
  <c r="F50" i="36" s="1" a="1"/>
  <c r="F50" i="36" s="1"/>
  <c r="P49" i="36"/>
  <c r="Q49" i="36" s="1"/>
  <c r="M49" i="36"/>
  <c r="I49" i="36"/>
  <c r="C49" i="36"/>
  <c r="F49" i="36" s="1" a="1"/>
  <c r="F49" i="36" s="1"/>
  <c r="P48" i="36"/>
  <c r="Q48" i="36" s="1"/>
  <c r="M48" i="36"/>
  <c r="I48" i="36"/>
  <c r="C48" i="36"/>
  <c r="D48" i="36" s="1"/>
  <c r="Q47" i="36"/>
  <c r="P47" i="36"/>
  <c r="M47" i="36"/>
  <c r="I47" i="36"/>
  <c r="C47" i="36"/>
  <c r="F47" i="36" s="1" a="1"/>
  <c r="F47" i="36" s="1"/>
  <c r="P46" i="36"/>
  <c r="Q46" i="36" s="1"/>
  <c r="M46" i="36"/>
  <c r="I46" i="36"/>
  <c r="D46" i="36"/>
  <c r="C46" i="36"/>
  <c r="F46" i="36" s="1" a="1"/>
  <c r="F46" i="36" s="1"/>
  <c r="P45" i="36"/>
  <c r="Q45" i="36" s="1"/>
  <c r="M45" i="36"/>
  <c r="I45" i="36"/>
  <c r="C45" i="36"/>
  <c r="F45" i="36" s="1" a="1"/>
  <c r="F45" i="36" s="1"/>
  <c r="Q44" i="36"/>
  <c r="P44" i="36"/>
  <c r="M44" i="36"/>
  <c r="I44" i="36"/>
  <c r="C44" i="36"/>
  <c r="F44" i="36" s="1" a="1"/>
  <c r="F44" i="36" s="1"/>
  <c r="P43" i="36"/>
  <c r="Q43" i="36" s="1"/>
  <c r="M43" i="36"/>
  <c r="I43" i="36"/>
  <c r="F43" i="36" a="1"/>
  <c r="F43" i="36" s="1"/>
  <c r="C43" i="36"/>
  <c r="D43" i="36" s="1"/>
  <c r="P42" i="36"/>
  <c r="Q42" i="36" s="1"/>
  <c r="M42" i="36"/>
  <c r="I42" i="36"/>
  <c r="C42" i="36"/>
  <c r="F42" i="36" s="1" a="1"/>
  <c r="F42" i="36" s="1"/>
  <c r="P41" i="36"/>
  <c r="Q41" i="36" s="1"/>
  <c r="M41" i="36"/>
  <c r="I41" i="36"/>
  <c r="C41" i="36"/>
  <c r="F41" i="36" s="1" a="1"/>
  <c r="F41" i="36" s="1"/>
  <c r="P40" i="36"/>
  <c r="Q40" i="36" s="1"/>
  <c r="M40" i="36"/>
  <c r="I40" i="36"/>
  <c r="F40" i="36" a="1"/>
  <c r="F40" i="36" s="1"/>
  <c r="C40" i="36"/>
  <c r="D40" i="36" s="1"/>
  <c r="P39" i="36"/>
  <c r="Q39" i="36" s="1"/>
  <c r="M39" i="36"/>
  <c r="I39" i="36"/>
  <c r="C39" i="36"/>
  <c r="F39" i="36" s="1" a="1"/>
  <c r="F39" i="36" s="1"/>
  <c r="P38" i="36"/>
  <c r="Q38" i="36" s="1"/>
  <c r="M38" i="36"/>
  <c r="I38" i="36"/>
  <c r="C38" i="36"/>
  <c r="F38" i="36" s="1" a="1"/>
  <c r="F38" i="36" s="1"/>
  <c r="Q37" i="36"/>
  <c r="P37" i="36"/>
  <c r="M37" i="36"/>
  <c r="I37" i="36"/>
  <c r="C37" i="36"/>
  <c r="F37" i="36" s="1" a="1"/>
  <c r="F37" i="36" s="1"/>
  <c r="P36" i="36"/>
  <c r="Q36" i="36" s="1"/>
  <c r="M36" i="36"/>
  <c r="I36" i="36"/>
  <c r="C36" i="36"/>
  <c r="F36" i="36" s="1" a="1"/>
  <c r="F36" i="36" s="1"/>
  <c r="P35" i="36"/>
  <c r="Q35" i="36" s="1"/>
  <c r="M35" i="36"/>
  <c r="I35" i="36"/>
  <c r="C35" i="36"/>
  <c r="F35" i="36" s="1" a="1"/>
  <c r="F35" i="36" s="1"/>
  <c r="P34" i="36"/>
  <c r="Q34" i="36" s="1"/>
  <c r="M34" i="36"/>
  <c r="I34" i="36"/>
  <c r="C34" i="36"/>
  <c r="F34" i="36" s="1" a="1"/>
  <c r="F34" i="36" s="1"/>
  <c r="P33" i="36"/>
  <c r="Q33" i="36" s="1"/>
  <c r="M33" i="36"/>
  <c r="I33" i="36"/>
  <c r="D33" i="36"/>
  <c r="C33" i="36"/>
  <c r="F33" i="36" s="1" a="1"/>
  <c r="F33" i="36" s="1"/>
  <c r="P32" i="36"/>
  <c r="Q32" i="36" s="1"/>
  <c r="M32" i="36"/>
  <c r="I32" i="36"/>
  <c r="F32" i="36" a="1"/>
  <c r="F32" i="36" s="1"/>
  <c r="C32" i="36"/>
  <c r="D32" i="36" s="1"/>
  <c r="P31" i="36"/>
  <c r="Q31" i="36" s="1"/>
  <c r="M31" i="36"/>
  <c r="I31" i="36"/>
  <c r="C31" i="36"/>
  <c r="F31" i="36" s="1" a="1"/>
  <c r="F31" i="36" s="1"/>
  <c r="P30" i="36"/>
  <c r="Q30" i="36" s="1"/>
  <c r="M30" i="36"/>
  <c r="I30" i="36"/>
  <c r="C30" i="36"/>
  <c r="F30" i="36" s="1" a="1"/>
  <c r="F30" i="36" s="1"/>
  <c r="Q29" i="36"/>
  <c r="P29" i="36"/>
  <c r="M29" i="36"/>
  <c r="I29" i="36"/>
  <c r="C29" i="36"/>
  <c r="F29" i="36" s="1" a="1"/>
  <c r="F29" i="36" s="1"/>
  <c r="P28" i="36"/>
  <c r="Q28" i="36" s="1"/>
  <c r="M28" i="36"/>
  <c r="I28" i="36"/>
  <c r="C28" i="36"/>
  <c r="F28" i="36" s="1" a="1"/>
  <c r="F28" i="36" s="1"/>
  <c r="P27" i="36"/>
  <c r="Q27" i="36" s="1"/>
  <c r="M27" i="36"/>
  <c r="I27" i="36"/>
  <c r="D27" i="36"/>
  <c r="C27" i="36"/>
  <c r="F27" i="36" s="1" a="1"/>
  <c r="F27" i="36" s="1"/>
  <c r="P26" i="36"/>
  <c r="Q26" i="36" s="1"/>
  <c r="M26" i="36"/>
  <c r="I26" i="36"/>
  <c r="C26" i="36"/>
  <c r="F26" i="36" s="1" a="1"/>
  <c r="F26" i="36" s="1"/>
  <c r="P25" i="36"/>
  <c r="Q25" i="36" s="1"/>
  <c r="M25" i="36"/>
  <c r="I25" i="36"/>
  <c r="C25" i="36"/>
  <c r="F25" i="36" s="1" a="1"/>
  <c r="F25" i="36" s="1"/>
  <c r="P24" i="36"/>
  <c r="Q24" i="36" s="1"/>
  <c r="M24" i="36"/>
  <c r="I24" i="36"/>
  <c r="F24" i="36" a="1"/>
  <c r="F24" i="36" s="1"/>
  <c r="C24" i="36"/>
  <c r="D24" i="36" s="1"/>
  <c r="P23" i="36"/>
  <c r="Q23" i="36" s="1"/>
  <c r="M23" i="36"/>
  <c r="I23" i="36"/>
  <c r="C23" i="36"/>
  <c r="F23" i="36" s="1" a="1"/>
  <c r="F23" i="36" s="1"/>
  <c r="P22" i="36"/>
  <c r="Q22" i="36" s="1"/>
  <c r="M22" i="36"/>
  <c r="I22" i="36"/>
  <c r="C22" i="36"/>
  <c r="F22" i="36" s="1" a="1"/>
  <c r="F22" i="36" s="1"/>
  <c r="Q21" i="36"/>
  <c r="P21" i="36"/>
  <c r="M21" i="36"/>
  <c r="I21" i="36"/>
  <c r="C21" i="36"/>
  <c r="F21" i="36" s="1" a="1"/>
  <c r="F21" i="36" s="1"/>
  <c r="P20" i="36"/>
  <c r="Q20" i="36" s="1"/>
  <c r="M20" i="36"/>
  <c r="I20" i="36"/>
  <c r="C20" i="36"/>
  <c r="F20" i="36" s="1" a="1"/>
  <c r="F20" i="36" s="1"/>
  <c r="P19" i="36"/>
  <c r="Q19" i="36" s="1"/>
  <c r="M19" i="36"/>
  <c r="I19" i="36"/>
  <c r="C19" i="36"/>
  <c r="F19" i="36" s="1" a="1"/>
  <c r="F19" i="36" s="1"/>
  <c r="P18" i="36"/>
  <c r="Q18" i="36" s="1"/>
  <c r="M18" i="36"/>
  <c r="I18" i="36"/>
  <c r="C18" i="36"/>
  <c r="F18" i="36" s="1" a="1"/>
  <c r="F18" i="36" s="1"/>
  <c r="P17" i="36"/>
  <c r="Q17" i="36" s="1"/>
  <c r="M17" i="36"/>
  <c r="I17" i="36"/>
  <c r="C17" i="36"/>
  <c r="F17" i="36" s="1" a="1"/>
  <c r="F17" i="36" s="1"/>
  <c r="P16" i="36"/>
  <c r="Q16" i="36" s="1"/>
  <c r="M16" i="36"/>
  <c r="I16" i="36"/>
  <c r="C16" i="36"/>
  <c r="D16" i="36" s="1"/>
  <c r="P15" i="36"/>
  <c r="Q15" i="36" s="1"/>
  <c r="M15" i="36"/>
  <c r="I15" i="36"/>
  <c r="C15" i="36"/>
  <c r="F15" i="36" s="1" a="1"/>
  <c r="F15" i="36" s="1"/>
  <c r="P14" i="36"/>
  <c r="Q14" i="36" s="1"/>
  <c r="M14" i="36"/>
  <c r="I14" i="36"/>
  <c r="C14" i="36"/>
  <c r="F14" i="36" s="1" a="1"/>
  <c r="F14" i="36" s="1"/>
  <c r="Q13" i="36"/>
  <c r="P13" i="36"/>
  <c r="M13" i="36"/>
  <c r="I13" i="36"/>
  <c r="C13" i="36"/>
  <c r="F13" i="36" s="1" a="1"/>
  <c r="F13" i="36" s="1"/>
  <c r="P12" i="36"/>
  <c r="Q12" i="36" s="1"/>
  <c r="M12" i="36"/>
  <c r="I12" i="36"/>
  <c r="D12" i="36"/>
  <c r="C12" i="36"/>
  <c r="F12" i="36" s="1" a="1"/>
  <c r="F12" i="36" s="1"/>
  <c r="P11" i="36"/>
  <c r="Q11" i="36" s="1"/>
  <c r="M11" i="36"/>
  <c r="I11" i="36"/>
  <c r="F11" i="36" a="1"/>
  <c r="F11" i="36" s="1"/>
  <c r="C11" i="36"/>
  <c r="D11" i="36" s="1"/>
  <c r="P10" i="36"/>
  <c r="Q10" i="36" s="1"/>
  <c r="M10" i="36"/>
  <c r="I10" i="36"/>
  <c r="C10" i="36"/>
  <c r="F10" i="36" s="1" a="1"/>
  <c r="F10" i="36" s="1"/>
  <c r="P9" i="36"/>
  <c r="Q9" i="36" s="1"/>
  <c r="M9" i="36"/>
  <c r="I9" i="36"/>
  <c r="D9" i="36"/>
  <c r="C9" i="36"/>
  <c r="F9" i="36" s="1" a="1"/>
  <c r="F9" i="36" s="1"/>
  <c r="P8" i="36"/>
  <c r="Q8" i="36" s="1"/>
  <c r="M8" i="36"/>
  <c r="I8" i="36"/>
  <c r="Q7" i="36"/>
  <c r="P7" i="36"/>
  <c r="M7" i="36"/>
  <c r="I7" i="36"/>
  <c r="P6" i="36"/>
  <c r="Q6" i="36" s="1"/>
  <c r="M6" i="36"/>
  <c r="I6" i="36"/>
  <c r="P100" i="35"/>
  <c r="Q100" i="35" s="1"/>
  <c r="M100" i="35"/>
  <c r="L100" i="35"/>
  <c r="I100" i="35"/>
  <c r="D100" i="35"/>
  <c r="C100" i="35"/>
  <c r="F100" i="35" s="1" a="1"/>
  <c r="F100" i="35" s="1"/>
  <c r="P99" i="35"/>
  <c r="Q99" i="35" s="1"/>
  <c r="M99" i="35"/>
  <c r="L99" i="35"/>
  <c r="I99" i="35"/>
  <c r="C99" i="35"/>
  <c r="D99" i="35" s="1"/>
  <c r="P98" i="35"/>
  <c r="Q98" i="35" s="1"/>
  <c r="M98" i="35"/>
  <c r="L98" i="35"/>
  <c r="I98" i="35"/>
  <c r="F98" i="35" a="1"/>
  <c r="F98" i="35" s="1"/>
  <c r="C98" i="35"/>
  <c r="D98" i="35" s="1"/>
  <c r="P97" i="35"/>
  <c r="Q97" i="35" s="1"/>
  <c r="M97" i="35"/>
  <c r="L97" i="35"/>
  <c r="I97" i="35"/>
  <c r="F97" i="35" a="1"/>
  <c r="F97" i="35" s="1"/>
  <c r="C97" i="35"/>
  <c r="D97" i="35" s="1"/>
  <c r="P96" i="35"/>
  <c r="Q96" i="35" s="1"/>
  <c r="M96" i="35"/>
  <c r="L96" i="35"/>
  <c r="I96" i="35"/>
  <c r="C96" i="35"/>
  <c r="F96" i="35" s="1" a="1"/>
  <c r="F96" i="35" s="1"/>
  <c r="Q95" i="35"/>
  <c r="P95" i="35"/>
  <c r="M95" i="35"/>
  <c r="L95" i="35"/>
  <c r="I95" i="35"/>
  <c r="C95" i="35"/>
  <c r="F95" i="35" s="1" a="1"/>
  <c r="F95" i="35" s="1"/>
  <c r="P94" i="35"/>
  <c r="Q94" i="35" s="1"/>
  <c r="M94" i="35"/>
  <c r="L94" i="35"/>
  <c r="I94" i="35"/>
  <c r="F94" i="35" a="1"/>
  <c r="F94" i="35" s="1"/>
  <c r="D94" i="35"/>
  <c r="C94" i="35"/>
  <c r="P93" i="35"/>
  <c r="Q93" i="35" s="1"/>
  <c r="M93" i="35"/>
  <c r="L93" i="35"/>
  <c r="I93" i="35"/>
  <c r="C93" i="35"/>
  <c r="F93" i="35" s="1" a="1"/>
  <c r="F93" i="35" s="1"/>
  <c r="Q92" i="35"/>
  <c r="P92" i="35"/>
  <c r="M92" i="35"/>
  <c r="L92" i="35"/>
  <c r="I92" i="35"/>
  <c r="C92" i="35"/>
  <c r="F92" i="35" s="1" a="1"/>
  <c r="F92" i="35" s="1"/>
  <c r="Q91" i="35"/>
  <c r="P91" i="35"/>
  <c r="M91" i="35"/>
  <c r="L91" i="35"/>
  <c r="I91" i="35"/>
  <c r="F91" i="35" a="1"/>
  <c r="F91" i="35" s="1"/>
  <c r="C91" i="35"/>
  <c r="D91" i="35" s="1"/>
  <c r="P90" i="35"/>
  <c r="Q90" i="35" s="1"/>
  <c r="M90" i="35"/>
  <c r="L90" i="35"/>
  <c r="I90" i="35"/>
  <c r="F90" i="35" a="1"/>
  <c r="F90" i="35" s="1"/>
  <c r="C90" i="35"/>
  <c r="D90" i="35" s="1"/>
  <c r="P89" i="35"/>
  <c r="Q89" i="35" s="1"/>
  <c r="M89" i="35"/>
  <c r="L89" i="35"/>
  <c r="I89" i="35"/>
  <c r="F89" i="35" a="1"/>
  <c r="F89" i="35" s="1"/>
  <c r="C89" i="35"/>
  <c r="D89" i="35" s="1"/>
  <c r="P88" i="35"/>
  <c r="Q88" i="35" s="1"/>
  <c r="M88" i="35"/>
  <c r="L88" i="35"/>
  <c r="I88" i="35"/>
  <c r="C88" i="35"/>
  <c r="F88" i="35" s="1" a="1"/>
  <c r="F88" i="35" s="1"/>
  <c r="Q87" i="35"/>
  <c r="P87" i="35"/>
  <c r="M87" i="35"/>
  <c r="L87" i="35"/>
  <c r="I87" i="35"/>
  <c r="C87" i="35"/>
  <c r="F87" i="35" s="1" a="1"/>
  <c r="F87" i="35" s="1"/>
  <c r="P86" i="35"/>
  <c r="Q86" i="35" s="1"/>
  <c r="M86" i="35"/>
  <c r="L86" i="35"/>
  <c r="I86" i="35"/>
  <c r="F86" i="35" a="1"/>
  <c r="F86" i="35" s="1"/>
  <c r="D86" i="35"/>
  <c r="C86" i="35"/>
  <c r="P85" i="35"/>
  <c r="Q85" i="35" s="1"/>
  <c r="M85" i="35"/>
  <c r="L85" i="35"/>
  <c r="I85" i="35"/>
  <c r="C85" i="35"/>
  <c r="F85" i="35" s="1" a="1"/>
  <c r="F85" i="35" s="1"/>
  <c r="Q84" i="35"/>
  <c r="P84" i="35"/>
  <c r="M84" i="35"/>
  <c r="L84" i="35"/>
  <c r="I84" i="35"/>
  <c r="C84" i="35"/>
  <c r="F84" i="35" s="1" a="1"/>
  <c r="F84" i="35" s="1"/>
  <c r="Q83" i="35"/>
  <c r="P83" i="35"/>
  <c r="M83" i="35"/>
  <c r="L83" i="35"/>
  <c r="I83" i="35"/>
  <c r="F83" i="35" a="1"/>
  <c r="F83" i="35" s="1"/>
  <c r="C83" i="35"/>
  <c r="D83" i="35" s="1"/>
  <c r="P82" i="35"/>
  <c r="Q82" i="35" s="1"/>
  <c r="M82" i="35"/>
  <c r="L82" i="35"/>
  <c r="I82" i="35"/>
  <c r="F82" i="35" a="1"/>
  <c r="F82" i="35" s="1"/>
  <c r="C82" i="35"/>
  <c r="D82" i="35" s="1"/>
  <c r="P81" i="35"/>
  <c r="Q81" i="35" s="1"/>
  <c r="M81" i="35"/>
  <c r="L81" i="35"/>
  <c r="I81" i="35"/>
  <c r="F81" i="35" a="1"/>
  <c r="F81" i="35" s="1"/>
  <c r="C81" i="35"/>
  <c r="D81" i="35" s="1"/>
  <c r="P80" i="35"/>
  <c r="Q80" i="35" s="1"/>
  <c r="M80" i="35"/>
  <c r="L80" i="35"/>
  <c r="I80" i="35"/>
  <c r="C80" i="35"/>
  <c r="F80" i="35" s="1" a="1"/>
  <c r="F80" i="35" s="1"/>
  <c r="Q79" i="35"/>
  <c r="P79" i="35"/>
  <c r="M79" i="35"/>
  <c r="L79" i="35"/>
  <c r="I79" i="35"/>
  <c r="C79" i="35"/>
  <c r="F79" i="35" s="1" a="1"/>
  <c r="F79" i="35" s="1"/>
  <c r="P78" i="35"/>
  <c r="Q78" i="35" s="1"/>
  <c r="M78" i="35"/>
  <c r="L78" i="35"/>
  <c r="I78" i="35"/>
  <c r="F78" i="35" a="1"/>
  <c r="F78" i="35" s="1"/>
  <c r="D78" i="35"/>
  <c r="C78" i="35"/>
  <c r="P77" i="35"/>
  <c r="Q77" i="35" s="1"/>
  <c r="M77" i="35"/>
  <c r="L77" i="35"/>
  <c r="I77" i="35"/>
  <c r="C77" i="35"/>
  <c r="F77" i="35" s="1" a="1"/>
  <c r="F77" i="35" s="1"/>
  <c r="Q76" i="35"/>
  <c r="P76" i="35"/>
  <c r="M76" i="35"/>
  <c r="L76" i="35"/>
  <c r="I76" i="35"/>
  <c r="C76" i="35"/>
  <c r="F76" i="35" s="1" a="1"/>
  <c r="F76" i="35" s="1"/>
  <c r="Q75" i="35"/>
  <c r="P75" i="35"/>
  <c r="M75" i="35"/>
  <c r="L75" i="35"/>
  <c r="I75" i="35"/>
  <c r="F75" i="35" a="1"/>
  <c r="F75" i="35" s="1"/>
  <c r="C75" i="35"/>
  <c r="D75" i="35" s="1"/>
  <c r="P74" i="35"/>
  <c r="Q74" i="35" s="1"/>
  <c r="M74" i="35"/>
  <c r="L74" i="35"/>
  <c r="I74" i="35"/>
  <c r="F74" i="35" a="1"/>
  <c r="F74" i="35" s="1"/>
  <c r="C74" i="35"/>
  <c r="D74" i="35" s="1"/>
  <c r="P73" i="35"/>
  <c r="Q73" i="35" s="1"/>
  <c r="M73" i="35"/>
  <c r="L73" i="35"/>
  <c r="I73" i="35"/>
  <c r="F73" i="35" a="1"/>
  <c r="F73" i="35" s="1"/>
  <c r="C73" i="35"/>
  <c r="D73" i="35" s="1"/>
  <c r="P72" i="35"/>
  <c r="Q72" i="35" s="1"/>
  <c r="M72" i="35"/>
  <c r="L72" i="35"/>
  <c r="I72" i="35"/>
  <c r="C72" i="35"/>
  <c r="F72" i="35" s="1" a="1"/>
  <c r="F72" i="35" s="1"/>
  <c r="Q71" i="35"/>
  <c r="P71" i="35"/>
  <c r="M71" i="35"/>
  <c r="L71" i="35"/>
  <c r="I71" i="35"/>
  <c r="C71" i="35"/>
  <c r="F71" i="35" s="1" a="1"/>
  <c r="F71" i="35" s="1"/>
  <c r="P70" i="35"/>
  <c r="Q70" i="35" s="1"/>
  <c r="M70" i="35"/>
  <c r="L70" i="35"/>
  <c r="I70" i="35"/>
  <c r="F70" i="35" a="1"/>
  <c r="F70" i="35" s="1"/>
  <c r="D70" i="35"/>
  <c r="C70" i="35"/>
  <c r="P69" i="35"/>
  <c r="Q69" i="35" s="1"/>
  <c r="M69" i="35"/>
  <c r="L69" i="35"/>
  <c r="I69" i="35"/>
  <c r="C69" i="35"/>
  <c r="F69" i="35" s="1" a="1"/>
  <c r="F69" i="35" s="1"/>
  <c r="Q68" i="35"/>
  <c r="P68" i="35"/>
  <c r="M68" i="35"/>
  <c r="L68" i="35"/>
  <c r="I68" i="35"/>
  <c r="C68" i="35"/>
  <c r="F68" i="35" s="1" a="1"/>
  <c r="F68" i="35" s="1"/>
  <c r="Q67" i="35"/>
  <c r="P67" i="35"/>
  <c r="M67" i="35"/>
  <c r="L67" i="35"/>
  <c r="I67" i="35"/>
  <c r="F67" i="35" a="1"/>
  <c r="F67" i="35" s="1"/>
  <c r="C67" i="35"/>
  <c r="D67" i="35" s="1"/>
  <c r="P66" i="35"/>
  <c r="Q66" i="35" s="1"/>
  <c r="M66" i="35"/>
  <c r="L66" i="35"/>
  <c r="I66" i="35"/>
  <c r="F66" i="35" a="1"/>
  <c r="F66" i="35" s="1"/>
  <c r="C66" i="35"/>
  <c r="D66" i="35" s="1"/>
  <c r="P65" i="35"/>
  <c r="Q65" i="35" s="1"/>
  <c r="M65" i="35"/>
  <c r="L65" i="35"/>
  <c r="I65" i="35"/>
  <c r="F65" i="35" a="1"/>
  <c r="F65" i="35" s="1"/>
  <c r="C65" i="35"/>
  <c r="D65" i="35" s="1"/>
  <c r="P64" i="35"/>
  <c r="Q64" i="35" s="1"/>
  <c r="M64" i="35"/>
  <c r="L64" i="35"/>
  <c r="I64" i="35"/>
  <c r="C64" i="35"/>
  <c r="F64" i="35" s="1" a="1"/>
  <c r="F64" i="35" s="1"/>
  <c r="Q63" i="35"/>
  <c r="P63" i="35"/>
  <c r="M63" i="35"/>
  <c r="L63" i="35"/>
  <c r="I63" i="35"/>
  <c r="C63" i="35"/>
  <c r="F63" i="35" s="1" a="1"/>
  <c r="F63" i="35" s="1"/>
  <c r="P62" i="35"/>
  <c r="Q62" i="35" s="1"/>
  <c r="M62" i="35"/>
  <c r="L62" i="35"/>
  <c r="I62" i="35"/>
  <c r="F62" i="35" a="1"/>
  <c r="F62" i="35" s="1"/>
  <c r="D62" i="35"/>
  <c r="C62" i="35"/>
  <c r="P61" i="35"/>
  <c r="Q61" i="35" s="1"/>
  <c r="M61" i="35"/>
  <c r="L61" i="35"/>
  <c r="I61" i="35"/>
  <c r="C61" i="35"/>
  <c r="F61" i="35" s="1" a="1"/>
  <c r="F61" i="35" s="1"/>
  <c r="P60" i="35"/>
  <c r="Q60" i="35" s="1"/>
  <c r="M60" i="35"/>
  <c r="L60" i="35"/>
  <c r="I60" i="35"/>
  <c r="D60" i="35"/>
  <c r="C60" i="35"/>
  <c r="F60" i="35" s="1" a="1"/>
  <c r="F60" i="35" s="1"/>
  <c r="P59" i="35"/>
  <c r="Q59" i="35" s="1"/>
  <c r="M59" i="35"/>
  <c r="L59" i="35"/>
  <c r="I59" i="35"/>
  <c r="C59" i="35"/>
  <c r="D59" i="35" s="1"/>
  <c r="P58" i="35"/>
  <c r="Q58" i="35" s="1"/>
  <c r="M58" i="35"/>
  <c r="L58" i="35"/>
  <c r="I58" i="35"/>
  <c r="C58" i="35"/>
  <c r="F58" i="35" s="1" a="1"/>
  <c r="F58" i="35" s="1"/>
  <c r="P57" i="35"/>
  <c r="Q57" i="35" s="1"/>
  <c r="M57" i="35"/>
  <c r="L57" i="35"/>
  <c r="I57" i="35"/>
  <c r="C57" i="35"/>
  <c r="D57" i="35" s="1"/>
  <c r="P56" i="35"/>
  <c r="Q56" i="35" s="1"/>
  <c r="M56" i="35"/>
  <c r="L56" i="35"/>
  <c r="I56" i="35"/>
  <c r="C56" i="35"/>
  <c r="F56" i="35" s="1" a="1"/>
  <c r="F56" i="35" s="1"/>
  <c r="P55" i="35"/>
  <c r="Q55" i="35" s="1"/>
  <c r="M55" i="35"/>
  <c r="L55" i="35"/>
  <c r="I55" i="35"/>
  <c r="C55" i="35"/>
  <c r="F55" i="35" s="1" a="1"/>
  <c r="F55" i="35" s="1"/>
  <c r="P54" i="35"/>
  <c r="Q54" i="35" s="1"/>
  <c r="M54" i="35"/>
  <c r="L54" i="35"/>
  <c r="I54" i="35"/>
  <c r="F54" i="35" a="1"/>
  <c r="F54" i="35" s="1"/>
  <c r="C54" i="35"/>
  <c r="D54" i="35" s="1"/>
  <c r="Q53" i="35"/>
  <c r="P53" i="35"/>
  <c r="M53" i="35"/>
  <c r="L53" i="35"/>
  <c r="I53" i="35"/>
  <c r="C53" i="35"/>
  <c r="F53" i="35" s="1" a="1"/>
  <c r="F53" i="35" s="1"/>
  <c r="P52" i="35"/>
  <c r="Q52" i="35" s="1"/>
  <c r="M52" i="35"/>
  <c r="L52" i="35"/>
  <c r="I52" i="35"/>
  <c r="C52" i="35"/>
  <c r="F52" i="35" s="1" a="1"/>
  <c r="F52" i="35" s="1"/>
  <c r="P51" i="35"/>
  <c r="Q51" i="35" s="1"/>
  <c r="M51" i="35"/>
  <c r="L51" i="35"/>
  <c r="I51" i="35"/>
  <c r="F51" i="35" a="1"/>
  <c r="F51" i="35" s="1"/>
  <c r="C51" i="35"/>
  <c r="D51" i="35" s="1"/>
  <c r="P50" i="35"/>
  <c r="Q50" i="35" s="1"/>
  <c r="M50" i="35"/>
  <c r="L50" i="35"/>
  <c r="I50" i="35"/>
  <c r="F50" i="35" a="1"/>
  <c r="F50" i="35" s="1"/>
  <c r="D50" i="35"/>
  <c r="C50" i="35"/>
  <c r="P49" i="35"/>
  <c r="Q49" i="35" s="1"/>
  <c r="M49" i="35"/>
  <c r="L49" i="35"/>
  <c r="I49" i="35"/>
  <c r="C49" i="35"/>
  <c r="D49" i="35" s="1"/>
  <c r="Q48" i="35"/>
  <c r="P48" i="35"/>
  <c r="M48" i="35"/>
  <c r="L48" i="35"/>
  <c r="I48" i="35"/>
  <c r="C48" i="35"/>
  <c r="F48" i="35" s="1" a="1"/>
  <c r="F48" i="35" s="1"/>
  <c r="P47" i="35"/>
  <c r="Q47" i="35" s="1"/>
  <c r="M47" i="35"/>
  <c r="L47" i="35"/>
  <c r="I47" i="35"/>
  <c r="C47" i="35"/>
  <c r="F47" i="35" s="1" a="1"/>
  <c r="F47" i="35" s="1"/>
  <c r="P46" i="35"/>
  <c r="Q46" i="35" s="1"/>
  <c r="M46" i="35"/>
  <c r="L46" i="35"/>
  <c r="I46" i="35"/>
  <c r="C46" i="35"/>
  <c r="D46" i="35" s="1"/>
  <c r="Q45" i="35"/>
  <c r="P45" i="35"/>
  <c r="M45" i="35"/>
  <c r="L45" i="35"/>
  <c r="I45" i="35"/>
  <c r="C45" i="35"/>
  <c r="F45" i="35" s="1" a="1"/>
  <c r="F45" i="35" s="1"/>
  <c r="P44" i="35"/>
  <c r="Q44" i="35" s="1"/>
  <c r="M44" i="35"/>
  <c r="L44" i="35"/>
  <c r="I44" i="35"/>
  <c r="C44" i="35"/>
  <c r="F44" i="35" s="1" a="1"/>
  <c r="F44" i="35" s="1"/>
  <c r="Q43" i="35"/>
  <c r="P43" i="35"/>
  <c r="M43" i="35"/>
  <c r="L43" i="35"/>
  <c r="I43" i="35"/>
  <c r="C43" i="35"/>
  <c r="D43" i="35" s="1"/>
  <c r="P42" i="35"/>
  <c r="Q42" i="35" s="1"/>
  <c r="M42" i="35"/>
  <c r="L42" i="35"/>
  <c r="I42" i="35"/>
  <c r="F42" i="35" a="1"/>
  <c r="F42" i="35" s="1"/>
  <c r="C42" i="35"/>
  <c r="D42" i="35" s="1"/>
  <c r="P41" i="35"/>
  <c r="Q41" i="35" s="1"/>
  <c r="M41" i="35"/>
  <c r="L41" i="35"/>
  <c r="I41" i="35"/>
  <c r="C41" i="35"/>
  <c r="D41" i="35" s="1"/>
  <c r="P40" i="35"/>
  <c r="Q40" i="35" s="1"/>
  <c r="M40" i="35"/>
  <c r="L40" i="35"/>
  <c r="I40" i="35"/>
  <c r="C40" i="35"/>
  <c r="F40" i="35" s="1" a="1"/>
  <c r="F40" i="35" s="1"/>
  <c r="P39" i="35"/>
  <c r="Q39" i="35" s="1"/>
  <c r="M39" i="35"/>
  <c r="L39" i="35"/>
  <c r="I39" i="35"/>
  <c r="D39" i="35"/>
  <c r="C39" i="35"/>
  <c r="F39" i="35" s="1" a="1"/>
  <c r="F39" i="35" s="1"/>
  <c r="P38" i="35"/>
  <c r="Q38" i="35" s="1"/>
  <c r="M38" i="35"/>
  <c r="L38" i="35"/>
  <c r="I38" i="35"/>
  <c r="D38" i="35"/>
  <c r="C38" i="35"/>
  <c r="F38" i="35" s="1" a="1"/>
  <c r="F38" i="35" s="1"/>
  <c r="P37" i="35"/>
  <c r="Q37" i="35" s="1"/>
  <c r="M37" i="35"/>
  <c r="L37" i="35"/>
  <c r="I37" i="35"/>
  <c r="C37" i="35"/>
  <c r="F37" i="35" s="1" a="1"/>
  <c r="F37" i="35" s="1"/>
  <c r="P36" i="35"/>
  <c r="Q36" i="35" s="1"/>
  <c r="M36" i="35"/>
  <c r="L36" i="35"/>
  <c r="I36" i="35"/>
  <c r="C36" i="35"/>
  <c r="F36" i="35" s="1" a="1"/>
  <c r="F36" i="35" s="1"/>
  <c r="P35" i="35"/>
  <c r="Q35" i="35" s="1"/>
  <c r="M35" i="35"/>
  <c r="L35" i="35"/>
  <c r="I35" i="35"/>
  <c r="C35" i="35"/>
  <c r="D35" i="35" s="1"/>
  <c r="P34" i="35"/>
  <c r="Q34" i="35" s="1"/>
  <c r="M34" i="35"/>
  <c r="L34" i="35"/>
  <c r="I34" i="35"/>
  <c r="C34" i="35"/>
  <c r="D34" i="35" s="1"/>
  <c r="P33" i="35"/>
  <c r="Q33" i="35" s="1"/>
  <c r="M33" i="35"/>
  <c r="L33" i="35"/>
  <c r="I33" i="35"/>
  <c r="F33" i="35" a="1"/>
  <c r="F33" i="35" s="1"/>
  <c r="C33" i="35"/>
  <c r="D33" i="35" s="1"/>
  <c r="P32" i="35"/>
  <c r="Q32" i="35" s="1"/>
  <c r="M32" i="35"/>
  <c r="L32" i="35"/>
  <c r="I32" i="35"/>
  <c r="C32" i="35"/>
  <c r="F32" i="35" s="1" a="1"/>
  <c r="F32" i="35" s="1"/>
  <c r="Q31" i="35"/>
  <c r="P31" i="35"/>
  <c r="M31" i="35"/>
  <c r="L31" i="35"/>
  <c r="I31" i="35"/>
  <c r="C31" i="35"/>
  <c r="F31" i="35" s="1" a="1"/>
  <c r="F31" i="35" s="1"/>
  <c r="P30" i="35"/>
  <c r="Q30" i="35" s="1"/>
  <c r="M30" i="35"/>
  <c r="L30" i="35"/>
  <c r="I30" i="35"/>
  <c r="F30" i="35" a="1"/>
  <c r="F30" i="35" s="1"/>
  <c r="D30" i="35"/>
  <c r="C30" i="35"/>
  <c r="P29" i="35"/>
  <c r="Q29" i="35" s="1"/>
  <c r="M29" i="35"/>
  <c r="L29" i="35"/>
  <c r="I29" i="35"/>
  <c r="C29" i="35"/>
  <c r="F29" i="35" s="1" a="1"/>
  <c r="F29" i="35" s="1"/>
  <c r="P28" i="35"/>
  <c r="Q28" i="35" s="1"/>
  <c r="M28" i="35"/>
  <c r="L28" i="35"/>
  <c r="I28" i="35"/>
  <c r="D28" i="35"/>
  <c r="C28" i="35"/>
  <c r="F28" i="35" s="1" a="1"/>
  <c r="F28" i="35" s="1"/>
  <c r="P27" i="35"/>
  <c r="Q27" i="35" s="1"/>
  <c r="M27" i="35"/>
  <c r="L27" i="35"/>
  <c r="I27" i="35"/>
  <c r="F27" i="35" a="1"/>
  <c r="F27" i="35" s="1"/>
  <c r="C27" i="35"/>
  <c r="D27" i="35" s="1"/>
  <c r="P26" i="35"/>
  <c r="Q26" i="35" s="1"/>
  <c r="M26" i="35"/>
  <c r="L26" i="35"/>
  <c r="I26" i="35"/>
  <c r="D26" i="35"/>
  <c r="C26" i="35"/>
  <c r="F26" i="35" s="1" a="1"/>
  <c r="F26" i="35" s="1"/>
  <c r="P25" i="35"/>
  <c r="Q25" i="35" s="1"/>
  <c r="M25" i="35"/>
  <c r="L25" i="35"/>
  <c r="I25" i="35"/>
  <c r="C25" i="35"/>
  <c r="D25" i="35" s="1"/>
  <c r="Q24" i="35"/>
  <c r="P24" i="35"/>
  <c r="M24" i="35"/>
  <c r="L24" i="35"/>
  <c r="I24" i="35"/>
  <c r="C24" i="35"/>
  <c r="F24" i="35" s="1" a="1"/>
  <c r="F24" i="35" s="1"/>
  <c r="P23" i="35"/>
  <c r="Q23" i="35" s="1"/>
  <c r="M23" i="35"/>
  <c r="L23" i="35"/>
  <c r="I23" i="35"/>
  <c r="C23" i="35"/>
  <c r="F23" i="35" s="1" a="1"/>
  <c r="F23" i="35" s="1"/>
  <c r="P22" i="35"/>
  <c r="Q22" i="35" s="1"/>
  <c r="M22" i="35"/>
  <c r="L22" i="35"/>
  <c r="I22" i="35"/>
  <c r="F22" i="35" a="1"/>
  <c r="F22" i="35" s="1"/>
  <c r="C22" i="35"/>
  <c r="D22" i="35" s="1"/>
  <c r="P21" i="35"/>
  <c r="Q21" i="35" s="1"/>
  <c r="M21" i="35"/>
  <c r="L21" i="35"/>
  <c r="I21" i="35"/>
  <c r="C21" i="35"/>
  <c r="F21" i="35" s="1" a="1"/>
  <c r="F21" i="35" s="1"/>
  <c r="P20" i="35"/>
  <c r="Q20" i="35" s="1"/>
  <c r="M20" i="35"/>
  <c r="L20" i="35"/>
  <c r="I20" i="35"/>
  <c r="C20" i="35"/>
  <c r="F20" i="35" s="1" a="1"/>
  <c r="F20" i="35" s="1"/>
  <c r="Q19" i="35"/>
  <c r="P19" i="35"/>
  <c r="M19" i="35"/>
  <c r="L19" i="35"/>
  <c r="I19" i="35"/>
  <c r="F19" i="35" a="1"/>
  <c r="F19" i="35" s="1"/>
  <c r="C19" i="35"/>
  <c r="D19" i="35" s="1"/>
  <c r="P18" i="35"/>
  <c r="Q18" i="35" s="1"/>
  <c r="M18" i="35"/>
  <c r="L18" i="35"/>
  <c r="I18" i="35"/>
  <c r="F18" i="35" a="1"/>
  <c r="F18" i="35" s="1"/>
  <c r="D18" i="35"/>
  <c r="C18" i="35"/>
  <c r="P17" i="35"/>
  <c r="Q17" i="35" s="1"/>
  <c r="M17" i="35"/>
  <c r="L17" i="35"/>
  <c r="I17" i="35"/>
  <c r="C17" i="35"/>
  <c r="D17" i="35" s="1"/>
  <c r="Q16" i="35"/>
  <c r="P16" i="35"/>
  <c r="M16" i="35"/>
  <c r="L16" i="35"/>
  <c r="I16" i="35"/>
  <c r="C16" i="35"/>
  <c r="F16" i="35" s="1" a="1"/>
  <c r="F16" i="35" s="1"/>
  <c r="P15" i="35"/>
  <c r="Q15" i="35" s="1"/>
  <c r="M15" i="35"/>
  <c r="L15" i="35"/>
  <c r="I15" i="35"/>
  <c r="D15" i="35"/>
  <c r="C15" i="35"/>
  <c r="F15" i="35" s="1" a="1"/>
  <c r="F15" i="35" s="1"/>
  <c r="P14" i="35"/>
  <c r="Q14" i="35" s="1"/>
  <c r="M14" i="35"/>
  <c r="L14" i="35"/>
  <c r="I14" i="35"/>
  <c r="C14" i="35"/>
  <c r="F14" i="35" s="1" a="1"/>
  <c r="F14" i="35" s="1"/>
  <c r="Q13" i="35"/>
  <c r="P13" i="35"/>
  <c r="M13" i="35"/>
  <c r="L13" i="35"/>
  <c r="I13" i="35"/>
  <c r="C13" i="35"/>
  <c r="F13" i="35" s="1" a="1"/>
  <c r="F13" i="35" s="1"/>
  <c r="P12" i="35"/>
  <c r="Q12" i="35" s="1"/>
  <c r="M12" i="35"/>
  <c r="L12" i="35"/>
  <c r="I12" i="35"/>
  <c r="C12" i="35"/>
  <c r="F12" i="35" s="1" a="1"/>
  <c r="F12" i="35" s="1"/>
  <c r="Q11" i="35"/>
  <c r="P11" i="35"/>
  <c r="M11" i="35"/>
  <c r="L11" i="35"/>
  <c r="I11" i="35"/>
  <c r="C11" i="35"/>
  <c r="D11" i="35" s="1"/>
  <c r="P10" i="35"/>
  <c r="Q10" i="35" s="1"/>
  <c r="M10" i="35"/>
  <c r="L10" i="35"/>
  <c r="I10" i="35"/>
  <c r="P9" i="35"/>
  <c r="Q9" i="35" s="1"/>
  <c r="M9" i="35"/>
  <c r="L9" i="35"/>
  <c r="I9" i="35"/>
  <c r="Q8" i="35"/>
  <c r="P8" i="35"/>
  <c r="M8" i="35"/>
  <c r="L8" i="35"/>
  <c r="I8" i="35"/>
  <c r="Q7" i="35"/>
  <c r="P7" i="35"/>
  <c r="M7" i="35"/>
  <c r="L7" i="35"/>
  <c r="I7" i="35"/>
  <c r="P6" i="35"/>
  <c r="Q6" i="35" s="1"/>
  <c r="M6" i="35"/>
  <c r="L6" i="35"/>
  <c r="I6" i="35"/>
  <c r="P100" i="34"/>
  <c r="Q100" i="34" s="1"/>
  <c r="M100" i="34"/>
  <c r="L100" i="34"/>
  <c r="I100" i="34"/>
  <c r="C100" i="34"/>
  <c r="F100" i="34" s="1" a="1"/>
  <c r="F100" i="34" s="1"/>
  <c r="P99" i="34"/>
  <c r="Q99" i="34" s="1"/>
  <c r="M99" i="34"/>
  <c r="L99" i="34"/>
  <c r="I99" i="34"/>
  <c r="C99" i="34"/>
  <c r="D99" i="34" s="1"/>
  <c r="P98" i="34"/>
  <c r="Q98" i="34" s="1"/>
  <c r="M98" i="34"/>
  <c r="L98" i="34"/>
  <c r="I98" i="34"/>
  <c r="C98" i="34"/>
  <c r="F98" i="34" s="1" a="1"/>
  <c r="F98" i="34" s="1"/>
  <c r="P97" i="34"/>
  <c r="Q97" i="34" s="1"/>
  <c r="M97" i="34"/>
  <c r="L97" i="34"/>
  <c r="I97" i="34"/>
  <c r="C97" i="34"/>
  <c r="F97" i="34" s="1" a="1"/>
  <c r="F97" i="34" s="1"/>
  <c r="Q96" i="34"/>
  <c r="P96" i="34"/>
  <c r="M96" i="34"/>
  <c r="L96" i="34"/>
  <c r="I96" i="34"/>
  <c r="C96" i="34"/>
  <c r="F96" i="34" s="1" a="1"/>
  <c r="F96" i="34" s="1"/>
  <c r="P95" i="34"/>
  <c r="Q95" i="34" s="1"/>
  <c r="M95" i="34"/>
  <c r="L95" i="34"/>
  <c r="I95" i="34"/>
  <c r="F95" i="34" a="1"/>
  <c r="F95" i="34" s="1"/>
  <c r="D95" i="34"/>
  <c r="C95" i="34"/>
  <c r="P94" i="34"/>
  <c r="Q94" i="34" s="1"/>
  <c r="M94" i="34"/>
  <c r="L94" i="34"/>
  <c r="I94" i="34"/>
  <c r="C94" i="34"/>
  <c r="D94" i="34" s="1"/>
  <c r="P93" i="34"/>
  <c r="Q93" i="34" s="1"/>
  <c r="M93" i="34"/>
  <c r="L93" i="34"/>
  <c r="I93" i="34"/>
  <c r="C93" i="34"/>
  <c r="F93" i="34" s="1" a="1"/>
  <c r="F93" i="34" s="1"/>
  <c r="P92" i="34"/>
  <c r="Q92" i="34" s="1"/>
  <c r="M92" i="34"/>
  <c r="L92" i="34"/>
  <c r="I92" i="34"/>
  <c r="D92" i="34"/>
  <c r="C92" i="34"/>
  <c r="F92" i="34" s="1" a="1"/>
  <c r="F92" i="34" s="1"/>
  <c r="P91" i="34"/>
  <c r="Q91" i="34" s="1"/>
  <c r="M91" i="34"/>
  <c r="L91" i="34"/>
  <c r="I91" i="34"/>
  <c r="C91" i="34"/>
  <c r="D91" i="34" s="1"/>
  <c r="P90" i="34"/>
  <c r="Q90" i="34" s="1"/>
  <c r="M90" i="34"/>
  <c r="L90" i="34"/>
  <c r="I90" i="34"/>
  <c r="C90" i="34"/>
  <c r="F90" i="34" s="1" a="1"/>
  <c r="F90" i="34" s="1"/>
  <c r="P89" i="34"/>
  <c r="Q89" i="34" s="1"/>
  <c r="M89" i="34"/>
  <c r="L89" i="34"/>
  <c r="I89" i="34"/>
  <c r="C89" i="34"/>
  <c r="F89" i="34" s="1" a="1"/>
  <c r="F89" i="34" s="1"/>
  <c r="P88" i="34"/>
  <c r="Q88" i="34" s="1"/>
  <c r="M88" i="34"/>
  <c r="L88" i="34"/>
  <c r="I88" i="34"/>
  <c r="C88" i="34"/>
  <c r="F88" i="34" s="1" a="1"/>
  <c r="F88" i="34" s="1"/>
  <c r="P87" i="34"/>
  <c r="Q87" i="34" s="1"/>
  <c r="M87" i="34"/>
  <c r="L87" i="34"/>
  <c r="I87" i="34"/>
  <c r="F87" i="34" a="1"/>
  <c r="F87" i="34" s="1"/>
  <c r="D87" i="34"/>
  <c r="C87" i="34"/>
  <c r="P86" i="34"/>
  <c r="Q86" i="34" s="1"/>
  <c r="M86" i="34"/>
  <c r="L86" i="34"/>
  <c r="I86" i="34"/>
  <c r="C86" i="34"/>
  <c r="D86" i="34" s="1"/>
  <c r="Q85" i="34"/>
  <c r="P85" i="34"/>
  <c r="M85" i="34"/>
  <c r="L85" i="34"/>
  <c r="I85" i="34"/>
  <c r="C85" i="34"/>
  <c r="F85" i="34" s="1" a="1"/>
  <c r="F85" i="34" s="1"/>
  <c r="P84" i="34"/>
  <c r="Q84" i="34" s="1"/>
  <c r="M84" i="34"/>
  <c r="L84" i="34"/>
  <c r="I84" i="34"/>
  <c r="C84" i="34"/>
  <c r="F84" i="34" s="1" a="1"/>
  <c r="F84" i="34" s="1"/>
  <c r="P83" i="34"/>
  <c r="Q83" i="34" s="1"/>
  <c r="M83" i="34"/>
  <c r="L83" i="34"/>
  <c r="I83" i="34"/>
  <c r="F83" i="34" a="1"/>
  <c r="F83" i="34" s="1"/>
  <c r="C83" i="34"/>
  <c r="D83" i="34" s="1"/>
  <c r="P82" i="34"/>
  <c r="Q82" i="34" s="1"/>
  <c r="M82" i="34"/>
  <c r="L82" i="34"/>
  <c r="I82" i="34"/>
  <c r="C82" i="34"/>
  <c r="F82" i="34" s="1" a="1"/>
  <c r="F82" i="34" s="1"/>
  <c r="P81" i="34"/>
  <c r="Q81" i="34" s="1"/>
  <c r="M81" i="34"/>
  <c r="L81" i="34"/>
  <c r="I81" i="34"/>
  <c r="C81" i="34"/>
  <c r="F81" i="34" s="1" a="1"/>
  <c r="F81" i="34" s="1"/>
  <c r="Q80" i="34"/>
  <c r="P80" i="34"/>
  <c r="M80" i="34"/>
  <c r="L80" i="34"/>
  <c r="I80" i="34"/>
  <c r="C80" i="34"/>
  <c r="F80" i="34" s="1" a="1"/>
  <c r="F80" i="34" s="1"/>
  <c r="P79" i="34"/>
  <c r="Q79" i="34" s="1"/>
  <c r="M79" i="34"/>
  <c r="L79" i="34"/>
  <c r="I79" i="34"/>
  <c r="C79" i="34"/>
  <c r="F79" i="34" s="1" a="1"/>
  <c r="F79" i="34" s="1"/>
  <c r="P78" i="34"/>
  <c r="Q78" i="34" s="1"/>
  <c r="M78" i="34"/>
  <c r="L78" i="34"/>
  <c r="I78" i="34"/>
  <c r="C78" i="34"/>
  <c r="D78" i="34" s="1"/>
  <c r="P77" i="34"/>
  <c r="Q77" i="34" s="1"/>
  <c r="M77" i="34"/>
  <c r="L77" i="34"/>
  <c r="I77" i="34"/>
  <c r="C77" i="34"/>
  <c r="F77" i="34" s="1" a="1"/>
  <c r="F77" i="34" s="1"/>
  <c r="P76" i="34"/>
  <c r="Q76" i="34" s="1"/>
  <c r="M76" i="34"/>
  <c r="L76" i="34"/>
  <c r="I76" i="34"/>
  <c r="C76" i="34"/>
  <c r="F76" i="34" s="1" a="1"/>
  <c r="F76" i="34" s="1"/>
  <c r="P75" i="34"/>
  <c r="Q75" i="34" s="1"/>
  <c r="M75" i="34"/>
  <c r="L75" i="34"/>
  <c r="I75" i="34"/>
  <c r="C75" i="34"/>
  <c r="D75" i="34" s="1"/>
  <c r="P74" i="34"/>
  <c r="Q74" i="34" s="1"/>
  <c r="M74" i="34"/>
  <c r="L74" i="34"/>
  <c r="I74" i="34"/>
  <c r="C74" i="34"/>
  <c r="F74" i="34" s="1" a="1"/>
  <c r="F74" i="34" s="1"/>
  <c r="P73" i="34"/>
  <c r="Q73" i="34" s="1"/>
  <c r="M73" i="34"/>
  <c r="L73" i="34"/>
  <c r="I73" i="34"/>
  <c r="C73" i="34"/>
  <c r="F73" i="34" s="1" a="1"/>
  <c r="F73" i="34" s="1"/>
  <c r="Q72" i="34"/>
  <c r="P72" i="34"/>
  <c r="M72" i="34"/>
  <c r="L72" i="34"/>
  <c r="I72" i="34"/>
  <c r="C72" i="34"/>
  <c r="F72" i="34" s="1" a="1"/>
  <c r="F72" i="34" s="1"/>
  <c r="P71" i="34"/>
  <c r="Q71" i="34" s="1"/>
  <c r="M71" i="34"/>
  <c r="L71" i="34"/>
  <c r="I71" i="34"/>
  <c r="C71" i="34"/>
  <c r="D71" i="34" s="1"/>
  <c r="P70" i="34"/>
  <c r="Q70" i="34" s="1"/>
  <c r="M70" i="34"/>
  <c r="L70" i="34"/>
  <c r="I70" i="34"/>
  <c r="F70" i="34" a="1"/>
  <c r="F70" i="34" s="1"/>
  <c r="C70" i="34"/>
  <c r="D70" i="34" s="1"/>
  <c r="P69" i="34"/>
  <c r="Q69" i="34" s="1"/>
  <c r="M69" i="34"/>
  <c r="L69" i="34"/>
  <c r="I69" i="34"/>
  <c r="C69" i="34"/>
  <c r="F69" i="34" s="1" a="1"/>
  <c r="F69" i="34" s="1"/>
  <c r="P68" i="34"/>
  <c r="Q68" i="34" s="1"/>
  <c r="M68" i="34"/>
  <c r="L68" i="34"/>
  <c r="I68" i="34"/>
  <c r="D68" i="34"/>
  <c r="C68" i="34"/>
  <c r="F68" i="34" s="1" a="1"/>
  <c r="F68" i="34" s="1"/>
  <c r="P67" i="34"/>
  <c r="Q67" i="34" s="1"/>
  <c r="M67" i="34"/>
  <c r="L67" i="34"/>
  <c r="I67" i="34"/>
  <c r="C67" i="34"/>
  <c r="D67" i="34" s="1"/>
  <c r="P66" i="34"/>
  <c r="Q66" i="34" s="1"/>
  <c r="M66" i="34"/>
  <c r="L66" i="34"/>
  <c r="I66" i="34"/>
  <c r="C66" i="34"/>
  <c r="F66" i="34" s="1" a="1"/>
  <c r="F66" i="34" s="1"/>
  <c r="P65" i="34"/>
  <c r="Q65" i="34" s="1"/>
  <c r="M65" i="34"/>
  <c r="L65" i="34"/>
  <c r="I65" i="34"/>
  <c r="C65" i="34"/>
  <c r="F65" i="34" s="1" a="1"/>
  <c r="F65" i="34" s="1"/>
  <c r="P64" i="34"/>
  <c r="Q64" i="34" s="1"/>
  <c r="M64" i="34"/>
  <c r="L64" i="34"/>
  <c r="I64" i="34"/>
  <c r="C64" i="34"/>
  <c r="F64" i="34" s="1" a="1"/>
  <c r="F64" i="34" s="1"/>
  <c r="P63" i="34"/>
  <c r="Q63" i="34" s="1"/>
  <c r="M63" i="34"/>
  <c r="L63" i="34"/>
  <c r="I63" i="34"/>
  <c r="F63" i="34" a="1"/>
  <c r="F63" i="34" s="1"/>
  <c r="C63" i="34"/>
  <c r="D63" i="34" s="1"/>
  <c r="P62" i="34"/>
  <c r="Q62" i="34" s="1"/>
  <c r="M62" i="34"/>
  <c r="L62" i="34"/>
  <c r="I62" i="34"/>
  <c r="F62" i="34" a="1"/>
  <c r="F62" i="34" s="1"/>
  <c r="C62" i="34"/>
  <c r="D62" i="34" s="1"/>
  <c r="P61" i="34"/>
  <c r="Q61" i="34" s="1"/>
  <c r="M61" i="34"/>
  <c r="L61" i="34"/>
  <c r="I61" i="34"/>
  <c r="C61" i="34"/>
  <c r="F61" i="34" s="1" a="1"/>
  <c r="F61" i="34" s="1"/>
  <c r="P60" i="34"/>
  <c r="Q60" i="34" s="1"/>
  <c r="M60" i="34"/>
  <c r="L60" i="34"/>
  <c r="I60" i="34"/>
  <c r="D60" i="34"/>
  <c r="C60" i="34"/>
  <c r="F60" i="34" s="1" a="1"/>
  <c r="F60" i="34" s="1"/>
  <c r="P59" i="34"/>
  <c r="Q59" i="34" s="1"/>
  <c r="M59" i="34"/>
  <c r="L59" i="34"/>
  <c r="I59" i="34"/>
  <c r="C59" i="34"/>
  <c r="D59" i="34" s="1"/>
  <c r="P58" i="34"/>
  <c r="Q58" i="34" s="1"/>
  <c r="M58" i="34"/>
  <c r="L58" i="34"/>
  <c r="I58" i="34"/>
  <c r="C58" i="34"/>
  <c r="F58" i="34" s="1" a="1"/>
  <c r="F58" i="34" s="1"/>
  <c r="P57" i="34"/>
  <c r="Q57" i="34" s="1"/>
  <c r="M57" i="34"/>
  <c r="L57" i="34"/>
  <c r="I57" i="34"/>
  <c r="C57" i="34"/>
  <c r="F57" i="34" s="1" a="1"/>
  <c r="F57" i="34" s="1"/>
  <c r="P56" i="34"/>
  <c r="Q56" i="34" s="1"/>
  <c r="M56" i="34"/>
  <c r="L56" i="34"/>
  <c r="I56" i="34"/>
  <c r="C56" i="34"/>
  <c r="F56" i="34" s="1" a="1"/>
  <c r="F56" i="34" s="1"/>
  <c r="P55" i="34"/>
  <c r="Q55" i="34" s="1"/>
  <c r="M55" i="34"/>
  <c r="L55" i="34"/>
  <c r="I55" i="34"/>
  <c r="F55" i="34" a="1"/>
  <c r="F55" i="34" s="1"/>
  <c r="D55" i="34"/>
  <c r="C55" i="34"/>
  <c r="P54" i="34"/>
  <c r="Q54" i="34" s="1"/>
  <c r="M54" i="34"/>
  <c r="L54" i="34"/>
  <c r="I54" i="34"/>
  <c r="C54" i="34"/>
  <c r="D54" i="34" s="1"/>
  <c r="Q53" i="34"/>
  <c r="P53" i="34"/>
  <c r="M53" i="34"/>
  <c r="L53" i="34"/>
  <c r="I53" i="34"/>
  <c r="C53" i="34"/>
  <c r="F53" i="34" s="1" a="1"/>
  <c r="F53" i="34" s="1"/>
  <c r="P52" i="34"/>
  <c r="Q52" i="34" s="1"/>
  <c r="M52" i="34"/>
  <c r="L52" i="34"/>
  <c r="I52" i="34"/>
  <c r="C52" i="34"/>
  <c r="F52" i="34" s="1" a="1"/>
  <c r="F52" i="34" s="1"/>
  <c r="P51" i="34"/>
  <c r="Q51" i="34" s="1"/>
  <c r="M51" i="34"/>
  <c r="L51" i="34"/>
  <c r="I51" i="34"/>
  <c r="F51" i="34" a="1"/>
  <c r="F51" i="34" s="1"/>
  <c r="C51" i="34"/>
  <c r="D51" i="34" s="1"/>
  <c r="P50" i="34"/>
  <c r="Q50" i="34" s="1"/>
  <c r="M50" i="34"/>
  <c r="L50" i="34"/>
  <c r="I50" i="34"/>
  <c r="C50" i="34"/>
  <c r="F50" i="34" s="1" a="1"/>
  <c r="F50" i="34" s="1"/>
  <c r="P49" i="34"/>
  <c r="Q49" i="34" s="1"/>
  <c r="M49" i="34"/>
  <c r="L49" i="34"/>
  <c r="I49" i="34"/>
  <c r="C49" i="34"/>
  <c r="F49" i="34" s="1" a="1"/>
  <c r="F49" i="34" s="1"/>
  <c r="Q48" i="34"/>
  <c r="P48" i="34"/>
  <c r="M48" i="34"/>
  <c r="L48" i="34"/>
  <c r="I48" i="34"/>
  <c r="C48" i="34"/>
  <c r="F48" i="34" s="1" a="1"/>
  <c r="F48" i="34" s="1"/>
  <c r="P47" i="34"/>
  <c r="Q47" i="34" s="1"/>
  <c r="M47" i="34"/>
  <c r="L47" i="34"/>
  <c r="I47" i="34"/>
  <c r="D47" i="34"/>
  <c r="C47" i="34"/>
  <c r="F47" i="34" s="1" a="1"/>
  <c r="F47" i="34" s="1"/>
  <c r="P46" i="34"/>
  <c r="Q46" i="34" s="1"/>
  <c r="M46" i="34"/>
  <c r="L46" i="34"/>
  <c r="I46" i="34"/>
  <c r="C46" i="34"/>
  <c r="D46" i="34" s="1"/>
  <c r="Q45" i="34"/>
  <c r="P45" i="34"/>
  <c r="M45" i="34"/>
  <c r="L45" i="34"/>
  <c r="I45" i="34"/>
  <c r="C45" i="34"/>
  <c r="F45" i="34" s="1" a="1"/>
  <c r="F45" i="34" s="1"/>
  <c r="P44" i="34"/>
  <c r="Q44" i="34" s="1"/>
  <c r="M44" i="34"/>
  <c r="L44" i="34"/>
  <c r="I44" i="34"/>
  <c r="C44" i="34"/>
  <c r="F44" i="34" s="1" a="1"/>
  <c r="F44" i="34" s="1"/>
  <c r="P43" i="34"/>
  <c r="Q43" i="34" s="1"/>
  <c r="M43" i="34"/>
  <c r="L43" i="34"/>
  <c r="I43" i="34"/>
  <c r="F43" i="34" a="1"/>
  <c r="F43" i="34" s="1"/>
  <c r="C43" i="34"/>
  <c r="D43" i="34" s="1"/>
  <c r="P42" i="34"/>
  <c r="Q42" i="34" s="1"/>
  <c r="M42" i="34"/>
  <c r="L42" i="34"/>
  <c r="I42" i="34"/>
  <c r="C42" i="34"/>
  <c r="F42" i="34" s="1" a="1"/>
  <c r="F42" i="34" s="1"/>
  <c r="P41" i="34"/>
  <c r="Q41" i="34" s="1"/>
  <c r="M41" i="34"/>
  <c r="L41" i="34"/>
  <c r="I41" i="34"/>
  <c r="C41" i="34"/>
  <c r="F41" i="34" s="1" a="1"/>
  <c r="F41" i="34" s="1"/>
  <c r="Q40" i="34"/>
  <c r="P40" i="34"/>
  <c r="M40" i="34"/>
  <c r="L40" i="34"/>
  <c r="I40" i="34"/>
  <c r="C40" i="34"/>
  <c r="F40" i="34" s="1" a="1"/>
  <c r="F40" i="34" s="1"/>
  <c r="P39" i="34"/>
  <c r="Q39" i="34" s="1"/>
  <c r="M39" i="34"/>
  <c r="L39" i="34"/>
  <c r="I39" i="34"/>
  <c r="C39" i="34"/>
  <c r="F39" i="34" s="1" a="1"/>
  <c r="F39" i="34" s="1"/>
  <c r="P38" i="34"/>
  <c r="Q38" i="34" s="1"/>
  <c r="M38" i="34"/>
  <c r="L38" i="34"/>
  <c r="I38" i="34"/>
  <c r="F38" i="34" a="1"/>
  <c r="F38" i="34" s="1"/>
  <c r="C38" i="34"/>
  <c r="D38" i="34" s="1"/>
  <c r="P37" i="34"/>
  <c r="Q37" i="34" s="1"/>
  <c r="M37" i="34"/>
  <c r="L37" i="34"/>
  <c r="I37" i="34"/>
  <c r="C37" i="34"/>
  <c r="F37" i="34" s="1" a="1"/>
  <c r="F37" i="34" s="1"/>
  <c r="P36" i="34"/>
  <c r="Q36" i="34" s="1"/>
  <c r="M36" i="34"/>
  <c r="L36" i="34"/>
  <c r="I36" i="34"/>
  <c r="D36" i="34"/>
  <c r="C36" i="34"/>
  <c r="F36" i="34" s="1" a="1"/>
  <c r="F36" i="34" s="1"/>
  <c r="P35" i="34"/>
  <c r="Q35" i="34" s="1"/>
  <c r="M35" i="34"/>
  <c r="L35" i="34"/>
  <c r="I35" i="34"/>
  <c r="C35" i="34"/>
  <c r="D35" i="34" s="1"/>
  <c r="P34" i="34"/>
  <c r="Q34" i="34" s="1"/>
  <c r="M34" i="34"/>
  <c r="L34" i="34"/>
  <c r="I34" i="34"/>
  <c r="C34" i="34"/>
  <c r="F34" i="34" s="1" a="1"/>
  <c r="F34" i="34" s="1"/>
  <c r="P33" i="34"/>
  <c r="Q33" i="34" s="1"/>
  <c r="M33" i="34"/>
  <c r="L33" i="34"/>
  <c r="I33" i="34"/>
  <c r="C33" i="34"/>
  <c r="F33" i="34" s="1" a="1"/>
  <c r="F33" i="34" s="1"/>
  <c r="P32" i="34"/>
  <c r="Q32" i="34" s="1"/>
  <c r="M32" i="34"/>
  <c r="L32" i="34"/>
  <c r="I32" i="34"/>
  <c r="C32" i="34"/>
  <c r="F32" i="34" s="1" a="1"/>
  <c r="F32" i="34" s="1"/>
  <c r="P31" i="34"/>
  <c r="Q31" i="34" s="1"/>
  <c r="M31" i="34"/>
  <c r="L31" i="34"/>
  <c r="I31" i="34"/>
  <c r="F31" i="34" a="1"/>
  <c r="F31" i="34" s="1"/>
  <c r="C31" i="34"/>
  <c r="D31" i="34" s="1"/>
  <c r="P30" i="34"/>
  <c r="Q30" i="34" s="1"/>
  <c r="M30" i="34"/>
  <c r="L30" i="34"/>
  <c r="I30" i="34"/>
  <c r="F30" i="34" a="1"/>
  <c r="F30" i="34" s="1"/>
  <c r="C30" i="34"/>
  <c r="D30" i="34" s="1"/>
  <c r="P29" i="34"/>
  <c r="Q29" i="34" s="1"/>
  <c r="M29" i="34"/>
  <c r="L29" i="34"/>
  <c r="I29" i="34"/>
  <c r="C29" i="34"/>
  <c r="F29" i="34" s="1" a="1"/>
  <c r="F29" i="34" s="1"/>
  <c r="P28" i="34"/>
  <c r="Q28" i="34" s="1"/>
  <c r="M28" i="34"/>
  <c r="L28" i="34"/>
  <c r="I28" i="34"/>
  <c r="D28" i="34"/>
  <c r="C28" i="34"/>
  <c r="F28" i="34" s="1" a="1"/>
  <c r="F28" i="34" s="1"/>
  <c r="P27" i="34"/>
  <c r="Q27" i="34" s="1"/>
  <c r="M27" i="34"/>
  <c r="L27" i="34"/>
  <c r="I27" i="34"/>
  <c r="C27" i="34"/>
  <c r="D27" i="34" s="1"/>
  <c r="P26" i="34"/>
  <c r="Q26" i="34" s="1"/>
  <c r="M26" i="34"/>
  <c r="L26" i="34"/>
  <c r="I26" i="34"/>
  <c r="C26" i="34"/>
  <c r="F26" i="34" s="1" a="1"/>
  <c r="F26" i="34" s="1"/>
  <c r="P25" i="34"/>
  <c r="Q25" i="34" s="1"/>
  <c r="M25" i="34"/>
  <c r="L25" i="34"/>
  <c r="I25" i="34"/>
  <c r="C25" i="34"/>
  <c r="F25" i="34" s="1" a="1"/>
  <c r="F25" i="34" s="1"/>
  <c r="P24" i="34"/>
  <c r="Q24" i="34" s="1"/>
  <c r="M24" i="34"/>
  <c r="L24" i="34"/>
  <c r="I24" i="34"/>
  <c r="C24" i="34"/>
  <c r="F24" i="34" s="1" a="1"/>
  <c r="F24" i="34" s="1"/>
  <c r="P23" i="34"/>
  <c r="Q23" i="34" s="1"/>
  <c r="M23" i="34"/>
  <c r="L23" i="34"/>
  <c r="I23" i="34"/>
  <c r="F23" i="34" a="1"/>
  <c r="F23" i="34" s="1"/>
  <c r="D23" i="34"/>
  <c r="C23" i="34"/>
  <c r="P22" i="34"/>
  <c r="Q22" i="34" s="1"/>
  <c r="M22" i="34"/>
  <c r="L22" i="34"/>
  <c r="I22" i="34"/>
  <c r="C22" i="34"/>
  <c r="D22" i="34" s="1"/>
  <c r="Q21" i="34"/>
  <c r="P21" i="34"/>
  <c r="M21" i="34"/>
  <c r="L21" i="34"/>
  <c r="I21" i="34"/>
  <c r="C21" i="34"/>
  <c r="F21" i="34" s="1" a="1"/>
  <c r="F21" i="34" s="1"/>
  <c r="P20" i="34"/>
  <c r="Q20" i="34" s="1"/>
  <c r="M20" i="34"/>
  <c r="L20" i="34"/>
  <c r="I20" i="34"/>
  <c r="C20" i="34"/>
  <c r="F20" i="34" s="1" a="1"/>
  <c r="F20" i="34" s="1"/>
  <c r="P19" i="34"/>
  <c r="Q19" i="34" s="1"/>
  <c r="M19" i="34"/>
  <c r="L19" i="34"/>
  <c r="I19" i="34"/>
  <c r="F19" i="34" a="1"/>
  <c r="F19" i="34" s="1"/>
  <c r="C19" i="34"/>
  <c r="D19" i="34" s="1"/>
  <c r="P18" i="34"/>
  <c r="Q18" i="34" s="1"/>
  <c r="M18" i="34"/>
  <c r="L18" i="34"/>
  <c r="I18" i="34"/>
  <c r="C18" i="34"/>
  <c r="F18" i="34" s="1" a="1"/>
  <c r="F18" i="34" s="1"/>
  <c r="P17" i="34"/>
  <c r="Q17" i="34" s="1"/>
  <c r="M17" i="34"/>
  <c r="L17" i="34"/>
  <c r="I17" i="34"/>
  <c r="C17" i="34"/>
  <c r="F17" i="34" s="1" a="1"/>
  <c r="F17" i="34" s="1"/>
  <c r="Q16" i="34"/>
  <c r="P16" i="34"/>
  <c r="M16" i="34"/>
  <c r="L16" i="34"/>
  <c r="I16" i="34"/>
  <c r="C16" i="34"/>
  <c r="F16" i="34" s="1" a="1"/>
  <c r="F16" i="34" s="1"/>
  <c r="P15" i="34"/>
  <c r="Q15" i="34" s="1"/>
  <c r="M15" i="34"/>
  <c r="L15" i="34"/>
  <c r="I15" i="34"/>
  <c r="D15" i="34"/>
  <c r="C15" i="34"/>
  <c r="F15" i="34" s="1" a="1"/>
  <c r="F15" i="34" s="1"/>
  <c r="P14" i="34"/>
  <c r="Q14" i="34" s="1"/>
  <c r="M14" i="34"/>
  <c r="L14" i="34"/>
  <c r="I14" i="34"/>
  <c r="C14" i="34"/>
  <c r="D14" i="34" s="1"/>
  <c r="Q13" i="34"/>
  <c r="P13" i="34"/>
  <c r="M13" i="34"/>
  <c r="L13" i="34"/>
  <c r="I13" i="34"/>
  <c r="C13" i="34"/>
  <c r="F13" i="34" s="1" a="1"/>
  <c r="F13" i="34" s="1"/>
  <c r="P12" i="34"/>
  <c r="Q12" i="34" s="1"/>
  <c r="M12" i="34"/>
  <c r="L12" i="34"/>
  <c r="I12" i="34"/>
  <c r="C12" i="34"/>
  <c r="F12" i="34" s="1" a="1"/>
  <c r="F12" i="34" s="1"/>
  <c r="P11" i="34"/>
  <c r="Q11" i="34" s="1"/>
  <c r="M11" i="34"/>
  <c r="L11" i="34"/>
  <c r="I11" i="34"/>
  <c r="F11" i="34" a="1"/>
  <c r="F11" i="34" s="1"/>
  <c r="C11" i="34"/>
  <c r="D11" i="34" s="1"/>
  <c r="P10" i="34"/>
  <c r="Q10" i="34" s="1"/>
  <c r="M10" i="34"/>
  <c r="L10" i="34"/>
  <c r="I10" i="34"/>
  <c r="P9" i="34"/>
  <c r="Q9" i="34" s="1"/>
  <c r="M9" i="34"/>
  <c r="L9" i="34"/>
  <c r="I9" i="34"/>
  <c r="P8" i="34"/>
  <c r="Q8" i="34" s="1"/>
  <c r="M8" i="34"/>
  <c r="L8" i="34"/>
  <c r="I8" i="34"/>
  <c r="P7" i="34"/>
  <c r="Q7" i="34" s="1"/>
  <c r="M7" i="34"/>
  <c r="L7" i="34"/>
  <c r="I7" i="34"/>
  <c r="P6" i="34"/>
  <c r="Q6" i="34" s="1"/>
  <c r="M6" i="34"/>
  <c r="L6" i="34"/>
  <c r="I6" i="34"/>
  <c r="P100" i="33"/>
  <c r="Q100" i="33" s="1"/>
  <c r="M100" i="33"/>
  <c r="L100" i="33"/>
  <c r="I100" i="33"/>
  <c r="D100" i="33"/>
  <c r="C100" i="33"/>
  <c r="F100" i="33" s="1" a="1"/>
  <c r="F100" i="33" s="1"/>
  <c r="P99" i="33"/>
  <c r="Q99" i="33" s="1"/>
  <c r="M99" i="33"/>
  <c r="L99" i="33"/>
  <c r="I99" i="33"/>
  <c r="C99" i="33"/>
  <c r="D99" i="33" s="1"/>
  <c r="P98" i="33"/>
  <c r="Q98" i="33" s="1"/>
  <c r="M98" i="33"/>
  <c r="L98" i="33"/>
  <c r="I98" i="33"/>
  <c r="D98" i="33"/>
  <c r="C98" i="33"/>
  <c r="F98" i="33" s="1" a="1"/>
  <c r="F98" i="33" s="1"/>
  <c r="P97" i="33"/>
  <c r="Q97" i="33" s="1"/>
  <c r="M97" i="33"/>
  <c r="L97" i="33"/>
  <c r="I97" i="33"/>
  <c r="C97" i="33"/>
  <c r="F97" i="33" s="1" a="1"/>
  <c r="F97" i="33" s="1"/>
  <c r="Q96" i="33"/>
  <c r="P96" i="33"/>
  <c r="M96" i="33"/>
  <c r="L96" i="33"/>
  <c r="I96" i="33"/>
  <c r="D96" i="33"/>
  <c r="C96" i="33"/>
  <c r="F96" i="33" s="1" a="1"/>
  <c r="F96" i="33" s="1"/>
  <c r="P95" i="33"/>
  <c r="Q95" i="33" s="1"/>
  <c r="M95" i="33"/>
  <c r="L95" i="33"/>
  <c r="I95" i="33"/>
  <c r="D95" i="33"/>
  <c r="C95" i="33"/>
  <c r="F95" i="33" s="1" a="1"/>
  <c r="F95" i="33" s="1"/>
  <c r="P94" i="33"/>
  <c r="Q94" i="33" s="1"/>
  <c r="M94" i="33"/>
  <c r="L94" i="33"/>
  <c r="I94" i="33"/>
  <c r="C94" i="33"/>
  <c r="D94" i="33" s="1"/>
  <c r="Q93" i="33"/>
  <c r="P93" i="33"/>
  <c r="M93" i="33"/>
  <c r="L93" i="33"/>
  <c r="I93" i="33"/>
  <c r="C93" i="33"/>
  <c r="F93" i="33" s="1" a="1"/>
  <c r="F93" i="33" s="1"/>
  <c r="P92" i="33"/>
  <c r="Q92" i="33" s="1"/>
  <c r="M92" i="33"/>
  <c r="L92" i="33"/>
  <c r="I92" i="33"/>
  <c r="D92" i="33"/>
  <c r="C92" i="33"/>
  <c r="F92" i="33" s="1" a="1"/>
  <c r="F92" i="33" s="1"/>
  <c r="P91" i="33"/>
  <c r="Q91" i="33" s="1"/>
  <c r="M91" i="33"/>
  <c r="L91" i="33"/>
  <c r="I91" i="33"/>
  <c r="C91" i="33"/>
  <c r="D91" i="33" s="1"/>
  <c r="P90" i="33"/>
  <c r="Q90" i="33" s="1"/>
  <c r="M90" i="33"/>
  <c r="L90" i="33"/>
  <c r="I90" i="33"/>
  <c r="C90" i="33"/>
  <c r="D90" i="33" s="1"/>
  <c r="Q89" i="33"/>
  <c r="P89" i="33"/>
  <c r="M89" i="33"/>
  <c r="L89" i="33"/>
  <c r="I89" i="33"/>
  <c r="C89" i="33"/>
  <c r="F89" i="33" s="1" a="1"/>
  <c r="F89" i="33" s="1"/>
  <c r="P88" i="33"/>
  <c r="Q88" i="33" s="1"/>
  <c r="M88" i="33"/>
  <c r="L88" i="33"/>
  <c r="I88" i="33"/>
  <c r="D88" i="33"/>
  <c r="C88" i="33"/>
  <c r="F88" i="33" s="1" a="1"/>
  <c r="F88" i="33" s="1"/>
  <c r="P87" i="33"/>
  <c r="Q87" i="33" s="1"/>
  <c r="M87" i="33"/>
  <c r="L87" i="33"/>
  <c r="I87" i="33"/>
  <c r="C87" i="33"/>
  <c r="F87" i="33" s="1" a="1"/>
  <c r="F87" i="33" s="1"/>
  <c r="P86" i="33"/>
  <c r="Q86" i="33" s="1"/>
  <c r="M86" i="33"/>
  <c r="L86" i="33"/>
  <c r="I86" i="33"/>
  <c r="C86" i="33"/>
  <c r="D86" i="33" s="1"/>
  <c r="Q85" i="33"/>
  <c r="P85" i="33"/>
  <c r="M85" i="33"/>
  <c r="L85" i="33"/>
  <c r="I85" i="33"/>
  <c r="C85" i="33"/>
  <c r="F85" i="33" s="1" a="1"/>
  <c r="F85" i="33" s="1"/>
  <c r="P84" i="33"/>
  <c r="Q84" i="33" s="1"/>
  <c r="M84" i="33"/>
  <c r="L84" i="33"/>
  <c r="I84" i="33"/>
  <c r="C84" i="33"/>
  <c r="F84" i="33" s="1" a="1"/>
  <c r="F84" i="33" s="1"/>
  <c r="Q83" i="33"/>
  <c r="P83" i="33"/>
  <c r="M83" i="33"/>
  <c r="L83" i="33"/>
  <c r="I83" i="33"/>
  <c r="C83" i="33"/>
  <c r="D83" i="33" s="1"/>
  <c r="P82" i="33"/>
  <c r="Q82" i="33" s="1"/>
  <c r="M82" i="33"/>
  <c r="L82" i="33"/>
  <c r="I82" i="33"/>
  <c r="C82" i="33"/>
  <c r="D82" i="33" s="1"/>
  <c r="Q81" i="33"/>
  <c r="P81" i="33"/>
  <c r="M81" i="33"/>
  <c r="L81" i="33"/>
  <c r="I81" i="33"/>
  <c r="C81" i="33"/>
  <c r="F81" i="33" s="1" a="1"/>
  <c r="F81" i="33" s="1"/>
  <c r="P80" i="33"/>
  <c r="Q80" i="33" s="1"/>
  <c r="M80" i="33"/>
  <c r="L80" i="33"/>
  <c r="I80" i="33"/>
  <c r="D80" i="33"/>
  <c r="C80" i="33"/>
  <c r="F80" i="33" s="1" a="1"/>
  <c r="F80" i="33" s="1"/>
  <c r="P79" i="33"/>
  <c r="Q79" i="33" s="1"/>
  <c r="M79" i="33"/>
  <c r="L79" i="33"/>
  <c r="I79" i="33"/>
  <c r="C79" i="33"/>
  <c r="F79" i="33" s="1" a="1"/>
  <c r="F79" i="33" s="1"/>
  <c r="P78" i="33"/>
  <c r="Q78" i="33" s="1"/>
  <c r="M78" i="33"/>
  <c r="L78" i="33"/>
  <c r="I78" i="33"/>
  <c r="C78" i="33"/>
  <c r="D78" i="33" s="1"/>
  <c r="Q77" i="33"/>
  <c r="P77" i="33"/>
  <c r="M77" i="33"/>
  <c r="L77" i="33"/>
  <c r="I77" i="33"/>
  <c r="C77" i="33"/>
  <c r="F77" i="33" s="1" a="1"/>
  <c r="F77" i="33" s="1"/>
  <c r="P76" i="33"/>
  <c r="Q76" i="33" s="1"/>
  <c r="M76" i="33"/>
  <c r="L76" i="33"/>
  <c r="I76" i="33"/>
  <c r="C76" i="33"/>
  <c r="F76" i="33" s="1" a="1"/>
  <c r="F76" i="33" s="1"/>
  <c r="Q75" i="33"/>
  <c r="P75" i="33"/>
  <c r="M75" i="33"/>
  <c r="L75" i="33"/>
  <c r="I75" i="33"/>
  <c r="C75" i="33"/>
  <c r="D75" i="33" s="1"/>
  <c r="P74" i="33"/>
  <c r="Q74" i="33" s="1"/>
  <c r="M74" i="33"/>
  <c r="L74" i="33"/>
  <c r="I74" i="33"/>
  <c r="C74" i="33"/>
  <c r="D74" i="33" s="1"/>
  <c r="Q73" i="33"/>
  <c r="P73" i="33"/>
  <c r="M73" i="33"/>
  <c r="L73" i="33"/>
  <c r="I73" i="33"/>
  <c r="C73" i="33"/>
  <c r="F73" i="33" s="1" a="1"/>
  <c r="F73" i="33" s="1"/>
  <c r="P72" i="33"/>
  <c r="Q72" i="33" s="1"/>
  <c r="M72" i="33"/>
  <c r="L72" i="33"/>
  <c r="I72" i="33"/>
  <c r="D72" i="33"/>
  <c r="C72" i="33"/>
  <c r="F72" i="33" s="1" a="1"/>
  <c r="F72" i="33" s="1"/>
  <c r="P71" i="33"/>
  <c r="Q71" i="33" s="1"/>
  <c r="M71" i="33"/>
  <c r="L71" i="33"/>
  <c r="I71" i="33"/>
  <c r="C71" i="33"/>
  <c r="F71" i="33" s="1" a="1"/>
  <c r="F71" i="33" s="1"/>
  <c r="P70" i="33"/>
  <c r="Q70" i="33" s="1"/>
  <c r="M70" i="33"/>
  <c r="L70" i="33"/>
  <c r="I70" i="33"/>
  <c r="C70" i="33"/>
  <c r="D70" i="33" s="1"/>
  <c r="Q69" i="33"/>
  <c r="P69" i="33"/>
  <c r="M69" i="33"/>
  <c r="L69" i="33"/>
  <c r="I69" i="33"/>
  <c r="C69" i="33"/>
  <c r="F69" i="33" s="1" a="1"/>
  <c r="F69" i="33" s="1"/>
  <c r="P68" i="33"/>
  <c r="Q68" i="33" s="1"/>
  <c r="M68" i="33"/>
  <c r="L68" i="33"/>
  <c r="I68" i="33"/>
  <c r="C68" i="33"/>
  <c r="F68" i="33" s="1" a="1"/>
  <c r="F68" i="33" s="1"/>
  <c r="Q67" i="33"/>
  <c r="P67" i="33"/>
  <c r="M67" i="33"/>
  <c r="L67" i="33"/>
  <c r="I67" i="33"/>
  <c r="C67" i="33"/>
  <c r="D67" i="33" s="1"/>
  <c r="P66" i="33"/>
  <c r="Q66" i="33" s="1"/>
  <c r="M66" i="33"/>
  <c r="L66" i="33"/>
  <c r="I66" i="33"/>
  <c r="C66" i="33"/>
  <c r="D66" i="33" s="1"/>
  <c r="Q65" i="33"/>
  <c r="P65" i="33"/>
  <c r="M65" i="33"/>
  <c r="L65" i="33"/>
  <c r="I65" i="33"/>
  <c r="C65" i="33"/>
  <c r="F65" i="33" s="1" a="1"/>
  <c r="F65" i="33" s="1"/>
  <c r="P64" i="33"/>
  <c r="Q64" i="33" s="1"/>
  <c r="M64" i="33"/>
  <c r="L64" i="33"/>
  <c r="I64" i="33"/>
  <c r="D64" i="33"/>
  <c r="C64" i="33"/>
  <c r="F64" i="33" s="1" a="1"/>
  <c r="F64" i="33" s="1"/>
  <c r="P63" i="33"/>
  <c r="Q63" i="33" s="1"/>
  <c r="M63" i="33"/>
  <c r="L63" i="33"/>
  <c r="I63" i="33"/>
  <c r="C63" i="33"/>
  <c r="F63" i="33" s="1" a="1"/>
  <c r="F63" i="33" s="1"/>
  <c r="P62" i="33"/>
  <c r="Q62" i="33" s="1"/>
  <c r="M62" i="33"/>
  <c r="L62" i="33"/>
  <c r="I62" i="33"/>
  <c r="C62" i="33"/>
  <c r="D62" i="33" s="1"/>
  <c r="Q61" i="33"/>
  <c r="P61" i="33"/>
  <c r="M61" i="33"/>
  <c r="L61" i="33"/>
  <c r="I61" i="33"/>
  <c r="C61" i="33"/>
  <c r="F61" i="33" s="1" a="1"/>
  <c r="F61" i="33" s="1"/>
  <c r="P60" i="33"/>
  <c r="Q60" i="33" s="1"/>
  <c r="M60" i="33"/>
  <c r="L60" i="33"/>
  <c r="I60" i="33"/>
  <c r="C60" i="33"/>
  <c r="F60" i="33" s="1" a="1"/>
  <c r="F60" i="33" s="1"/>
  <c r="Q59" i="33"/>
  <c r="P59" i="33"/>
  <c r="M59" i="33"/>
  <c r="L59" i="33"/>
  <c r="I59" i="33"/>
  <c r="C59" i="33"/>
  <c r="D59" i="33" s="1"/>
  <c r="P58" i="33"/>
  <c r="Q58" i="33" s="1"/>
  <c r="M58" i="33"/>
  <c r="L58" i="33"/>
  <c r="I58" i="33"/>
  <c r="C58" i="33"/>
  <c r="D58" i="33" s="1"/>
  <c r="Q57" i="33"/>
  <c r="P57" i="33"/>
  <c r="M57" i="33"/>
  <c r="L57" i="33"/>
  <c r="I57" i="33"/>
  <c r="C57" i="33"/>
  <c r="F57" i="33" s="1" a="1"/>
  <c r="F57" i="33" s="1"/>
  <c r="P56" i="33"/>
  <c r="Q56" i="33" s="1"/>
  <c r="M56" i="33"/>
  <c r="L56" i="33"/>
  <c r="I56" i="33"/>
  <c r="D56" i="33"/>
  <c r="C56" i="33"/>
  <c r="F56" i="33" s="1" a="1"/>
  <c r="F56" i="33" s="1"/>
  <c r="P55" i="33"/>
  <c r="Q55" i="33" s="1"/>
  <c r="M55" i="33"/>
  <c r="L55" i="33"/>
  <c r="I55" i="33"/>
  <c r="C55" i="33"/>
  <c r="F55" i="33" s="1" a="1"/>
  <c r="F55" i="33" s="1"/>
  <c r="P54" i="33"/>
  <c r="Q54" i="33" s="1"/>
  <c r="M54" i="33"/>
  <c r="L54" i="33"/>
  <c r="I54" i="33"/>
  <c r="C54" i="33"/>
  <c r="D54" i="33" s="1"/>
  <c r="Q53" i="33"/>
  <c r="P53" i="33"/>
  <c r="M53" i="33"/>
  <c r="L53" i="33"/>
  <c r="I53" i="33"/>
  <c r="C53" i="33"/>
  <c r="F53" i="33" s="1" a="1"/>
  <c r="F53" i="33" s="1"/>
  <c r="P52" i="33"/>
  <c r="Q52" i="33" s="1"/>
  <c r="M52" i="33"/>
  <c r="L52" i="33"/>
  <c r="I52" i="33"/>
  <c r="C52" i="33"/>
  <c r="F52" i="33" s="1" a="1"/>
  <c r="F52" i="33" s="1"/>
  <c r="Q51" i="33"/>
  <c r="P51" i="33"/>
  <c r="M51" i="33"/>
  <c r="L51" i="33"/>
  <c r="I51" i="33"/>
  <c r="C51" i="33"/>
  <c r="D51" i="33" s="1"/>
  <c r="P50" i="33"/>
  <c r="Q50" i="33" s="1"/>
  <c r="M50" i="33"/>
  <c r="L50" i="33"/>
  <c r="I50" i="33"/>
  <c r="C50" i="33"/>
  <c r="D50" i="33" s="1"/>
  <c r="Q49" i="33"/>
  <c r="P49" i="33"/>
  <c r="M49" i="33"/>
  <c r="L49" i="33"/>
  <c r="I49" i="33"/>
  <c r="C49" i="33"/>
  <c r="F49" i="33" s="1" a="1"/>
  <c r="F49" i="33" s="1"/>
  <c r="P48" i="33"/>
  <c r="Q48" i="33" s="1"/>
  <c r="M48" i="33"/>
  <c r="L48" i="33"/>
  <c r="I48" i="33"/>
  <c r="D48" i="33"/>
  <c r="C48" i="33"/>
  <c r="F48" i="33" s="1" a="1"/>
  <c r="F48" i="33" s="1"/>
  <c r="P47" i="33"/>
  <c r="Q47" i="33" s="1"/>
  <c r="M47" i="33"/>
  <c r="L47" i="33"/>
  <c r="I47" i="33"/>
  <c r="C47" i="33"/>
  <c r="F47" i="33" s="1" a="1"/>
  <c r="F47" i="33" s="1"/>
  <c r="P46" i="33"/>
  <c r="Q46" i="33" s="1"/>
  <c r="M46" i="33"/>
  <c r="L46" i="33"/>
  <c r="I46" i="33"/>
  <c r="C46" i="33"/>
  <c r="D46" i="33" s="1"/>
  <c r="Q45" i="33"/>
  <c r="P45" i="33"/>
  <c r="M45" i="33"/>
  <c r="L45" i="33"/>
  <c r="I45" i="33"/>
  <c r="C45" i="33"/>
  <c r="F45" i="33" s="1" a="1"/>
  <c r="F45" i="33" s="1"/>
  <c r="P44" i="33"/>
  <c r="Q44" i="33" s="1"/>
  <c r="M44" i="33"/>
  <c r="L44" i="33"/>
  <c r="I44" i="33"/>
  <c r="C44" i="33"/>
  <c r="F44" i="33" s="1" a="1"/>
  <c r="F44" i="33" s="1"/>
  <c r="Q43" i="33"/>
  <c r="P43" i="33"/>
  <c r="M43" i="33"/>
  <c r="L43" i="33"/>
  <c r="I43" i="33"/>
  <c r="C43" i="33"/>
  <c r="D43" i="33" s="1"/>
  <c r="P42" i="33"/>
  <c r="Q42" i="33" s="1"/>
  <c r="M42" i="33"/>
  <c r="L42" i="33"/>
  <c r="I42" i="33"/>
  <c r="C42" i="33"/>
  <c r="D42" i="33" s="1"/>
  <c r="Q41" i="33"/>
  <c r="P41" i="33"/>
  <c r="M41" i="33"/>
  <c r="L41" i="33"/>
  <c r="I41" i="33"/>
  <c r="C41" i="33"/>
  <c r="F41" i="33" s="1" a="1"/>
  <c r="F41" i="33" s="1"/>
  <c r="P40" i="33"/>
  <c r="Q40" i="33" s="1"/>
  <c r="M40" i="33"/>
  <c r="L40" i="33"/>
  <c r="I40" i="33"/>
  <c r="D40" i="33"/>
  <c r="C40" i="33"/>
  <c r="F40" i="33" s="1" a="1"/>
  <c r="F40" i="33" s="1"/>
  <c r="P39" i="33"/>
  <c r="Q39" i="33" s="1"/>
  <c r="M39" i="33"/>
  <c r="L39" i="33"/>
  <c r="I39" i="33"/>
  <c r="C39" i="33"/>
  <c r="F39" i="33" s="1" a="1"/>
  <c r="F39" i="33" s="1"/>
  <c r="P38" i="33"/>
  <c r="Q38" i="33" s="1"/>
  <c r="M38" i="33"/>
  <c r="L38" i="33"/>
  <c r="I38" i="33"/>
  <c r="F38" i="33" a="1"/>
  <c r="F38" i="33" s="1"/>
  <c r="C38" i="33"/>
  <c r="D38" i="33" s="1"/>
  <c r="P37" i="33"/>
  <c r="Q37" i="33" s="1"/>
  <c r="M37" i="33"/>
  <c r="L37" i="33"/>
  <c r="I37" i="33"/>
  <c r="C37" i="33"/>
  <c r="F37" i="33" s="1" a="1"/>
  <c r="F37" i="33" s="1"/>
  <c r="Q36" i="33"/>
  <c r="P36" i="33"/>
  <c r="M36" i="33"/>
  <c r="L36" i="33"/>
  <c r="I36" i="33"/>
  <c r="D36" i="33"/>
  <c r="C36" i="33"/>
  <c r="F36" i="33" s="1" a="1"/>
  <c r="F36" i="33" s="1"/>
  <c r="Q35" i="33"/>
  <c r="P35" i="33"/>
  <c r="M35" i="33"/>
  <c r="L35" i="33"/>
  <c r="I35" i="33"/>
  <c r="F35" i="33" a="1"/>
  <c r="F35" i="33" s="1"/>
  <c r="D35" i="33"/>
  <c r="C35" i="33"/>
  <c r="P34" i="33"/>
  <c r="Q34" i="33" s="1"/>
  <c r="M34" i="33"/>
  <c r="L34" i="33"/>
  <c r="I34" i="33"/>
  <c r="F34" i="33"/>
  <c r="F34" i="33" a="1"/>
  <c r="D34" i="33"/>
  <c r="C34" i="33"/>
  <c r="P33" i="33"/>
  <c r="Q33" i="33" s="1"/>
  <c r="M33" i="33"/>
  <c r="L33" i="33"/>
  <c r="I33" i="33"/>
  <c r="C33" i="33"/>
  <c r="F33" i="33" s="1" a="1"/>
  <c r="F33" i="33" s="1"/>
  <c r="Q32" i="33"/>
  <c r="P32" i="33"/>
  <c r="M32" i="33"/>
  <c r="L32" i="33"/>
  <c r="I32" i="33"/>
  <c r="C32" i="33"/>
  <c r="F32" i="33" s="1" a="1"/>
  <c r="F32" i="33" s="1"/>
  <c r="P31" i="33"/>
  <c r="Q31" i="33" s="1"/>
  <c r="M31" i="33"/>
  <c r="L31" i="33"/>
  <c r="I31" i="33"/>
  <c r="D31" i="33"/>
  <c r="C31" i="33"/>
  <c r="F31" i="33" s="1" a="1"/>
  <c r="F31" i="33" s="1"/>
  <c r="P30" i="33"/>
  <c r="Q30" i="33" s="1"/>
  <c r="M30" i="33"/>
  <c r="L30" i="33"/>
  <c r="I30" i="33"/>
  <c r="F30" i="33" a="1"/>
  <c r="F30" i="33" s="1"/>
  <c r="C30" i="33"/>
  <c r="D30" i="33" s="1"/>
  <c r="Q29" i="33"/>
  <c r="P29" i="33"/>
  <c r="M29" i="33"/>
  <c r="L29" i="33"/>
  <c r="I29" i="33"/>
  <c r="C29" i="33"/>
  <c r="F29" i="33" s="1" a="1"/>
  <c r="F29" i="33" s="1"/>
  <c r="Q28" i="33"/>
  <c r="P28" i="33"/>
  <c r="M28" i="33"/>
  <c r="L28" i="33"/>
  <c r="I28" i="33"/>
  <c r="C28" i="33"/>
  <c r="F28" i="33" s="1" a="1"/>
  <c r="F28" i="33" s="1"/>
  <c r="Q27" i="33"/>
  <c r="P27" i="33"/>
  <c r="M27" i="33"/>
  <c r="L27" i="33"/>
  <c r="I27" i="33"/>
  <c r="C27" i="33"/>
  <c r="F27" i="33" s="1" a="1"/>
  <c r="F27" i="33" s="1"/>
  <c r="P26" i="33"/>
  <c r="Q26" i="33" s="1"/>
  <c r="M26" i="33"/>
  <c r="L26" i="33"/>
  <c r="I26" i="33"/>
  <c r="C26" i="33"/>
  <c r="F26" i="33" s="1" a="1"/>
  <c r="F26" i="33" s="1"/>
  <c r="P25" i="33"/>
  <c r="Q25" i="33" s="1"/>
  <c r="M25" i="33"/>
  <c r="L25" i="33"/>
  <c r="I25" i="33"/>
  <c r="C25" i="33"/>
  <c r="F25" i="33" s="1" a="1"/>
  <c r="F25" i="33" s="1"/>
  <c r="P24" i="33"/>
  <c r="Q24" i="33" s="1"/>
  <c r="M24" i="33"/>
  <c r="L24" i="33"/>
  <c r="I24" i="33"/>
  <c r="C24" i="33"/>
  <c r="D24" i="33" s="1"/>
  <c r="P23" i="33"/>
  <c r="Q23" i="33" s="1"/>
  <c r="M23" i="33"/>
  <c r="L23" i="33"/>
  <c r="I23" i="33"/>
  <c r="F23" i="33" a="1"/>
  <c r="F23" i="33" s="1"/>
  <c r="D23" i="33"/>
  <c r="C23" i="33"/>
  <c r="P22" i="33"/>
  <c r="Q22" i="33" s="1"/>
  <c r="M22" i="33"/>
  <c r="L22" i="33"/>
  <c r="I22" i="33"/>
  <c r="C22" i="33"/>
  <c r="D22" i="33" s="1"/>
  <c r="Q21" i="33"/>
  <c r="P21" i="33"/>
  <c r="M21" i="33"/>
  <c r="L21" i="33"/>
  <c r="I21" i="33"/>
  <c r="C21" i="33"/>
  <c r="F21" i="33" s="1" a="1"/>
  <c r="F21" i="33" s="1"/>
  <c r="P20" i="33"/>
  <c r="Q20" i="33" s="1"/>
  <c r="M20" i="33"/>
  <c r="L20" i="33"/>
  <c r="I20" i="33"/>
  <c r="D20" i="33"/>
  <c r="C20" i="33"/>
  <c r="F20" i="33" s="1" a="1"/>
  <c r="F20" i="33" s="1"/>
  <c r="P19" i="33"/>
  <c r="Q19" i="33" s="1"/>
  <c r="M19" i="33"/>
  <c r="L19" i="33"/>
  <c r="I19" i="33"/>
  <c r="D19" i="33"/>
  <c r="C19" i="33"/>
  <c r="F19" i="33" s="1" a="1"/>
  <c r="F19" i="33" s="1"/>
  <c r="P18" i="33"/>
  <c r="Q18" i="33" s="1"/>
  <c r="M18" i="33"/>
  <c r="L18" i="33"/>
  <c r="I18" i="33"/>
  <c r="D18" i="33"/>
  <c r="C18" i="33"/>
  <c r="F18" i="33" s="1" a="1"/>
  <c r="F18" i="33" s="1"/>
  <c r="P17" i="33"/>
  <c r="Q17" i="33" s="1"/>
  <c r="M17" i="33"/>
  <c r="L17" i="33"/>
  <c r="I17" i="33"/>
  <c r="C17" i="33"/>
  <c r="F17" i="33" s="1" a="1"/>
  <c r="F17" i="33" s="1"/>
  <c r="P16" i="33"/>
  <c r="Q16" i="33" s="1"/>
  <c r="M16" i="33"/>
  <c r="L16" i="33"/>
  <c r="I16" i="33"/>
  <c r="C16" i="33"/>
  <c r="F16" i="33" s="1" a="1"/>
  <c r="F16" i="33" s="1"/>
  <c r="P15" i="33"/>
  <c r="Q15" i="33" s="1"/>
  <c r="M15" i="33"/>
  <c r="L15" i="33"/>
  <c r="I15" i="33"/>
  <c r="F15" i="33" a="1"/>
  <c r="F15" i="33" s="1"/>
  <c r="C15" i="33"/>
  <c r="D15" i="33" s="1"/>
  <c r="P14" i="33"/>
  <c r="Q14" i="33" s="1"/>
  <c r="M14" i="33"/>
  <c r="L14" i="33"/>
  <c r="I14" i="33"/>
  <c r="F14" i="33" a="1"/>
  <c r="F14" i="33" s="1"/>
  <c r="C14" i="33"/>
  <c r="D14" i="33" s="1"/>
  <c r="P13" i="33"/>
  <c r="Q13" i="33" s="1"/>
  <c r="M13" i="33"/>
  <c r="L13" i="33"/>
  <c r="I13" i="33"/>
  <c r="C13" i="33"/>
  <c r="F13" i="33" s="1" a="1"/>
  <c r="F13" i="33" s="1"/>
  <c r="Q12" i="33"/>
  <c r="P12" i="33"/>
  <c r="M12" i="33"/>
  <c r="L12" i="33"/>
  <c r="I12" i="33"/>
  <c r="D12" i="33"/>
  <c r="C12" i="33"/>
  <c r="F12" i="33" s="1" a="1"/>
  <c r="F12" i="33" s="1"/>
  <c r="P11" i="33"/>
  <c r="Q11" i="33" s="1"/>
  <c r="M11" i="33"/>
  <c r="L11" i="33"/>
  <c r="I11" i="33"/>
  <c r="F11" i="33" a="1"/>
  <c r="F11" i="33" s="1"/>
  <c r="D11" i="33"/>
  <c r="C11" i="33"/>
  <c r="P10" i="33"/>
  <c r="Q10" i="33" s="1"/>
  <c r="M10" i="33"/>
  <c r="L10" i="33"/>
  <c r="I10" i="33"/>
  <c r="P9" i="33"/>
  <c r="Q9" i="33" s="1"/>
  <c r="M9" i="33"/>
  <c r="L9" i="33"/>
  <c r="I9" i="33"/>
  <c r="Q8" i="33"/>
  <c r="P8" i="33"/>
  <c r="M8" i="33"/>
  <c r="L8" i="33"/>
  <c r="I8" i="33"/>
  <c r="P7" i="33"/>
  <c r="Q7" i="33" s="1"/>
  <c r="M7" i="33"/>
  <c r="L7" i="33"/>
  <c r="I7" i="33"/>
  <c r="P6" i="33"/>
  <c r="Q6" i="33" s="1"/>
  <c r="M6" i="33"/>
  <c r="L6" i="33"/>
  <c r="I6" i="33"/>
  <c r="P100" i="32"/>
  <c r="Q100" i="32" s="1"/>
  <c r="M100" i="32"/>
  <c r="L100" i="32"/>
  <c r="I100" i="32"/>
  <c r="D100" i="32"/>
  <c r="C100" i="32"/>
  <c r="F100" i="32" s="1" a="1"/>
  <c r="F100" i="32" s="1"/>
  <c r="P99" i="32"/>
  <c r="Q99" i="32" s="1"/>
  <c r="M99" i="32"/>
  <c r="L99" i="32"/>
  <c r="I99" i="32"/>
  <c r="C99" i="32"/>
  <c r="D99" i="32" s="1"/>
  <c r="P98" i="32"/>
  <c r="Q98" i="32" s="1"/>
  <c r="M98" i="32"/>
  <c r="L98" i="32"/>
  <c r="I98" i="32"/>
  <c r="D98" i="32"/>
  <c r="C98" i="32"/>
  <c r="F98" i="32" s="1" a="1"/>
  <c r="F98" i="32" s="1"/>
  <c r="P97" i="32"/>
  <c r="Q97" i="32" s="1"/>
  <c r="M97" i="32"/>
  <c r="L97" i="32"/>
  <c r="I97" i="32"/>
  <c r="F97" i="32" a="1"/>
  <c r="F97" i="32" s="1"/>
  <c r="C97" i="32"/>
  <c r="D97" i="32" s="1"/>
  <c r="P96" i="32"/>
  <c r="Q96" i="32" s="1"/>
  <c r="M96" i="32"/>
  <c r="L96" i="32"/>
  <c r="I96" i="32"/>
  <c r="C96" i="32"/>
  <c r="F96" i="32" s="1" a="1"/>
  <c r="F96" i="32" s="1"/>
  <c r="Q95" i="32"/>
  <c r="P95" i="32"/>
  <c r="M95" i="32"/>
  <c r="L95" i="32"/>
  <c r="I95" i="32"/>
  <c r="C95" i="32"/>
  <c r="F95" i="32" s="1" a="1"/>
  <c r="F95" i="32" s="1"/>
  <c r="P94" i="32"/>
  <c r="Q94" i="32" s="1"/>
  <c r="M94" i="32"/>
  <c r="L94" i="32"/>
  <c r="I94" i="32"/>
  <c r="C94" i="32"/>
  <c r="D94" i="32" s="1"/>
  <c r="Q93" i="32"/>
  <c r="P93" i="32"/>
  <c r="M93" i="32"/>
  <c r="L93" i="32"/>
  <c r="I93" i="32"/>
  <c r="C93" i="32"/>
  <c r="F93" i="32" s="1" a="1"/>
  <c r="F93" i="32" s="1"/>
  <c r="P92" i="32"/>
  <c r="Q92" i="32" s="1"/>
  <c r="M92" i="32"/>
  <c r="L92" i="32"/>
  <c r="I92" i="32"/>
  <c r="C92" i="32"/>
  <c r="F92" i="32" s="1" a="1"/>
  <c r="F92" i="32" s="1"/>
  <c r="Q91" i="32"/>
  <c r="P91" i="32"/>
  <c r="M91" i="32"/>
  <c r="L91" i="32"/>
  <c r="I91" i="32"/>
  <c r="C91" i="32"/>
  <c r="D91" i="32" s="1"/>
  <c r="P90" i="32"/>
  <c r="Q90" i="32" s="1"/>
  <c r="M90" i="32"/>
  <c r="L90" i="32"/>
  <c r="I90" i="32"/>
  <c r="D90" i="32"/>
  <c r="C90" i="32"/>
  <c r="F90" i="32" s="1" a="1"/>
  <c r="F90" i="32" s="1"/>
  <c r="P89" i="32"/>
  <c r="Q89" i="32" s="1"/>
  <c r="M89" i="32"/>
  <c r="L89" i="32"/>
  <c r="I89" i="32"/>
  <c r="F89" i="32" a="1"/>
  <c r="F89" i="32" s="1"/>
  <c r="C89" i="32"/>
  <c r="D89" i="32" s="1"/>
  <c r="P88" i="32"/>
  <c r="Q88" i="32" s="1"/>
  <c r="M88" i="32"/>
  <c r="L88" i="32"/>
  <c r="I88" i="32"/>
  <c r="C88" i="32"/>
  <c r="F88" i="32" s="1" a="1"/>
  <c r="F88" i="32" s="1"/>
  <c r="Q87" i="32"/>
  <c r="P87" i="32"/>
  <c r="M87" i="32"/>
  <c r="L87" i="32"/>
  <c r="I87" i="32"/>
  <c r="C87" i="32"/>
  <c r="F87" i="32" s="1" a="1"/>
  <c r="F87" i="32" s="1"/>
  <c r="P86" i="32"/>
  <c r="Q86" i="32" s="1"/>
  <c r="M86" i="32"/>
  <c r="L86" i="32"/>
  <c r="I86" i="32"/>
  <c r="D86" i="32"/>
  <c r="C86" i="32"/>
  <c r="F86" i="32" s="1" a="1"/>
  <c r="F86" i="32" s="1"/>
  <c r="P85" i="32"/>
  <c r="Q85" i="32" s="1"/>
  <c r="M85" i="32"/>
  <c r="L85" i="32"/>
  <c r="I85" i="32"/>
  <c r="C85" i="32"/>
  <c r="F85" i="32" s="1" a="1"/>
  <c r="F85" i="32" s="1"/>
  <c r="P84" i="32"/>
  <c r="Q84" i="32" s="1"/>
  <c r="M84" i="32"/>
  <c r="L84" i="32"/>
  <c r="I84" i="32"/>
  <c r="D84" i="32"/>
  <c r="C84" i="32"/>
  <c r="F84" i="32" s="1" a="1"/>
  <c r="F84" i="32" s="1"/>
  <c r="Q83" i="32"/>
  <c r="P83" i="32"/>
  <c r="M83" i="32"/>
  <c r="L83" i="32"/>
  <c r="I83" i="32"/>
  <c r="C83" i="32"/>
  <c r="D83" i="32" s="1"/>
  <c r="P82" i="32"/>
  <c r="Q82" i="32" s="1"/>
  <c r="M82" i="32"/>
  <c r="L82" i="32"/>
  <c r="I82" i="32"/>
  <c r="D82" i="32"/>
  <c r="C82" i="32"/>
  <c r="F82" i="32" s="1" a="1"/>
  <c r="F82" i="32" s="1"/>
  <c r="P81" i="32"/>
  <c r="Q81" i="32" s="1"/>
  <c r="M81" i="32"/>
  <c r="L81" i="32"/>
  <c r="I81" i="32"/>
  <c r="C81" i="32"/>
  <c r="D81" i="32" s="1"/>
  <c r="P80" i="32"/>
  <c r="Q80" i="32" s="1"/>
  <c r="M80" i="32"/>
  <c r="L80" i="32"/>
  <c r="I80" i="32"/>
  <c r="C80" i="32"/>
  <c r="F80" i="32" s="1" a="1"/>
  <c r="F80" i="32" s="1"/>
  <c r="Q79" i="32"/>
  <c r="P79" i="32"/>
  <c r="M79" i="32"/>
  <c r="L79" i="32"/>
  <c r="I79" i="32"/>
  <c r="C79" i="32"/>
  <c r="F79" i="32" s="1" a="1"/>
  <c r="F79" i="32" s="1"/>
  <c r="P78" i="32"/>
  <c r="Q78" i="32" s="1"/>
  <c r="M78" i="32"/>
  <c r="L78" i="32"/>
  <c r="I78" i="32"/>
  <c r="F78" i="32" a="1"/>
  <c r="F78" i="32" s="1"/>
  <c r="D78" i="32"/>
  <c r="C78" i="32"/>
  <c r="P77" i="32"/>
  <c r="Q77" i="32" s="1"/>
  <c r="M77" i="32"/>
  <c r="L77" i="32"/>
  <c r="I77" i="32"/>
  <c r="C77" i="32"/>
  <c r="F77" i="32" s="1" a="1"/>
  <c r="F77" i="32" s="1"/>
  <c r="P76" i="32"/>
  <c r="Q76" i="32" s="1"/>
  <c r="M76" i="32"/>
  <c r="L76" i="32"/>
  <c r="I76" i="32"/>
  <c r="D76" i="32"/>
  <c r="C76" i="32"/>
  <c r="F76" i="32" s="1" a="1"/>
  <c r="F76" i="32" s="1"/>
  <c r="P75" i="32"/>
  <c r="Q75" i="32" s="1"/>
  <c r="M75" i="32"/>
  <c r="L75" i="32"/>
  <c r="I75" i="32"/>
  <c r="F75" i="32" a="1"/>
  <c r="F75" i="32" s="1"/>
  <c r="C75" i="32"/>
  <c r="D75" i="32" s="1"/>
  <c r="P74" i="32"/>
  <c r="Q74" i="32" s="1"/>
  <c r="M74" i="32"/>
  <c r="L74" i="32"/>
  <c r="I74" i="32"/>
  <c r="C74" i="32"/>
  <c r="F74" i="32" s="1" a="1"/>
  <c r="F74" i="32" s="1"/>
  <c r="P73" i="32"/>
  <c r="Q73" i="32" s="1"/>
  <c r="M73" i="32"/>
  <c r="L73" i="32"/>
  <c r="I73" i="32"/>
  <c r="F73" i="32" a="1"/>
  <c r="F73" i="32" s="1"/>
  <c r="C73" i="32"/>
  <c r="D73" i="32" s="1"/>
  <c r="P72" i="32"/>
  <c r="Q72" i="32" s="1"/>
  <c r="M72" i="32"/>
  <c r="L72" i="32"/>
  <c r="I72" i="32"/>
  <c r="C72" i="32"/>
  <c r="F72" i="32" s="1" a="1"/>
  <c r="F72" i="32" s="1"/>
  <c r="P71" i="32"/>
  <c r="Q71" i="32" s="1"/>
  <c r="M71" i="32"/>
  <c r="L71" i="32"/>
  <c r="I71" i="32"/>
  <c r="C71" i="32"/>
  <c r="F71" i="32" s="1" a="1"/>
  <c r="F71" i="32" s="1"/>
  <c r="P70" i="32"/>
  <c r="Q70" i="32" s="1"/>
  <c r="M70" i="32"/>
  <c r="L70" i="32"/>
  <c r="I70" i="32"/>
  <c r="F70" i="32" a="1"/>
  <c r="F70" i="32" s="1"/>
  <c r="C70" i="32"/>
  <c r="D70" i="32" s="1"/>
  <c r="Q69" i="32"/>
  <c r="P69" i="32"/>
  <c r="M69" i="32"/>
  <c r="L69" i="32"/>
  <c r="I69" i="32"/>
  <c r="C69" i="32"/>
  <c r="F69" i="32" s="1" a="1"/>
  <c r="F69" i="32" s="1"/>
  <c r="P68" i="32"/>
  <c r="Q68" i="32" s="1"/>
  <c r="M68" i="32"/>
  <c r="L68" i="32"/>
  <c r="I68" i="32"/>
  <c r="D68" i="32"/>
  <c r="C68" i="32"/>
  <c r="F68" i="32" s="1" a="1"/>
  <c r="F68" i="32" s="1"/>
  <c r="Q67" i="32"/>
  <c r="P67" i="32"/>
  <c r="M67" i="32"/>
  <c r="L67" i="32"/>
  <c r="I67" i="32"/>
  <c r="F67" i="32" a="1"/>
  <c r="F67" i="32" s="1"/>
  <c r="C67" i="32"/>
  <c r="D67" i="32" s="1"/>
  <c r="P66" i="32"/>
  <c r="Q66" i="32" s="1"/>
  <c r="M66" i="32"/>
  <c r="L66" i="32"/>
  <c r="I66" i="32"/>
  <c r="C66" i="32"/>
  <c r="F66" i="32" s="1" a="1"/>
  <c r="F66" i="32" s="1"/>
  <c r="P65" i="32"/>
  <c r="Q65" i="32" s="1"/>
  <c r="M65" i="32"/>
  <c r="L65" i="32"/>
  <c r="I65" i="32"/>
  <c r="F65" i="32" a="1"/>
  <c r="F65" i="32" s="1"/>
  <c r="C65" i="32"/>
  <c r="D65" i="32" s="1"/>
  <c r="P64" i="32"/>
  <c r="Q64" i="32" s="1"/>
  <c r="M64" i="32"/>
  <c r="L64" i="32"/>
  <c r="I64" i="32"/>
  <c r="C64" i="32"/>
  <c r="F64" i="32" s="1" a="1"/>
  <c r="F64" i="32" s="1"/>
  <c r="Q63" i="32"/>
  <c r="P63" i="32"/>
  <c r="M63" i="32"/>
  <c r="L63" i="32"/>
  <c r="I63" i="32"/>
  <c r="C63" i="32"/>
  <c r="F63" i="32" s="1" a="1"/>
  <c r="F63" i="32" s="1"/>
  <c r="P62" i="32"/>
  <c r="Q62" i="32" s="1"/>
  <c r="M62" i="32"/>
  <c r="L62" i="32"/>
  <c r="I62" i="32"/>
  <c r="C62" i="32"/>
  <c r="F62" i="32" s="1" a="1"/>
  <c r="F62" i="32" s="1"/>
  <c r="Q61" i="32"/>
  <c r="P61" i="32"/>
  <c r="M61" i="32"/>
  <c r="L61" i="32"/>
  <c r="I61" i="32"/>
  <c r="C61" i="32"/>
  <c r="F61" i="32" s="1" a="1"/>
  <c r="F61" i="32" s="1"/>
  <c r="P60" i="32"/>
  <c r="Q60" i="32" s="1"/>
  <c r="M60" i="32"/>
  <c r="L60" i="32"/>
  <c r="I60" i="32"/>
  <c r="C60" i="32"/>
  <c r="F60" i="32" s="1" a="1"/>
  <c r="F60" i="32" s="1"/>
  <c r="Q59" i="32"/>
  <c r="P59" i="32"/>
  <c r="M59" i="32"/>
  <c r="L59" i="32"/>
  <c r="I59" i="32"/>
  <c r="F59" i="32" a="1"/>
  <c r="F59" i="32" s="1"/>
  <c r="C59" i="32"/>
  <c r="D59" i="32" s="1"/>
  <c r="P58" i="32"/>
  <c r="Q58" i="32" s="1"/>
  <c r="M58" i="32"/>
  <c r="L58" i="32"/>
  <c r="I58" i="32"/>
  <c r="D58" i="32"/>
  <c r="C58" i="32"/>
  <c r="F58" i="32" s="1" a="1"/>
  <c r="F58" i="32" s="1"/>
  <c r="P57" i="32"/>
  <c r="Q57" i="32" s="1"/>
  <c r="M57" i="32"/>
  <c r="L57" i="32"/>
  <c r="I57" i="32"/>
  <c r="C57" i="32"/>
  <c r="D57" i="32" s="1"/>
  <c r="P56" i="32"/>
  <c r="Q56" i="32" s="1"/>
  <c r="M56" i="32"/>
  <c r="L56" i="32"/>
  <c r="I56" i="32"/>
  <c r="C56" i="32"/>
  <c r="F56" i="32" s="1" a="1"/>
  <c r="F56" i="32" s="1"/>
  <c r="Q55" i="32"/>
  <c r="P55" i="32"/>
  <c r="M55" i="32"/>
  <c r="L55" i="32"/>
  <c r="I55" i="32"/>
  <c r="C55" i="32"/>
  <c r="F55" i="32" s="1" a="1"/>
  <c r="F55" i="32" s="1"/>
  <c r="P54" i="32"/>
  <c r="Q54" i="32" s="1"/>
  <c r="M54" i="32"/>
  <c r="L54" i="32"/>
  <c r="I54" i="32"/>
  <c r="D54" i="32"/>
  <c r="C54" i="32"/>
  <c r="F54" i="32" s="1" a="1"/>
  <c r="F54" i="32" s="1"/>
  <c r="Q53" i="32"/>
  <c r="P53" i="32"/>
  <c r="M53" i="32"/>
  <c r="L53" i="32"/>
  <c r="I53" i="32"/>
  <c r="C53" i="32"/>
  <c r="F53" i="32" s="1" a="1"/>
  <c r="F53" i="32" s="1"/>
  <c r="P52" i="32"/>
  <c r="Q52" i="32" s="1"/>
  <c r="M52" i="32"/>
  <c r="L52" i="32"/>
  <c r="I52" i="32"/>
  <c r="D52" i="32"/>
  <c r="C52" i="32"/>
  <c r="F52" i="32" s="1" a="1"/>
  <c r="F52" i="32" s="1"/>
  <c r="P51" i="32"/>
  <c r="Q51" i="32" s="1"/>
  <c r="M51" i="32"/>
  <c r="L51" i="32"/>
  <c r="I51" i="32"/>
  <c r="C51" i="32"/>
  <c r="D51" i="32" s="1"/>
  <c r="P50" i="32"/>
  <c r="Q50" i="32" s="1"/>
  <c r="M50" i="32"/>
  <c r="L50" i="32"/>
  <c r="I50" i="32"/>
  <c r="C50" i="32"/>
  <c r="D50" i="32" s="1"/>
  <c r="P49" i="32"/>
  <c r="Q49" i="32" s="1"/>
  <c r="M49" i="32"/>
  <c r="L49" i="32"/>
  <c r="I49" i="32"/>
  <c r="F49" i="32" a="1"/>
  <c r="F49" i="32" s="1"/>
  <c r="C49" i="32"/>
  <c r="D49" i="32" s="1"/>
  <c r="P48" i="32"/>
  <c r="Q48" i="32" s="1"/>
  <c r="M48" i="32"/>
  <c r="L48" i="32"/>
  <c r="I48" i="32"/>
  <c r="C48" i="32"/>
  <c r="F48" i="32" s="1" a="1"/>
  <c r="F48" i="32" s="1"/>
  <c r="Q47" i="32"/>
  <c r="P47" i="32"/>
  <c r="M47" i="32"/>
  <c r="L47" i="32"/>
  <c r="I47" i="32"/>
  <c r="C47" i="32"/>
  <c r="F47" i="32" s="1" a="1"/>
  <c r="F47" i="32" s="1"/>
  <c r="P46" i="32"/>
  <c r="Q46" i="32" s="1"/>
  <c r="M46" i="32"/>
  <c r="L46" i="32"/>
  <c r="I46" i="32"/>
  <c r="C46" i="32"/>
  <c r="D46" i="32" s="1"/>
  <c r="Q45" i="32"/>
  <c r="P45" i="32"/>
  <c r="M45" i="32"/>
  <c r="L45" i="32"/>
  <c r="I45" i="32"/>
  <c r="C45" i="32"/>
  <c r="F45" i="32" s="1" a="1"/>
  <c r="F45" i="32" s="1"/>
  <c r="P44" i="32"/>
  <c r="Q44" i="32" s="1"/>
  <c r="M44" i="32"/>
  <c r="L44" i="32"/>
  <c r="I44" i="32"/>
  <c r="C44" i="32"/>
  <c r="F44" i="32" s="1" a="1"/>
  <c r="F44" i="32" s="1"/>
  <c r="Q43" i="32"/>
  <c r="P43" i="32"/>
  <c r="M43" i="32"/>
  <c r="L43" i="32"/>
  <c r="I43" i="32"/>
  <c r="C43" i="32"/>
  <c r="D43" i="32" s="1"/>
  <c r="P42" i="32"/>
  <c r="Q42" i="32" s="1"/>
  <c r="M42" i="32"/>
  <c r="L42" i="32"/>
  <c r="I42" i="32"/>
  <c r="F42" i="32" a="1"/>
  <c r="F42" i="32" s="1"/>
  <c r="C42" i="32"/>
  <c r="D42" i="32" s="1"/>
  <c r="P41" i="32"/>
  <c r="Q41" i="32" s="1"/>
  <c r="M41" i="32"/>
  <c r="L41" i="32"/>
  <c r="I41" i="32"/>
  <c r="C41" i="32"/>
  <c r="D41" i="32" s="1"/>
  <c r="P40" i="32"/>
  <c r="Q40" i="32" s="1"/>
  <c r="M40" i="32"/>
  <c r="L40" i="32"/>
  <c r="I40" i="32"/>
  <c r="C40" i="32"/>
  <c r="F40" i="32" s="1" a="1"/>
  <c r="F40" i="32" s="1"/>
  <c r="P39" i="32"/>
  <c r="Q39" i="32" s="1"/>
  <c r="M39" i="32"/>
  <c r="L39" i="32"/>
  <c r="I39" i="32"/>
  <c r="C39" i="32"/>
  <c r="F39" i="32" s="1" a="1"/>
  <c r="F39" i="32" s="1"/>
  <c r="P38" i="32"/>
  <c r="Q38" i="32" s="1"/>
  <c r="M38" i="32"/>
  <c r="L38" i="32"/>
  <c r="I38" i="32"/>
  <c r="F38" i="32" a="1"/>
  <c r="F38" i="32" s="1"/>
  <c r="C38" i="32"/>
  <c r="D38" i="32" s="1"/>
  <c r="Q37" i="32"/>
  <c r="P37" i="32"/>
  <c r="M37" i="32"/>
  <c r="L37" i="32"/>
  <c r="I37" i="32"/>
  <c r="C37" i="32"/>
  <c r="F37" i="32" s="1" a="1"/>
  <c r="F37" i="32" s="1"/>
  <c r="P36" i="32"/>
  <c r="Q36" i="32" s="1"/>
  <c r="M36" i="32"/>
  <c r="L36" i="32"/>
  <c r="I36" i="32"/>
  <c r="D36" i="32"/>
  <c r="C36" i="32"/>
  <c r="F36" i="32" s="1" a="1"/>
  <c r="F36" i="32" s="1"/>
  <c r="P35" i="32"/>
  <c r="Q35" i="32" s="1"/>
  <c r="M35" i="32"/>
  <c r="L35" i="32"/>
  <c r="I35" i="32"/>
  <c r="F35" i="32" a="1"/>
  <c r="F35" i="32" s="1"/>
  <c r="C35" i="32"/>
  <c r="D35" i="32" s="1"/>
  <c r="P34" i="32"/>
  <c r="Q34" i="32" s="1"/>
  <c r="M34" i="32"/>
  <c r="L34" i="32"/>
  <c r="I34" i="32"/>
  <c r="F34" i="32" a="1"/>
  <c r="F34" i="32" s="1"/>
  <c r="D34" i="32"/>
  <c r="C34" i="32"/>
  <c r="P33" i="32"/>
  <c r="Q33" i="32" s="1"/>
  <c r="M33" i="32"/>
  <c r="L33" i="32"/>
  <c r="I33" i="32"/>
  <c r="C33" i="32"/>
  <c r="D33" i="32" s="1"/>
  <c r="P32" i="32"/>
  <c r="Q32" i="32" s="1"/>
  <c r="M32" i="32"/>
  <c r="L32" i="32"/>
  <c r="I32" i="32"/>
  <c r="C32" i="32"/>
  <c r="F32" i="32" s="1" a="1"/>
  <c r="F32" i="32" s="1"/>
  <c r="P31" i="32"/>
  <c r="Q31" i="32" s="1"/>
  <c r="M31" i="32"/>
  <c r="L31" i="32"/>
  <c r="I31" i="32"/>
  <c r="C31" i="32"/>
  <c r="F31" i="32" s="1" a="1"/>
  <c r="F31" i="32" s="1"/>
  <c r="P30" i="32"/>
  <c r="Q30" i="32" s="1"/>
  <c r="M30" i="32"/>
  <c r="L30" i="32"/>
  <c r="I30" i="32"/>
  <c r="F30" i="32" a="1"/>
  <c r="F30" i="32" s="1"/>
  <c r="D30" i="32"/>
  <c r="C30" i="32"/>
  <c r="P29" i="32"/>
  <c r="Q29" i="32" s="1"/>
  <c r="M29" i="32"/>
  <c r="L29" i="32"/>
  <c r="I29" i="32"/>
  <c r="C29" i="32"/>
  <c r="F29" i="32" s="1" a="1"/>
  <c r="F29" i="32" s="1"/>
  <c r="P28" i="32"/>
  <c r="Q28" i="32" s="1"/>
  <c r="M28" i="32"/>
  <c r="L28" i="32"/>
  <c r="I28" i="32"/>
  <c r="D28" i="32"/>
  <c r="C28" i="32"/>
  <c r="F28" i="32" s="1" a="1"/>
  <c r="F28" i="32" s="1"/>
  <c r="P27" i="32"/>
  <c r="Q27" i="32" s="1"/>
  <c r="M27" i="32"/>
  <c r="L27" i="32"/>
  <c r="I27" i="32"/>
  <c r="C27" i="32"/>
  <c r="D27" i="32" s="1"/>
  <c r="P26" i="32"/>
  <c r="Q26" i="32" s="1"/>
  <c r="M26" i="32"/>
  <c r="L26" i="32"/>
  <c r="I26" i="32"/>
  <c r="C26" i="32"/>
  <c r="F26" i="32" s="1" a="1"/>
  <c r="F26" i="32" s="1"/>
  <c r="P25" i="32"/>
  <c r="Q25" i="32" s="1"/>
  <c r="M25" i="32"/>
  <c r="L25" i="32"/>
  <c r="I25" i="32"/>
  <c r="F25" i="32" a="1"/>
  <c r="F25" i="32" s="1"/>
  <c r="C25" i="32"/>
  <c r="D25" i="32" s="1"/>
  <c r="P24" i="32"/>
  <c r="Q24" i="32" s="1"/>
  <c r="M24" i="32"/>
  <c r="L24" i="32"/>
  <c r="I24" i="32"/>
  <c r="C24" i="32"/>
  <c r="F24" i="32" s="1" a="1"/>
  <c r="F24" i="32" s="1"/>
  <c r="Q23" i="32"/>
  <c r="P23" i="32"/>
  <c r="M23" i="32"/>
  <c r="L23" i="32"/>
  <c r="I23" i="32"/>
  <c r="C23" i="32"/>
  <c r="D23" i="32" s="1"/>
  <c r="P22" i="32"/>
  <c r="Q22" i="32" s="1"/>
  <c r="M22" i="32"/>
  <c r="L22" i="32"/>
  <c r="I22" i="32"/>
  <c r="C22" i="32"/>
  <c r="F22" i="32" s="1" a="1"/>
  <c r="F22" i="32" s="1"/>
  <c r="P21" i="32"/>
  <c r="Q21" i="32" s="1"/>
  <c r="M21" i="32"/>
  <c r="L21" i="32"/>
  <c r="I21" i="32"/>
  <c r="C21" i="32"/>
  <c r="F21" i="32" s="1" a="1"/>
  <c r="F21" i="32" s="1"/>
  <c r="P20" i="32"/>
  <c r="Q20" i="32" s="1"/>
  <c r="M20" i="32"/>
  <c r="L20" i="32"/>
  <c r="I20" i="32"/>
  <c r="D20" i="32"/>
  <c r="C20" i="32"/>
  <c r="F20" i="32" s="1" a="1"/>
  <c r="F20" i="32" s="1"/>
  <c r="Q19" i="32"/>
  <c r="P19" i="32"/>
  <c r="M19" i="32"/>
  <c r="L19" i="32"/>
  <c r="I19" i="32"/>
  <c r="C19" i="32"/>
  <c r="D19" i="32" s="1"/>
  <c r="P18" i="32"/>
  <c r="Q18" i="32" s="1"/>
  <c r="M18" i="32"/>
  <c r="L18" i="32"/>
  <c r="I18" i="32"/>
  <c r="C18" i="32"/>
  <c r="F18" i="32" s="1" a="1"/>
  <c r="F18" i="32" s="1"/>
  <c r="P17" i="32"/>
  <c r="Q17" i="32" s="1"/>
  <c r="M17" i="32"/>
  <c r="L17" i="32"/>
  <c r="I17" i="32"/>
  <c r="F17" i="32" a="1"/>
  <c r="F17" i="32" s="1"/>
  <c r="C17" i="32"/>
  <c r="D17" i="32" s="1"/>
  <c r="P16" i="32"/>
  <c r="Q16" i="32" s="1"/>
  <c r="M16" i="32"/>
  <c r="L16" i="32"/>
  <c r="I16" i="32"/>
  <c r="C16" i="32"/>
  <c r="F16" i="32" s="1" a="1"/>
  <c r="F16" i="32" s="1"/>
  <c r="P15" i="32"/>
  <c r="Q15" i="32" s="1"/>
  <c r="M15" i="32"/>
  <c r="L15" i="32"/>
  <c r="I15" i="32"/>
  <c r="C15" i="32"/>
  <c r="F15" i="32" s="1" a="1"/>
  <c r="F15" i="32" s="1"/>
  <c r="P14" i="32"/>
  <c r="Q14" i="32" s="1"/>
  <c r="M14" i="32"/>
  <c r="L14" i="32"/>
  <c r="I14" i="32"/>
  <c r="C14" i="32"/>
  <c r="F14" i="32" s="1" a="1"/>
  <c r="F14" i="32" s="1"/>
  <c r="Q13" i="32"/>
  <c r="P13" i="32"/>
  <c r="M13" i="32"/>
  <c r="L13" i="32"/>
  <c r="I13" i="32"/>
  <c r="C13" i="32"/>
  <c r="F13" i="32" s="1" a="1"/>
  <c r="F13" i="32" s="1"/>
  <c r="P12" i="32"/>
  <c r="Q12" i="32" s="1"/>
  <c r="M12" i="32"/>
  <c r="L12" i="32"/>
  <c r="I12" i="32"/>
  <c r="C12" i="32"/>
  <c r="F12" i="32" s="1" a="1"/>
  <c r="F12" i="32" s="1"/>
  <c r="Q11" i="32"/>
  <c r="P11" i="32"/>
  <c r="M11" i="32"/>
  <c r="L11" i="32"/>
  <c r="I11" i="32"/>
  <c r="F11" i="32" a="1"/>
  <c r="F11" i="32" s="1"/>
  <c r="C11" i="32"/>
  <c r="D11" i="32" s="1"/>
  <c r="P10" i="32"/>
  <c r="Q10" i="32" s="1"/>
  <c r="M10" i="32"/>
  <c r="L10" i="32"/>
  <c r="I10" i="32"/>
  <c r="P9" i="32"/>
  <c r="Q9" i="32" s="1"/>
  <c r="M9" i="32"/>
  <c r="L9" i="32"/>
  <c r="I9" i="32"/>
  <c r="P8" i="32"/>
  <c r="Q8" i="32" s="1"/>
  <c r="M8" i="32"/>
  <c r="L8" i="32"/>
  <c r="I8" i="32"/>
  <c r="Q7" i="32"/>
  <c r="P7" i="32"/>
  <c r="M7" i="32"/>
  <c r="L7" i="32"/>
  <c r="I7" i="32"/>
  <c r="P6" i="32"/>
  <c r="Q6" i="32" s="1"/>
  <c r="M6" i="32"/>
  <c r="L6" i="32"/>
  <c r="I6" i="32"/>
  <c r="P100" i="31"/>
  <c r="Q100" i="31" s="1"/>
  <c r="M100" i="31"/>
  <c r="I100" i="31"/>
  <c r="F100" i="31" a="1"/>
  <c r="F100" i="31" s="1"/>
  <c r="D100" i="31"/>
  <c r="C100" i="31"/>
  <c r="P99" i="31"/>
  <c r="Q99" i="31" s="1"/>
  <c r="M99" i="31"/>
  <c r="I99" i="31"/>
  <c r="C99" i="31"/>
  <c r="D99" i="31" s="1"/>
  <c r="P98" i="31"/>
  <c r="Q98" i="31" s="1"/>
  <c r="M98" i="31"/>
  <c r="I98" i="31"/>
  <c r="F98" i="31"/>
  <c r="F98" i="31" a="1"/>
  <c r="C98" i="31"/>
  <c r="D98" i="31" s="1"/>
  <c r="P97" i="31"/>
  <c r="Q97" i="31" s="1"/>
  <c r="M97" i="31"/>
  <c r="I97" i="31"/>
  <c r="C97" i="31"/>
  <c r="F97" i="31" s="1" a="1"/>
  <c r="F97" i="31" s="1"/>
  <c r="P96" i="31"/>
  <c r="Q96" i="31" s="1"/>
  <c r="M96" i="31"/>
  <c r="I96" i="31"/>
  <c r="C96" i="31"/>
  <c r="F96" i="31" s="1" a="1"/>
  <c r="F96" i="31" s="1"/>
  <c r="P95" i="31"/>
  <c r="Q95" i="31" s="1"/>
  <c r="M95" i="31"/>
  <c r="I95" i="31"/>
  <c r="D95" i="31"/>
  <c r="C95" i="31"/>
  <c r="F95" i="31" s="1" a="1"/>
  <c r="F95" i="31" s="1"/>
  <c r="P94" i="31"/>
  <c r="Q94" i="31" s="1"/>
  <c r="M94" i="31"/>
  <c r="I94" i="31"/>
  <c r="C94" i="31"/>
  <c r="F94" i="31" s="1" a="1"/>
  <c r="F94" i="31" s="1"/>
  <c r="P93" i="31"/>
  <c r="Q93" i="31" s="1"/>
  <c r="M93" i="31"/>
  <c r="I93" i="31"/>
  <c r="C93" i="31"/>
  <c r="D93" i="31" s="1"/>
  <c r="P92" i="31"/>
  <c r="Q92" i="31" s="1"/>
  <c r="M92" i="31"/>
  <c r="I92" i="31"/>
  <c r="D92" i="31"/>
  <c r="C92" i="31"/>
  <c r="F92" i="31" s="1" a="1"/>
  <c r="F92" i="31" s="1"/>
  <c r="P91" i="31"/>
  <c r="Q91" i="31" s="1"/>
  <c r="M91" i="31"/>
  <c r="I91" i="31"/>
  <c r="F91" i="31" a="1"/>
  <c r="F91" i="31" s="1"/>
  <c r="C91" i="31"/>
  <c r="D91" i="31" s="1"/>
  <c r="P90" i="31"/>
  <c r="Q90" i="31" s="1"/>
  <c r="M90" i="31"/>
  <c r="I90" i="31"/>
  <c r="C90" i="31"/>
  <c r="D90" i="31" s="1"/>
  <c r="P89" i="31"/>
  <c r="Q89" i="31" s="1"/>
  <c r="M89" i="31"/>
  <c r="I89" i="31"/>
  <c r="C89" i="31"/>
  <c r="F89" i="31" s="1" a="1"/>
  <c r="F89" i="31" s="1"/>
  <c r="P88" i="31"/>
  <c r="Q88" i="31" s="1"/>
  <c r="M88" i="31"/>
  <c r="I88" i="31"/>
  <c r="C88" i="31"/>
  <c r="F88" i="31" s="1" a="1"/>
  <c r="F88" i="31" s="1"/>
  <c r="P87" i="31"/>
  <c r="Q87" i="31" s="1"/>
  <c r="M87" i="31"/>
  <c r="I87" i="31"/>
  <c r="F87" i="31" a="1"/>
  <c r="F87" i="31" s="1"/>
  <c r="D87" i="31"/>
  <c r="C87" i="31"/>
  <c r="P86" i="31"/>
  <c r="Q86" i="31" s="1"/>
  <c r="M86" i="31"/>
  <c r="I86" i="31"/>
  <c r="C86" i="31"/>
  <c r="F86" i="31" s="1" a="1"/>
  <c r="F86" i="31" s="1"/>
  <c r="P85" i="31"/>
  <c r="Q85" i="31" s="1"/>
  <c r="M85" i="31"/>
  <c r="I85" i="31"/>
  <c r="C85" i="31"/>
  <c r="F85" i="31" s="1" a="1"/>
  <c r="F85" i="31" s="1"/>
  <c r="Q84" i="31"/>
  <c r="P84" i="31"/>
  <c r="M84" i="31"/>
  <c r="I84" i="31"/>
  <c r="F84" i="31" a="1"/>
  <c r="F84" i="31" s="1"/>
  <c r="D84" i="31"/>
  <c r="C84" i="31"/>
  <c r="P83" i="31"/>
  <c r="Q83" i="31" s="1"/>
  <c r="M83" i="31"/>
  <c r="I83" i="31"/>
  <c r="C83" i="31"/>
  <c r="D83" i="31" s="1"/>
  <c r="P82" i="31"/>
  <c r="Q82" i="31" s="1"/>
  <c r="M82" i="31"/>
  <c r="I82" i="31"/>
  <c r="F82" i="31"/>
  <c r="F82" i="31" a="1"/>
  <c r="C82" i="31"/>
  <c r="D82" i="31" s="1"/>
  <c r="P81" i="31"/>
  <c r="Q81" i="31" s="1"/>
  <c r="M81" i="31"/>
  <c r="I81" i="31"/>
  <c r="C81" i="31"/>
  <c r="F81" i="31" s="1" a="1"/>
  <c r="F81" i="31" s="1"/>
  <c r="Q80" i="31"/>
  <c r="P80" i="31"/>
  <c r="M80" i="31"/>
  <c r="I80" i="31"/>
  <c r="C80" i="31"/>
  <c r="F80" i="31" s="1" a="1"/>
  <c r="F80" i="31" s="1"/>
  <c r="P79" i="31"/>
  <c r="Q79" i="31" s="1"/>
  <c r="M79" i="31"/>
  <c r="I79" i="31"/>
  <c r="F79" i="31" a="1"/>
  <c r="F79" i="31" s="1"/>
  <c r="D79" i="31"/>
  <c r="C79" i="31"/>
  <c r="P78" i="31"/>
  <c r="Q78" i="31" s="1"/>
  <c r="M78" i="31"/>
  <c r="I78" i="31"/>
  <c r="C78" i="31"/>
  <c r="F78" i="31" s="1" a="1"/>
  <c r="F78" i="31" s="1"/>
  <c r="Q77" i="31"/>
  <c r="P77" i="31"/>
  <c r="M77" i="31"/>
  <c r="I77" i="31"/>
  <c r="C77" i="31"/>
  <c r="D77" i="31" s="1"/>
  <c r="Q76" i="31"/>
  <c r="P76" i="31"/>
  <c r="M76" i="31"/>
  <c r="I76" i="31"/>
  <c r="F76" i="31" a="1"/>
  <c r="F76" i="31" s="1"/>
  <c r="D76" i="31"/>
  <c r="C76" i="31"/>
  <c r="P75" i="31"/>
  <c r="Q75" i="31" s="1"/>
  <c r="M75" i="31"/>
  <c r="I75" i="31"/>
  <c r="D75" i="31"/>
  <c r="C75" i="31"/>
  <c r="F75" i="31" s="1" a="1"/>
  <c r="F75" i="31" s="1"/>
  <c r="P74" i="31"/>
  <c r="Q74" i="31" s="1"/>
  <c r="M74" i="31"/>
  <c r="I74" i="31"/>
  <c r="C74" i="31"/>
  <c r="D74" i="31" s="1"/>
  <c r="Q73" i="31"/>
  <c r="P73" i="31"/>
  <c r="M73" i="31"/>
  <c r="I73" i="31"/>
  <c r="C73" i="31"/>
  <c r="F73" i="31" s="1" a="1"/>
  <c r="F73" i="31" s="1"/>
  <c r="Q72" i="31"/>
  <c r="P72" i="31"/>
  <c r="M72" i="31"/>
  <c r="I72" i="31"/>
  <c r="D72" i="31"/>
  <c r="C72" i="31"/>
  <c r="F72" i="31" s="1" a="1"/>
  <c r="F72" i="31" s="1"/>
  <c r="P71" i="31"/>
  <c r="Q71" i="31" s="1"/>
  <c r="M71" i="31"/>
  <c r="I71" i="31"/>
  <c r="C71" i="31"/>
  <c r="F71" i="31" s="1" a="1"/>
  <c r="F71" i="31" s="1"/>
  <c r="P70" i="31"/>
  <c r="Q70" i="31" s="1"/>
  <c r="M70" i="31"/>
  <c r="I70" i="31"/>
  <c r="C70" i="31"/>
  <c r="F70" i="31" s="1" a="1"/>
  <c r="F70" i="31" s="1"/>
  <c r="Q69" i="31"/>
  <c r="P69" i="31"/>
  <c r="M69" i="31"/>
  <c r="I69" i="31"/>
  <c r="C69" i="31"/>
  <c r="F69" i="31" s="1" a="1"/>
  <c r="F69" i="31" s="1"/>
  <c r="Q68" i="31"/>
  <c r="P68" i="31"/>
  <c r="M68" i="31"/>
  <c r="I68" i="31"/>
  <c r="C68" i="31"/>
  <c r="F68" i="31" s="1" a="1"/>
  <c r="F68" i="31" s="1"/>
  <c r="P67" i="31"/>
  <c r="Q67" i="31" s="1"/>
  <c r="M67" i="31"/>
  <c r="I67" i="31"/>
  <c r="F67" i="31" a="1"/>
  <c r="F67" i="31" s="1"/>
  <c r="D67" i="31"/>
  <c r="C67" i="31"/>
  <c r="P66" i="31"/>
  <c r="Q66" i="31" s="1"/>
  <c r="M66" i="31"/>
  <c r="I66" i="31"/>
  <c r="C66" i="31"/>
  <c r="D66" i="31" s="1"/>
  <c r="Q65" i="31"/>
  <c r="P65" i="31"/>
  <c r="M65" i="31"/>
  <c r="I65" i="31"/>
  <c r="C65" i="31"/>
  <c r="F65" i="31" s="1" a="1"/>
  <c r="F65" i="31" s="1"/>
  <c r="Q64" i="31"/>
  <c r="P64" i="31"/>
  <c r="M64" i="31"/>
  <c r="I64" i="31"/>
  <c r="C64" i="31"/>
  <c r="F64" i="31" s="1" a="1"/>
  <c r="F64" i="31" s="1"/>
  <c r="P63" i="31"/>
  <c r="Q63" i="31" s="1"/>
  <c r="M63" i="31"/>
  <c r="I63" i="31"/>
  <c r="C63" i="31"/>
  <c r="F63" i="31" s="1" a="1"/>
  <c r="F63" i="31" s="1"/>
  <c r="P62" i="31"/>
  <c r="Q62" i="31" s="1"/>
  <c r="M62" i="31"/>
  <c r="I62" i="31"/>
  <c r="C62" i="31"/>
  <c r="F62" i="31" s="1" a="1"/>
  <c r="F62" i="31" s="1"/>
  <c r="Q61" i="31"/>
  <c r="P61" i="31"/>
  <c r="M61" i="31"/>
  <c r="I61" i="31"/>
  <c r="C61" i="31"/>
  <c r="D61" i="31" s="1"/>
  <c r="P60" i="31"/>
  <c r="Q60" i="31" s="1"/>
  <c r="M60" i="31"/>
  <c r="I60" i="31"/>
  <c r="C60" i="31"/>
  <c r="F60" i="31" s="1" a="1"/>
  <c r="F60" i="31" s="1"/>
  <c r="P59" i="31"/>
  <c r="Q59" i="31" s="1"/>
  <c r="M59" i="31"/>
  <c r="I59" i="31"/>
  <c r="F59" i="31" a="1"/>
  <c r="F59" i="31" s="1"/>
  <c r="D59" i="31"/>
  <c r="C59" i="31"/>
  <c r="P58" i="31"/>
  <c r="Q58" i="31" s="1"/>
  <c r="M58" i="31"/>
  <c r="I58" i="31"/>
  <c r="F58" i="31" a="1"/>
  <c r="F58" i="31" s="1"/>
  <c r="C58" i="31"/>
  <c r="D58" i="31" s="1"/>
  <c r="Q57" i="31"/>
  <c r="P57" i="31"/>
  <c r="M57" i="31"/>
  <c r="I57" i="31"/>
  <c r="C57" i="31"/>
  <c r="F57" i="31" s="1" a="1"/>
  <c r="F57" i="31" s="1"/>
  <c r="P56" i="31"/>
  <c r="Q56" i="31" s="1"/>
  <c r="M56" i="31"/>
  <c r="I56" i="31"/>
  <c r="C56" i="31"/>
  <c r="F56" i="31" s="1" a="1"/>
  <c r="F56" i="31" s="1"/>
  <c r="P55" i="31"/>
  <c r="Q55" i="31" s="1"/>
  <c r="M55" i="31"/>
  <c r="I55" i="31"/>
  <c r="F55" i="31" a="1"/>
  <c r="F55" i="31" s="1"/>
  <c r="D55" i="31"/>
  <c r="C55" i="31"/>
  <c r="P54" i="31"/>
  <c r="Q54" i="31" s="1"/>
  <c r="M54" i="31"/>
  <c r="I54" i="31"/>
  <c r="C54" i="31"/>
  <c r="F54" i="31" s="1" a="1"/>
  <c r="F54" i="31" s="1"/>
  <c r="P53" i="31"/>
  <c r="Q53" i="31" s="1"/>
  <c r="M53" i="31"/>
  <c r="I53" i="31"/>
  <c r="C53" i="31"/>
  <c r="F53" i="31" s="1" a="1"/>
  <c r="F53" i="31" s="1"/>
  <c r="P52" i="31"/>
  <c r="Q52" i="31" s="1"/>
  <c r="M52" i="31"/>
  <c r="I52" i="31"/>
  <c r="F52" i="31" a="1"/>
  <c r="F52" i="31" s="1"/>
  <c r="D52" i="31"/>
  <c r="C52" i="31"/>
  <c r="P51" i="31"/>
  <c r="Q51" i="31" s="1"/>
  <c r="M51" i="31"/>
  <c r="I51" i="31"/>
  <c r="C51" i="31"/>
  <c r="F51" i="31" s="1" a="1"/>
  <c r="F51" i="31" s="1"/>
  <c r="P50" i="31"/>
  <c r="Q50" i="31" s="1"/>
  <c r="M50" i="31"/>
  <c r="I50" i="31"/>
  <c r="F50" i="31" a="1"/>
  <c r="F50" i="31" s="1"/>
  <c r="C50" i="31"/>
  <c r="D50" i="31" s="1"/>
  <c r="P49" i="31"/>
  <c r="Q49" i="31" s="1"/>
  <c r="M49" i="31"/>
  <c r="I49" i="31"/>
  <c r="C49" i="31"/>
  <c r="F49" i="31" s="1" a="1"/>
  <c r="F49" i="31" s="1"/>
  <c r="P48" i="31"/>
  <c r="Q48" i="31" s="1"/>
  <c r="M48" i="31"/>
  <c r="I48" i="31"/>
  <c r="D48" i="31"/>
  <c r="C48" i="31"/>
  <c r="F48" i="31" s="1" a="1"/>
  <c r="F48" i="31" s="1"/>
  <c r="P47" i="31"/>
  <c r="Q47" i="31" s="1"/>
  <c r="M47" i="31"/>
  <c r="I47" i="31"/>
  <c r="F47" i="31" a="1"/>
  <c r="F47" i="31" s="1"/>
  <c r="C47" i="31"/>
  <c r="D47" i="31" s="1"/>
  <c r="P46" i="31"/>
  <c r="Q46" i="31" s="1"/>
  <c r="M46" i="31"/>
  <c r="I46" i="31"/>
  <c r="C46" i="31"/>
  <c r="F46" i="31" s="1" a="1"/>
  <c r="F46" i="31" s="1"/>
  <c r="P45" i="31"/>
  <c r="Q45" i="31" s="1"/>
  <c r="M45" i="31"/>
  <c r="I45" i="31"/>
  <c r="C45" i="31"/>
  <c r="D45" i="31" s="1"/>
  <c r="Q44" i="31"/>
  <c r="P44" i="31"/>
  <c r="M44" i="31"/>
  <c r="I44" i="31"/>
  <c r="F44" i="31" a="1"/>
  <c r="F44" i="31" s="1"/>
  <c r="C44" i="31"/>
  <c r="D44" i="31" s="1"/>
  <c r="P43" i="31"/>
  <c r="Q43" i="31" s="1"/>
  <c r="M43" i="31"/>
  <c r="I43" i="31"/>
  <c r="C43" i="31"/>
  <c r="F43" i="31" s="1" a="1"/>
  <c r="F43" i="31" s="1"/>
  <c r="P42" i="31"/>
  <c r="Q42" i="31" s="1"/>
  <c r="M42" i="31"/>
  <c r="I42" i="31"/>
  <c r="F42" i="31" a="1"/>
  <c r="F42" i="31" s="1"/>
  <c r="C42" i="31"/>
  <c r="D42" i="31" s="1"/>
  <c r="P41" i="31"/>
  <c r="Q41" i="31" s="1"/>
  <c r="M41" i="31"/>
  <c r="I41" i="31"/>
  <c r="C41" i="31"/>
  <c r="F41" i="31" s="1" a="1"/>
  <c r="F41" i="31" s="1"/>
  <c r="Q40" i="31"/>
  <c r="P40" i="31"/>
  <c r="M40" i="31"/>
  <c r="I40" i="31"/>
  <c r="D40" i="31"/>
  <c r="C40" i="31"/>
  <c r="F40" i="31" s="1" a="1"/>
  <c r="F40" i="31" s="1"/>
  <c r="P39" i="31"/>
  <c r="Q39" i="31" s="1"/>
  <c r="M39" i="31"/>
  <c r="I39" i="31"/>
  <c r="C39" i="31"/>
  <c r="D39" i="31" s="1"/>
  <c r="P38" i="31"/>
  <c r="Q38" i="31" s="1"/>
  <c r="M38" i="31"/>
  <c r="I38" i="31"/>
  <c r="C38" i="31"/>
  <c r="F38" i="31" s="1" a="1"/>
  <c r="F38" i="31" s="1"/>
  <c r="Q37" i="31"/>
  <c r="P37" i="31"/>
  <c r="M37" i="31"/>
  <c r="I37" i="31"/>
  <c r="C37" i="31"/>
  <c r="F37" i="31" s="1" a="1"/>
  <c r="F37" i="31" s="1"/>
  <c r="P36" i="31"/>
  <c r="Q36" i="31" s="1"/>
  <c r="M36" i="31"/>
  <c r="I36" i="31"/>
  <c r="C36" i="31"/>
  <c r="D36" i="31" s="1"/>
  <c r="P35" i="31"/>
  <c r="Q35" i="31" s="1"/>
  <c r="M35" i="31"/>
  <c r="I35" i="31"/>
  <c r="F35" i="31" a="1"/>
  <c r="F35" i="31" s="1"/>
  <c r="D35" i="31"/>
  <c r="C35" i="31"/>
  <c r="P34" i="31"/>
  <c r="Q34" i="31" s="1"/>
  <c r="M34" i="31"/>
  <c r="I34" i="31"/>
  <c r="C34" i="31"/>
  <c r="D34" i="31" s="1"/>
  <c r="Q33" i="31"/>
  <c r="P33" i="31"/>
  <c r="M33" i="31"/>
  <c r="I33" i="31"/>
  <c r="C33" i="31"/>
  <c r="F33" i="31" s="1" a="1"/>
  <c r="F33" i="31" s="1"/>
  <c r="P32" i="31"/>
  <c r="Q32" i="31" s="1"/>
  <c r="M32" i="31"/>
  <c r="I32" i="31"/>
  <c r="D32" i="31"/>
  <c r="C32" i="31"/>
  <c r="F32" i="31" s="1" a="1"/>
  <c r="F32" i="31" s="1"/>
  <c r="P31" i="31"/>
  <c r="Q31" i="31" s="1"/>
  <c r="M31" i="31"/>
  <c r="I31" i="31"/>
  <c r="D31" i="31"/>
  <c r="C31" i="31"/>
  <c r="F31" i="31" s="1" a="1"/>
  <c r="F31" i="31" s="1"/>
  <c r="P30" i="31"/>
  <c r="Q30" i="31" s="1"/>
  <c r="M30" i="31"/>
  <c r="I30" i="31"/>
  <c r="C30" i="31"/>
  <c r="F30" i="31" s="1" a="1"/>
  <c r="F30" i="31" s="1"/>
  <c r="P29" i="31"/>
  <c r="Q29" i="31" s="1"/>
  <c r="M29" i="31"/>
  <c r="I29" i="31"/>
  <c r="C29" i="31"/>
  <c r="D29" i="31" s="1"/>
  <c r="P28" i="31"/>
  <c r="Q28" i="31" s="1"/>
  <c r="M28" i="31"/>
  <c r="I28" i="31"/>
  <c r="D28" i="31"/>
  <c r="C28" i="31"/>
  <c r="F28" i="31" s="1" a="1"/>
  <c r="F28" i="31" s="1"/>
  <c r="P27" i="31"/>
  <c r="Q27" i="31" s="1"/>
  <c r="M27" i="31"/>
  <c r="I27" i="31"/>
  <c r="F27" i="31" a="1"/>
  <c r="F27" i="31" s="1"/>
  <c r="C27" i="31"/>
  <c r="D27" i="31" s="1"/>
  <c r="P26" i="31"/>
  <c r="Q26" i="31" s="1"/>
  <c r="M26" i="31"/>
  <c r="I26" i="31"/>
  <c r="C26" i="31"/>
  <c r="D26" i="31" s="1"/>
  <c r="P25" i="31"/>
  <c r="Q25" i="31" s="1"/>
  <c r="M25" i="31"/>
  <c r="I25" i="31"/>
  <c r="C25" i="31"/>
  <c r="F25" i="31" s="1" a="1"/>
  <c r="F25" i="31" s="1"/>
  <c r="P24" i="31"/>
  <c r="Q24" i="31" s="1"/>
  <c r="M24" i="31"/>
  <c r="I24" i="31"/>
  <c r="C24" i="31"/>
  <c r="F24" i="31" s="1" a="1"/>
  <c r="F24" i="31" s="1"/>
  <c r="P23" i="31"/>
  <c r="Q23" i="31" s="1"/>
  <c r="M23" i="31"/>
  <c r="I23" i="31"/>
  <c r="F23" i="31" a="1"/>
  <c r="F23" i="31" s="1"/>
  <c r="D23" i="31"/>
  <c r="C23" i="31"/>
  <c r="P22" i="31"/>
  <c r="Q22" i="31" s="1"/>
  <c r="M22" i="31"/>
  <c r="I22" i="31"/>
  <c r="C22" i="31"/>
  <c r="F22" i="31" s="1" a="1"/>
  <c r="F22" i="31" s="1"/>
  <c r="P21" i="31"/>
  <c r="Q21" i="31" s="1"/>
  <c r="M21" i="31"/>
  <c r="I21" i="31"/>
  <c r="C21" i="31"/>
  <c r="D21" i="31" s="1"/>
  <c r="Q20" i="31"/>
  <c r="P20" i="31"/>
  <c r="M20" i="31"/>
  <c r="I20" i="31"/>
  <c r="C20" i="31"/>
  <c r="F20" i="31" s="1" a="1"/>
  <c r="F20" i="31" s="1"/>
  <c r="P19" i="31"/>
  <c r="Q19" i="31" s="1"/>
  <c r="M19" i="31"/>
  <c r="I19" i="31"/>
  <c r="F19" i="31" a="1"/>
  <c r="F19" i="31" s="1"/>
  <c r="D19" i="31"/>
  <c r="C19" i="31"/>
  <c r="P18" i="31"/>
  <c r="Q18" i="31" s="1"/>
  <c r="M18" i="31"/>
  <c r="I18" i="31"/>
  <c r="F18" i="31" a="1"/>
  <c r="F18" i="31" s="1"/>
  <c r="C18" i="31"/>
  <c r="D18" i="31" s="1"/>
  <c r="Q17" i="31"/>
  <c r="P17" i="31"/>
  <c r="M17" i="31"/>
  <c r="I17" i="31"/>
  <c r="C17" i="31"/>
  <c r="F17" i="31" s="1" a="1"/>
  <c r="F17" i="31" s="1"/>
  <c r="P16" i="31"/>
  <c r="Q16" i="31" s="1"/>
  <c r="M16" i="31"/>
  <c r="I16" i="31"/>
  <c r="C16" i="31"/>
  <c r="F16" i="31" s="1" a="1"/>
  <c r="F16" i="31" s="1"/>
  <c r="P15" i="31"/>
  <c r="Q15" i="31" s="1"/>
  <c r="M15" i="31"/>
  <c r="I15" i="31"/>
  <c r="F15" i="31" a="1"/>
  <c r="F15" i="31" s="1"/>
  <c r="D15" i="31"/>
  <c r="C15" i="31"/>
  <c r="P14" i="31"/>
  <c r="Q14" i="31" s="1"/>
  <c r="M14" i="31"/>
  <c r="I14" i="31"/>
  <c r="C14" i="31"/>
  <c r="F14" i="31" s="1" a="1"/>
  <c r="F14" i="31" s="1"/>
  <c r="P13" i="31"/>
  <c r="Q13" i="31" s="1"/>
  <c r="M13" i="31"/>
  <c r="I13" i="31"/>
  <c r="C13" i="31"/>
  <c r="D13" i="31" s="1"/>
  <c r="P12" i="31"/>
  <c r="Q12" i="31" s="1"/>
  <c r="M12" i="31"/>
  <c r="I12" i="31"/>
  <c r="D12" i="31"/>
  <c r="C12" i="31"/>
  <c r="F12" i="31" s="1" a="1"/>
  <c r="F12" i="31" s="1"/>
  <c r="P11" i="31"/>
  <c r="Q11" i="31" s="1"/>
  <c r="M11" i="31"/>
  <c r="I11" i="31"/>
  <c r="F11" i="31" a="1"/>
  <c r="F11" i="31" s="1"/>
  <c r="C11" i="31"/>
  <c r="D11" i="31" s="1"/>
  <c r="P10" i="31"/>
  <c r="Q10" i="31" s="1"/>
  <c r="M10" i="31"/>
  <c r="I10" i="31"/>
  <c r="C10" i="31"/>
  <c r="D10" i="31" s="1"/>
  <c r="P9" i="31"/>
  <c r="Q9" i="31" s="1"/>
  <c r="M9" i="31"/>
  <c r="I9" i="31"/>
  <c r="C9" i="31"/>
  <c r="F9" i="31" s="1" a="1"/>
  <c r="F9" i="31" s="1"/>
  <c r="P8" i="31"/>
  <c r="Q8" i="31" s="1"/>
  <c r="M8" i="31"/>
  <c r="I8" i="31"/>
  <c r="P7" i="31"/>
  <c r="Q7" i="31" s="1"/>
  <c r="M7" i="31"/>
  <c r="I7" i="31"/>
  <c r="P6" i="31"/>
  <c r="Q6" i="31" s="1"/>
  <c r="M6" i="31"/>
  <c r="I6" i="31"/>
  <c r="P100" i="30"/>
  <c r="Q100" i="30" s="1"/>
  <c r="M100" i="30"/>
  <c r="L100" i="30"/>
  <c r="I100" i="30"/>
  <c r="D100" i="30"/>
  <c r="C100" i="30"/>
  <c r="F100" i="30" s="1" a="1"/>
  <c r="F100" i="30" s="1"/>
  <c r="P99" i="30"/>
  <c r="Q99" i="30" s="1"/>
  <c r="M99" i="30"/>
  <c r="L99" i="30"/>
  <c r="I99" i="30"/>
  <c r="C99" i="30"/>
  <c r="D99" i="30" s="1"/>
  <c r="Q98" i="30"/>
  <c r="P98" i="30"/>
  <c r="M98" i="30"/>
  <c r="L98" i="30"/>
  <c r="I98" i="30"/>
  <c r="C98" i="30"/>
  <c r="F98" i="30" s="1" a="1"/>
  <c r="F98" i="30" s="1"/>
  <c r="P97" i="30"/>
  <c r="Q97" i="30" s="1"/>
  <c r="M97" i="30"/>
  <c r="L97" i="30"/>
  <c r="I97" i="30"/>
  <c r="C97" i="30"/>
  <c r="D97" i="30" s="1"/>
  <c r="Q96" i="30"/>
  <c r="P96" i="30"/>
  <c r="M96" i="30"/>
  <c r="L96" i="30"/>
  <c r="I96" i="30"/>
  <c r="C96" i="30"/>
  <c r="F96" i="30" s="1" a="1"/>
  <c r="F96" i="30" s="1"/>
  <c r="P95" i="30"/>
  <c r="Q95" i="30" s="1"/>
  <c r="M95" i="30"/>
  <c r="L95" i="30"/>
  <c r="I95" i="30"/>
  <c r="D95" i="30"/>
  <c r="C95" i="30"/>
  <c r="F95" i="30" s="1" a="1"/>
  <c r="F95" i="30" s="1"/>
  <c r="P94" i="30"/>
  <c r="Q94" i="30" s="1"/>
  <c r="M94" i="30"/>
  <c r="L94" i="30"/>
  <c r="I94" i="30"/>
  <c r="C94" i="30"/>
  <c r="F94" i="30" s="1" a="1"/>
  <c r="F94" i="30" s="1"/>
  <c r="Q93" i="30"/>
  <c r="P93" i="30"/>
  <c r="M93" i="30"/>
  <c r="L93" i="30"/>
  <c r="I93" i="30"/>
  <c r="C93" i="30"/>
  <c r="F93" i="30" s="1" a="1"/>
  <c r="F93" i="30" s="1"/>
  <c r="P92" i="30"/>
  <c r="Q92" i="30" s="1"/>
  <c r="M92" i="30"/>
  <c r="L92" i="30"/>
  <c r="I92" i="30"/>
  <c r="C92" i="30"/>
  <c r="F92" i="30" s="1" a="1"/>
  <c r="F92" i="30" s="1"/>
  <c r="Q91" i="30"/>
  <c r="P91" i="30"/>
  <c r="M91" i="30"/>
  <c r="L91" i="30"/>
  <c r="I91" i="30"/>
  <c r="F91" i="30" a="1"/>
  <c r="F91" i="30" s="1"/>
  <c r="C91" i="30"/>
  <c r="D91" i="30" s="1"/>
  <c r="P90" i="30"/>
  <c r="Q90" i="30" s="1"/>
  <c r="M90" i="30"/>
  <c r="L90" i="30"/>
  <c r="I90" i="30"/>
  <c r="D90" i="30"/>
  <c r="C90" i="30"/>
  <c r="F90" i="30" s="1" a="1"/>
  <c r="F90" i="30" s="1"/>
  <c r="P89" i="30"/>
  <c r="Q89" i="30" s="1"/>
  <c r="M89" i="30"/>
  <c r="L89" i="30"/>
  <c r="I89" i="30"/>
  <c r="D89" i="30"/>
  <c r="C89" i="30"/>
  <c r="F89" i="30" s="1" a="1"/>
  <c r="F89" i="30" s="1"/>
  <c r="Q88" i="30"/>
  <c r="P88" i="30"/>
  <c r="M88" i="30"/>
  <c r="L88" i="30"/>
  <c r="I88" i="30"/>
  <c r="C88" i="30"/>
  <c r="F88" i="30" s="1" a="1"/>
  <c r="F88" i="30" s="1"/>
  <c r="Q87" i="30"/>
  <c r="P87" i="30"/>
  <c r="M87" i="30"/>
  <c r="L87" i="30"/>
  <c r="I87" i="30"/>
  <c r="D87" i="30"/>
  <c r="C87" i="30"/>
  <c r="F87" i="30" s="1" a="1"/>
  <c r="F87" i="30" s="1"/>
  <c r="P86" i="30"/>
  <c r="Q86" i="30" s="1"/>
  <c r="M86" i="30"/>
  <c r="L86" i="30"/>
  <c r="I86" i="30"/>
  <c r="C86" i="30"/>
  <c r="F86" i="30" s="1" a="1"/>
  <c r="F86" i="30" s="1"/>
  <c r="P85" i="30"/>
  <c r="Q85" i="30" s="1"/>
  <c r="M85" i="30"/>
  <c r="L85" i="30"/>
  <c r="I85" i="30"/>
  <c r="C85" i="30"/>
  <c r="F85" i="30" s="1" a="1"/>
  <c r="F85" i="30" s="1"/>
  <c r="P84" i="30"/>
  <c r="Q84" i="30" s="1"/>
  <c r="M84" i="30"/>
  <c r="L84" i="30"/>
  <c r="I84" i="30"/>
  <c r="F84" i="30" a="1"/>
  <c r="F84" i="30" s="1"/>
  <c r="D84" i="30"/>
  <c r="C84" i="30"/>
  <c r="P83" i="30"/>
  <c r="Q83" i="30" s="1"/>
  <c r="M83" i="30"/>
  <c r="L83" i="30"/>
  <c r="I83" i="30"/>
  <c r="F83" i="30" a="1"/>
  <c r="F83" i="30" s="1"/>
  <c r="C83" i="30"/>
  <c r="D83" i="30" s="1"/>
  <c r="P82" i="30"/>
  <c r="Q82" i="30" s="1"/>
  <c r="M82" i="30"/>
  <c r="L82" i="30"/>
  <c r="I82" i="30"/>
  <c r="C82" i="30"/>
  <c r="F82" i="30" s="1" a="1"/>
  <c r="F82" i="30" s="1"/>
  <c r="P81" i="30"/>
  <c r="Q81" i="30" s="1"/>
  <c r="M81" i="30"/>
  <c r="L81" i="30"/>
  <c r="I81" i="30"/>
  <c r="C81" i="30"/>
  <c r="F81" i="30" s="1" a="1"/>
  <c r="F81" i="30" s="1"/>
  <c r="Q80" i="30"/>
  <c r="P80" i="30"/>
  <c r="M80" i="30"/>
  <c r="L80" i="30"/>
  <c r="I80" i="30"/>
  <c r="C80" i="30"/>
  <c r="F80" i="30" s="1" a="1"/>
  <c r="F80" i="30" s="1"/>
  <c r="P79" i="30"/>
  <c r="Q79" i="30" s="1"/>
  <c r="M79" i="30"/>
  <c r="L79" i="30"/>
  <c r="I79" i="30"/>
  <c r="C79" i="30"/>
  <c r="F79" i="30" s="1" a="1"/>
  <c r="F79" i="30" s="1"/>
  <c r="P78" i="30"/>
  <c r="Q78" i="30" s="1"/>
  <c r="M78" i="30"/>
  <c r="L78" i="30"/>
  <c r="I78" i="30"/>
  <c r="C78" i="30"/>
  <c r="D78" i="30" s="1"/>
  <c r="Q77" i="30"/>
  <c r="P77" i="30"/>
  <c r="M77" i="30"/>
  <c r="L77" i="30"/>
  <c r="I77" i="30"/>
  <c r="C77" i="30"/>
  <c r="F77" i="30" s="1" a="1"/>
  <c r="F77" i="30" s="1"/>
  <c r="P76" i="30"/>
  <c r="Q76" i="30" s="1"/>
  <c r="M76" i="30"/>
  <c r="L76" i="30"/>
  <c r="I76" i="30"/>
  <c r="F76" i="30" a="1"/>
  <c r="F76" i="30" s="1"/>
  <c r="D76" i="30"/>
  <c r="C76" i="30"/>
  <c r="P75" i="30"/>
  <c r="Q75" i="30" s="1"/>
  <c r="M75" i="30"/>
  <c r="L75" i="30"/>
  <c r="I75" i="30"/>
  <c r="C75" i="30"/>
  <c r="D75" i="30" s="1"/>
  <c r="Q74" i="30"/>
  <c r="P74" i="30"/>
  <c r="M74" i="30"/>
  <c r="L74" i="30"/>
  <c r="I74" i="30"/>
  <c r="C74" i="30"/>
  <c r="F74" i="30" s="1" a="1"/>
  <c r="F74" i="30" s="1"/>
  <c r="P73" i="30"/>
  <c r="Q73" i="30" s="1"/>
  <c r="M73" i="30"/>
  <c r="L73" i="30"/>
  <c r="I73" i="30"/>
  <c r="F73" i="30" a="1"/>
  <c r="F73" i="30" s="1"/>
  <c r="C73" i="30"/>
  <c r="D73" i="30" s="1"/>
  <c r="P72" i="30"/>
  <c r="Q72" i="30" s="1"/>
  <c r="M72" i="30"/>
  <c r="L72" i="30"/>
  <c r="I72" i="30"/>
  <c r="C72" i="30"/>
  <c r="F72" i="30" s="1" a="1"/>
  <c r="F72" i="30" s="1"/>
  <c r="P71" i="30"/>
  <c r="Q71" i="30" s="1"/>
  <c r="M71" i="30"/>
  <c r="L71" i="30"/>
  <c r="I71" i="30"/>
  <c r="C71" i="30"/>
  <c r="F71" i="30" s="1" a="1"/>
  <c r="F71" i="30" s="1"/>
  <c r="P70" i="30"/>
  <c r="Q70" i="30" s="1"/>
  <c r="M70" i="30"/>
  <c r="L70" i="30"/>
  <c r="I70" i="30"/>
  <c r="F70" i="30" a="1"/>
  <c r="F70" i="30" s="1"/>
  <c r="D70" i="30"/>
  <c r="C70" i="30"/>
  <c r="P69" i="30"/>
  <c r="Q69" i="30" s="1"/>
  <c r="M69" i="30"/>
  <c r="L69" i="30"/>
  <c r="I69" i="30"/>
  <c r="C69" i="30"/>
  <c r="F69" i="30" s="1" a="1"/>
  <c r="F69" i="30" s="1"/>
  <c r="P68" i="30"/>
  <c r="Q68" i="30" s="1"/>
  <c r="M68" i="30"/>
  <c r="L68" i="30"/>
  <c r="I68" i="30"/>
  <c r="C68" i="30"/>
  <c r="F68" i="30" s="1" a="1"/>
  <c r="F68" i="30" s="1"/>
  <c r="Q67" i="30"/>
  <c r="P67" i="30"/>
  <c r="M67" i="30"/>
  <c r="L67" i="30"/>
  <c r="I67" i="30"/>
  <c r="C67" i="30"/>
  <c r="D67" i="30" s="1"/>
  <c r="P66" i="30"/>
  <c r="Q66" i="30" s="1"/>
  <c r="M66" i="30"/>
  <c r="L66" i="30"/>
  <c r="I66" i="30"/>
  <c r="D66" i="30"/>
  <c r="C66" i="30"/>
  <c r="F66" i="30" s="1" a="1"/>
  <c r="F66" i="30" s="1"/>
  <c r="P65" i="30"/>
  <c r="Q65" i="30" s="1"/>
  <c r="M65" i="30"/>
  <c r="L65" i="30"/>
  <c r="I65" i="30"/>
  <c r="C65" i="30"/>
  <c r="F65" i="30" s="1" a="1"/>
  <c r="F65" i="30" s="1"/>
  <c r="P64" i="30"/>
  <c r="Q64" i="30" s="1"/>
  <c r="M64" i="30"/>
  <c r="L64" i="30"/>
  <c r="I64" i="30"/>
  <c r="C64" i="30"/>
  <c r="F64" i="30" s="1" a="1"/>
  <c r="F64" i="30" s="1"/>
  <c r="P63" i="30"/>
  <c r="Q63" i="30" s="1"/>
  <c r="M63" i="30"/>
  <c r="L63" i="30"/>
  <c r="I63" i="30"/>
  <c r="C63" i="30"/>
  <c r="F63" i="30" s="1" a="1"/>
  <c r="F63" i="30" s="1"/>
  <c r="P62" i="30"/>
  <c r="Q62" i="30" s="1"/>
  <c r="M62" i="30"/>
  <c r="L62" i="30"/>
  <c r="I62" i="30"/>
  <c r="C62" i="30"/>
  <c r="D62" i="30" s="1"/>
  <c r="P61" i="30"/>
  <c r="Q61" i="30" s="1"/>
  <c r="M61" i="30"/>
  <c r="L61" i="30"/>
  <c r="I61" i="30"/>
  <c r="C61" i="30"/>
  <c r="F61" i="30" s="1" a="1"/>
  <c r="F61" i="30" s="1"/>
  <c r="P60" i="30"/>
  <c r="Q60" i="30" s="1"/>
  <c r="M60" i="30"/>
  <c r="L60" i="30"/>
  <c r="I60" i="30"/>
  <c r="C60" i="30"/>
  <c r="D60" i="30" s="1"/>
  <c r="Q59" i="30"/>
  <c r="P59" i="30"/>
  <c r="M59" i="30"/>
  <c r="L59" i="30"/>
  <c r="I59" i="30"/>
  <c r="F59" i="30" a="1"/>
  <c r="F59" i="30" s="1"/>
  <c r="C59" i="30"/>
  <c r="D59" i="30" s="1"/>
  <c r="P58" i="30"/>
  <c r="Q58" i="30" s="1"/>
  <c r="M58" i="30"/>
  <c r="L58" i="30"/>
  <c r="I58" i="30"/>
  <c r="D58" i="30"/>
  <c r="C58" i="30"/>
  <c r="F58" i="30" s="1" a="1"/>
  <c r="F58" i="30" s="1"/>
  <c r="P57" i="30"/>
  <c r="Q57" i="30" s="1"/>
  <c r="M57" i="30"/>
  <c r="L57" i="30"/>
  <c r="I57" i="30"/>
  <c r="C57" i="30"/>
  <c r="F57" i="30" s="1" a="1"/>
  <c r="F57" i="30" s="1"/>
  <c r="Q56" i="30"/>
  <c r="P56" i="30"/>
  <c r="M56" i="30"/>
  <c r="L56" i="30"/>
  <c r="I56" i="30"/>
  <c r="C56" i="30"/>
  <c r="F56" i="30" s="1" a="1"/>
  <c r="F56" i="30" s="1"/>
  <c r="P55" i="30"/>
  <c r="Q55" i="30" s="1"/>
  <c r="M55" i="30"/>
  <c r="L55" i="30"/>
  <c r="I55" i="30"/>
  <c r="C55" i="30"/>
  <c r="F55" i="30" s="1" a="1"/>
  <c r="F55" i="30" s="1"/>
  <c r="P54" i="30"/>
  <c r="Q54" i="30" s="1"/>
  <c r="M54" i="30"/>
  <c r="L54" i="30"/>
  <c r="I54" i="30"/>
  <c r="F54" i="30" a="1"/>
  <c r="F54" i="30" s="1"/>
  <c r="C54" i="30"/>
  <c r="D54" i="30" s="1"/>
  <c r="P53" i="30"/>
  <c r="Q53" i="30" s="1"/>
  <c r="M53" i="30"/>
  <c r="L53" i="30"/>
  <c r="I53" i="30"/>
  <c r="C53" i="30"/>
  <c r="F53" i="30" s="1" a="1"/>
  <c r="F53" i="30" s="1"/>
  <c r="P52" i="30"/>
  <c r="Q52" i="30" s="1"/>
  <c r="M52" i="30"/>
  <c r="L52" i="30"/>
  <c r="I52" i="30"/>
  <c r="C52" i="30"/>
  <c r="F52" i="30" s="1" a="1"/>
  <c r="F52" i="30" s="1"/>
  <c r="Q51" i="30"/>
  <c r="P51" i="30"/>
  <c r="M51" i="30"/>
  <c r="L51" i="30"/>
  <c r="I51" i="30"/>
  <c r="C51" i="30"/>
  <c r="D51" i="30" s="1"/>
  <c r="P50" i="30"/>
  <c r="Q50" i="30" s="1"/>
  <c r="M50" i="30"/>
  <c r="L50" i="30"/>
  <c r="I50" i="30"/>
  <c r="D50" i="30"/>
  <c r="C50" i="30"/>
  <c r="F50" i="30" s="1" a="1"/>
  <c r="F50" i="30" s="1"/>
  <c r="P49" i="30"/>
  <c r="Q49" i="30" s="1"/>
  <c r="M49" i="30"/>
  <c r="L49" i="30"/>
  <c r="I49" i="30"/>
  <c r="C49" i="30"/>
  <c r="F49" i="30" s="1" a="1"/>
  <c r="F49" i="30" s="1"/>
  <c r="P48" i="30"/>
  <c r="Q48" i="30" s="1"/>
  <c r="M48" i="30"/>
  <c r="L48" i="30"/>
  <c r="I48" i="30"/>
  <c r="C48" i="30"/>
  <c r="F48" i="30" s="1" a="1"/>
  <c r="F48" i="30" s="1"/>
  <c r="P47" i="30"/>
  <c r="Q47" i="30" s="1"/>
  <c r="M47" i="30"/>
  <c r="L47" i="30"/>
  <c r="I47" i="30"/>
  <c r="C47" i="30"/>
  <c r="F47" i="30" s="1" a="1"/>
  <c r="F47" i="30" s="1"/>
  <c r="P46" i="30"/>
  <c r="Q46" i="30" s="1"/>
  <c r="M46" i="30"/>
  <c r="L46" i="30"/>
  <c r="I46" i="30"/>
  <c r="C46" i="30"/>
  <c r="D46" i="30" s="1"/>
  <c r="P45" i="30"/>
  <c r="Q45" i="30" s="1"/>
  <c r="M45" i="30"/>
  <c r="L45" i="30"/>
  <c r="I45" i="30"/>
  <c r="C45" i="30"/>
  <c r="F45" i="30" s="1" a="1"/>
  <c r="F45" i="30" s="1"/>
  <c r="P44" i="30"/>
  <c r="Q44" i="30" s="1"/>
  <c r="M44" i="30"/>
  <c r="L44" i="30"/>
  <c r="I44" i="30"/>
  <c r="C44" i="30"/>
  <c r="D44" i="30" s="1"/>
  <c r="Q43" i="30"/>
  <c r="P43" i="30"/>
  <c r="M43" i="30"/>
  <c r="L43" i="30"/>
  <c r="I43" i="30"/>
  <c r="F43" i="30" a="1"/>
  <c r="F43" i="30" s="1"/>
  <c r="C43" i="30"/>
  <c r="D43" i="30" s="1"/>
  <c r="P42" i="30"/>
  <c r="Q42" i="30" s="1"/>
  <c r="M42" i="30"/>
  <c r="L42" i="30"/>
  <c r="I42" i="30"/>
  <c r="D42" i="30"/>
  <c r="C42" i="30"/>
  <c r="F42" i="30" s="1" a="1"/>
  <c r="F42" i="30" s="1"/>
  <c r="P41" i="30"/>
  <c r="Q41" i="30" s="1"/>
  <c r="M41" i="30"/>
  <c r="L41" i="30"/>
  <c r="I41" i="30"/>
  <c r="C41" i="30"/>
  <c r="F41" i="30" s="1" a="1"/>
  <c r="F41" i="30" s="1"/>
  <c r="Q40" i="30"/>
  <c r="P40" i="30"/>
  <c r="M40" i="30"/>
  <c r="L40" i="30"/>
  <c r="I40" i="30"/>
  <c r="C40" i="30"/>
  <c r="F40" i="30" s="1" a="1"/>
  <c r="F40" i="30" s="1"/>
  <c r="P39" i="30"/>
  <c r="Q39" i="30" s="1"/>
  <c r="M39" i="30"/>
  <c r="L39" i="30"/>
  <c r="I39" i="30"/>
  <c r="C39" i="30"/>
  <c r="F39" i="30" s="1" a="1"/>
  <c r="F39" i="30" s="1"/>
  <c r="P38" i="30"/>
  <c r="Q38" i="30" s="1"/>
  <c r="M38" i="30"/>
  <c r="L38" i="30"/>
  <c r="I38" i="30"/>
  <c r="F38" i="30" a="1"/>
  <c r="F38" i="30" s="1"/>
  <c r="C38" i="30"/>
  <c r="D38" i="30" s="1"/>
  <c r="P37" i="30"/>
  <c r="Q37" i="30" s="1"/>
  <c r="M37" i="30"/>
  <c r="L37" i="30"/>
  <c r="I37" i="30"/>
  <c r="C37" i="30"/>
  <c r="F37" i="30" s="1" a="1"/>
  <c r="F37" i="30" s="1"/>
  <c r="P36" i="30"/>
  <c r="Q36" i="30" s="1"/>
  <c r="M36" i="30"/>
  <c r="L36" i="30"/>
  <c r="I36" i="30"/>
  <c r="C36" i="30"/>
  <c r="F36" i="30" s="1" a="1"/>
  <c r="F36" i="30" s="1"/>
  <c r="Q35" i="30"/>
  <c r="P35" i="30"/>
  <c r="M35" i="30"/>
  <c r="L35" i="30"/>
  <c r="I35" i="30"/>
  <c r="C35" i="30"/>
  <c r="D35" i="30" s="1"/>
  <c r="P34" i="30"/>
  <c r="Q34" i="30" s="1"/>
  <c r="M34" i="30"/>
  <c r="L34" i="30"/>
  <c r="I34" i="30"/>
  <c r="D34" i="30"/>
  <c r="C34" i="30"/>
  <c r="F34" i="30" s="1" a="1"/>
  <c r="F34" i="30" s="1"/>
  <c r="P33" i="30"/>
  <c r="Q33" i="30" s="1"/>
  <c r="M33" i="30"/>
  <c r="L33" i="30"/>
  <c r="I33" i="30"/>
  <c r="C33" i="30"/>
  <c r="F33" i="30" s="1" a="1"/>
  <c r="F33" i="30" s="1"/>
  <c r="P32" i="30"/>
  <c r="Q32" i="30" s="1"/>
  <c r="M32" i="30"/>
  <c r="L32" i="30"/>
  <c r="I32" i="30"/>
  <c r="C32" i="30"/>
  <c r="F32" i="30" s="1" a="1"/>
  <c r="F32" i="30" s="1"/>
  <c r="P31" i="30"/>
  <c r="Q31" i="30" s="1"/>
  <c r="M31" i="30"/>
  <c r="L31" i="30"/>
  <c r="I31" i="30"/>
  <c r="C31" i="30"/>
  <c r="F31" i="30" s="1" a="1"/>
  <c r="F31" i="30" s="1"/>
  <c r="P30" i="30"/>
  <c r="Q30" i="30" s="1"/>
  <c r="M30" i="30"/>
  <c r="L30" i="30"/>
  <c r="I30" i="30"/>
  <c r="C30" i="30"/>
  <c r="D30" i="30" s="1"/>
  <c r="P29" i="30"/>
  <c r="Q29" i="30" s="1"/>
  <c r="M29" i="30"/>
  <c r="L29" i="30"/>
  <c r="I29" i="30"/>
  <c r="C29" i="30"/>
  <c r="F29" i="30" s="1" a="1"/>
  <c r="F29" i="30" s="1"/>
  <c r="P28" i="30"/>
  <c r="Q28" i="30" s="1"/>
  <c r="M28" i="30"/>
  <c r="L28" i="30"/>
  <c r="I28" i="30"/>
  <c r="C28" i="30"/>
  <c r="D28" i="30" s="1"/>
  <c r="Q27" i="30"/>
  <c r="P27" i="30"/>
  <c r="M27" i="30"/>
  <c r="L27" i="30"/>
  <c r="I27" i="30"/>
  <c r="F27" i="30" a="1"/>
  <c r="F27" i="30" s="1"/>
  <c r="C27" i="30"/>
  <c r="D27" i="30" s="1"/>
  <c r="P26" i="30"/>
  <c r="Q26" i="30" s="1"/>
  <c r="M26" i="30"/>
  <c r="L26" i="30"/>
  <c r="I26" i="30"/>
  <c r="D26" i="30"/>
  <c r="C26" i="30"/>
  <c r="F26" i="30" s="1" a="1"/>
  <c r="F26" i="30" s="1"/>
  <c r="P25" i="30"/>
  <c r="Q25" i="30" s="1"/>
  <c r="M25" i="30"/>
  <c r="L25" i="30"/>
  <c r="I25" i="30"/>
  <c r="C25" i="30"/>
  <c r="F25" i="30" s="1" a="1"/>
  <c r="F25" i="30" s="1"/>
  <c r="Q24" i="30"/>
  <c r="P24" i="30"/>
  <c r="M24" i="30"/>
  <c r="L24" i="30"/>
  <c r="I24" i="30"/>
  <c r="C24" i="30"/>
  <c r="F24" i="30" s="1" a="1"/>
  <c r="F24" i="30" s="1"/>
  <c r="P23" i="30"/>
  <c r="Q23" i="30" s="1"/>
  <c r="M23" i="30"/>
  <c r="L23" i="30"/>
  <c r="I23" i="30"/>
  <c r="C23" i="30"/>
  <c r="F23" i="30" s="1" a="1"/>
  <c r="F23" i="30" s="1"/>
  <c r="P22" i="30"/>
  <c r="Q22" i="30" s="1"/>
  <c r="M22" i="30"/>
  <c r="L22" i="30"/>
  <c r="I22" i="30"/>
  <c r="F22" i="30" a="1"/>
  <c r="F22" i="30" s="1"/>
  <c r="C22" i="30"/>
  <c r="D22" i="30" s="1"/>
  <c r="P21" i="30"/>
  <c r="Q21" i="30" s="1"/>
  <c r="M21" i="30"/>
  <c r="L21" i="30"/>
  <c r="I21" i="30"/>
  <c r="C21" i="30"/>
  <c r="F21" i="30" s="1" a="1"/>
  <c r="F21" i="30" s="1"/>
  <c r="P20" i="30"/>
  <c r="Q20" i="30" s="1"/>
  <c r="M20" i="30"/>
  <c r="L20" i="30"/>
  <c r="I20" i="30"/>
  <c r="C20" i="30"/>
  <c r="F20" i="30" s="1" a="1"/>
  <c r="F20" i="30" s="1"/>
  <c r="Q19" i="30"/>
  <c r="P19" i="30"/>
  <c r="M19" i="30"/>
  <c r="L19" i="30"/>
  <c r="I19" i="30"/>
  <c r="C19" i="30"/>
  <c r="D19" i="30" s="1"/>
  <c r="P18" i="30"/>
  <c r="Q18" i="30" s="1"/>
  <c r="M18" i="30"/>
  <c r="L18" i="30"/>
  <c r="I18" i="30"/>
  <c r="D18" i="30"/>
  <c r="C18" i="30"/>
  <c r="F18" i="30" s="1" a="1"/>
  <c r="F18" i="30" s="1"/>
  <c r="P17" i="30"/>
  <c r="Q17" i="30" s="1"/>
  <c r="M17" i="30"/>
  <c r="L17" i="30"/>
  <c r="I17" i="30"/>
  <c r="C17" i="30"/>
  <c r="F17" i="30" s="1" a="1"/>
  <c r="F17" i="30" s="1"/>
  <c r="P16" i="30"/>
  <c r="Q16" i="30" s="1"/>
  <c r="M16" i="30"/>
  <c r="L16" i="30"/>
  <c r="I16" i="30"/>
  <c r="C16" i="30"/>
  <c r="F16" i="30" s="1" a="1"/>
  <c r="F16" i="30" s="1"/>
  <c r="P15" i="30"/>
  <c r="Q15" i="30" s="1"/>
  <c r="M15" i="30"/>
  <c r="L15" i="30"/>
  <c r="I15" i="30"/>
  <c r="C15" i="30"/>
  <c r="F15" i="30" s="1" a="1"/>
  <c r="F15" i="30" s="1"/>
  <c r="P14" i="30"/>
  <c r="Q14" i="30" s="1"/>
  <c r="M14" i="30"/>
  <c r="L14" i="30"/>
  <c r="I14" i="30"/>
  <c r="C14" i="30"/>
  <c r="D14" i="30" s="1"/>
  <c r="P13" i="30"/>
  <c r="Q13" i="30" s="1"/>
  <c r="M13" i="30"/>
  <c r="L13" i="30"/>
  <c r="I13" i="30"/>
  <c r="C13" i="30"/>
  <c r="F13" i="30" s="1" a="1"/>
  <c r="F13" i="30" s="1"/>
  <c r="P12" i="30"/>
  <c r="Q12" i="30" s="1"/>
  <c r="M12" i="30"/>
  <c r="L12" i="30"/>
  <c r="I12" i="30"/>
  <c r="C12" i="30"/>
  <c r="D12" i="30" s="1"/>
  <c r="Q11" i="30"/>
  <c r="P11" i="30"/>
  <c r="M11" i="30"/>
  <c r="L11" i="30"/>
  <c r="I11" i="30"/>
  <c r="F11" i="30" a="1"/>
  <c r="F11" i="30" s="1"/>
  <c r="C11" i="30"/>
  <c r="D11" i="30" s="1"/>
  <c r="P10" i="30"/>
  <c r="Q10" i="30" s="1"/>
  <c r="M10" i="30"/>
  <c r="L10" i="30"/>
  <c r="I10" i="30"/>
  <c r="P9" i="30"/>
  <c r="Q9" i="30" s="1"/>
  <c r="M9" i="30"/>
  <c r="L9" i="30"/>
  <c r="I9" i="30"/>
  <c r="Q8" i="30"/>
  <c r="P8" i="30"/>
  <c r="M8" i="30"/>
  <c r="L8" i="30"/>
  <c r="I8" i="30"/>
  <c r="P7" i="30"/>
  <c r="Q7" i="30" s="1"/>
  <c r="M7" i="30"/>
  <c r="L7" i="30"/>
  <c r="I7" i="30"/>
  <c r="P6" i="30"/>
  <c r="Q6" i="30" s="1"/>
  <c r="M6" i="30"/>
  <c r="L6" i="30"/>
  <c r="I6" i="30"/>
  <c r="P100" i="27"/>
  <c r="Q100" i="27" s="1"/>
  <c r="M100" i="27"/>
  <c r="L100" i="27"/>
  <c r="I100" i="27"/>
  <c r="C100" i="27"/>
  <c r="F100" i="27" s="1" a="1"/>
  <c r="F100" i="27" s="1"/>
  <c r="P99" i="27"/>
  <c r="Q99" i="27" s="1"/>
  <c r="M99" i="27"/>
  <c r="L99" i="27"/>
  <c r="I99" i="27"/>
  <c r="F99" i="27" a="1"/>
  <c r="F99" i="27" s="1"/>
  <c r="D99" i="27"/>
  <c r="C99" i="27"/>
  <c r="P98" i="27"/>
  <c r="Q98" i="27" s="1"/>
  <c r="M98" i="27"/>
  <c r="L98" i="27"/>
  <c r="I98" i="27"/>
  <c r="F98" i="27" a="1"/>
  <c r="F98" i="27" s="1"/>
  <c r="C98" i="27"/>
  <c r="D98" i="27" s="1"/>
  <c r="P97" i="27"/>
  <c r="Q97" i="27" s="1"/>
  <c r="M97" i="27"/>
  <c r="L97" i="27"/>
  <c r="I97" i="27"/>
  <c r="F97" i="27" a="1"/>
  <c r="F97" i="27" s="1"/>
  <c r="D97" i="27"/>
  <c r="C97" i="27"/>
  <c r="P96" i="27"/>
  <c r="Q96" i="27" s="1"/>
  <c r="M96" i="27"/>
  <c r="L96" i="27"/>
  <c r="I96" i="27"/>
  <c r="C96" i="27"/>
  <c r="D96" i="27" s="1"/>
  <c r="P95" i="27"/>
  <c r="Q95" i="27" s="1"/>
  <c r="M95" i="27"/>
  <c r="L95" i="27"/>
  <c r="I95" i="27"/>
  <c r="C95" i="27"/>
  <c r="F95" i="27" s="1" a="1"/>
  <c r="F95" i="27" s="1"/>
  <c r="P94" i="27"/>
  <c r="Q94" i="27" s="1"/>
  <c r="M94" i="27"/>
  <c r="L94" i="27"/>
  <c r="I94" i="27"/>
  <c r="C94" i="27"/>
  <c r="F94" i="27" s="1" a="1"/>
  <c r="F94" i="27" s="1"/>
  <c r="P93" i="27"/>
  <c r="Q93" i="27" s="1"/>
  <c r="M93" i="27"/>
  <c r="L93" i="27"/>
  <c r="I93" i="27"/>
  <c r="C93" i="27"/>
  <c r="F93" i="27" s="1" a="1"/>
  <c r="F93" i="27" s="1"/>
  <c r="Q92" i="27"/>
  <c r="P92" i="27"/>
  <c r="M92" i="27"/>
  <c r="L92" i="27"/>
  <c r="I92" i="27"/>
  <c r="C92" i="27"/>
  <c r="D92" i="27" s="1"/>
  <c r="P91" i="27"/>
  <c r="Q91" i="27" s="1"/>
  <c r="M91" i="27"/>
  <c r="L91" i="27"/>
  <c r="I91" i="27"/>
  <c r="C91" i="27"/>
  <c r="F91" i="27" s="1" a="1"/>
  <c r="F91" i="27" s="1"/>
  <c r="P90" i="27"/>
  <c r="Q90" i="27" s="1"/>
  <c r="M90" i="27"/>
  <c r="L90" i="27"/>
  <c r="I90" i="27"/>
  <c r="C90" i="27"/>
  <c r="D90" i="27" s="1"/>
  <c r="Q89" i="27"/>
  <c r="P89" i="27"/>
  <c r="M89" i="27"/>
  <c r="L89" i="27"/>
  <c r="I89" i="27"/>
  <c r="C89" i="27"/>
  <c r="F89" i="27" s="1" a="1"/>
  <c r="F89" i="27" s="1"/>
  <c r="P88" i="27"/>
  <c r="Q88" i="27" s="1"/>
  <c r="M88" i="27"/>
  <c r="L88" i="27"/>
  <c r="I88" i="27"/>
  <c r="C88" i="27"/>
  <c r="F88" i="27" s="1" a="1"/>
  <c r="F88" i="27" s="1"/>
  <c r="P87" i="27"/>
  <c r="Q87" i="27" s="1"/>
  <c r="M87" i="27"/>
  <c r="L87" i="27"/>
  <c r="I87" i="27"/>
  <c r="C87" i="27"/>
  <c r="D87" i="27" s="1"/>
  <c r="P86" i="27"/>
  <c r="Q86" i="27" s="1"/>
  <c r="M86" i="27"/>
  <c r="L86" i="27"/>
  <c r="I86" i="27"/>
  <c r="C86" i="27"/>
  <c r="F86" i="27" s="1" a="1"/>
  <c r="F86" i="27" s="1"/>
  <c r="P85" i="27"/>
  <c r="Q85" i="27" s="1"/>
  <c r="M85" i="27"/>
  <c r="L85" i="27"/>
  <c r="I85" i="27"/>
  <c r="C85" i="27"/>
  <c r="F85" i="27" s="1" a="1"/>
  <c r="F85" i="27" s="1"/>
  <c r="P84" i="27"/>
  <c r="Q84" i="27" s="1"/>
  <c r="M84" i="27"/>
  <c r="L84" i="27"/>
  <c r="I84" i="27"/>
  <c r="C84" i="27"/>
  <c r="D84" i="27" s="1"/>
  <c r="P83" i="27"/>
  <c r="Q83" i="27" s="1"/>
  <c r="M83" i="27"/>
  <c r="L83" i="27"/>
  <c r="I83" i="27"/>
  <c r="F83" i="27" a="1"/>
  <c r="F83" i="27" s="1"/>
  <c r="D83" i="27"/>
  <c r="C83" i="27"/>
  <c r="P82" i="27"/>
  <c r="Q82" i="27" s="1"/>
  <c r="M82" i="27"/>
  <c r="L82" i="27"/>
  <c r="I82" i="27"/>
  <c r="F82" i="27" a="1"/>
  <c r="F82" i="27" s="1"/>
  <c r="C82" i="27"/>
  <c r="D82" i="27" s="1"/>
  <c r="P81" i="27"/>
  <c r="Q81" i="27" s="1"/>
  <c r="M81" i="27"/>
  <c r="L81" i="27"/>
  <c r="I81" i="27"/>
  <c r="C81" i="27"/>
  <c r="F81" i="27" s="1" a="1"/>
  <c r="F81" i="27" s="1"/>
  <c r="Q80" i="27"/>
  <c r="P80" i="27"/>
  <c r="M80" i="27"/>
  <c r="L80" i="27"/>
  <c r="I80" i="27"/>
  <c r="C80" i="27"/>
  <c r="F80" i="27" s="1" a="1"/>
  <c r="F80" i="27" s="1"/>
  <c r="P79" i="27"/>
  <c r="Q79" i="27" s="1"/>
  <c r="M79" i="27"/>
  <c r="L79" i="27"/>
  <c r="I79" i="27"/>
  <c r="C79" i="27"/>
  <c r="F79" i="27" s="1" a="1"/>
  <c r="F79" i="27" s="1"/>
  <c r="P78" i="27"/>
  <c r="Q78" i="27" s="1"/>
  <c r="M78" i="27"/>
  <c r="L78" i="27"/>
  <c r="I78" i="27"/>
  <c r="C78" i="27"/>
  <c r="F78" i="27" s="1" a="1"/>
  <c r="F78" i="27" s="1"/>
  <c r="P77" i="27"/>
  <c r="Q77" i="27" s="1"/>
  <c r="M77" i="27"/>
  <c r="L77" i="27"/>
  <c r="I77" i="27"/>
  <c r="C77" i="27"/>
  <c r="F77" i="27" s="1" a="1"/>
  <c r="F77" i="27" s="1"/>
  <c r="P76" i="27"/>
  <c r="Q76" i="27" s="1"/>
  <c r="M76" i="27"/>
  <c r="L76" i="27"/>
  <c r="I76" i="27"/>
  <c r="C76" i="27"/>
  <c r="D76" i="27" s="1"/>
  <c r="P75" i="27"/>
  <c r="Q75" i="27" s="1"/>
  <c r="M75" i="27"/>
  <c r="L75" i="27"/>
  <c r="I75" i="27"/>
  <c r="C75" i="27"/>
  <c r="F75" i="27" s="1" a="1"/>
  <c r="F75" i="27" s="1"/>
  <c r="Q74" i="27"/>
  <c r="P74" i="27"/>
  <c r="M74" i="27"/>
  <c r="L74" i="27"/>
  <c r="I74" i="27"/>
  <c r="C74" i="27"/>
  <c r="D74" i="27" s="1"/>
  <c r="P73" i="27"/>
  <c r="Q73" i="27" s="1"/>
  <c r="M73" i="27"/>
  <c r="L73" i="27"/>
  <c r="I73" i="27"/>
  <c r="D73" i="27"/>
  <c r="C73" i="27"/>
  <c r="F73" i="27" s="1" a="1"/>
  <c r="F73" i="27" s="1"/>
  <c r="P72" i="27"/>
  <c r="Q72" i="27" s="1"/>
  <c r="M72" i="27"/>
  <c r="L72" i="27"/>
  <c r="I72" i="27"/>
  <c r="F72" i="27" a="1"/>
  <c r="F72" i="27" s="1"/>
  <c r="D72" i="27"/>
  <c r="C72" i="27"/>
  <c r="P71" i="27"/>
  <c r="Q71" i="27" s="1"/>
  <c r="M71" i="27"/>
  <c r="L71" i="27"/>
  <c r="I71" i="27"/>
  <c r="F71" i="27" a="1"/>
  <c r="F71" i="27" s="1"/>
  <c r="D71" i="27"/>
  <c r="C71" i="27"/>
  <c r="P70" i="27"/>
  <c r="Q70" i="27" s="1"/>
  <c r="M70" i="27"/>
  <c r="L70" i="27"/>
  <c r="I70" i="27"/>
  <c r="C70" i="27"/>
  <c r="F70" i="27" s="1" a="1"/>
  <c r="F70" i="27" s="1"/>
  <c r="P69" i="27"/>
  <c r="Q69" i="27" s="1"/>
  <c r="M69" i="27"/>
  <c r="L69" i="27"/>
  <c r="I69" i="27"/>
  <c r="C69" i="27"/>
  <c r="F69" i="27" s="1" a="1"/>
  <c r="F69" i="27" s="1"/>
  <c r="Q68" i="27"/>
  <c r="P68" i="27"/>
  <c r="M68" i="27"/>
  <c r="L68" i="27"/>
  <c r="I68" i="27"/>
  <c r="C68" i="27"/>
  <c r="D68" i="27" s="1"/>
  <c r="P67" i="27"/>
  <c r="Q67" i="27" s="1"/>
  <c r="M67" i="27"/>
  <c r="L67" i="27"/>
  <c r="I67" i="27"/>
  <c r="C67" i="27"/>
  <c r="F67" i="27" s="1" a="1"/>
  <c r="F67" i="27" s="1"/>
  <c r="P66" i="27"/>
  <c r="Q66" i="27" s="1"/>
  <c r="M66" i="27"/>
  <c r="L66" i="27"/>
  <c r="I66" i="27"/>
  <c r="C66" i="27"/>
  <c r="D66" i="27" s="1"/>
  <c r="Q65" i="27"/>
  <c r="P65" i="27"/>
  <c r="M65" i="27"/>
  <c r="L65" i="27"/>
  <c r="I65" i="27"/>
  <c r="D65" i="27"/>
  <c r="C65" i="27"/>
  <c r="F65" i="27" s="1" a="1"/>
  <c r="F65" i="27" s="1"/>
  <c r="P64" i="27"/>
  <c r="Q64" i="27" s="1"/>
  <c r="M64" i="27"/>
  <c r="L64" i="27"/>
  <c r="I64" i="27"/>
  <c r="F64" i="27" a="1"/>
  <c r="F64" i="27" s="1"/>
  <c r="D64" i="27"/>
  <c r="C64" i="27"/>
  <c r="P63" i="27"/>
  <c r="Q63" i="27" s="1"/>
  <c r="M63" i="27"/>
  <c r="L63" i="27"/>
  <c r="I63" i="27"/>
  <c r="F63" i="27" a="1"/>
  <c r="F63" i="27" s="1"/>
  <c r="D63" i="27"/>
  <c r="C63" i="27"/>
  <c r="P62" i="27"/>
  <c r="Q62" i="27" s="1"/>
  <c r="M62" i="27"/>
  <c r="L62" i="27"/>
  <c r="I62" i="27"/>
  <c r="C62" i="27"/>
  <c r="F62" i="27" s="1" a="1"/>
  <c r="F62" i="27" s="1"/>
  <c r="P61" i="27"/>
  <c r="Q61" i="27" s="1"/>
  <c r="M61" i="27"/>
  <c r="L61" i="27"/>
  <c r="I61" i="27"/>
  <c r="C61" i="27"/>
  <c r="F61" i="27" s="1" a="1"/>
  <c r="F61" i="27" s="1"/>
  <c r="P60" i="27"/>
  <c r="Q60" i="27" s="1"/>
  <c r="M60" i="27"/>
  <c r="L60" i="27"/>
  <c r="I60" i="27"/>
  <c r="C60" i="27"/>
  <c r="F60" i="27" s="1" a="1"/>
  <c r="F60" i="27" s="1"/>
  <c r="P59" i="27"/>
  <c r="Q59" i="27" s="1"/>
  <c r="M59" i="27"/>
  <c r="L59" i="27"/>
  <c r="I59" i="27"/>
  <c r="F59" i="27" a="1"/>
  <c r="F59" i="27" s="1"/>
  <c r="D59" i="27"/>
  <c r="C59" i="27"/>
  <c r="P58" i="27"/>
  <c r="Q58" i="27" s="1"/>
  <c r="M58" i="27"/>
  <c r="L58" i="27"/>
  <c r="I58" i="27"/>
  <c r="C58" i="27"/>
  <c r="D58" i="27" s="1"/>
  <c r="Q57" i="27"/>
  <c r="P57" i="27"/>
  <c r="M57" i="27"/>
  <c r="L57" i="27"/>
  <c r="I57" i="27"/>
  <c r="C57" i="27"/>
  <c r="F57" i="27" s="1" a="1"/>
  <c r="F57" i="27" s="1"/>
  <c r="Q56" i="27"/>
  <c r="P56" i="27"/>
  <c r="M56" i="27"/>
  <c r="L56" i="27"/>
  <c r="I56" i="27"/>
  <c r="C56" i="27"/>
  <c r="F56" i="27" s="1" a="1"/>
  <c r="F56" i="27" s="1"/>
  <c r="P55" i="27"/>
  <c r="Q55" i="27" s="1"/>
  <c r="M55" i="27"/>
  <c r="L55" i="27"/>
  <c r="I55" i="27"/>
  <c r="C55" i="27"/>
  <c r="F55" i="27" s="1" a="1"/>
  <c r="F55" i="27" s="1"/>
  <c r="P54" i="27"/>
  <c r="Q54" i="27" s="1"/>
  <c r="M54" i="27"/>
  <c r="L54" i="27"/>
  <c r="I54" i="27"/>
  <c r="C54" i="27"/>
  <c r="F54" i="27" s="1" a="1"/>
  <c r="F54" i="27" s="1"/>
  <c r="P53" i="27"/>
  <c r="Q53" i="27" s="1"/>
  <c r="M53" i="27"/>
  <c r="L53" i="27"/>
  <c r="I53" i="27"/>
  <c r="C53" i="27"/>
  <c r="F53" i="27" s="1" a="1"/>
  <c r="F53" i="27" s="1"/>
  <c r="P52" i="27"/>
  <c r="Q52" i="27" s="1"/>
  <c r="M52" i="27"/>
  <c r="L52" i="27"/>
  <c r="I52" i="27"/>
  <c r="C52" i="27"/>
  <c r="D52" i="27" s="1"/>
  <c r="P51" i="27"/>
  <c r="Q51" i="27" s="1"/>
  <c r="M51" i="27"/>
  <c r="L51" i="27"/>
  <c r="I51" i="27"/>
  <c r="F51" i="27" a="1"/>
  <c r="F51" i="27" s="1"/>
  <c r="C51" i="27"/>
  <c r="D51" i="27" s="1"/>
  <c r="P50" i="27"/>
  <c r="Q50" i="27" s="1"/>
  <c r="M50" i="27"/>
  <c r="L50" i="27"/>
  <c r="I50" i="27"/>
  <c r="F50" i="27" a="1"/>
  <c r="F50" i="27" s="1"/>
  <c r="C50" i="27"/>
  <c r="D50" i="27" s="1"/>
  <c r="P49" i="27"/>
  <c r="Q49" i="27" s="1"/>
  <c r="M49" i="27"/>
  <c r="L49" i="27"/>
  <c r="I49" i="27"/>
  <c r="C49" i="27"/>
  <c r="F49" i="27" s="1" a="1"/>
  <c r="F49" i="27" s="1"/>
  <c r="Q48" i="27"/>
  <c r="P48" i="27"/>
  <c r="M48" i="27"/>
  <c r="L48" i="27"/>
  <c r="I48" i="27"/>
  <c r="C48" i="27"/>
  <c r="D48" i="27" s="1"/>
  <c r="P47" i="27"/>
  <c r="Q47" i="27" s="1"/>
  <c r="M47" i="27"/>
  <c r="L47" i="27"/>
  <c r="I47" i="27"/>
  <c r="F47" i="27" a="1"/>
  <c r="F47" i="27" s="1"/>
  <c r="D47" i="27"/>
  <c r="C47" i="27"/>
  <c r="P46" i="27"/>
  <c r="Q46" i="27" s="1"/>
  <c r="M46" i="27"/>
  <c r="L46" i="27"/>
  <c r="I46" i="27"/>
  <c r="C46" i="27"/>
  <c r="F46" i="27" s="1" a="1"/>
  <c r="F46" i="27" s="1"/>
  <c r="P45" i="27"/>
  <c r="Q45" i="27" s="1"/>
  <c r="M45" i="27"/>
  <c r="L45" i="27"/>
  <c r="I45" i="27"/>
  <c r="C45" i="27"/>
  <c r="F45" i="27" s="1" a="1"/>
  <c r="F45" i="27" s="1"/>
  <c r="P44" i="27"/>
  <c r="Q44" i="27" s="1"/>
  <c r="M44" i="27"/>
  <c r="L44" i="27"/>
  <c r="I44" i="27"/>
  <c r="C44" i="27"/>
  <c r="F44" i="27" s="1" a="1"/>
  <c r="F44" i="27" s="1"/>
  <c r="P43" i="27"/>
  <c r="Q43" i="27" s="1"/>
  <c r="M43" i="27"/>
  <c r="L43" i="27"/>
  <c r="I43" i="27"/>
  <c r="F43" i="27" a="1"/>
  <c r="F43" i="27" s="1"/>
  <c r="D43" i="27"/>
  <c r="C43" i="27"/>
  <c r="P42" i="27"/>
  <c r="Q42" i="27" s="1"/>
  <c r="M42" i="27"/>
  <c r="L42" i="27"/>
  <c r="I42" i="27"/>
  <c r="C42" i="27"/>
  <c r="D42" i="27" s="1"/>
  <c r="Q41" i="27"/>
  <c r="P41" i="27"/>
  <c r="M41" i="27"/>
  <c r="L41" i="27"/>
  <c r="I41" i="27"/>
  <c r="C41" i="27"/>
  <c r="F41" i="27" s="1" a="1"/>
  <c r="F41" i="27" s="1"/>
  <c r="P40" i="27"/>
  <c r="Q40" i="27" s="1"/>
  <c r="M40" i="27"/>
  <c r="L40" i="27"/>
  <c r="I40" i="27"/>
  <c r="F40" i="27" a="1"/>
  <c r="F40" i="27" s="1"/>
  <c r="D40" i="27"/>
  <c r="C40" i="27"/>
  <c r="P39" i="27"/>
  <c r="Q39" i="27" s="1"/>
  <c r="M39" i="27"/>
  <c r="L39" i="27"/>
  <c r="I39" i="27"/>
  <c r="C39" i="27"/>
  <c r="F39" i="27" s="1" a="1"/>
  <c r="F39" i="27" s="1"/>
  <c r="P38" i="27"/>
  <c r="Q38" i="27" s="1"/>
  <c r="M38" i="27"/>
  <c r="L38" i="27"/>
  <c r="I38" i="27"/>
  <c r="C38" i="27"/>
  <c r="F38" i="27" s="1" a="1"/>
  <c r="F38" i="27" s="1"/>
  <c r="P37" i="27"/>
  <c r="Q37" i="27" s="1"/>
  <c r="M37" i="27"/>
  <c r="L37" i="27"/>
  <c r="I37" i="27"/>
  <c r="C37" i="27"/>
  <c r="F37" i="27" s="1" a="1"/>
  <c r="F37" i="27" s="1"/>
  <c r="P36" i="27"/>
  <c r="Q36" i="27" s="1"/>
  <c r="M36" i="27"/>
  <c r="L36" i="27"/>
  <c r="I36" i="27"/>
  <c r="C36" i="27"/>
  <c r="F36" i="27" s="1" a="1"/>
  <c r="F36" i="27" s="1"/>
  <c r="P35" i="27"/>
  <c r="Q35" i="27" s="1"/>
  <c r="M35" i="27"/>
  <c r="L35" i="27"/>
  <c r="I35" i="27"/>
  <c r="C35" i="27"/>
  <c r="D35" i="27" s="1"/>
  <c r="P34" i="27"/>
  <c r="Q34" i="27" s="1"/>
  <c r="M34" i="27"/>
  <c r="L34" i="27"/>
  <c r="I34" i="27"/>
  <c r="F34" i="27" a="1"/>
  <c r="F34" i="27" s="1"/>
  <c r="C34" i="27"/>
  <c r="D34" i="27" s="1"/>
  <c r="P33" i="27"/>
  <c r="Q33" i="27" s="1"/>
  <c r="M33" i="27"/>
  <c r="L33" i="27"/>
  <c r="I33" i="27"/>
  <c r="C33" i="27"/>
  <c r="F33" i="27" s="1" a="1"/>
  <c r="F33" i="27" s="1"/>
  <c r="Q32" i="27"/>
  <c r="P32" i="27"/>
  <c r="M32" i="27"/>
  <c r="L32" i="27"/>
  <c r="I32" i="27"/>
  <c r="C32" i="27"/>
  <c r="F32" i="27" s="1" a="1"/>
  <c r="F32" i="27" s="1"/>
  <c r="P31" i="27"/>
  <c r="Q31" i="27" s="1"/>
  <c r="M31" i="27"/>
  <c r="L31" i="27"/>
  <c r="I31" i="27"/>
  <c r="F31" i="27" a="1"/>
  <c r="F31" i="27" s="1"/>
  <c r="C31" i="27"/>
  <c r="D31" i="27" s="1"/>
  <c r="P30" i="27"/>
  <c r="Q30" i="27" s="1"/>
  <c r="M30" i="27"/>
  <c r="L30" i="27"/>
  <c r="I30" i="27"/>
  <c r="C30" i="27"/>
  <c r="F30" i="27" s="1" a="1"/>
  <c r="F30" i="27" s="1"/>
  <c r="P29" i="27"/>
  <c r="Q29" i="27" s="1"/>
  <c r="M29" i="27"/>
  <c r="L29" i="27"/>
  <c r="I29" i="27"/>
  <c r="C29" i="27"/>
  <c r="F29" i="27" s="1" a="1"/>
  <c r="F29" i="27" s="1"/>
  <c r="Q28" i="27"/>
  <c r="P28" i="27"/>
  <c r="M28" i="27"/>
  <c r="L28" i="27"/>
  <c r="I28" i="27"/>
  <c r="C28" i="27"/>
  <c r="D28" i="27" s="1"/>
  <c r="P27" i="27"/>
  <c r="Q27" i="27" s="1"/>
  <c r="M27" i="27"/>
  <c r="L27" i="27"/>
  <c r="I27" i="27"/>
  <c r="F27" i="27" a="1"/>
  <c r="F27" i="27" s="1"/>
  <c r="D27" i="27"/>
  <c r="C27" i="27"/>
  <c r="P26" i="27"/>
  <c r="Q26" i="27" s="1"/>
  <c r="M26" i="27"/>
  <c r="L26" i="27"/>
  <c r="I26" i="27"/>
  <c r="C26" i="27"/>
  <c r="D26" i="27" s="1"/>
  <c r="Q25" i="27"/>
  <c r="P25" i="27"/>
  <c r="M25" i="27"/>
  <c r="L25" i="27"/>
  <c r="I25" i="27"/>
  <c r="C25" i="27"/>
  <c r="F25" i="27" s="1" a="1"/>
  <c r="F25" i="27" s="1"/>
  <c r="P24" i="27"/>
  <c r="Q24" i="27" s="1"/>
  <c r="M24" i="27"/>
  <c r="L24" i="27"/>
  <c r="I24" i="27"/>
  <c r="F24" i="27" a="1"/>
  <c r="F24" i="27" s="1"/>
  <c r="D24" i="27"/>
  <c r="C24" i="27"/>
  <c r="P23" i="27"/>
  <c r="Q23" i="27" s="1"/>
  <c r="M23" i="27"/>
  <c r="L23" i="27"/>
  <c r="I23" i="27"/>
  <c r="C23" i="27"/>
  <c r="F23" i="27" s="1" a="1"/>
  <c r="F23" i="27" s="1"/>
  <c r="P22" i="27"/>
  <c r="Q22" i="27" s="1"/>
  <c r="M22" i="27"/>
  <c r="L22" i="27"/>
  <c r="I22" i="27"/>
  <c r="C22" i="27"/>
  <c r="F22" i="27" s="1" a="1"/>
  <c r="F22" i="27" s="1"/>
  <c r="P21" i="27"/>
  <c r="Q21" i="27" s="1"/>
  <c r="M21" i="27"/>
  <c r="L21" i="27"/>
  <c r="I21" i="27"/>
  <c r="C21" i="27"/>
  <c r="D21" i="27" s="1"/>
  <c r="P20" i="27"/>
  <c r="Q20" i="27" s="1"/>
  <c r="M20" i="27"/>
  <c r="L20" i="27"/>
  <c r="I20" i="27"/>
  <c r="C20" i="27"/>
  <c r="D20" i="27" s="1"/>
  <c r="P19" i="27"/>
  <c r="Q19" i="27" s="1"/>
  <c r="M19" i="27"/>
  <c r="L19" i="27"/>
  <c r="I19" i="27"/>
  <c r="C19" i="27"/>
  <c r="F19" i="27" s="1" a="1"/>
  <c r="F19" i="27" s="1"/>
  <c r="P18" i="27"/>
  <c r="Q18" i="27" s="1"/>
  <c r="M18" i="27"/>
  <c r="L18" i="27"/>
  <c r="I18" i="27"/>
  <c r="F18" i="27" a="1"/>
  <c r="F18" i="27" s="1"/>
  <c r="C18" i="27"/>
  <c r="D18" i="27" s="1"/>
  <c r="P17" i="27"/>
  <c r="Q17" i="27" s="1"/>
  <c r="M17" i="27"/>
  <c r="L17" i="27"/>
  <c r="I17" i="27"/>
  <c r="C17" i="27"/>
  <c r="F17" i="27" s="1" a="1"/>
  <c r="F17" i="27" s="1"/>
  <c r="Q16" i="27"/>
  <c r="P16" i="27"/>
  <c r="M16" i="27"/>
  <c r="L16" i="27"/>
  <c r="I16" i="27"/>
  <c r="C16" i="27"/>
  <c r="D16" i="27" s="1"/>
  <c r="P15" i="27"/>
  <c r="Q15" i="27" s="1"/>
  <c r="M15" i="27"/>
  <c r="L15" i="27"/>
  <c r="I15" i="27"/>
  <c r="F15" i="27" a="1"/>
  <c r="F15" i="27" s="1"/>
  <c r="D15" i="27"/>
  <c r="C15" i="27"/>
  <c r="P14" i="27"/>
  <c r="Q14" i="27" s="1"/>
  <c r="M14" i="27"/>
  <c r="L14" i="27"/>
  <c r="I14" i="27"/>
  <c r="C14" i="27"/>
  <c r="F14" i="27" s="1" a="1"/>
  <c r="F14" i="27" s="1"/>
  <c r="P13" i="27"/>
  <c r="Q13" i="27" s="1"/>
  <c r="M13" i="27"/>
  <c r="L13" i="27"/>
  <c r="I13" i="27"/>
  <c r="C13" i="27"/>
  <c r="F13" i="27" s="1" a="1"/>
  <c r="F13" i="27" s="1"/>
  <c r="P12" i="27"/>
  <c r="Q12" i="27" s="1"/>
  <c r="M12" i="27"/>
  <c r="L12" i="27"/>
  <c r="I12" i="27"/>
  <c r="C12" i="27"/>
  <c r="F12" i="27" s="1" a="1"/>
  <c r="F12" i="27" s="1"/>
  <c r="P11" i="27"/>
  <c r="Q11" i="27" s="1"/>
  <c r="M11" i="27"/>
  <c r="L11" i="27"/>
  <c r="I11" i="27"/>
  <c r="F11" i="27" a="1"/>
  <c r="F11" i="27" s="1"/>
  <c r="D11" i="27"/>
  <c r="C11" i="27"/>
  <c r="P10" i="27"/>
  <c r="Q10" i="27" s="1"/>
  <c r="M10" i="27"/>
  <c r="L10" i="27"/>
  <c r="I10" i="27"/>
  <c r="P9" i="27"/>
  <c r="Q9" i="27" s="1"/>
  <c r="M9" i="27"/>
  <c r="L9" i="27"/>
  <c r="I9" i="27"/>
  <c r="Q8" i="27"/>
  <c r="P8" i="27"/>
  <c r="M8" i="27"/>
  <c r="L8" i="27"/>
  <c r="I8" i="27"/>
  <c r="P7" i="27"/>
  <c r="Q7" i="27" s="1"/>
  <c r="M7" i="27"/>
  <c r="L7" i="27"/>
  <c r="I7" i="27"/>
  <c r="P6" i="27"/>
  <c r="Q6" i="27" s="1"/>
  <c r="M6" i="27"/>
  <c r="L6" i="27"/>
  <c r="I6" i="27"/>
  <c r="C98" i="10"/>
  <c r="F98" i="10" s="1" a="1"/>
  <c r="F98" i="10" s="1"/>
  <c r="I98" i="10"/>
  <c r="L98" i="10"/>
  <c r="M98" i="10"/>
  <c r="P98" i="10"/>
  <c r="Q98" i="10" s="1"/>
  <c r="D48" i="37" l="1"/>
  <c r="F64" i="37" a="1"/>
  <c r="F64" i="37" s="1"/>
  <c r="F82" i="37" a="1"/>
  <c r="F82" i="37" s="1"/>
  <c r="F50" i="37" a="1"/>
  <c r="F50" i="37" s="1"/>
  <c r="D69" i="37"/>
  <c r="D89" i="37"/>
  <c r="D37" i="37"/>
  <c r="D41" i="37"/>
  <c r="F49" i="37" a="1"/>
  <c r="F49" i="37" s="1"/>
  <c r="F53" i="37" a="1"/>
  <c r="F53" i="37" s="1"/>
  <c r="D70" i="37"/>
  <c r="D81" i="37"/>
  <c r="D91" i="37"/>
  <c r="F90" i="37" a="1"/>
  <c r="F90" i="37" s="1"/>
  <c r="D35" i="37"/>
  <c r="D43" i="37"/>
  <c r="F58" i="37" a="1"/>
  <c r="F58" i="37" s="1"/>
  <c r="F72" i="37" a="1"/>
  <c r="F72" i="37" s="1"/>
  <c r="F42" i="37" a="1"/>
  <c r="F42" i="37" s="1"/>
  <c r="D57" i="37"/>
  <c r="F96" i="37" a="1"/>
  <c r="F96" i="37" s="1"/>
  <c r="D88" i="27"/>
  <c r="D91" i="27"/>
  <c r="D95" i="27"/>
  <c r="F96" i="27" a="1"/>
  <c r="F96" i="27" s="1"/>
  <c r="F16" i="27" a="1"/>
  <c r="F16" i="27" s="1"/>
  <c r="F35" i="27" a="1"/>
  <c r="F35" i="27" s="1"/>
  <c r="F48" i="27" a="1"/>
  <c r="F48" i="27" s="1"/>
  <c r="F87" i="27" a="1"/>
  <c r="F87" i="27" s="1"/>
  <c r="F12" i="30" a="1"/>
  <c r="F12" i="30" s="1"/>
  <c r="F28" i="30" a="1"/>
  <c r="F28" i="30" s="1"/>
  <c r="F44" i="30" a="1"/>
  <c r="F44" i="30" s="1"/>
  <c r="F60" i="30" a="1"/>
  <c r="F60" i="30" s="1"/>
  <c r="F78" i="30" a="1"/>
  <c r="F78" i="30" s="1"/>
  <c r="F97" i="30" a="1"/>
  <c r="F97" i="30" s="1"/>
  <c r="F36" i="31" a="1"/>
  <c r="F36" i="31" s="1"/>
  <c r="F39" i="31" a="1"/>
  <c r="F39" i="31" s="1"/>
  <c r="F83" i="31" a="1"/>
  <c r="F83" i="31" s="1"/>
  <c r="F99" i="31" a="1"/>
  <c r="F99" i="31" s="1"/>
  <c r="F46" i="32" a="1"/>
  <c r="F46" i="32" s="1"/>
  <c r="F50" i="32" a="1"/>
  <c r="F50" i="32" s="1"/>
  <c r="F94" i="32" a="1"/>
  <c r="F94" i="32" s="1"/>
  <c r="F42" i="33" a="1"/>
  <c r="F42" i="33" s="1"/>
  <c r="F43" i="33" a="1"/>
  <c r="F43" i="33" s="1"/>
  <c r="F50" i="33" a="1"/>
  <c r="F50" i="33" s="1"/>
  <c r="F51" i="33" a="1"/>
  <c r="F51" i="33" s="1"/>
  <c r="F58" i="33" a="1"/>
  <c r="F58" i="33" s="1"/>
  <c r="F59" i="33" a="1"/>
  <c r="F59" i="33" s="1"/>
  <c r="F66" i="33" a="1"/>
  <c r="F66" i="33" s="1"/>
  <c r="F67" i="33" a="1"/>
  <c r="F67" i="33" s="1"/>
  <c r="F74" i="33" a="1"/>
  <c r="F74" i="33" s="1"/>
  <c r="F75" i="33" a="1"/>
  <c r="F75" i="33" s="1"/>
  <c r="F82" i="33" a="1"/>
  <c r="F82" i="33" s="1"/>
  <c r="F83" i="33" a="1"/>
  <c r="F83" i="33" s="1"/>
  <c r="F90" i="33" a="1"/>
  <c r="F90" i="33" s="1"/>
  <c r="F14" i="34" a="1"/>
  <c r="F14" i="34" s="1"/>
  <c r="D44" i="34"/>
  <c r="F59" i="34" a="1"/>
  <c r="F59" i="34" s="1"/>
  <c r="F71" i="34" a="1"/>
  <c r="F71" i="34" s="1"/>
  <c r="F78" i="34" a="1"/>
  <c r="F78" i="34" s="1"/>
  <c r="F11" i="35" a="1"/>
  <c r="F11" i="35" s="1"/>
  <c r="F34" i="35" a="1"/>
  <c r="F34" i="35" s="1"/>
  <c r="F46" i="35" a="1"/>
  <c r="F46" i="35" s="1"/>
  <c r="D52" i="35"/>
  <c r="F57" i="35" a="1"/>
  <c r="F57" i="35" s="1"/>
  <c r="D63" i="35"/>
  <c r="D71" i="35"/>
  <c r="D79" i="35"/>
  <c r="D87" i="35"/>
  <c r="D95" i="35"/>
  <c r="D28" i="36"/>
  <c r="D49" i="36"/>
  <c r="D52" i="36"/>
  <c r="D81" i="36"/>
  <c r="D84" i="36"/>
  <c r="D51" i="37"/>
  <c r="F56" i="37" a="1"/>
  <c r="F56" i="37" s="1"/>
  <c r="D62" i="37"/>
  <c r="F74" i="37" a="1"/>
  <c r="F74" i="37" s="1"/>
  <c r="D85" i="37"/>
  <c r="F97" i="37" a="1"/>
  <c r="F97" i="37" s="1"/>
  <c r="D16" i="38"/>
  <c r="D24" i="38"/>
  <c r="D32" i="38"/>
  <c r="D40" i="38"/>
  <c r="D48" i="38"/>
  <c r="D56" i="38"/>
  <c r="D64" i="38"/>
  <c r="D73" i="38"/>
  <c r="D81" i="38"/>
  <c r="D89" i="38"/>
  <c r="F96" i="38" a="1"/>
  <c r="F96" i="38" s="1"/>
  <c r="D23" i="27"/>
  <c r="D25" i="30"/>
  <c r="D57" i="30"/>
  <c r="D63" i="30"/>
  <c r="F75" i="30" a="1"/>
  <c r="F75" i="30" s="1"/>
  <c r="F58" i="27" a="1"/>
  <c r="F58" i="27" s="1"/>
  <c r="D79" i="27"/>
  <c r="D80" i="27"/>
  <c r="D81" i="27"/>
  <c r="D15" i="30"/>
  <c r="D41" i="30"/>
  <c r="D82" i="30"/>
  <c r="D55" i="27"/>
  <c r="D75" i="27"/>
  <c r="D20" i="30"/>
  <c r="D36" i="30"/>
  <c r="D52" i="30"/>
  <c r="D68" i="30"/>
  <c r="D74" i="30"/>
  <c r="D81" i="30"/>
  <c r="D94" i="30"/>
  <c r="D24" i="31"/>
  <c r="F34" i="31" a="1"/>
  <c r="F34" i="31" s="1"/>
  <c r="D51" i="31"/>
  <c r="D68" i="31"/>
  <c r="D71" i="31"/>
  <c r="D88" i="31"/>
  <c r="D14" i="32"/>
  <c r="D18" i="32"/>
  <c r="F19" i="32" a="1"/>
  <c r="F19" i="32" s="1"/>
  <c r="F33" i="32" a="1"/>
  <c r="F33" i="32" s="1"/>
  <c r="D44" i="32"/>
  <c r="D62" i="32"/>
  <c r="D66" i="32"/>
  <c r="F83" i="32" a="1"/>
  <c r="F83" i="32" s="1"/>
  <c r="D92" i="32"/>
  <c r="F22" i="33" a="1"/>
  <c r="F22" i="33" s="1"/>
  <c r="D26" i="33"/>
  <c r="D27" i="33"/>
  <c r="D28" i="33"/>
  <c r="D39" i="33"/>
  <c r="D47" i="33"/>
  <c r="D55" i="33"/>
  <c r="D63" i="33"/>
  <c r="D71" i="33"/>
  <c r="D79" i="33"/>
  <c r="D87" i="33"/>
  <c r="F94" i="33" a="1"/>
  <c r="F94" i="33" s="1"/>
  <c r="D12" i="34"/>
  <c r="D20" i="34"/>
  <c r="F35" i="34" a="1"/>
  <c r="F35" i="34" s="1"/>
  <c r="D39" i="34"/>
  <c r="F54" i="34" a="1"/>
  <c r="F54" i="34" s="1"/>
  <c r="D84" i="34"/>
  <c r="D14" i="35"/>
  <c r="D44" i="35"/>
  <c r="F49" i="35" a="1"/>
  <c r="F49" i="35" s="1"/>
  <c r="D55" i="35"/>
  <c r="D17" i="36"/>
  <c r="D30" i="36"/>
  <c r="F48" i="36" a="1"/>
  <c r="F48" i="36" s="1"/>
  <c r="D54" i="36"/>
  <c r="F80" i="36" a="1"/>
  <c r="F80" i="36" s="1"/>
  <c r="D86" i="36"/>
  <c r="D91" i="36"/>
  <c r="D54" i="37"/>
  <c r="D65" i="37"/>
  <c r="F66" i="37" a="1"/>
  <c r="F66" i="37" s="1"/>
  <c r="D77" i="37"/>
  <c r="D13" i="38"/>
  <c r="D21" i="38"/>
  <c r="D29" i="38"/>
  <c r="D37" i="38"/>
  <c r="D45" i="38"/>
  <c r="D53" i="38"/>
  <c r="D61" i="38"/>
  <c r="D70" i="38"/>
  <c r="D78" i="38"/>
  <c r="D86" i="38"/>
  <c r="D31" i="30"/>
  <c r="D47" i="30"/>
  <c r="D19" i="27"/>
  <c r="D32" i="27"/>
  <c r="F42" i="27" a="1"/>
  <c r="F42" i="27" s="1"/>
  <c r="D56" i="27"/>
  <c r="D57" i="27"/>
  <c r="F74" i="27" a="1"/>
  <c r="F74" i="27" s="1"/>
  <c r="D100" i="27"/>
  <c r="F14" i="30" a="1"/>
  <c r="F14" i="30" s="1"/>
  <c r="F19" i="30" a="1"/>
  <c r="F19" i="30" s="1"/>
  <c r="F30" i="30" a="1"/>
  <c r="F30" i="30" s="1"/>
  <c r="F35" i="30" a="1"/>
  <c r="F35" i="30" s="1"/>
  <c r="F46" i="30" a="1"/>
  <c r="F46" i="30" s="1"/>
  <c r="F51" i="30" a="1"/>
  <c r="F51" i="30" s="1"/>
  <c r="F62" i="30" a="1"/>
  <c r="F62" i="30" s="1"/>
  <c r="F67" i="30" a="1"/>
  <c r="F67" i="30" s="1"/>
  <c r="F99" i="30" a="1"/>
  <c r="F99" i="30" s="1"/>
  <c r="D64" i="31"/>
  <c r="F74" i="31" a="1"/>
  <c r="F74" i="31" s="1"/>
  <c r="F43" i="32" a="1"/>
  <c r="F43" i="32" s="1"/>
  <c r="F57" i="32" a="1"/>
  <c r="F57" i="32" s="1"/>
  <c r="D74" i="32"/>
  <c r="F91" i="32" a="1"/>
  <c r="F91" i="32" s="1"/>
  <c r="D96" i="32"/>
  <c r="F46" i="33" a="1"/>
  <c r="F46" i="33" s="1"/>
  <c r="F54" i="33" a="1"/>
  <c r="F54" i="33" s="1"/>
  <c r="F62" i="33" a="1"/>
  <c r="F62" i="33" s="1"/>
  <c r="F70" i="33" a="1"/>
  <c r="F70" i="33" s="1"/>
  <c r="F78" i="33" a="1"/>
  <c r="F78" i="33" s="1"/>
  <c r="F86" i="33" a="1"/>
  <c r="F86" i="33" s="1"/>
  <c r="F99" i="33" a="1"/>
  <c r="F99" i="33" s="1"/>
  <c r="F27" i="34" a="1"/>
  <c r="F27" i="34" s="1"/>
  <c r="F46" i="34" a="1"/>
  <c r="F46" i="34" s="1"/>
  <c r="D76" i="34"/>
  <c r="F91" i="34" a="1"/>
  <c r="F91" i="34" s="1"/>
  <c r="D96" i="34"/>
  <c r="D100" i="34"/>
  <c r="D20" i="35"/>
  <c r="F25" i="35" a="1"/>
  <c r="F25" i="35" s="1"/>
  <c r="D31" i="35"/>
  <c r="F43" i="35" a="1"/>
  <c r="F43" i="35" s="1"/>
  <c r="D68" i="35"/>
  <c r="D76" i="35"/>
  <c r="D84" i="35"/>
  <c r="D92" i="35"/>
  <c r="F99" i="35" a="1"/>
  <c r="F99" i="35" s="1"/>
  <c r="D14" i="36"/>
  <c r="D20" i="36"/>
  <c r="D36" i="36"/>
  <c r="D65" i="36"/>
  <c r="D68" i="36"/>
  <c r="D94" i="36"/>
  <c r="D46" i="37"/>
  <c r="D83" i="37"/>
  <c r="F88" i="37" a="1"/>
  <c r="F88" i="37" s="1"/>
  <c r="D94" i="37"/>
  <c r="D69" i="38"/>
  <c r="F100" i="38" a="1"/>
  <c r="F100" i="38" s="1"/>
  <c r="D39" i="27"/>
  <c r="D67" i="27"/>
  <c r="D89" i="27"/>
  <c r="D49" i="30"/>
  <c r="D55" i="30"/>
  <c r="D65" i="30"/>
  <c r="D79" i="30"/>
  <c r="D20" i="31"/>
  <c r="F26" i="31" a="1"/>
  <c r="F26" i="31" s="1"/>
  <c r="D43" i="31"/>
  <c r="D60" i="31"/>
  <c r="D63" i="31"/>
  <c r="D80" i="31"/>
  <c r="D22" i="32"/>
  <c r="F41" i="32" a="1"/>
  <c r="F41" i="32" s="1"/>
  <c r="F75" i="34" a="1"/>
  <c r="F75" i="34" s="1"/>
  <c r="D79" i="34"/>
  <c r="F94" i="34" a="1"/>
  <c r="F94" i="34" s="1"/>
  <c r="F99" i="34" a="1"/>
  <c r="F99" i="34" s="1"/>
  <c r="D36" i="35"/>
  <c r="F41" i="35" a="1"/>
  <c r="F41" i="35" s="1"/>
  <c r="D47" i="35"/>
  <c r="D58" i="35"/>
  <c r="F59" i="35" a="1"/>
  <c r="F59" i="35" s="1"/>
  <c r="F16" i="36" a="1"/>
  <c r="F16" i="36" s="1"/>
  <c r="D19" i="36"/>
  <c r="D25" i="36"/>
  <c r="D35" i="36"/>
  <c r="D41" i="36"/>
  <c r="D44" i="36"/>
  <c r="D67" i="36"/>
  <c r="D73" i="36"/>
  <c r="D76" i="36"/>
  <c r="D99" i="37"/>
  <c r="D10" i="38"/>
  <c r="D18" i="38"/>
  <c r="D26" i="38"/>
  <c r="D34" i="38"/>
  <c r="D42" i="38"/>
  <c r="D50" i="38"/>
  <c r="D58" i="38"/>
  <c r="D66" i="38"/>
  <c r="F76" i="38" a="1"/>
  <c r="F76" i="38" s="1"/>
  <c r="F84" i="38" a="1"/>
  <c r="F84" i="38" s="1"/>
  <c r="F92" i="38" a="1"/>
  <c r="F92" i="38" s="1"/>
  <c r="D17" i="30"/>
  <c r="D23" i="30"/>
  <c r="D33" i="30"/>
  <c r="D39" i="30"/>
  <c r="D86" i="30"/>
  <c r="F10" i="31" a="1"/>
  <c r="F10" i="31" s="1"/>
  <c r="F90" i="31" a="1"/>
  <c r="F90" i="31" s="1"/>
  <c r="D26" i="32"/>
  <c r="F27" i="32" a="1"/>
  <c r="F27" i="32" s="1"/>
  <c r="F26" i="27" a="1"/>
  <c r="F26" i="27" s="1"/>
  <c r="F66" i="27" a="1"/>
  <c r="F66" i="27" s="1"/>
  <c r="F90" i="27" a="1"/>
  <c r="F90" i="27" s="1"/>
  <c r="D71" i="30"/>
  <c r="D92" i="30"/>
  <c r="D16" i="31"/>
  <c r="D56" i="31"/>
  <c r="F66" i="31" a="1"/>
  <c r="F66" i="31" s="1"/>
  <c r="D12" i="32"/>
  <c r="F51" i="32" a="1"/>
  <c r="F51" i="32" s="1"/>
  <c r="D60" i="32"/>
  <c r="F81" i="32" a="1"/>
  <c r="F81" i="32" s="1"/>
  <c r="F99" i="32" a="1"/>
  <c r="F99" i="32" s="1"/>
  <c r="D44" i="33"/>
  <c r="D52" i="33"/>
  <c r="D60" i="33"/>
  <c r="D68" i="33"/>
  <c r="D76" i="33"/>
  <c r="D84" i="33"/>
  <c r="F91" i="33" a="1"/>
  <c r="F91" i="33" s="1"/>
  <c r="F22" i="34" a="1"/>
  <c r="F22" i="34" s="1"/>
  <c r="D52" i="34"/>
  <c r="F67" i="34" a="1"/>
  <c r="F67" i="34" s="1"/>
  <c r="F86" i="34" a="1"/>
  <c r="F86" i="34" s="1"/>
  <c r="D12" i="35"/>
  <c r="F17" i="35" a="1"/>
  <c r="F17" i="35" s="1"/>
  <c r="D23" i="35"/>
  <c r="F35" i="35" a="1"/>
  <c r="F35" i="35" s="1"/>
  <c r="D22" i="36"/>
  <c r="D38" i="36"/>
  <c r="F64" i="36" a="1"/>
  <c r="F64" i="36" s="1"/>
  <c r="D70" i="36"/>
  <c r="D75" i="37"/>
  <c r="F80" i="37" a="1"/>
  <c r="F80" i="37" s="1"/>
  <c r="D86" i="37"/>
  <c r="F98" i="37" a="1"/>
  <c r="F98" i="37" s="1"/>
  <c r="D17" i="38"/>
  <c r="D25" i="38"/>
  <c r="D33" i="38"/>
  <c r="D36" i="37"/>
  <c r="D44" i="37"/>
  <c r="D52" i="37"/>
  <c r="D60" i="37"/>
  <c r="D68" i="37"/>
  <c r="D76" i="37"/>
  <c r="D84" i="37"/>
  <c r="D92" i="37"/>
  <c r="D39" i="37"/>
  <c r="D47" i="37"/>
  <c r="D55" i="37"/>
  <c r="D63" i="37"/>
  <c r="D71" i="37"/>
  <c r="D79" i="37"/>
  <c r="D87" i="37"/>
  <c r="D95" i="37"/>
  <c r="D13" i="36"/>
  <c r="D21" i="36"/>
  <c r="D29" i="36"/>
  <c r="D37" i="36"/>
  <c r="D45" i="36"/>
  <c r="D53" i="36"/>
  <c r="D61" i="36"/>
  <c r="D69" i="36"/>
  <c r="D77" i="36"/>
  <c r="D85" i="36"/>
  <c r="D93" i="36"/>
  <c r="D15" i="36"/>
  <c r="D23" i="36"/>
  <c r="D31" i="36"/>
  <c r="D39" i="36"/>
  <c r="D47" i="36"/>
  <c r="D55" i="36"/>
  <c r="D63" i="36"/>
  <c r="D71" i="36"/>
  <c r="D79" i="36"/>
  <c r="D87" i="36"/>
  <c r="D95" i="36"/>
  <c r="D88" i="36"/>
  <c r="D96" i="36"/>
  <c r="D10" i="36"/>
  <c r="D18" i="36"/>
  <c r="D26" i="36"/>
  <c r="D34" i="36"/>
  <c r="D42" i="36"/>
  <c r="D50" i="36"/>
  <c r="D58" i="36"/>
  <c r="D66" i="36"/>
  <c r="D74" i="36"/>
  <c r="D82" i="36"/>
  <c r="D90" i="36"/>
  <c r="D98" i="36"/>
  <c r="D13" i="35"/>
  <c r="D21" i="35"/>
  <c r="D29" i="35"/>
  <c r="D37" i="35"/>
  <c r="D45" i="35"/>
  <c r="D53" i="35"/>
  <c r="D61" i="35"/>
  <c r="D69" i="35"/>
  <c r="D77" i="35"/>
  <c r="D85" i="35"/>
  <c r="D93" i="35"/>
  <c r="D16" i="35"/>
  <c r="D24" i="35"/>
  <c r="D32" i="35"/>
  <c r="D40" i="35"/>
  <c r="D48" i="35"/>
  <c r="D56" i="35"/>
  <c r="D64" i="35"/>
  <c r="D72" i="35"/>
  <c r="D80" i="35"/>
  <c r="D88" i="35"/>
  <c r="D96" i="35"/>
  <c r="D13" i="34"/>
  <c r="D21" i="34"/>
  <c r="D29" i="34"/>
  <c r="D37" i="34"/>
  <c r="D45" i="34"/>
  <c r="D53" i="34"/>
  <c r="D61" i="34"/>
  <c r="D69" i="34"/>
  <c r="D77" i="34"/>
  <c r="D85" i="34"/>
  <c r="D93" i="34"/>
  <c r="D16" i="34"/>
  <c r="D24" i="34"/>
  <c r="D32" i="34"/>
  <c r="D40" i="34"/>
  <c r="D48" i="34"/>
  <c r="D56" i="34"/>
  <c r="D64" i="34"/>
  <c r="D72" i="34"/>
  <c r="D80" i="34"/>
  <c r="D88" i="34"/>
  <c r="D17" i="34"/>
  <c r="D25" i="34"/>
  <c r="D33" i="34"/>
  <c r="D41" i="34"/>
  <c r="D49" i="34"/>
  <c r="D57" i="34"/>
  <c r="D65" i="34"/>
  <c r="D73" i="34"/>
  <c r="D81" i="34"/>
  <c r="D89" i="34"/>
  <c r="D97" i="34"/>
  <c r="D18" i="34"/>
  <c r="D26" i="34"/>
  <c r="D34" i="34"/>
  <c r="D42" i="34"/>
  <c r="D50" i="34"/>
  <c r="D58" i="34"/>
  <c r="D66" i="34"/>
  <c r="D74" i="34"/>
  <c r="D82" i="34"/>
  <c r="D90" i="34"/>
  <c r="D98" i="34"/>
  <c r="D13" i="33"/>
  <c r="D21" i="33"/>
  <c r="D29" i="33"/>
  <c r="D37" i="33"/>
  <c r="D45" i="33"/>
  <c r="D53" i="33"/>
  <c r="D61" i="33"/>
  <c r="D69" i="33"/>
  <c r="D77" i="33"/>
  <c r="D85" i="33"/>
  <c r="D93" i="33"/>
  <c r="D16" i="33"/>
  <c r="D32" i="33"/>
  <c r="D17" i="33"/>
  <c r="F24" i="33" a="1"/>
  <c r="F24" i="33" s="1"/>
  <c r="D25" i="33"/>
  <c r="D33" i="33"/>
  <c r="D41" i="33"/>
  <c r="D49" i="33"/>
  <c r="D57" i="33"/>
  <c r="D65" i="33"/>
  <c r="D73" i="33"/>
  <c r="D81" i="33"/>
  <c r="D89" i="33"/>
  <c r="D97" i="33"/>
  <c r="D13" i="32"/>
  <c r="D21" i="32"/>
  <c r="D29" i="32"/>
  <c r="D37" i="32"/>
  <c r="D45" i="32"/>
  <c r="D53" i="32"/>
  <c r="D61" i="32"/>
  <c r="D69" i="32"/>
  <c r="D77" i="32"/>
  <c r="D85" i="32"/>
  <c r="D93" i="32"/>
  <c r="D15" i="32"/>
  <c r="D39" i="32"/>
  <c r="D47" i="32"/>
  <c r="D55" i="32"/>
  <c r="D63" i="32"/>
  <c r="D71" i="32"/>
  <c r="D79" i="32"/>
  <c r="D87" i="32"/>
  <c r="D95" i="32"/>
  <c r="D31" i="32"/>
  <c r="D16" i="32"/>
  <c r="F23" i="32" a="1"/>
  <c r="F23" i="32" s="1"/>
  <c r="D24" i="32"/>
  <c r="D32" i="32"/>
  <c r="D40" i="32"/>
  <c r="D48" i="32"/>
  <c r="D56" i="32"/>
  <c r="D64" i="32"/>
  <c r="D72" i="32"/>
  <c r="D80" i="32"/>
  <c r="D88" i="32"/>
  <c r="D37" i="31"/>
  <c r="D53" i="31"/>
  <c r="D69" i="31"/>
  <c r="D85" i="31"/>
  <c r="F13" i="31" a="1"/>
  <c r="F13" i="31" s="1"/>
  <c r="D14" i="31"/>
  <c r="F21" i="31" a="1"/>
  <c r="F21" i="31" s="1"/>
  <c r="D22" i="31"/>
  <c r="F29" i="31" a="1"/>
  <c r="F29" i="31" s="1"/>
  <c r="D30" i="31"/>
  <c r="D38" i="31"/>
  <c r="F45" i="31" a="1"/>
  <c r="F45" i="31" s="1"/>
  <c r="D46" i="31"/>
  <c r="D54" i="31"/>
  <c r="F61" i="31" a="1"/>
  <c r="F61" i="31" s="1"/>
  <c r="D62" i="31"/>
  <c r="D70" i="31"/>
  <c r="F77" i="31" a="1"/>
  <c r="F77" i="31" s="1"/>
  <c r="D78" i="31"/>
  <c r="D86" i="31"/>
  <c r="F93" i="31" a="1"/>
  <c r="F93" i="31" s="1"/>
  <c r="D94" i="31"/>
  <c r="D96" i="31"/>
  <c r="D9" i="31"/>
  <c r="D17" i="31"/>
  <c r="D25" i="31"/>
  <c r="D33" i="31"/>
  <c r="D41" i="31"/>
  <c r="D49" i="31"/>
  <c r="D57" i="31"/>
  <c r="D65" i="31"/>
  <c r="D73" i="31"/>
  <c r="D81" i="31"/>
  <c r="D89" i="31"/>
  <c r="D97" i="31"/>
  <c r="D21" i="30"/>
  <c r="D37" i="30"/>
  <c r="D45" i="30"/>
  <c r="D53" i="30"/>
  <c r="D61" i="30"/>
  <c r="D69" i="30"/>
  <c r="D77" i="30"/>
  <c r="D85" i="30"/>
  <c r="D93" i="30"/>
  <c r="D13" i="30"/>
  <c r="D29" i="30"/>
  <c r="D16" i="30"/>
  <c r="D24" i="30"/>
  <c r="D32" i="30"/>
  <c r="D40" i="30"/>
  <c r="D48" i="30"/>
  <c r="D56" i="30"/>
  <c r="D64" i="30"/>
  <c r="D72" i="30"/>
  <c r="D80" i="30"/>
  <c r="D88" i="30"/>
  <c r="D96" i="30"/>
  <c r="D98" i="30"/>
  <c r="D12" i="27"/>
  <c r="D36" i="27"/>
  <c r="D13" i="27"/>
  <c r="F28" i="27" a="1"/>
  <c r="F28" i="27" s="1"/>
  <c r="D29" i="27"/>
  <c r="F52" i="27" a="1"/>
  <c r="F52" i="27" s="1"/>
  <c r="D53" i="27"/>
  <c r="F68" i="27" a="1"/>
  <c r="F68" i="27" s="1"/>
  <c r="D69" i="27"/>
  <c r="F76" i="27" a="1"/>
  <c r="F76" i="27" s="1"/>
  <c r="D77" i="27"/>
  <c r="F84" i="27" a="1"/>
  <c r="F84" i="27" s="1"/>
  <c r="D85" i="27"/>
  <c r="F92" i="27" a="1"/>
  <c r="F92" i="27" s="1"/>
  <c r="D93" i="27"/>
  <c r="D44" i="27"/>
  <c r="D60" i="27"/>
  <c r="F20" i="27" a="1"/>
  <c r="F20" i="27" s="1"/>
  <c r="D37" i="27"/>
  <c r="D45" i="27"/>
  <c r="D61" i="27"/>
  <c r="D14" i="27"/>
  <c r="F21" i="27" a="1"/>
  <c r="F21" i="27" s="1"/>
  <c r="D22" i="27"/>
  <c r="D30" i="27"/>
  <c r="D38" i="27"/>
  <c r="D46" i="27"/>
  <c r="D54" i="27"/>
  <c r="D62" i="27"/>
  <c r="D70" i="27"/>
  <c r="D78" i="27"/>
  <c r="D86" i="27"/>
  <c r="D94" i="27"/>
  <c r="D33" i="27"/>
  <c r="D49" i="27"/>
  <c r="D17" i="27"/>
  <c r="D25" i="27"/>
  <c r="D41" i="27"/>
  <c r="D98" i="10"/>
  <c r="B11" i="24" l="1"/>
  <c r="P6" i="10" l="1"/>
  <c r="Q6" i="10" s="1"/>
  <c r="P7" i="10"/>
  <c r="Q7" i="10" s="1"/>
  <c r="P8" i="10"/>
  <c r="Q8" i="10" s="1"/>
  <c r="P9" i="10"/>
  <c r="Q9" i="10" s="1"/>
  <c r="P10" i="10"/>
  <c r="Q10" i="10" s="1"/>
  <c r="P11" i="10"/>
  <c r="Q11" i="10" s="1"/>
  <c r="P12" i="10"/>
  <c r="Q12" i="10" s="1"/>
  <c r="P13" i="10"/>
  <c r="Q13" i="10" s="1"/>
  <c r="P14" i="10"/>
  <c r="Q14" i="10" s="1"/>
  <c r="P15" i="10"/>
  <c r="Q15" i="10" s="1"/>
  <c r="P16" i="10"/>
  <c r="Q16" i="10" s="1"/>
  <c r="P17" i="10"/>
  <c r="Q17" i="10" s="1"/>
  <c r="P18" i="10"/>
  <c r="Q18" i="10" s="1"/>
  <c r="P19" i="10"/>
  <c r="Q19" i="10" s="1"/>
  <c r="P20" i="10"/>
  <c r="Q20" i="10" s="1"/>
  <c r="P21" i="10"/>
  <c r="Q21" i="10" s="1"/>
  <c r="P22" i="10"/>
  <c r="Q22" i="10" s="1"/>
  <c r="P23" i="10"/>
  <c r="Q23" i="10" s="1"/>
  <c r="P24" i="10"/>
  <c r="Q24" i="10" s="1"/>
  <c r="P25" i="10"/>
  <c r="Q25" i="10" s="1"/>
  <c r="P26" i="10"/>
  <c r="Q26" i="10" s="1"/>
  <c r="P27" i="10"/>
  <c r="Q27" i="10" s="1"/>
  <c r="P28" i="10"/>
  <c r="Q28" i="10" s="1"/>
  <c r="P29" i="10"/>
  <c r="Q29" i="10" s="1"/>
  <c r="P30" i="10"/>
  <c r="Q30" i="10" s="1"/>
  <c r="P31" i="10"/>
  <c r="Q31" i="10" s="1"/>
  <c r="P32" i="10"/>
  <c r="Q32" i="10" s="1"/>
  <c r="P33" i="10"/>
  <c r="Q33" i="10" s="1"/>
  <c r="P34" i="10"/>
  <c r="Q34" i="10" s="1"/>
  <c r="P35" i="10"/>
  <c r="Q35" i="10" s="1"/>
  <c r="P36" i="10"/>
  <c r="Q36" i="10" s="1"/>
  <c r="P37" i="10"/>
  <c r="Q37" i="10" s="1"/>
  <c r="P38" i="10"/>
  <c r="Q38" i="10" s="1"/>
  <c r="P39" i="10"/>
  <c r="Q39" i="10" s="1"/>
  <c r="P40" i="10"/>
  <c r="Q40" i="10" s="1"/>
  <c r="P41" i="10"/>
  <c r="Q41" i="10" s="1"/>
  <c r="P42" i="10"/>
  <c r="Q42" i="10" s="1"/>
  <c r="P43" i="10"/>
  <c r="Q43" i="10" s="1"/>
  <c r="P44" i="10"/>
  <c r="Q44" i="10" s="1"/>
  <c r="P45" i="10"/>
  <c r="Q45" i="10" s="1"/>
  <c r="P46" i="10"/>
  <c r="Q46" i="10" s="1"/>
  <c r="P47" i="10"/>
  <c r="Q47" i="10" s="1"/>
  <c r="P48" i="10"/>
  <c r="Q48" i="10" s="1"/>
  <c r="P49" i="10"/>
  <c r="Q49" i="10" s="1"/>
  <c r="P50" i="10"/>
  <c r="Q50" i="10" s="1"/>
  <c r="P51" i="10"/>
  <c r="Q51" i="10" s="1"/>
  <c r="P52" i="10"/>
  <c r="Q52" i="10" s="1"/>
  <c r="P53" i="10"/>
  <c r="Q53" i="10" s="1"/>
  <c r="P54" i="10"/>
  <c r="Q54" i="10" s="1"/>
  <c r="P55" i="10"/>
  <c r="Q55" i="10" s="1"/>
  <c r="P56" i="10"/>
  <c r="Q56" i="10" s="1"/>
  <c r="P57" i="10"/>
  <c r="Q57" i="10" s="1"/>
  <c r="P58" i="10"/>
  <c r="Q58" i="10" s="1"/>
  <c r="P59" i="10"/>
  <c r="Q59" i="10" s="1"/>
  <c r="P60" i="10"/>
  <c r="Q60" i="10" s="1"/>
  <c r="P61" i="10"/>
  <c r="Q61" i="10" s="1"/>
  <c r="P62" i="10"/>
  <c r="Q62" i="10" s="1"/>
  <c r="P63" i="10"/>
  <c r="Q63" i="10" s="1"/>
  <c r="P64" i="10"/>
  <c r="Q64" i="10" s="1"/>
  <c r="P65" i="10"/>
  <c r="Q65" i="10" s="1"/>
  <c r="P66" i="10"/>
  <c r="Q66" i="10" s="1"/>
  <c r="P67" i="10"/>
  <c r="Q67" i="10" s="1"/>
  <c r="P68" i="10"/>
  <c r="Q68" i="10" s="1"/>
  <c r="P69" i="10"/>
  <c r="Q69" i="10" s="1"/>
  <c r="P70" i="10"/>
  <c r="Q70" i="10" s="1"/>
  <c r="P71" i="10"/>
  <c r="Q71" i="10" s="1"/>
  <c r="P72" i="10"/>
  <c r="Q72" i="10" s="1"/>
  <c r="P73" i="10"/>
  <c r="Q73" i="10" s="1"/>
  <c r="P74" i="10"/>
  <c r="Q74" i="10" s="1"/>
  <c r="P75" i="10"/>
  <c r="Q75" i="10" s="1"/>
  <c r="P76" i="10"/>
  <c r="Q76" i="10" s="1"/>
  <c r="P77" i="10"/>
  <c r="Q77" i="10" s="1"/>
  <c r="P78" i="10"/>
  <c r="Q78" i="10" s="1"/>
  <c r="P79" i="10"/>
  <c r="Q79" i="10" s="1"/>
  <c r="P80" i="10"/>
  <c r="Q80" i="10" s="1"/>
  <c r="P81" i="10"/>
  <c r="Q81" i="10" s="1"/>
  <c r="P82" i="10"/>
  <c r="Q82" i="10" s="1"/>
  <c r="P83" i="10"/>
  <c r="Q83" i="10" s="1"/>
  <c r="P84" i="10"/>
  <c r="Q84" i="10" s="1"/>
  <c r="P85" i="10"/>
  <c r="Q85" i="10" s="1"/>
  <c r="P86" i="10"/>
  <c r="Q86" i="10" s="1"/>
  <c r="P87" i="10"/>
  <c r="Q87" i="10" s="1"/>
  <c r="P88" i="10"/>
  <c r="Q88" i="10" s="1"/>
  <c r="P89" i="10"/>
  <c r="Q89" i="10" s="1"/>
  <c r="P90" i="10"/>
  <c r="Q90" i="10" s="1"/>
  <c r="P91" i="10"/>
  <c r="Q91" i="10" s="1"/>
  <c r="P92" i="10"/>
  <c r="Q92" i="10" s="1"/>
  <c r="P93" i="10"/>
  <c r="Q93" i="10" s="1"/>
  <c r="P94" i="10"/>
  <c r="Q94" i="10" s="1"/>
  <c r="P95" i="10"/>
  <c r="Q95" i="10" s="1"/>
  <c r="P96" i="10"/>
  <c r="Q96" i="10" s="1"/>
  <c r="P97" i="10"/>
  <c r="Q97" i="10" s="1"/>
  <c r="P99" i="10"/>
  <c r="Q99" i="10" s="1"/>
  <c r="P100" i="10"/>
  <c r="Q100" i="10" s="1"/>
  <c r="B16" i="24"/>
  <c r="L8" i="38" s="1"/>
  <c r="B14" i="24"/>
  <c r="M6" i="10" l="1"/>
  <c r="M7" i="10"/>
  <c r="M8" i="10"/>
  <c r="M9" i="10"/>
  <c r="M10" i="10"/>
  <c r="M11" i="10"/>
  <c r="M12" i="10"/>
  <c r="M13" i="10"/>
  <c r="M14" i="10"/>
  <c r="M15" i="10"/>
  <c r="M16" i="10"/>
  <c r="M17" i="10"/>
  <c r="M18" i="10"/>
  <c r="M19" i="10"/>
  <c r="M20" i="10"/>
  <c r="M21" i="10"/>
  <c r="M22" i="10"/>
  <c r="M23" i="10"/>
  <c r="M24" i="10"/>
  <c r="M25" i="10"/>
  <c r="M26" i="10"/>
  <c r="M27" i="10"/>
  <c r="M28" i="10"/>
  <c r="M29" i="10"/>
  <c r="M30" i="10"/>
  <c r="M31" i="10"/>
  <c r="M32" i="10"/>
  <c r="M33" i="10"/>
  <c r="M34" i="10"/>
  <c r="M35" i="10"/>
  <c r="M36" i="10"/>
  <c r="M37" i="10"/>
  <c r="M38" i="10"/>
  <c r="M39" i="10"/>
  <c r="M40" i="10"/>
  <c r="M41" i="10"/>
  <c r="M42" i="10"/>
  <c r="M43" i="10"/>
  <c r="M44" i="10"/>
  <c r="M45" i="10"/>
  <c r="M46" i="10"/>
  <c r="M47" i="10"/>
  <c r="M48" i="10"/>
  <c r="M49" i="10"/>
  <c r="M50" i="10"/>
  <c r="M51" i="10"/>
  <c r="M52" i="10"/>
  <c r="M53" i="10"/>
  <c r="M54" i="10"/>
  <c r="M55" i="10"/>
  <c r="M56" i="10"/>
  <c r="M57" i="10"/>
  <c r="M58" i="10"/>
  <c r="M59" i="10"/>
  <c r="M60" i="10"/>
  <c r="M61" i="10"/>
  <c r="M62" i="10"/>
  <c r="M63" i="10"/>
  <c r="M64" i="10"/>
  <c r="M65" i="10"/>
  <c r="M66" i="10"/>
  <c r="M67" i="10"/>
  <c r="M68" i="10"/>
  <c r="M69" i="10"/>
  <c r="M70" i="10"/>
  <c r="M71" i="10"/>
  <c r="M72" i="10"/>
  <c r="M73" i="10"/>
  <c r="M74" i="10"/>
  <c r="M75" i="10"/>
  <c r="M76" i="10"/>
  <c r="M77" i="10"/>
  <c r="M78" i="10"/>
  <c r="M79" i="10"/>
  <c r="M80" i="10"/>
  <c r="M81" i="10"/>
  <c r="M82" i="10"/>
  <c r="M83" i="10"/>
  <c r="M84" i="10"/>
  <c r="M85" i="10"/>
  <c r="M86" i="10"/>
  <c r="M87" i="10"/>
  <c r="M88" i="10"/>
  <c r="M89" i="10"/>
  <c r="M90" i="10"/>
  <c r="M91" i="10"/>
  <c r="M92" i="10"/>
  <c r="M93" i="10"/>
  <c r="M94" i="10"/>
  <c r="M95" i="10"/>
  <c r="M96" i="10"/>
  <c r="M97" i="10"/>
  <c r="M99" i="10"/>
  <c r="M100"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9" i="10"/>
  <c r="L100" i="10"/>
  <c r="B13" i="24"/>
  <c r="B15" i="24"/>
  <c r="B20" i="24"/>
  <c r="B21" i="24"/>
  <c r="B22" i="24"/>
  <c r="B23" i="24"/>
  <c r="B24" i="24"/>
  <c r="B25" i="24"/>
  <c r="B26" i="24"/>
  <c r="B27" i="24"/>
  <c r="B28" i="24"/>
  <c r="B29" i="24"/>
  <c r="B30" i="24"/>
  <c r="B31" i="24"/>
  <c r="B32" i="24"/>
  <c r="B33" i="24"/>
  <c r="B34" i="24"/>
  <c r="B35" i="24"/>
  <c r="B36" i="24"/>
  <c r="B37" i="24"/>
  <c r="B40" i="24"/>
  <c r="B19" i="24"/>
  <c r="B12"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9" i="10"/>
  <c r="D99" i="10" s="1"/>
  <c r="I97" i="10"/>
  <c r="I99" i="10"/>
  <c r="C100" i="10"/>
  <c r="D100" i="10" s="1"/>
  <c r="I100"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F99" i="10" l="1" a="1"/>
  <c r="F99" i="10" s="1"/>
  <c r="F97" i="10" a="1"/>
  <c r="F97" i="10" s="1"/>
  <c r="F100" i="10" a="1"/>
  <c r="F100" i="10" s="1"/>
  <c r="C96" i="10"/>
  <c r="D96" i="10" s="1"/>
  <c r="C87" i="10"/>
  <c r="D87" i="10" s="1"/>
  <c r="C88" i="10"/>
  <c r="D88" i="10" s="1"/>
  <c r="C89" i="10"/>
  <c r="D89" i="10" s="1"/>
  <c r="C90" i="10"/>
  <c r="D90" i="10" s="1"/>
  <c r="C91" i="10"/>
  <c r="D91" i="10" s="1"/>
  <c r="C92" i="10"/>
  <c r="D92" i="10" s="1"/>
  <c r="C93" i="10"/>
  <c r="D93" i="10" s="1"/>
  <c r="C94" i="10"/>
  <c r="D94" i="10" s="1"/>
  <c r="C95" i="10"/>
  <c r="D95" i="10" s="1"/>
  <c r="C59" i="10"/>
  <c r="D59" i="10" s="1"/>
  <c r="C60" i="10"/>
  <c r="D60" i="10" s="1"/>
  <c r="C61" i="10"/>
  <c r="D61" i="10" s="1"/>
  <c r="C62" i="10"/>
  <c r="D62" i="10" s="1"/>
  <c r="C63" i="10"/>
  <c r="D63" i="10" s="1"/>
  <c r="C64" i="10"/>
  <c r="D64" i="10" s="1"/>
  <c r="C65" i="10"/>
  <c r="D65" i="10" s="1"/>
  <c r="C66" i="10"/>
  <c r="D66" i="10" s="1"/>
  <c r="C67" i="10"/>
  <c r="D67" i="10" s="1"/>
  <c r="C68" i="10"/>
  <c r="D68" i="10" s="1"/>
  <c r="C69" i="10"/>
  <c r="D69" i="10" s="1"/>
  <c r="C70" i="10"/>
  <c r="D70" i="10" s="1"/>
  <c r="C71" i="10"/>
  <c r="D71" i="10" s="1"/>
  <c r="C72" i="10"/>
  <c r="D72" i="10" s="1"/>
  <c r="C73" i="10"/>
  <c r="D73" i="10" s="1"/>
  <c r="C74" i="10"/>
  <c r="D74" i="10" s="1"/>
  <c r="C75" i="10"/>
  <c r="D75" i="10" s="1"/>
  <c r="C76" i="10"/>
  <c r="D76" i="10" s="1"/>
  <c r="C77" i="10"/>
  <c r="D77" i="10" s="1"/>
  <c r="C78" i="10"/>
  <c r="D78" i="10" s="1"/>
  <c r="C79" i="10"/>
  <c r="D79" i="10" s="1"/>
  <c r="C80" i="10"/>
  <c r="D80" i="10" s="1"/>
  <c r="C81" i="10"/>
  <c r="D81" i="10" s="1"/>
  <c r="C82" i="10"/>
  <c r="D82" i="10" s="1"/>
  <c r="C83" i="10"/>
  <c r="D83" i="10" s="1"/>
  <c r="C84" i="10"/>
  <c r="D84" i="10" s="1"/>
  <c r="C85" i="10"/>
  <c r="D85" i="10" s="1"/>
  <c r="C86" i="10"/>
  <c r="D86" i="10" s="1"/>
  <c r="C31" i="10"/>
  <c r="D31" i="10" s="1"/>
  <c r="C32" i="10"/>
  <c r="D32" i="10" s="1"/>
  <c r="C33" i="10"/>
  <c r="D33" i="10" s="1"/>
  <c r="C34" i="10"/>
  <c r="D34" i="10" s="1"/>
  <c r="C35" i="10"/>
  <c r="D35" i="10" s="1"/>
  <c r="C36" i="10"/>
  <c r="D36" i="10" s="1"/>
  <c r="C37" i="10"/>
  <c r="D37" i="10" s="1"/>
  <c r="C38" i="10"/>
  <c r="D38" i="10" s="1"/>
  <c r="C39" i="10"/>
  <c r="D39" i="10" s="1"/>
  <c r="C40" i="10"/>
  <c r="D40" i="10" s="1"/>
  <c r="C41" i="10"/>
  <c r="D41" i="10" s="1"/>
  <c r="C42" i="10"/>
  <c r="D42" i="10" s="1"/>
  <c r="C43" i="10"/>
  <c r="D43" i="10" s="1"/>
  <c r="C44" i="10"/>
  <c r="D44" i="10" s="1"/>
  <c r="C45" i="10"/>
  <c r="D45" i="10" s="1"/>
  <c r="C46" i="10"/>
  <c r="D46" i="10" s="1"/>
  <c r="C47" i="10"/>
  <c r="D47" i="10" s="1"/>
  <c r="C48" i="10"/>
  <c r="D48" i="10" s="1"/>
  <c r="C49" i="10"/>
  <c r="D49" i="10" s="1"/>
  <c r="C50" i="10"/>
  <c r="D50" i="10" s="1"/>
  <c r="C51" i="10"/>
  <c r="D51" i="10" s="1"/>
  <c r="C52" i="10"/>
  <c r="D52" i="10" s="1"/>
  <c r="C53" i="10"/>
  <c r="D53" i="10" s="1"/>
  <c r="C54" i="10"/>
  <c r="D54" i="10" s="1"/>
  <c r="C55" i="10"/>
  <c r="D55" i="10" s="1"/>
  <c r="C56" i="10"/>
  <c r="D56" i="10" s="1"/>
  <c r="C57" i="10"/>
  <c r="D57" i="10" s="1"/>
  <c r="C58" i="10"/>
  <c r="D58" i="10" s="1"/>
  <c r="C17" i="10"/>
  <c r="D17" i="10" s="1"/>
  <c r="C18" i="10"/>
  <c r="D18" i="10" s="1"/>
  <c r="C19" i="10"/>
  <c r="D19" i="10" s="1"/>
  <c r="C20" i="10"/>
  <c r="D20" i="10" s="1"/>
  <c r="C21" i="10"/>
  <c r="D21" i="10" s="1"/>
  <c r="C22" i="10"/>
  <c r="D22" i="10" s="1"/>
  <c r="C23" i="10"/>
  <c r="D23" i="10" s="1"/>
  <c r="C24" i="10"/>
  <c r="D24" i="10" s="1"/>
  <c r="C25" i="10"/>
  <c r="D25" i="10" s="1"/>
  <c r="C26" i="10"/>
  <c r="D26" i="10" s="1"/>
  <c r="C27" i="10"/>
  <c r="D27" i="10" s="1"/>
  <c r="C28" i="10"/>
  <c r="D28" i="10" s="1"/>
  <c r="C29" i="10"/>
  <c r="D29" i="10" s="1"/>
  <c r="C30" i="10"/>
  <c r="D30" i="10" s="1"/>
  <c r="C16" i="10"/>
  <c r="D16" i="10" s="1"/>
  <c r="C15" i="10"/>
  <c r="D15" i="10" s="1"/>
  <c r="C14" i="10"/>
  <c r="D14" i="10" s="1"/>
  <c r="C13" i="10"/>
  <c r="D13" i="10" s="1"/>
  <c r="C12" i="10"/>
  <c r="D12" i="10" s="1"/>
  <c r="C11" i="10"/>
  <c r="D11" i="10" s="1"/>
  <c r="C10" i="10"/>
  <c r="D10" i="10" s="1"/>
  <c r="C9" i="10"/>
  <c r="D9" i="10" s="1"/>
  <c r="C8" i="10"/>
  <c r="D8" i="10" s="1"/>
  <c r="C7" i="10"/>
  <c r="D7" i="10" s="1"/>
  <c r="C6" i="10"/>
  <c r="D6" i="10" s="1"/>
  <c r="F66" i="10" l="1" a="1"/>
  <c r="F66" i="10" s="1"/>
  <c r="F9" i="10" a="1"/>
  <c r="F9" i="10" s="1"/>
  <c r="F30" i="10" a="1"/>
  <c r="F30" i="10" s="1"/>
  <c r="F48" i="10" a="1"/>
  <c r="F48" i="10" s="1"/>
  <c r="F32" i="10" a="1"/>
  <c r="F32" i="10" s="1"/>
  <c r="F81" i="10" a="1"/>
  <c r="F81" i="10" s="1"/>
  <c r="F10" i="10" a="1"/>
  <c r="F10" i="10" s="1"/>
  <c r="F21" i="10" a="1"/>
  <c r="F21" i="10" s="1"/>
  <c r="F55" i="10" a="1"/>
  <c r="F55" i="10" s="1"/>
  <c r="F31" i="10" a="1"/>
  <c r="F31" i="10" s="1"/>
  <c r="F49" i="10" a="1"/>
  <c r="F49" i="10" s="1"/>
  <c r="F11" i="10" a="1"/>
  <c r="F11" i="10" s="1"/>
  <c r="F79" i="10" a="1"/>
  <c r="F79" i="10" s="1"/>
  <c r="F63" i="10" a="1"/>
  <c r="F63" i="10" s="1"/>
  <c r="F19" i="10" a="1"/>
  <c r="F19" i="10" s="1"/>
  <c r="F45" i="10" a="1"/>
  <c r="F45" i="10" s="1"/>
  <c r="F86" i="10" a="1"/>
  <c r="F86" i="10" s="1"/>
  <c r="F78" i="10" a="1"/>
  <c r="F78" i="10" s="1"/>
  <c r="F70" i="10" a="1"/>
  <c r="F70" i="10" s="1"/>
  <c r="F62" i="10" a="1"/>
  <c r="F62" i="10" s="1"/>
  <c r="F91" i="10" a="1"/>
  <c r="F91" i="10" s="1"/>
  <c r="F20" i="10" a="1"/>
  <c r="F20" i="10" s="1"/>
  <c r="F13" i="10" a="1"/>
  <c r="F13" i="10" s="1"/>
  <c r="F26" i="10" a="1"/>
  <c r="F26" i="10" s="1"/>
  <c r="F90" i="10" a="1"/>
  <c r="F90" i="10" s="1"/>
  <c r="F8" i="10" a="1"/>
  <c r="F8" i="10" s="1"/>
  <c r="F82" i="10" a="1"/>
  <c r="F82" i="10" s="1"/>
  <c r="F14" i="10" a="1"/>
  <c r="F14" i="10" s="1"/>
  <c r="F51" i="10" a="1"/>
  <c r="F51" i="10" s="1"/>
  <c r="F43" i="10" a="1"/>
  <c r="F43" i="10" s="1"/>
  <c r="F84" i="10" a="1"/>
  <c r="F84" i="10" s="1"/>
  <c r="F76" i="10" a="1"/>
  <c r="F76" i="10" s="1"/>
  <c r="F89" i="10" a="1"/>
  <c r="F89" i="10" s="1"/>
  <c r="F23" i="10" a="1"/>
  <c r="F23" i="10" s="1"/>
  <c r="F74" i="10" a="1"/>
  <c r="F74" i="10" s="1"/>
  <c r="F7" i="10" a="1"/>
  <c r="F7" i="10" s="1"/>
  <c r="F24" i="10" a="1"/>
  <c r="F24" i="10" s="1"/>
  <c r="F58" i="10" a="1"/>
  <c r="F58" i="10" s="1"/>
  <c r="F50" i="10" a="1"/>
  <c r="F50" i="10" s="1"/>
  <c r="F83" i="10" a="1"/>
  <c r="F83" i="10" s="1"/>
  <c r="F75" i="10" a="1"/>
  <c r="F75" i="10" s="1"/>
  <c r="F88" i="10" a="1"/>
  <c r="F88" i="10" s="1"/>
  <c r="F41" i="10" a="1"/>
  <c r="F41" i="10" s="1"/>
  <c r="F33" i="10" a="1"/>
  <c r="F33" i="10" s="1"/>
  <c r="F57" i="10" a="1"/>
  <c r="F57" i="10" s="1"/>
  <c r="F35" i="10" a="1"/>
  <c r="F35" i="10" s="1"/>
  <c r="F40" i="10" a="1"/>
  <c r="F40" i="10" s="1"/>
  <c r="F71" i="10" a="1"/>
  <c r="F71" i="10" s="1"/>
  <c r="F53" i="10" a="1"/>
  <c r="F53" i="10" s="1"/>
  <c r="F60" i="10" a="1"/>
  <c r="F60" i="10" s="1"/>
  <c r="F42" i="10" a="1"/>
  <c r="F42" i="10" s="1"/>
  <c r="F93" i="10" a="1"/>
  <c r="F93" i="10" s="1"/>
  <c r="F34" i="10" a="1"/>
  <c r="F34" i="10" s="1"/>
  <c r="F68" i="10" a="1"/>
  <c r="F68" i="10" s="1"/>
  <c r="F28" i="10" a="1"/>
  <c r="F28" i="10" s="1"/>
  <c r="F56" i="10" a="1"/>
  <c r="F56" i="10" s="1"/>
  <c r="F22" i="10" a="1"/>
  <c r="F22" i="10" s="1"/>
  <c r="F96" i="10" a="1"/>
  <c r="F96" i="10" s="1"/>
  <c r="F61" i="10" a="1"/>
  <c r="F61" i="10" s="1"/>
  <c r="F47" i="10" a="1"/>
  <c r="F47" i="10" s="1"/>
  <c r="F73" i="10" a="1"/>
  <c r="F73" i="10" s="1"/>
  <c r="F25" i="10" a="1"/>
  <c r="F25" i="10" s="1"/>
  <c r="F85" i="10" a="1"/>
  <c r="F85" i="10" s="1"/>
  <c r="F69" i="10" a="1"/>
  <c r="F69" i="10" s="1"/>
  <c r="F65" i="10" a="1"/>
  <c r="F65" i="10" s="1"/>
  <c r="F52" i="10" a="1"/>
  <c r="F52" i="10" s="1"/>
  <c r="F18" i="10" a="1"/>
  <c r="F18" i="10" s="1"/>
  <c r="F77" i="10" a="1"/>
  <c r="F77" i="10" s="1"/>
  <c r="F17" i="10" a="1"/>
  <c r="F17" i="10" s="1"/>
  <c r="F29" i="10" a="1"/>
  <c r="F29" i="10" s="1"/>
  <c r="F39" i="10" a="1"/>
  <c r="F39" i="10" s="1"/>
  <c r="F27" i="10" a="1"/>
  <c r="F27" i="10" s="1"/>
  <c r="F44" i="10" a="1"/>
  <c r="F44" i="10" s="1"/>
  <c r="F67" i="10" a="1"/>
  <c r="F67" i="10" s="1"/>
  <c r="F59" i="10" a="1"/>
  <c r="F59" i="10" s="1"/>
  <c r="F92" i="10" a="1"/>
  <c r="F92" i="10" s="1"/>
  <c r="F37" i="10" a="1"/>
  <c r="F37" i="10" s="1"/>
  <c r="F36" i="10" a="1"/>
  <c r="F36" i="10" s="1"/>
  <c r="F95" i="10" a="1"/>
  <c r="F95" i="10" s="1"/>
  <c r="F87" i="10" a="1"/>
  <c r="F87" i="10" s="1"/>
  <c r="F94" i="10" a="1"/>
  <c r="F94" i="10" s="1"/>
  <c r="F64" i="10" a="1"/>
  <c r="F64" i="10" s="1"/>
  <c r="F80" i="10" a="1"/>
  <c r="F80" i="10" s="1"/>
  <c r="F72" i="10" a="1"/>
  <c r="F72" i="10" s="1"/>
  <c r="F54" i="10" a="1"/>
  <c r="F54" i="10" s="1"/>
  <c r="F46" i="10" a="1"/>
  <c r="F46" i="10" s="1"/>
  <c r="F38" i="10" a="1"/>
  <c r="F38" i="10" s="1"/>
  <c r="F16" i="10" a="1"/>
  <c r="F16" i="10" s="1"/>
  <c r="F15" i="10" a="1"/>
  <c r="F15" i="10" s="1"/>
  <c r="F12" i="10" a="1"/>
  <c r="F12" i="10" s="1"/>
  <c r="F6" i="10" a="1"/>
  <c r="F6"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tc={218C17CB-B7B2-4871-8B12-A067E418B0F3}</author>
  </authors>
  <commentList>
    <comment ref="B3" authorId="0" shapeId="0" xr:uid="{218C17CB-B7B2-4871-8B12-A067E418B0F3}">
      <text>
        <t>[Threaded comment]
Your version of Excel allows you to read this threaded comment; however, any edits to it will get removed if the file is opened in a newer version of Excel. Learn more: https://go.microsoft.com/fwlink/?linkid=870924
Comment:
    energy cost for the blower is 3.11 $/DMT, at electricity cost = 0.1144 $/kwh, 1 kwh = 3412.1416 Btus. Only 25% of the biomass is processed with the blower.</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<sst xmlns="http://schemas.openxmlformats.org/spreadsheetml/2006/main" count="1547" uniqueCount="367">
  <si>
    <t>Input</t>
  </si>
  <si>
    <t>Category</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</si>
  <si>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</si>
  <si>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</si>
  <si>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</si>
  <si>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</si>
  <si>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</si>
  <si>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</si>
  <si>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</si>
  <si>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</si>
  <si>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</si>
  <si>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</si>
  <si>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</si>
  <si>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</si>
  <si>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</si>
  <si>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</si>
  <si>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</si>
  <si>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</si>
  <si>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</si>
  <si>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</si>
  <si>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</si>
  <si>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</si>
  <si>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</si>
  <si>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</si>
  <si>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</si>
  <si>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</si>
  <si>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</si>
  <si>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</si>
  <si>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</si>
  <si>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</si>
  <si>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</si>
  <si>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</si>
  <si>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</si>
  <si>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</si>
  <si>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</si>
  <si>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</si>
  <si>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</si>
  <si>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</si>
  <si>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</si>
  <si>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</si>
  <si>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</si>
  <si>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</si>
  <si>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</si>
  <si>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</si>
  <si>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</si>
  <si>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</si>
  <si>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</si>
  <si>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</si>
  <si>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</si>
  <si>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</si>
  <si>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</si>
  <si>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Betaketoadipate</t>
  </si>
  <si>
    <t>Mass+Volume+Energy</t>
  </si>
  <si>
    <t>Mass+Volume</t>
  </si>
  <si>
    <t>Mass+Energy</t>
  </si>
  <si>
    <t>Volume+Energy</t>
  </si>
  <si>
    <t>Mass</t>
  </si>
  <si>
    <t>Volume</t>
  </si>
  <si>
    <t>kg</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</si>
  <si>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</si>
  <si>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</si>
  <si>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</si>
  <si>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</si>
  <si>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</si>
  <si>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</si>
  <si>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</si>
  <si>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</si>
  <si>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</si>
  <si>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</si>
  <si>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</si>
  <si>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</si>
  <si>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</si>
  <si>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</si>
  <si>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</si>
  <si>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</si>
  <si>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</si>
  <si>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</si>
  <si>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</si>
  <si>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</si>
  <si>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</si>
  <si>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</si>
  <si>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</si>
  <si>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</si>
  <si>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</si>
  <si>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</si>
  <si>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</si>
  <si>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</si>
  <si>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</si>
  <si>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</si>
  <si>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</si>
  <si>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</si>
  <si>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</si>
  <si>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</si>
  <si>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</si>
  <si>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</si>
  <si>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</si>
  <si>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</si>
  <si>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</si>
  <si>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</si>
  <si>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</si>
  <si>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</si>
  <si>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</si>
  <si>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</si>
  <si>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</si>
  <si>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</si>
  <si>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</si>
  <si>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</si>
  <si>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</si>
  <si>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</si>
  <si>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</si>
  <si>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</si>
  <si>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</si>
  <si>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Product Train</t>
  </si>
  <si>
    <t>Main Product</t>
  </si>
  <si>
    <t>No</t>
  </si>
  <si>
    <t>External input.The resource is from outside the modeled pathway.</t>
  </si>
  <si>
    <t>The input/output resource.</t>
  </si>
  <si>
    <t>The unit of the item.</t>
  </si>
  <si>
    <t>The amount of the item. For transportation, specify the tranportation distance.</t>
  </si>
  <si>
    <t>2.1 General Inputs</t>
  </si>
  <si>
    <t>2.2 Life Cycle Inventory Inputs</t>
  </si>
  <si>
    <t>Add notes for the item. This column is not used in the LCA calculation.</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</si>
  <si>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</si>
  <si>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</si>
  <si>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</si>
  <si>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</si>
  <si>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</si>
  <si>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</si>
  <si>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</si>
  <si>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</si>
  <si>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</si>
  <si>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</si>
  <si>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</si>
  <si>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</si>
  <si>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</si>
  <si>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</si>
  <si>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</si>
  <si>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</si>
  <si>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</si>
  <si>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</si>
  <si>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</si>
  <si>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</si>
  <si>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</si>
  <si>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</si>
  <si>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</si>
  <si>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</si>
  <si>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</si>
  <si>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</si>
  <si>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</si>
  <si>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</si>
  <si>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</si>
  <si>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</si>
  <si>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</si>
  <si>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</si>
  <si>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</si>
  <si>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</si>
  <si>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</si>
  <si>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</si>
  <si>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</si>
  <si>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</si>
  <si>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</si>
  <si>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</si>
  <si>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</si>
  <si>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</si>
  <si>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</si>
  <si>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</si>
  <si>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</si>
  <si>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</si>
  <si>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</si>
  <si>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</si>
  <si>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</si>
  <si>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</si>
  <si>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</si>
  <si>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</si>
  <si>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</si>
  <si>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</si>
  <si>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</si>
  <si>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</si>
  <si>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</si>
  <si>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</si>
  <si>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</si>
  <si>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</si>
  <si>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</si>
  <si>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</si>
  <si>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</si>
  <si>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</si>
  <si>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</si>
  <si>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</si>
  <si>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</si>
  <si>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</si>
  <si>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</si>
  <si>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</si>
  <si>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</si>
  <si>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</si>
  <si>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</si>
  <si>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</si>
  <si>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</si>
  <si>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</si>
  <si>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</si>
  <si>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</si>
  <si>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</si>
  <si>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</si>
  <si>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</si>
  <si>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</si>
  <si>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</si>
  <si>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</si>
  <si>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</si>
  <si>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</si>
  <si>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</si>
  <si>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</si>
  <si>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</si>
  <si>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</si>
  <si>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</si>
  <si>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</si>
  <si>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</si>
  <si>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</si>
  <si>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</si>
  <si>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Other</t>
  </si>
  <si>
    <t>VOC</t>
  </si>
  <si>
    <t>CO</t>
  </si>
  <si>
    <t>NOx</t>
  </si>
  <si>
    <t>PM10</t>
  </si>
  <si>
    <t>PM2.5</t>
  </si>
  <si>
    <t>SOx</t>
  </si>
  <si>
    <t>BC</t>
  </si>
  <si>
    <t>OC</t>
  </si>
  <si>
    <t>CH4</t>
  </si>
  <si>
    <t>N2O</t>
  </si>
  <si>
    <t>CO2</t>
  </si>
  <si>
    <t>CO2 sequestration</t>
  </si>
  <si>
    <t>Waste</t>
  </si>
  <si>
    <t>Sludge</t>
  </si>
  <si>
    <t>SMR</t>
  </si>
  <si>
    <t>Polymer</t>
  </si>
  <si>
    <t>Lime</t>
  </si>
  <si>
    <t>CoMo/γ-Al2O3 Catalyst</t>
  </si>
  <si>
    <t>NiMo/γ-Al2O3 Catalyst</t>
  </si>
  <si>
    <t>Pt/ Gamma Al2O3 Catalyst</t>
  </si>
  <si>
    <t>Ni</t>
  </si>
  <si>
    <t>Biocrude</t>
  </si>
  <si>
    <t>Intermediate Product</t>
  </si>
  <si>
    <t>Fuel Distribution and Vehicle Operation</t>
  </si>
  <si>
    <t>Fuel Distribution</t>
  </si>
  <si>
    <t>Solids from Aqueous Treatment</t>
  </si>
  <si>
    <t>Process fuel</t>
  </si>
  <si>
    <t>Emissions and sequestration</t>
  </si>
  <si>
    <t>metric ton</t>
  </si>
  <si>
    <t>The category of the resource (i.e., fuel, chemicals and catalysts, etc.). To model the emissions from transportation of an input or a product, select "Transportation".</t>
  </si>
  <si>
    <t>Specify the product train of the item. The column is only used when using the process-level allocation method. If not specified, the input will be allocated to both main- and co-products (i.e., empty cell will be treated as "Both").</t>
  </si>
  <si>
    <t>The payload of heavy-duty trucks when transporting the resource on a wet basis. Default values are provided for a variety of resources.</t>
  </si>
  <si>
    <t>Unit of the payload.</t>
  </si>
  <si>
    <t>Unit of the market price.</t>
  </si>
  <si>
    <t>Market price of the resource. The market price of co-products must be specified when market-value based allocation method is used.</t>
  </si>
  <si>
    <t>The incumbent product that the main- and co-products displaces. For co-products, the incumbent product displaced, generating credits when displacement method is used. For the main product, the emissions of the incumbent product serve as a basis to which the main products are compared to.</t>
  </si>
  <si>
    <t>The end use of the incumbent product.</t>
  </si>
  <si>
    <t>Process</t>
  </si>
  <si>
    <t>The method used to adress the impact of the co-products generated in the life-cycle stage.</t>
  </si>
  <si>
    <t>Input from Another Stage</t>
  </si>
  <si>
    <t>Previous Stage</t>
  </si>
  <si>
    <t>Does this stage produce the end product</t>
  </si>
  <si>
    <t>2. Introduction of the required inputs for each life-cycle stage</t>
  </si>
  <si>
    <r>
      <rPr>
        <b/>
        <sz val="16"/>
        <color theme="1"/>
        <rFont val="Calibri"/>
        <family val="2"/>
        <scheme val="minor"/>
      </rPr>
      <t>1. Overview</t>
    </r>
    <r>
      <rPr>
        <sz val="11"/>
        <color theme="1"/>
        <rFont val="Calibri"/>
        <family val="2"/>
        <scheme val="minor"/>
      </rPr>
      <t xml:space="preserve">
This tool is developed for streamlined life-cycle analysis (LCA) calculations for biofuel pathways under development. It is used to generate input files that can be uploaded to a web-based application that is under development for streamlined LCA calculation. Each pathway consists of one or more life-cycle stages. Each spreadsheet comprises the inputs and outputs of a particular life-cycle stage. The TEA modelers can determine the granularity of a biofuel pathway. For instance, the pathway may include only one stage that covers biomass cultivation, transportation, and conversion of the feedstock to the final product. Alternatively, the pathway may be broken down into three stages: feedstock production, feedstock preprocessing, and fuel production. As long as the proper life-cycle inputs and outputs are provided, the correct LCA results will be generated no matter how the pathway is broken down.</t>
    </r>
  </si>
  <si>
    <t>Is this the last life-cycle stage</t>
  </si>
  <si>
    <r>
      <rPr>
        <sz val="11"/>
        <color theme="1"/>
        <rFont val="Calibri"/>
        <family val="2"/>
        <scheme val="minor"/>
      </rPr>
      <t xml:space="preserve">If "Yes", the main product of the stage is the end product of this pathway. </t>
    </r>
    <r>
      <rPr>
        <b/>
        <sz val="11"/>
        <color rgb="FFC00000"/>
        <rFont val="Calibri"/>
        <family val="2"/>
        <scheme val="minor"/>
      </rPr>
      <t>There must be one and only one final stage for each pathway.</t>
    </r>
  </si>
  <si>
    <t>Specify whether the item is an input or output of the stage. There are two input types and three output types defined:</t>
  </si>
  <si>
    <t>Input from another stage</t>
  </si>
  <si>
    <r>
      <t xml:space="preserve">The Main product of a stage for which LCA results are calculated. </t>
    </r>
    <r>
      <rPr>
        <b/>
        <sz val="11"/>
        <color rgb="FFC00000"/>
        <rFont val="Calibri"/>
        <family val="2"/>
        <scheme val="minor"/>
      </rPr>
      <t>Each stage can have more than one main products, but they must fall into the same category (see the "Category" column)</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</si>
  <si>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Co-product of a life-cycle stage. There are two approaches to address the impacts of co-products. When the displacement method is used, co-products generate credits by displacing their incumbent counterparts. When process-level allocation methods are used, a portion of emission burdens are allocated to the co-products depending on the basis for the allocation method (mass-, energy- or market-value-based allocation). It is also possible to always apply displacement methods to a subset of co-products while using allocation methods to the other co-products. To achieve this effect, just </t>
    </r>
    <r>
      <rPr>
        <b/>
        <sz val="11"/>
        <color rgb="FFC00000"/>
        <rFont val="Calibri"/>
        <family val="2"/>
        <scheme val="minor"/>
      </rPr>
      <t>set the "Always Use Displacement Method for Co-Product?" column to "Yes" for the co-product for which displacement methods should always be used.</t>
    </r>
    <r>
      <rPr>
        <sz val="11"/>
        <color theme="1"/>
        <rFont val="Calibri"/>
        <family val="2"/>
        <scheme val="minor"/>
      </rPr>
      <t xml:space="preserve"> The credits are then allocated among the main- and co-products just like the emission burdens.</t>
    </r>
  </si>
  <si>
    <t>Unlike co-products, no emission burdens are allocated to the intermediate products of a stage when allocation methods, neither do intermediate products generate any displacement credits. Intermediate products have zero upstream emissions. However, emissions from end use of intermediate products are accounted for. For example, if biochar generated from fast pyrolysis are burned to generate heat, emissions from biochar combustion are accounted for.</t>
  </si>
  <si>
    <r>
      <t xml:space="preserve">Specify the end use of the selected resource. For instance, natural gas can be burned in large- and small-scale industrial boilers, which affect the emissions from the end use. If left empty, the emissions from the end use are not accounted for in the LCA calculation. </t>
    </r>
    <r>
      <rPr>
        <b/>
        <sz val="11"/>
        <color rgb="FFC00000"/>
        <rFont val="Calibri"/>
        <family val="2"/>
        <scheme val="minor"/>
      </rPr>
      <t>For electricity, this column specifies the gird mix (e.g., U.S. mix, etc.) and cannot be left empty.</t>
    </r>
  </si>
  <si>
    <t>The moisture content of the item. For instance, if the amount of biomass feedstock is 100 ton and the moisture content is 20%, it will be converted to 80 dry ton. The moisture content can also be used to specify the moisture of resource when transported.</t>
  </si>
  <si>
    <t xml:space="preserve">This column is only used when the "Type" column is "Input from another stage". It is used to specify the name of the source stage from which the resource is produced. The provided stage name must exist (i.e., the provided name must be identical to the B1 Cell of the spreadsheet for the source stage). </t>
  </si>
  <si>
    <t>This column is used to specify whether displacement method should always be applied to a co-product. If set to "Yes", the co-product will generate credits by displacing its incumbent product no matter what co-product displacement methods are specified for the stage. The credits will then be allocated among the main and co-products like the inputs. If set to "No", a portion of the emission burdens are allocoated to the co-product when allocation methods are specified as the co-product handling method for the stage.</t>
  </si>
  <si>
    <r>
      <t xml:space="preserve">Input from another stage in the modeled pathway. </t>
    </r>
    <r>
      <rPr>
        <b/>
        <sz val="11"/>
        <color rgb="FFC00000"/>
        <rFont val="Calibri"/>
        <family val="2"/>
        <scheme val="minor"/>
      </rPr>
      <t>The name of the source stage must be specified in the "Previous Stage" column.</t>
    </r>
  </si>
  <si>
    <t>Note: It is highly recommended to set Excel to perform automatic calculation to help propogate default values of each column when available. This can be done by following the following step: Click "Formulas" tab -&gt; "Calculation Options" -&gt;  "Automatic".</t>
  </si>
  <si>
    <t xml:space="preserve">The process that the resource is associated with. This column is used to break the total emission down by process. A life-cycle stage may comprise multiple processes. For instance, a life-cycle stage modeling biofuel production from WWTP sludge may comprise HTL and biocrude upgrading. In this case, providing the process names with which the input/output resources are associated helps generate a more detailed breakdown chart. If left empty, the last specified process in the same life-cycle stage will be used. For any remaining empty process, the name of the life-cycle stage is used. </t>
  </si>
  <si>
    <t>Renewable Diesel - Biochem (Acids)</t>
  </si>
  <si>
    <t>Adipic Acid</t>
  </si>
  <si>
    <t>Corn Oil</t>
  </si>
  <si>
    <t>Sodium Sulfate Salt</t>
  </si>
  <si>
    <t>Column132</t>
  </si>
  <si>
    <t>Infrastructure</t>
  </si>
  <si>
    <t>Concrete</t>
  </si>
  <si>
    <t>Steel</t>
  </si>
  <si>
    <t>Plastic</t>
  </si>
  <si>
    <t>Cast Iron</t>
  </si>
  <si>
    <t>(NH4)2HPO4</t>
  </si>
  <si>
    <t>Algae</t>
  </si>
  <si>
    <t>Hexane</t>
  </si>
  <si>
    <t>H3PO4</t>
  </si>
  <si>
    <t>HT Catlysts (HTL)</t>
  </si>
  <si>
    <t>Hydrcracking catalyst  (HTL)</t>
  </si>
  <si>
    <t>Silica</t>
  </si>
  <si>
    <t>Clay</t>
  </si>
  <si>
    <t>Dehydration Catalyst</t>
  </si>
  <si>
    <t>Oligomerization Catalyst</t>
  </si>
  <si>
    <t>One step HDO/HI Catalyst</t>
  </si>
  <si>
    <t>Hydrotalcite</t>
  </si>
  <si>
    <t>Ketonization Catalyst (ZrO2)</t>
  </si>
  <si>
    <t>Condensation Catalyst (Niobic Acid)</t>
  </si>
  <si>
    <t>Formic acid</t>
  </si>
  <si>
    <t>H2O2</t>
  </si>
  <si>
    <t>Catalysts and Other Chemicals</t>
  </si>
  <si>
    <t>Nitrogen</t>
  </si>
  <si>
    <t>Toluene Diisocyanate</t>
  </si>
  <si>
    <t>Diethanolamine</t>
  </si>
  <si>
    <t>Surfactant</t>
  </si>
  <si>
    <t>Polyurethane</t>
  </si>
  <si>
    <t>Hydrogen for CAP</t>
  </si>
  <si>
    <t>Nitrogen Gas</t>
  </si>
  <si>
    <t>Ca(NO3)2</t>
  </si>
  <si>
    <t>Renewable Diesel - Algae (BDO)</t>
  </si>
  <si>
    <t>Renewable Diesel - Algae (Acids)</t>
  </si>
  <si>
    <t>MgO</t>
  </si>
  <si>
    <t>NaCl</t>
  </si>
  <si>
    <t>P2O5</t>
  </si>
  <si>
    <t>diesel_end_use</t>
  </si>
  <si>
    <t>ng_end_use</t>
  </si>
  <si>
    <t>rd_end_use</t>
  </si>
  <si>
    <t>electricity_end_use</t>
  </si>
  <si>
    <t>biomass_resource</t>
  </si>
  <si>
    <t>waste_resource</t>
  </si>
  <si>
    <t>electricity_resource</t>
  </si>
  <si>
    <t>water_resource</t>
  </si>
  <si>
    <t>other_resource</t>
  </si>
  <si>
    <t>fuel_resource</t>
  </si>
  <si>
    <t>chemicals_resource</t>
  </si>
  <si>
    <t>infra_resource</t>
  </si>
  <si>
    <t>emission_resource</t>
  </si>
  <si>
    <t>Placeholder</t>
  </si>
  <si>
    <t>mass_volume_energy</t>
  </si>
  <si>
    <t>mass_volume</t>
  </si>
  <si>
    <t>transport_resource</t>
  </si>
  <si>
    <t>Share of Process Urban Emissions</t>
  </si>
  <si>
    <t>Urban Share</t>
  </si>
  <si>
    <t>Surrogate For</t>
  </si>
  <si>
    <t/>
  </si>
  <si>
    <t>Energy Consump (mBtu/ton)</t>
  </si>
  <si>
    <t>Diesel %</t>
  </si>
  <si>
    <t>Electricity %</t>
  </si>
  <si>
    <t>Natural Gas %</t>
  </si>
  <si>
    <t>MC</t>
  </si>
  <si>
    <t>Dry Matter Loss</t>
  </si>
  <si>
    <t>Harvest And Collection</t>
  </si>
  <si>
    <t>Fieldside Storage</t>
  </si>
  <si>
    <t>Distance(mi)</t>
  </si>
  <si>
    <t>Payload(wet tons)</t>
  </si>
  <si>
    <t>Transportation #1</t>
  </si>
  <si>
    <t>Energy Consump (mBtu)</t>
  </si>
  <si>
    <t>Depot Storage</t>
  </si>
  <si>
    <t>Depot Preprocessing</t>
  </si>
  <si>
    <t>Depot Handling</t>
  </si>
  <si>
    <t>Blending</t>
  </si>
  <si>
    <t>Transportation #2</t>
  </si>
  <si>
    <t>Harvest and collection</t>
  </si>
  <si>
    <t>Field storage</t>
  </si>
  <si>
    <t>Transportation to depot</t>
  </si>
  <si>
    <t>Depot storage</t>
  </si>
  <si>
    <t>Preprocessing</t>
  </si>
  <si>
    <t>Handling</t>
  </si>
  <si>
    <t>Transportation to biorefinery</t>
  </si>
  <si>
    <t>$/mmBTU</t>
  </si>
  <si>
    <t>$/kg</t>
  </si>
  <si>
    <t>Fuel production</t>
  </si>
  <si>
    <t>CO2 emissions from the use of Na2CO3.</t>
  </si>
  <si>
    <t>Biogenic CO2 sequestration by BKA.</t>
  </si>
  <si>
    <t>Renewable Diesel - Biochem (BDO)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</si>
</sst>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F400]h:mm:ss\ AM/PM"/>
    <numFmt numFmtId="165" formatCode="_(* #,##0_);_(* \(#,##0\);_(* &quot;-&quot;??_);_(@_)"/>
    <numFmt numFmtId="166" formatCode="#,##0.0"/>
    <numFmt numFmtId="167" formatCode="0.0%"/>
    <numFmt numFmtId="168" formatCode="_(* #,##0.000000_);_(* \(#,##0.000000\);_(* &quot;-&quot;??_);_(@_)"/>
  </numFmts>
  <fonts count="18"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
      <sz val="11"/>
      <name val="Calibri"/>
      <family val="2"/>
      <scheme val="minor"/>
    </font>
  </fonts>
  <fills count="11">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
      <patternFill patternType="solid">
        <fgColor theme="5"/>
        <bgColor indexed="64"/>
      </patternFill>
    </fill>
  </fills>
  <borders count="13">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
      <left style="thin">
        <color indexed="64"/>
      </left>
      <right/>
      <top style="thin">
        <color indexed="64"/>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89">
    <xf numFmtId="0" fontId="0" fillId="0" borderId="0" xfId="0"/>
    <xf numFmtId="164" fontId="0" fillId="0" borderId="0" xfId="0" applyNumberFormat="1"/>
    <xf numFmtId="0" fontId="3" fillId="0" borderId="0" xfId="0" applyFont="1"/>
    <xf numFmtId="0" fontId="0" fillId="0" borderId="0" xfId="0" applyAlignment="1">
      <alignment horizontal="left"/>
    </xf>
    <xf numFmtId="0" fontId="4" fillId="0" borderId="0" xfId="0" applyFont="1" applyAlignment="1">
      <alignment horizontal="left" wrapText="1"/>
    </xf>
    <xf numFmtId="0" fontId="4" fillId="0" borderId="0" xfId="0" applyFont="1" applyAlignment="1">
      <alignment horizontal="left"/>
    </xf>
    <xf numFmtId="0" fontId="0" fillId="0" borderId="2" xfId="0" applyBorder="1"/>
    <xf numFmtId="0" fontId="2" fillId="2" borderId="0" xfId="0" applyFont="1" applyFill="1"/>
    <xf numFmtId="0" fontId="5" fillId="2" borderId="0" xfId="0" applyFont="1" applyFill="1"/>
    <xf numFmtId="0" fontId="2" fillId="0" borderId="0" xfId="0" applyFont="1"/>
    <xf numFmtId="0" fontId="2" fillId="0" borderId="0" xfId="0" applyFont="1" applyAlignment="1">
      <alignment horizontal="left"/>
    </xf>
    <xf numFmtId="0" fontId="0" fillId="3" borderId="1" xfId="0" applyFill="1"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0" xfId="0" applyAlignment="1">
      <alignment wrapText="1"/>
    </xf>
    <xf numFmtId="0" fontId="9" fillId="0" borderId="0" xfId="0" applyFont="1" applyAlignment="1">
      <alignment vertical="center"/>
    </xf>
    <xf numFmtId="0" fontId="10" fillId="0" borderId="0" xfId="0" applyFont="1" applyAlignment="1">
      <alignment vertical="center"/>
    </xf>
    <xf numFmtId="0" fontId="11" fillId="0" borderId="0" xfId="0" applyFont="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Font="1" applyBorder="1"/>
    <xf numFmtId="0" fontId="0" fillId="0" borderId="2" xfId="2" applyNumberFormat="1" applyFont="1" applyBorder="1"/>
    <xf numFmtId="0" fontId="16" fillId="0" borderId="3" xfId="0" applyFont="1" applyBorder="1" applyAlignment="1">
      <alignment horizontal="right" wrapText="1"/>
    </xf>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7" xfId="0" applyNumberFormat="1" applyFont="1" applyFill="1" applyBorder="1"/>
    <xf numFmtId="0" fontId="4" fillId="0" borderId="7" xfId="0" applyFont="1" applyBorder="1"/>
    <xf numFmtId="3" fontId="4" fillId="7" borderId="0" xfId="0" applyNumberFormat="1" applyFont="1" applyFill="1"/>
    <xf numFmtId="3" fontId="4" fillId="8" borderId="0" xfId="0" applyNumberFormat="1" applyFont="1" applyFill="1"/>
    <xf numFmtId="3" fontId="4" fillId="0" borderId="8"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8" xfId="0" applyNumberFormat="1" applyFont="1" applyFill="1" applyBorder="1"/>
    <xf numFmtId="0" fontId="16" fillId="0" borderId="9" xfId="0" applyFont="1" applyBorder="1"/>
    <xf numFmtId="3" fontId="4" fillId="0" borderId="10" xfId="0" applyNumberFormat="1" applyFont="1" applyBorder="1"/>
    <xf numFmtId="3" fontId="4" fillId="5" borderId="10" xfId="0" applyNumberFormat="1" applyFont="1" applyFill="1" applyBorder="1"/>
    <xf numFmtId="0" fontId="4" fillId="0" borderId="10" xfId="0" applyFont="1" applyBorder="1"/>
    <xf numFmtId="0" fontId="4" fillId="7" borderId="10" xfId="0" applyFont="1" applyFill="1" applyBorder="1"/>
    <xf numFmtId="3" fontId="4" fillId="0" borderId="11" xfId="0" applyNumberFormat="1" applyFont="1" applyBorder="1"/>
    <xf numFmtId="3" fontId="0" fillId="0" borderId="0" xfId="0" applyNumberFormat="1"/>
    <xf numFmtId="166" fontId="0" fillId="0" borderId="0" xfId="0" applyNumberFormat="1"/>
    <xf numFmtId="0" fontId="0" fillId="10" borderId="0" xfId="0" applyFill="1"/>
    <xf numFmtId="0" fontId="3" fillId="10" borderId="0" xfId="0" applyFont="1" applyFill="1"/>
    <xf numFmtId="164" fontId="0" fillId="10" borderId="0" xfId="0" applyNumberFormat="1" applyFill="1"/>
    <xf numFmtId="0" fontId="4" fillId="10" borderId="4" xfId="0" applyFont="1" applyFill="1" applyBorder="1"/>
    <xf numFmtId="0" fontId="0" fillId="10" borderId="4" xfId="0" applyFill="1" applyBorder="1"/>
    <xf numFmtId="9" fontId="0" fillId="0" borderId="0" xfId="0" applyNumberFormat="1"/>
    <xf numFmtId="0" fontId="4" fillId="0" borderId="4" xfId="0" applyFont="1" applyBorder="1"/>
    <xf numFmtId="0" fontId="0" fillId="0" borderId="4" xfId="0" applyBorder="1"/>
    <xf numFmtId="2" fontId="0" fillId="0" borderId="2" xfId="1" applyNumberFormat="1" applyFont="1" applyBorder="1"/>
    <xf numFmtId="0" fontId="0" fillId="0" borderId="3" xfId="0" applyBorder="1" applyAlignment="1">
      <alignment horizontal="center"/>
    </xf>
    <xf numFmtId="0" fontId="3" fillId="0" borderId="3" xfId="0" applyFont="1" applyBorder="1" applyAlignment="1">
      <alignment horizontal="center"/>
    </xf>
    <xf numFmtId="0" fontId="17" fillId="0" borderId="3" xfId="0" applyFont="1" applyBorder="1" applyAlignment="1">
      <alignment horizontal="center"/>
    </xf>
    <xf numFmtId="9" fontId="17" fillId="0" borderId="3" xfId="0" applyNumberFormat="1" applyFont="1" applyBorder="1" applyAlignment="1">
      <alignment horizontal="center"/>
    </xf>
    <xf numFmtId="10" fontId="17" fillId="0" borderId="3" xfId="2" applyNumberFormat="1" applyFont="1" applyBorder="1" applyAlignment="1">
      <alignment horizontal="center"/>
    </xf>
    <xf numFmtId="0" fontId="17" fillId="0" borderId="3" xfId="0" quotePrefix="1" applyFont="1" applyBorder="1" applyAlignment="1">
      <alignment horizontal="center"/>
    </xf>
    <xf numFmtId="10" fontId="17" fillId="0" borderId="3" xfId="2" quotePrefix="1" applyNumberFormat="1" applyFont="1" applyFill="1" applyBorder="1" applyAlignment="1">
      <alignment horizontal="center"/>
    </xf>
    <xf numFmtId="0" fontId="9" fillId="0" borderId="3" xfId="0" applyFont="1" applyBorder="1" applyAlignment="1">
      <alignment horizontal="center"/>
    </xf>
    <xf numFmtId="10" fontId="17" fillId="0" borderId="3" xfId="2" applyNumberFormat="1" applyFont="1" applyFill="1" applyBorder="1" applyAlignment="1">
      <alignment horizontal="center"/>
    </xf>
    <xf numFmtId="167" fontId="17" fillId="0" borderId="3" xfId="0" applyNumberFormat="1" applyFont="1" applyBorder="1" applyAlignment="1">
      <alignment horizontal="center"/>
    </xf>
    <xf numFmtId="2" fontId="17" fillId="0" borderId="3" xfId="0" applyNumberFormat="1" applyFont="1" applyBorder="1" applyAlignment="1">
      <alignment horizontal="center"/>
    </xf>
    <xf numFmtId="43" fontId="0" fillId="0" borderId="2" xfId="1" applyFont="1" applyBorder="1"/>
    <xf numFmtId="2" fontId="0" fillId="0" borderId="2" xfId="0" applyNumberFormat="1" applyBorder="1"/>
    <xf numFmtId="165" fontId="0" fillId="3" borderId="2" xfId="1" applyNumberFormat="1" applyFont="1" applyFill="1" applyBorder="1"/>
    <xf numFmtId="168" fontId="0" fillId="0" borderId="2" xfId="1" applyNumberFormat="1" applyFont="1" applyBorder="1"/>
    <xf numFmtId="167" fontId="0" fillId="0" borderId="0" xfId="0" applyNumberFormat="1"/>
    <xf numFmtId="165" fontId="0" fillId="0" borderId="2" xfId="1" applyNumberFormat="1" applyFont="1" applyFill="1" applyBorder="1"/>
    <xf numFmtId="10" fontId="17" fillId="0" borderId="3" xfId="2" quotePrefix="1" applyNumberFormat="1" applyFont="1" applyBorder="1" applyAlignment="1">
      <alignment horizontal="center"/>
    </xf>
    <xf numFmtId="0" fontId="0" fillId="0" borderId="0" xfId="0" applyAlignment="1">
      <alignment horizontal="left" vertical="center" wrapText="1"/>
    </xf>
    <xf numFmtId="0" fontId="8" fillId="0" borderId="0" xfId="0" applyFont="1" applyAlignment="1">
      <alignment horizontal="left" vertical="center" wrapText="1"/>
    </xf>
    <xf numFmtId="0" fontId="13" fillId="0" borderId="0" xfId="0" applyFont="1" applyAlignment="1">
      <alignment horizontal="left" vertical="center" wrapText="1"/>
    </xf>
    <xf numFmtId="0" fontId="17" fillId="0" borderId="12" xfId="0" applyFont="1" applyBorder="1" applyAlignment="1">
      <alignment horizontal="center"/>
    </xf>
    <xf numFmtId="0" fontId="17" fillId="0" borderId="5" xfId="0" applyFont="1" applyBorder="1" applyAlignment="1">
      <alignment horizontal="center"/>
    </xf>
    <xf numFmtId="0" fontId="3" fillId="0" borderId="3" xfId="0" applyFont="1" applyBorder="1" applyAlignment="1">
      <alignment horizontal="center"/>
    </xf>
    <xf numFmtId="0" fontId="17" fillId="0" borderId="3" xfId="0" applyFont="1" applyBorder="1" applyAlignment="1">
      <alignment horizontal="center"/>
    </xf>
    <xf numFmtId="2" fontId="17" fillId="0" borderId="12" xfId="0" quotePrefix="1" applyNumberFormat="1" applyFont="1" applyBorder="1" applyAlignment="1">
      <alignment horizontal="center"/>
    </xf>
    <xf numFmtId="2" fontId="17" fillId="0" borderId="5" xfId="0" quotePrefix="1" applyNumberFormat="1" applyFont="1" applyBorder="1" applyAlignment="1">
      <alignment horizontal="center"/>
    </xf>
    <xf numFmtId="0" fontId="9" fillId="0" borderId="3" xfId="0" applyFont="1" applyBorder="1" applyAlignment="1">
      <alignment horizontal="center"/>
    </xf>
  </cellXfs>
  <cellStyles count="3">
    <cellStyle name="Comma" xfId="1" builtinId="3"/>
    <cellStyle name="Normal" xfId="0" builtinId="0"/>
    <cellStyle name="Percent" xfId="2" builtinId="5"/>
  </cellStyles>
  <dxfs count="290">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F400]h:mm:ss\ AM/PM"/>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412750</xdr:colOff>
          <xdr:row>0</xdr:row>
          <xdr:rowOff>266700</xdr:rowOff>
        </xdr:from>
        <xdr:to>
          <xdr:col>1</xdr:col>
          <xdr:colOff>1879600</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700-0000014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800-0000015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900-0000015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A00-0000015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B00-0000015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C00-0000016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D00-0000016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E00-0000016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F00-0000016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1000-0000017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oul/Box/SCSA_Since%20FY18/SCSA_2021/Biochem/LCI%20inventories%20-%20process%20allocation%20breakouts%20-%20FY21%20BC%20SOT%20-%20work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DO - LCI"/>
      <sheetName val="Acids - LCI"/>
      <sheetName val="SI"/>
    </sheetNames>
    <sheetDataSet>
      <sheetData sheetId="0"/>
      <sheetData sheetId="1"/>
      <sheetData sheetId="2">
        <row r="1">
          <cell r="B1">
            <v>3.9657619999999998</v>
          </cell>
        </row>
      </sheetData>
    </sheetDataSet>
  </externalBook>
</externalLink>
</file>

<file path=xl/persons/person.xml><?xml version="1.0" encoding="utf-8"?>
<personList xmlns="http://schemas.microsoft.com/office/spreadsheetml/2018/threadedcomments" xmlns:x="http://schemas.openxmlformats.org/spreadsheetml/2006/main">
  <person displayName="Yingqian Lin" id="{1BA94B23-8AF6-4DEA-8555-F31E64B696F6}" userId="S::Yingqian.Lin@inl.gov::06688db0-b0b0-4933-99bd-89070276f1e2"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5:T100" totalsRowShown="0" headerRowDxfId="289" dataDxfId="288" tableBorderDxfId="287" dataCellStyle="Percent">
  <autoFilter ref="A5:T100" xr:uid="{1644AED8-49DE-4A1D-989C-1566C9A522B9}"/>
  <tableColumns count="20">
    <tableColumn id="1" xr3:uid="{3C4E83C1-4DAF-4B93-AE9A-B658DBA43631}" name="Type" dataDxfId="286"/>
    <tableColumn id="2" xr3:uid="{7AC9B54E-C457-49EC-A7D6-0ED656B6CFE9}" name="Category" dataDxfId="285"/>
    <tableColumn id="3" xr3:uid="{350F9A14-F368-49FE-AF21-19555EB999FB}" name="Resource" dataDxfId="284">
      <calculatedColumnFormula>_xlfn.XLOOKUP($B6,'SI - Resources'!$A$1:$J$1,'SI - Resources'!$A$2:$J$2, "")</calculatedColumnFormula>
    </tableColumn>
    <tableColumn id="4" xr3:uid="{A0B55D89-6640-4C29-88AC-93188C5097C5}" name="End Use" dataDxfId="283">
      <calculatedColumnFormula>IF(_xlfn.XLOOKUP($C6,'SI - End Use'!$B$2:$B$6,'SI - End Use'!$C$2:$C$6, "")="", "", _xlfn.XLOOKUP($C6,'SI - End Use'!$B$2:$B$6,'SI - End Use'!$C$2:$C$6, ""))</calculatedColumnFormula>
    </tableColumn>
    <tableColumn id="5" xr3:uid="{5ADDDF1D-4510-4428-A882-8D5C8F52BE8C}" name="Amount" dataDxfId="282" dataCellStyle="Comma"/>
    <tableColumn id="6" xr3:uid="{341D427F-5F42-4F22-98AD-9D6883E4330B}" name="Unit" dataDxfId="281">
      <calculatedColumnFormula array="1">IF($B6="Transportation",  'SI - Units'!$B$9:$B$9, _xlfn.XLOOKUP(_xlfn.XLOOKUP($C6,'SI - Units'!$B$24:$B$109,'SI - Units'!$C$24:$C$109, ""),'SI - Units'!$A$2:$A$8,'SI - Units'!$B$2:$B$8, ""))</calculatedColumnFormula>
    </tableColumn>
    <tableColumn id="7" xr3:uid="{515C4DB0-B187-40B1-8F47-45FF3483AEC1}" name="Moisture" dataDxfId="280" dataCellStyle="Percent"/>
    <tableColumn id="8" xr3:uid="{294BC856-42BB-4049-BD49-6A865E88E771}" name="Previous Stage" dataDxfId="279" dataCellStyle="Percent"/>
    <tableColumn id="9" xr3:uid="{CDA23678-EB57-4035-9101-F29AA45C63EE}" name="Always Use Displacement Method for Co-Product?" dataDxfId="278" dataCellStyle="Percent">
      <calculatedColumnFormula>IF(Table1[[#This Row],[Type]]="Co-product", "No", "")</calculatedColumnFormula>
    </tableColumn>
    <tableColumn id="19" xr3:uid="{9ACBBA67-4B7F-43A7-9CF8-0FBB7B61A832}" name="Urban Share" dataDxfId="277" dataCellStyle="Percent"/>
    <tableColumn id="10" xr3:uid="{0E5BF4B8-8667-40EE-B9EF-BC9E06D72AAB}" name="Product Train" dataDxfId="276"/>
    <tableColumn id="14" xr3:uid="{D99A9C54-A8C3-4803-A70D-4659D5193A9A}" name="Payload" dataDxfId="275">
      <calculatedColumnFormula>IF(Table1[[#This Row],[Category]]="Transportation", _xlfn.XLOOKUP(Table1[[#This Row],[Resource]], 'SI - Payload'!$A$10:$A$40,'SI - Payload'!$B$10:$B$40,"",0), "")</calculatedColumnFormula>
    </tableColumn>
    <tableColumn id="15" xr3:uid="{3BF278AE-6D04-4ABA-AACE-E651957B5676}" name="Payload Unit" dataDxfId="274">
      <calculatedColumnFormula>IF(Table1[[#This Row],[Category]]="Transportation", "ton", "")</calculatedColumnFormula>
    </tableColumn>
    <tableColumn id="16" xr3:uid="{B4587E16-116C-48C2-B897-34EA45D2B5E2}" name="Market Price" dataDxfId="273"/>
    <tableColumn id="17" xr3:uid="{CFF030DD-8740-4448-85CE-69419CA7344D}" name="Market Price Unit" dataDxfId="272"/>
    <tableColumn id="12" xr3:uid="{0A5A1CE9-5C17-482C-ACCA-BB3BA789761E}" name="Incumbent Product" dataDxfId="271">
      <calculatedColumnFormula>IF(OR(Table1[[#This Row],[Type]]="Main Product", Table1[[#This Row],[Type]]="Co-Product"), Table1[[#This Row],[Resource]], "")</calculatedColumnFormula>
    </tableColumn>
    <tableColumn id="13" xr3:uid="{A8C514D4-4EE9-4BFC-A5D9-1A3B1C61CAF3}" name="End Use of Incumbent Product" dataDxfId="270">
      <calculatedColumnFormula>IF(_xlfn.XLOOKUP($P6,'SI - End Use'!$B$2:$B$6,'SI - End Use'!$C$2:$C$6, "")="", "", _xlfn.XLOOKUP($C6,'SI - End Use'!$B$2:$B$6,'SI - End Use'!$C$2:$C$6, ""))</calculatedColumnFormula>
    </tableColumn>
    <tableColumn id="20" xr3:uid="{3D510D5D-99B7-4EB4-8590-3620FE598E5C}" name="Surrogate For" dataDxfId="269"/>
    <tableColumn id="18" xr3:uid="{1AFBF91D-E45D-442D-BA06-D58B0AE7953E}" name="Process" dataDxfId="268"/>
    <tableColumn id="11" xr3:uid="{34D8D993-53F9-46B7-8FE9-32F1A6F2DFD2}" name="Note" dataDxfId="26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K53" totalsRowShown="0" headerRowDxfId="266" dataDxfId="265">
  <autoFilter ref="A1:K53" xr:uid="{BF352F56-F627-4A8D-9B22-DA497E2644FC}"/>
  <tableColumns count="11">
    <tableColumn id="1" xr3:uid="{B4C1BEA4-EC08-4542-9BC0-5CAC3303F1DE}" name="Biomass" dataDxfId="264"/>
    <tableColumn id="8" xr3:uid="{CA09F49F-4D37-4D57-9F64-66042BBFCAF3}" name="Waste" dataDxfId="263"/>
    <tableColumn id="2" xr3:uid="{16936180-7E0F-4E08-BEC7-75346859C647}" name="Process fuel" dataDxfId="262"/>
    <tableColumn id="6" xr3:uid="{8ABA29FD-C6B0-4B51-8840-E17193E077EC}" name="Electricity" dataDxfId="261"/>
    <tableColumn id="3" xr3:uid="{C1A34163-30E4-47F2-BE75-A919CC80E9BF}" name="Chemicals and catalysts" dataDxfId="260"/>
    <tableColumn id="4" xr3:uid="{CA7E12F4-CA42-4C30-8167-75EC0AE0646A}" name="Water" dataDxfId="259"/>
    <tableColumn id="9" xr3:uid="{6ADE4401-0F6C-4911-9721-036C8287FC6F}" name="Infrastructure" dataDxfId="258"/>
    <tableColumn id="7" xr3:uid="{C235CCC4-A94E-464B-AE35-96309F90FA7A}" name="Transportation" dataDxfId="257"/>
    <tableColumn id="10" xr3:uid="{C8DE9AE9-442D-497B-B981-79FAEF638C23}" name="Other" dataDxfId="256"/>
    <tableColumn id="5" xr3:uid="{FBD24046-BCD6-418A-8FDF-2918685E10CE}" name="Emissions and sequestration" dataDxfId="255"/>
    <tableColumn id="11" xr3:uid="{B559EE47-EDB5-47AD-9A10-77802A08495D}" name="Placeholder" dataDxfId="25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O6" totalsRowShown="0">
  <autoFilter ref="A1:O6" xr:uid="{A2520818-4902-482A-9E88-A7A4D5A1D5DD}"/>
  <tableColumns count="15">
    <tableColumn id="1" xr3:uid="{75A5F75F-64ED-4232-9A1E-4D41B091D006}" name="Column1"/>
    <tableColumn id="2" xr3:uid="{18B5F0AA-5D76-44C7-A951-0327634C6CCB}" name="Column2"/>
    <tableColumn id="3" xr3:uid="{ECDC9495-57EB-459F-8C28-D2BCDB1550C0}" name="Column3" dataDxfId="253"/>
    <tableColumn id="4" xr3:uid="{066E5028-FE97-46DD-94DD-3F5362889CC8}" name="Column4" dataDxfId="252"/>
    <tableColumn id="5" xr3:uid="{518CF11D-9FC1-41DC-A48E-08F72F35ADAA}" name="Column5" dataDxfId="251"/>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5" xr3:uid="{42F15BD2-8E9D-461D-9426-12A882503BE2}" name="Column132"/>
    <tableColumn id="14" xr3:uid="{7173F36F-1B8C-45EF-B379-6303B592BBF7}" name="Column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250">
  <autoFilter ref="A1:R10" xr:uid="{A38095DD-9874-4EE7-A8C2-2706165CCEBD}"/>
  <tableColumns count="18">
    <tableColumn id="1" xr3:uid="{65B7BBF3-4BCE-43A4-9B03-83AE412598EC}" name="Column1"/>
    <tableColumn id="2" xr3:uid="{FFDF068B-D532-4DC4-904E-48D00A60A52E}" name="Column2" dataDxfId="249"/>
    <tableColumn id="3" xr3:uid="{22885E79-E7D2-4EEE-B0A6-74B1C5779681}" name="Column3" dataDxfId="248"/>
    <tableColumn id="4" xr3:uid="{C1DEFD79-EA05-47FD-8251-B29B3BCC06B2}" name="Column4" dataDxfId="247"/>
    <tableColumn id="5" xr3:uid="{29AEEBB1-E43B-4691-B73C-A8FA6D80443C}" name="Column5" dataDxfId="246"/>
    <tableColumn id="6" xr3:uid="{CC08C1F9-C485-4200-A0F9-C8E59BA65B97}" name="Column6" dataDxfId="245"/>
    <tableColumn id="7" xr3:uid="{6C28381F-6253-4E2E-A800-FF075582292A}" name="Column7" dataDxfId="244"/>
    <tableColumn id="8" xr3:uid="{CA3D0B6B-B24F-4751-A1CE-28D7D0B98174}" name="Column8" dataDxfId="243"/>
    <tableColumn id="9" xr3:uid="{7057E753-ED12-407E-950F-CC59E808A2BF}" name="Column9" dataDxfId="242"/>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109" totalsRowShown="0" dataDxfId="241">
  <autoFilter ref="B23:C109" xr:uid="{09147A22-E822-45D3-B3C2-ABDDF48EE5E6}"/>
  <tableColumns count="2">
    <tableColumn id="1" xr3:uid="{CDC0A0AC-3BED-4650-82CE-403A1BF28367}" name="Column1" dataDxfId="240"/>
    <tableColumn id="2" xr3:uid="{B6F8A3B9-3868-4A35-8F6E-BA3E60A1529E}" name="Column2" dataDxfId="239"/>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238">
  <autoFilter ref="A12:R20" xr:uid="{B01EA81C-1645-4ED3-BEC5-6C5396237E43}"/>
  <tableColumns count="18">
    <tableColumn id="1" xr3:uid="{821EE498-6278-4E39-82EF-1F47FBA85A36}" name="Column1"/>
    <tableColumn id="2" xr3:uid="{E81954FF-60B7-4ABD-BC14-40676F73AA3E}" name="Column2" dataDxfId="237">
      <calculatedColumnFormula>IF(B2&lt;&gt;"","$/"&amp;B2, "")</calculatedColumnFormula>
    </tableColumn>
    <tableColumn id="3" xr3:uid="{A15329FC-BC0D-46AE-9A0E-F4CFE0FF184A}" name="Column3" dataDxfId="236">
      <calculatedColumnFormula>IF(C2&lt;&gt;"","$/"&amp;C2, "")</calculatedColumnFormula>
    </tableColumn>
    <tableColumn id="4" xr3:uid="{2197BCF8-40A1-4D22-B05E-D0E1CBFBA215}" name="Column4" dataDxfId="235">
      <calculatedColumnFormula>IF(D2&lt;&gt;"","$/"&amp;D2, "")</calculatedColumnFormula>
    </tableColumn>
    <tableColumn id="5" xr3:uid="{3DAF72F2-745A-4FCF-BD44-BDC825984018}" name="Column5" dataDxfId="234">
      <calculatedColumnFormula>IF(E2&lt;&gt;"","$/"&amp;E2, "")</calculatedColumnFormula>
    </tableColumn>
    <tableColumn id="6" xr3:uid="{820E7353-19C6-4D63-B444-F7CAC7BF01AA}" name="Column6" dataDxfId="233">
      <calculatedColumnFormula>IF(F2&lt;&gt;"","$/"&amp;F2, "")</calculatedColumnFormula>
    </tableColumn>
    <tableColumn id="7" xr3:uid="{91F510E8-B638-43EB-BA78-D4632DA66CD4}" name="Column7" dataDxfId="232">
      <calculatedColumnFormula>IF(G2&lt;&gt;"","$/"&amp;G2, "")</calculatedColumnFormula>
    </tableColumn>
    <tableColumn id="8" xr3:uid="{9CD4EFF6-953E-4257-A2B2-041DCDDBD0BB}" name="Column8" dataDxfId="231">
      <calculatedColumnFormula>IF(H2&lt;&gt;"","$/"&amp;H2, "")</calculatedColumnFormula>
    </tableColumn>
    <tableColumn id="9" xr3:uid="{E1D1E2ED-A567-4428-8C9E-5EE867B5D225}" name="Column9" dataDxfId="230">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4769201-DB34-402E-B952-CAA04850F4FA}" name="Table18" displayName="Table18" ref="A5:T100" totalsRowShown="0" headerRowDxfId="229" dataDxfId="228" tableBorderDxfId="227" dataCellStyle="Percent">
  <autoFilter ref="A5:T100" xr:uid="{1644AED8-49DE-4A1D-989C-1566C9A522B9}"/>
  <tableColumns count="20">
    <tableColumn id="1" xr3:uid="{9535865E-709A-41AE-B631-BFAF783D54E5}" name="Type" dataDxfId="226"/>
    <tableColumn id="2" xr3:uid="{437B0100-0BB4-4A76-B925-0BEF339A9767}" name="Category" dataDxfId="225"/>
    <tableColumn id="3" xr3:uid="{BB46F042-27B6-49DB-BDFA-DE62AE728E1B}" name="Resource" dataDxfId="224">
      <calculatedColumnFormula>_xlfn.XLOOKUP($B6,'SI - Resources'!$A$1:$J$1,'SI - Resources'!$A$2:$J$2, "")</calculatedColumnFormula>
    </tableColumn>
    <tableColumn id="4" xr3:uid="{41364872-B004-4925-A014-C8462B190715}" name="End Use" dataDxfId="223">
      <calculatedColumnFormula>IF(_xlfn.XLOOKUP($C6,'SI - End Use'!$B$2:$B$6,'SI - End Use'!$C$2:$C$6, "")="", "", _xlfn.XLOOKUP($C6,'SI - End Use'!$B$2:$B$6,'SI - End Use'!$C$2:$C$6, ""))</calculatedColumnFormula>
    </tableColumn>
    <tableColumn id="5" xr3:uid="{0D15F347-D039-4526-B96A-FEE121B461FF}" name="Amount" dataDxfId="222" dataCellStyle="Comma"/>
    <tableColumn id="6" xr3:uid="{465AEEAD-2E4D-4A2E-A6A1-198085C4C0B3}" name="Unit" dataDxfId="221">
      <calculatedColumnFormula array="1">IF($B6="Transportation",  'SI - Units'!$B$9:$B$9, _xlfn.XLOOKUP(_xlfn.XLOOKUP($C6,'SI - Units'!$B$24:$B$109,'SI - Units'!$C$24:$C$109, ""),'SI - Units'!$A$2:$A$8,'SI - Units'!$B$2:$B$8, ""))</calculatedColumnFormula>
    </tableColumn>
    <tableColumn id="7" xr3:uid="{1A3E1219-549C-44B8-8578-358D68379327}" name="Moisture" dataDxfId="220" dataCellStyle="Percent"/>
    <tableColumn id="8" xr3:uid="{EA44BD9A-B1A7-4D44-A164-59446874586D}" name="Previous Stage" dataDxfId="219" dataCellStyle="Percent"/>
    <tableColumn id="9" xr3:uid="{A79D1BCA-ED34-4521-A1A6-BD3E61F0E83B}" name="Always Use Displacement Method for Co-Product?" dataDxfId="218" dataCellStyle="Percent">
      <calculatedColumnFormula>IF(Table18[[#This Row],[Type]]="Co-product", "No", "")</calculatedColumnFormula>
    </tableColumn>
    <tableColumn id="19" xr3:uid="{8339D9CA-C9E7-4412-9C50-6161B4903142}" name="Urban Share" dataDxfId="217" dataCellStyle="Percent"/>
    <tableColumn id="10" xr3:uid="{269C7D37-2160-4B8C-956B-854566733406}" name="Product Train" dataDxfId="216"/>
    <tableColumn id="14" xr3:uid="{F1288353-2FDD-4988-958E-C1DD49C20BB2}" name="Payload" dataDxfId="215">
      <calculatedColumnFormula>IF(Table18[[#This Row],[Category]]="Transportation", _xlfn.XLOOKUP(Table18[[#This Row],[Resource]], 'SI - Payload'!$A$10:$A$40,'SI - Payload'!$B$10:$B$40,"",0), "")</calculatedColumnFormula>
    </tableColumn>
    <tableColumn id="15" xr3:uid="{FD4731AE-6E9A-4512-A46F-5F0415EFF916}" name="Payload Unit" dataDxfId="214">
      <calculatedColumnFormula>IF(Table18[[#This Row],[Category]]="Transportation", "ton", "")</calculatedColumnFormula>
    </tableColumn>
    <tableColumn id="16" xr3:uid="{31C7DAF3-4A03-4FF0-AC1F-0DBA194A1EE5}" name="Market Price" dataDxfId="213"/>
    <tableColumn id="17" xr3:uid="{635DCDD3-CE63-4C77-B97A-EF41C964E84A}" name="Market Price Unit" dataDxfId="212"/>
    <tableColumn id="12" xr3:uid="{2F5658BA-B30D-45A6-8051-364052B301E5}" name="Incumbent Product" dataDxfId="211">
      <calculatedColumnFormula>IF(OR(Table18[[#This Row],[Type]]="Main Product", Table18[[#This Row],[Type]]="Co-Product"), Table18[[#This Row],[Resource]], "")</calculatedColumnFormula>
    </tableColumn>
    <tableColumn id="13" xr3:uid="{2F1A9F3D-B531-4700-ACE0-B24098DD3363}" name="End Use of Incumbent Product" dataDxfId="210">
      <calculatedColumnFormula>IF(_xlfn.XLOOKUP($P6,'SI - End Use'!$B$2:$B$6,'SI - End Use'!$C$2:$C$6, "")="", "", _xlfn.XLOOKUP($C6,'SI - End Use'!$B$2:$B$6,'SI - End Use'!$C$2:$C$6, ""))</calculatedColumnFormula>
    </tableColumn>
    <tableColumn id="20" xr3:uid="{BDAD77A7-4EA5-495A-A214-CD5627B99A6F}" name="Surrogate For" dataDxfId="209"/>
    <tableColumn id="18" xr3:uid="{37AACBC9-DBCE-4DE1-8D2B-7C56866795D3}" name="Process" dataDxfId="208"/>
    <tableColumn id="11" xr3:uid="{3CA3507D-2874-498B-91AB-8DB67C9F4F98}" name="Note" dataDxfId="207"/>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38A261C-9FE2-49CB-BFBD-BDD95F6B2C2B}" name="Table111" displayName="Table111" ref="A5:T100" totalsRowShown="0" headerRowDxfId="206" dataDxfId="205" tableBorderDxfId="204" dataCellStyle="Percent">
  <autoFilter ref="A5:T100" xr:uid="{1644AED8-49DE-4A1D-989C-1566C9A522B9}"/>
  <tableColumns count="20">
    <tableColumn id="1" xr3:uid="{6322F41F-9A8B-401B-A46D-044CD164898F}" name="Type" dataDxfId="203"/>
    <tableColumn id="2" xr3:uid="{73F7017E-4B51-4490-BE6C-FCDA337893FC}" name="Category" dataDxfId="202"/>
    <tableColumn id="3" xr3:uid="{9DCA14A4-3D75-437A-999E-AABEEDA33F3E}" name="Resource" dataDxfId="201">
      <calculatedColumnFormula>_xlfn.XLOOKUP($B6,'SI - Resources'!$A$1:$J$1,'SI - Resources'!$A$2:$J$2, "")</calculatedColumnFormula>
    </tableColumn>
    <tableColumn id="4" xr3:uid="{481A9B2B-8E7B-41ED-9CA6-46AE504061C6}" name="End Use" dataDxfId="200">
      <calculatedColumnFormula>IF(_xlfn.XLOOKUP($C6,'SI - End Use'!$B$2:$B$6,'SI - End Use'!$C$2:$C$6, "")="", "", _xlfn.XLOOKUP($C6,'SI - End Use'!$B$2:$B$6,'SI - End Use'!$C$2:$C$6, ""))</calculatedColumnFormula>
    </tableColumn>
    <tableColumn id="5" xr3:uid="{31CA7997-33E4-4D95-9FD5-D54BA5DF1A9E}" name="Amount" dataDxfId="199" dataCellStyle="Comma"/>
    <tableColumn id="6" xr3:uid="{E35DBA3D-332E-4B94-95E2-3D4842521E0A}" name="Unit" dataDxfId="198">
      <calculatedColumnFormula array="1">IF($B6="Transportation",  'SI - Units'!$B$9:$B$9, _xlfn.XLOOKUP(_xlfn.XLOOKUP($C6,'SI - Units'!$B$24:$B$109,'SI - Units'!$C$24:$C$109, ""),'SI - Units'!$A$2:$A$8,'SI - Units'!$B$2:$B$8, ""))</calculatedColumnFormula>
    </tableColumn>
    <tableColumn id="7" xr3:uid="{5719503B-72BD-4378-9FF3-E18FCFC9974F}" name="Moisture" dataDxfId="197" dataCellStyle="Percent"/>
    <tableColumn id="8" xr3:uid="{14A2394D-34C2-42BB-9EE9-6860F9D80ECA}" name="Previous Stage" dataDxfId="196" dataCellStyle="Percent"/>
    <tableColumn id="9" xr3:uid="{449E739F-AEF5-48FF-88E6-D47041BAF264}" name="Always Use Displacement Method for Co-Product?" dataDxfId="195" dataCellStyle="Percent">
      <calculatedColumnFormula>IF(Table111[[#This Row],[Type]]="Co-product", "No", "")</calculatedColumnFormula>
    </tableColumn>
    <tableColumn id="19" xr3:uid="{8E3FC031-FCCF-40CD-9AFB-599B3A81DB2D}" name="Urban Share" dataDxfId="194" dataCellStyle="Percent"/>
    <tableColumn id="10" xr3:uid="{998FDF4F-613F-4B32-85A5-C322298A73D3}" name="Product Train" dataDxfId="193"/>
    <tableColumn id="14" xr3:uid="{CF9F2FB7-7003-4217-8EE7-942241ED1E61}" name="Payload" dataDxfId="192">
      <calculatedColumnFormula>IF(Table111[[#This Row],[Category]]="Transportation", _xlfn.XLOOKUP(Table111[[#This Row],[Resource]], 'SI - Payload'!$A$10:$A$40,'SI - Payload'!$B$10:$B$40,"",0), "")</calculatedColumnFormula>
    </tableColumn>
    <tableColumn id="15" xr3:uid="{C9FF0B3D-E625-4389-A3BB-2481F39E9149}" name="Payload Unit" dataDxfId="191">
      <calculatedColumnFormula>IF(Table111[[#This Row],[Category]]="Transportation", "ton", "")</calculatedColumnFormula>
    </tableColumn>
    <tableColumn id="16" xr3:uid="{E30A5615-50EB-4C61-A180-AC57EE7E1010}" name="Market Price" dataDxfId="190"/>
    <tableColumn id="17" xr3:uid="{CF1EE811-DC68-42BC-BDC4-68909EFFCF08}" name="Market Price Unit" dataDxfId="189"/>
    <tableColumn id="12" xr3:uid="{2FEF7091-BEC1-417F-83AE-109AB3465734}" name="Incumbent Product" dataDxfId="188">
      <calculatedColumnFormula>IF(OR(Table111[[#This Row],[Type]]="Main Product", Table111[[#This Row],[Type]]="Co-Product"), Table111[[#This Row],[Resource]], "")</calculatedColumnFormula>
    </tableColumn>
    <tableColumn id="13" xr3:uid="{5ACB1F70-92DC-4717-8588-70FCA8745F19}" name="End Use of Incumbent Product" dataDxfId="187">
      <calculatedColumnFormula>IF(_xlfn.XLOOKUP($P6,'SI - End Use'!$B$2:$B$6,'SI - End Use'!$C$2:$C$6, "")="", "", _xlfn.XLOOKUP($C6,'SI - End Use'!$B$2:$B$6,'SI - End Use'!$C$2:$C$6, ""))</calculatedColumnFormula>
    </tableColumn>
    <tableColumn id="20" xr3:uid="{B6332C94-DDBC-4A2A-B9ED-2B5E9CD8FB61}" name="Surrogate For" dataDxfId="186"/>
    <tableColumn id="18" xr3:uid="{8F9841EF-6316-46A0-B962-41F3CFD5CB5A}" name="Process" dataDxfId="185"/>
    <tableColumn id="11" xr3:uid="{04D8C37B-478C-48C2-BB4C-784343BCC6BE}" name="Note" dataDxfId="184"/>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C555BFA6-9311-4B55-9275-6DF6D2FE5901}" name="Table112" displayName="Table112" ref="A5:T100" totalsRowShown="0" headerRowDxfId="183" dataDxfId="182" tableBorderDxfId="181" dataCellStyle="Percent">
  <autoFilter ref="A5:T100" xr:uid="{1644AED8-49DE-4A1D-989C-1566C9A522B9}"/>
  <tableColumns count="20">
    <tableColumn id="1" xr3:uid="{BD115871-8F84-401E-8F09-6BB4FEA7D63D}" name="Type" dataDxfId="180"/>
    <tableColumn id="2" xr3:uid="{1D5D507E-405C-44F5-A63B-D1C5FD9347D4}" name="Category" dataDxfId="179"/>
    <tableColumn id="3" xr3:uid="{3D1152E8-3470-4C34-AE29-57CB7B615990}" name="Resource" dataDxfId="178">
      <calculatedColumnFormula>_xlfn.XLOOKUP($B6,'SI - Resources'!$A$1:$J$1,'SI - Resources'!$A$2:$J$2, "")</calculatedColumnFormula>
    </tableColumn>
    <tableColumn id="4" xr3:uid="{2A2CEF73-B993-4CD5-8608-7E588874A59B}" name="End Use" dataDxfId="177">
      <calculatedColumnFormula>IF(_xlfn.XLOOKUP($C6,'SI - End Use'!$B$2:$B$6,'SI - End Use'!$C$2:$C$6, "")="", "", _xlfn.XLOOKUP($C6,'SI - End Use'!$B$2:$B$6,'SI - End Use'!$C$2:$C$6, ""))</calculatedColumnFormula>
    </tableColumn>
    <tableColumn id="5" xr3:uid="{5D2B6C0F-D86A-4C2C-9C5D-DBED2E228B43}" name="Amount" dataDxfId="176" dataCellStyle="Comma"/>
    <tableColumn id="6" xr3:uid="{02713FF7-DAAD-4392-8998-6C9F0E8E7BF2}" name="Unit" dataDxfId="175">
      <calculatedColumnFormula array="1">IF($B6="Transportation",  'SI - Units'!$B$9:$B$9, _xlfn.XLOOKUP(_xlfn.XLOOKUP($C6,'SI - Units'!$B$24:$B$109,'SI - Units'!$C$24:$C$109, ""),'SI - Units'!$A$2:$A$8,'SI - Units'!$B$2:$B$8, ""))</calculatedColumnFormula>
    </tableColumn>
    <tableColumn id="7" xr3:uid="{AEF8DAD9-ED34-410B-85FE-1EF964DC7808}" name="Moisture" dataDxfId="174" dataCellStyle="Percent"/>
    <tableColumn id="8" xr3:uid="{73D7234F-4119-499F-88F6-B3DF897E39D6}" name="Previous Stage" dataDxfId="173" dataCellStyle="Percent"/>
    <tableColumn id="9" xr3:uid="{D3B01245-A676-4DAD-9928-0698A549F235}" name="Always Use Displacement Method for Co-Product?" dataDxfId="172" dataCellStyle="Percent">
      <calculatedColumnFormula>IF(Table112[[#This Row],[Type]]="Co-product", "No", "")</calculatedColumnFormula>
    </tableColumn>
    <tableColumn id="19" xr3:uid="{80D632D2-C160-48D5-A75B-39571B1E9C79}" name="Urban Share" dataDxfId="171" dataCellStyle="Percent"/>
    <tableColumn id="10" xr3:uid="{A065B628-BADF-4ABF-A2D0-F59A267D8A44}" name="Product Train" dataDxfId="170"/>
    <tableColumn id="14" xr3:uid="{24A383DA-B36C-457A-8F94-FABFADBC709F}" name="Payload" dataDxfId="169">
      <calculatedColumnFormula>IF(Table112[[#This Row],[Category]]="Transportation", _xlfn.XLOOKUP(Table112[[#This Row],[Resource]], 'SI - Payload'!$A$10:$A$40,'SI - Payload'!$B$10:$B$40,"",0), "")</calculatedColumnFormula>
    </tableColumn>
    <tableColumn id="15" xr3:uid="{F3719C73-4BA2-4FC1-B7EF-FA0FC5209934}" name="Payload Unit" dataDxfId="168">
      <calculatedColumnFormula>IF(Table112[[#This Row],[Category]]="Transportation", "ton", "")</calculatedColumnFormula>
    </tableColumn>
    <tableColumn id="16" xr3:uid="{7F17F931-A5B2-4FD3-8BEE-C99954288ED8}" name="Market Price" dataDxfId="167"/>
    <tableColumn id="17" xr3:uid="{566F0CCD-2DBD-4DD5-87D0-F67CE1EF6500}" name="Market Price Unit" dataDxfId="166"/>
    <tableColumn id="12" xr3:uid="{62BA0E37-09BD-4CA7-9E8C-3C93B66039E0}" name="Incumbent Product" dataDxfId="165">
      <calculatedColumnFormula>IF(OR(Table112[[#This Row],[Type]]="Main Product", Table112[[#This Row],[Type]]="Co-Product"), Table112[[#This Row],[Resource]], "")</calculatedColumnFormula>
    </tableColumn>
    <tableColumn id="13" xr3:uid="{337519D2-3DFB-43F5-936D-907E1490DD88}" name="End Use of Incumbent Product" dataDxfId="164">
      <calculatedColumnFormula>IF(_xlfn.XLOOKUP($P6,'SI - End Use'!$B$2:$B$6,'SI - End Use'!$C$2:$C$6, "")="", "", _xlfn.XLOOKUP($C6,'SI - End Use'!$B$2:$B$6,'SI - End Use'!$C$2:$C$6, ""))</calculatedColumnFormula>
    </tableColumn>
    <tableColumn id="20" xr3:uid="{63464B6C-C1CE-4C75-AF10-664D71A285DF}" name="Surrogate For" dataDxfId="163"/>
    <tableColumn id="18" xr3:uid="{B0F7AF78-3295-45F2-A96B-607987534C7E}" name="Process" dataDxfId="162"/>
    <tableColumn id="11" xr3:uid="{D9F3BCED-29F3-4B61-951D-AC365AFFCD21}" name="Note" dataDxfId="161"/>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CBAF93D-8923-45C8-BF17-2D421FB9B12A}" name="Table113" displayName="Table113" ref="A5:T100" totalsRowShown="0" headerRowDxfId="160" dataDxfId="159" tableBorderDxfId="158" dataCellStyle="Percent">
  <autoFilter ref="A5:T100" xr:uid="{1644AED8-49DE-4A1D-989C-1566C9A522B9}"/>
  <tableColumns count="20">
    <tableColumn id="1" xr3:uid="{922FEC1D-8817-48F3-BB85-DF40E3A90D7F}" name="Type" dataDxfId="157"/>
    <tableColumn id="2" xr3:uid="{71708FDA-454B-442F-89F4-DF17A6CE0E9E}" name="Category" dataDxfId="156"/>
    <tableColumn id="3" xr3:uid="{B7126C3F-6502-41E8-AE6F-DEB26C408AE1}" name="Resource" dataDxfId="155">
      <calculatedColumnFormula>_xlfn.XLOOKUP($B6,'SI - Resources'!$A$1:$J$1,'SI - Resources'!$A$2:$J$2, "")</calculatedColumnFormula>
    </tableColumn>
    <tableColumn id="4" xr3:uid="{BA5347AC-2131-4095-907D-E6B137C6AC11}" name="End Use" dataDxfId="154">
      <calculatedColumnFormula>IF(_xlfn.XLOOKUP($C6,'SI - End Use'!$B$2:$B$6,'SI - End Use'!$C$2:$C$6, "")="", "", _xlfn.XLOOKUP($C6,'SI - End Use'!$B$2:$B$6,'SI - End Use'!$C$2:$C$6, ""))</calculatedColumnFormula>
    </tableColumn>
    <tableColumn id="5" xr3:uid="{A9A8762B-417C-4DEA-AB37-C13FB45EBE02}" name="Amount" dataDxfId="153" dataCellStyle="Comma"/>
    <tableColumn id="6" xr3:uid="{DD7B78B0-A7D1-4DB6-A234-216E45BA7E8D}" name="Unit" dataDxfId="152">
      <calculatedColumnFormula array="1">IF($B6="Transportation",  'SI - Units'!$B$9:$B$9, _xlfn.XLOOKUP(_xlfn.XLOOKUP($C6,'SI - Units'!$B$24:$B$109,'SI - Units'!$C$24:$C$109, ""),'SI - Units'!$A$2:$A$8,'SI - Units'!$B$2:$B$8, ""))</calculatedColumnFormula>
    </tableColumn>
    <tableColumn id="7" xr3:uid="{E81282F8-A5E9-4150-B4F6-89C87A50B64E}" name="Moisture" dataDxfId="151" dataCellStyle="Percent"/>
    <tableColumn id="8" xr3:uid="{C117B667-AFC5-495E-92E1-6C5CA87E2CF4}" name="Previous Stage" dataDxfId="150" dataCellStyle="Percent"/>
    <tableColumn id="9" xr3:uid="{FA20D407-A044-4EC0-8A45-563B7731C3C7}" name="Always Use Displacement Method for Co-Product?" dataDxfId="149" dataCellStyle="Percent">
      <calculatedColumnFormula>IF(Table113[[#This Row],[Type]]="Co-product", "No", "")</calculatedColumnFormula>
    </tableColumn>
    <tableColumn id="19" xr3:uid="{8444765F-213D-44E6-BF00-C698B69D54D8}" name="Urban Share" dataDxfId="148" dataCellStyle="Percent"/>
    <tableColumn id="10" xr3:uid="{8661558F-BDD7-46B5-9D32-13178CEC46F3}" name="Product Train" dataDxfId="147"/>
    <tableColumn id="14" xr3:uid="{C7AB403E-52C8-4343-AA83-0C65A09691F8}" name="Payload" dataDxfId="146">
      <calculatedColumnFormula>IF(Table113[[#This Row],[Category]]="Transportation", _xlfn.XLOOKUP(Table113[[#This Row],[Resource]], 'SI - Payload'!$A$10:$A$40,'SI - Payload'!$B$10:$B$40,"",0), "")</calculatedColumnFormula>
    </tableColumn>
    <tableColumn id="15" xr3:uid="{F5DFDAD7-3625-4AE6-A467-BF2F6D7E3DD1}" name="Payload Unit" dataDxfId="145">
      <calculatedColumnFormula>IF(Table113[[#This Row],[Category]]="Transportation", "ton", "")</calculatedColumnFormula>
    </tableColumn>
    <tableColumn id="16" xr3:uid="{773C84BB-8F64-4059-A047-6C83198F6BCD}" name="Market Price" dataDxfId="144"/>
    <tableColumn id="17" xr3:uid="{ACCC6C75-7F35-491C-A7AB-FD5EF7963840}" name="Market Price Unit" dataDxfId="143"/>
    <tableColumn id="12" xr3:uid="{7EDB9F54-02EC-4F25-BD60-B6F6ACA44863}" name="Incumbent Product" dataDxfId="142">
      <calculatedColumnFormula>IF(OR(Table113[[#This Row],[Type]]="Main Product", Table113[[#This Row],[Type]]="Co-Product"), Table113[[#This Row],[Resource]], "")</calculatedColumnFormula>
    </tableColumn>
    <tableColumn id="13" xr3:uid="{A24F8CAE-EA68-4192-B0E7-0BB467C17EC9}" name="End Use of Incumbent Product" dataDxfId="141">
      <calculatedColumnFormula>IF(_xlfn.XLOOKUP($P6,'SI - End Use'!$B$2:$B$6,'SI - End Use'!$C$2:$C$6, "")="", "", _xlfn.XLOOKUP($C6,'SI - End Use'!$B$2:$B$6,'SI - End Use'!$C$2:$C$6, ""))</calculatedColumnFormula>
    </tableColumn>
    <tableColumn id="20" xr3:uid="{07240AC8-B202-4D37-82D7-2497AB410B98}" name="Surrogate For" dataDxfId="140"/>
    <tableColumn id="18" xr3:uid="{F876A068-2395-4E67-9562-AE0145AB0B40}" name="Process" dataDxfId="139"/>
    <tableColumn id="11" xr3:uid="{343DAC88-0C83-4C42-B91F-C313D081A371}" name="Note" dataDxfId="138"/>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2B2705B-758B-4294-971C-E487A609E4DD}" name="Table114" displayName="Table114" ref="A5:T100" totalsRowShown="0" headerRowDxfId="137" dataDxfId="136" tableBorderDxfId="135" dataCellStyle="Percent">
  <autoFilter ref="A5:T100" xr:uid="{1644AED8-49DE-4A1D-989C-1566C9A522B9}"/>
  <tableColumns count="20">
    <tableColumn id="1" xr3:uid="{3D683A32-0C8D-4D3F-BDA9-3C9BD298A310}" name="Type" dataDxfId="134"/>
    <tableColumn id="2" xr3:uid="{57B29FA5-1A9A-4182-B2B4-8F7049CD1828}" name="Category" dataDxfId="133"/>
    <tableColumn id="3" xr3:uid="{991C2FAD-20B7-4B3F-A41D-517CB4430E70}" name="Resource" dataDxfId="132">
      <calculatedColumnFormula>_xlfn.XLOOKUP($B6,'SI - Resources'!$A$1:$J$1,'SI - Resources'!$A$2:$J$2, "")</calculatedColumnFormula>
    </tableColumn>
    <tableColumn id="4" xr3:uid="{E56598DB-44C7-4C25-8B77-CC485D1C4540}" name="End Use" dataDxfId="131">
      <calculatedColumnFormula>IF(_xlfn.XLOOKUP($C6,'SI - End Use'!$B$2:$B$6,'SI - End Use'!$C$2:$C$6, "")="", "", _xlfn.XLOOKUP($C6,'SI - End Use'!$B$2:$B$6,'SI - End Use'!$C$2:$C$6, ""))</calculatedColumnFormula>
    </tableColumn>
    <tableColumn id="5" xr3:uid="{B3A0FB9F-458E-44C7-9D4D-21CB25E1BDD8}" name="Amount" dataDxfId="130" dataCellStyle="Comma"/>
    <tableColumn id="6" xr3:uid="{05123F8F-4235-4393-A36B-71A3BB6E18FB}" name="Unit" dataDxfId="129">
      <calculatedColumnFormula array="1">IF($B6="Transportation",  'SI - Units'!$B$9:$B$9, _xlfn.XLOOKUP(_xlfn.XLOOKUP($C6,'SI - Units'!$B$24:$B$109,'SI - Units'!$C$24:$C$109, ""),'SI - Units'!$A$2:$A$8,'SI - Units'!$B$2:$B$8, ""))</calculatedColumnFormula>
    </tableColumn>
    <tableColumn id="7" xr3:uid="{7E2EB858-FCDF-4EE3-88B9-3E3313C9CAF8}" name="Moisture" dataDxfId="128" dataCellStyle="Percent"/>
    <tableColumn id="8" xr3:uid="{0E6867F0-3850-4A04-9CB4-C2D1AA9FCC9F}" name="Previous Stage" dataDxfId="127" dataCellStyle="Percent"/>
    <tableColumn id="9" xr3:uid="{BF94AE1B-49A2-473E-B9A9-78BFD685E377}" name="Always Use Displacement Method for Co-Product?" dataDxfId="126" dataCellStyle="Percent">
      <calculatedColumnFormula>IF(Table114[[#This Row],[Type]]="Co-product", "No", "")</calculatedColumnFormula>
    </tableColumn>
    <tableColumn id="19" xr3:uid="{12DEDAA3-28EE-4CF3-A3D2-28C45A62C7CA}" name="Urban Share" dataDxfId="125" dataCellStyle="Percent"/>
    <tableColumn id="10" xr3:uid="{E792F433-6ED5-4B66-926A-68A35C9FDBE5}" name="Product Train" dataDxfId="124"/>
    <tableColumn id="14" xr3:uid="{F2B7E888-CC84-4AB3-A539-867686087A0B}" name="Payload" dataDxfId="123">
      <calculatedColumnFormula>IF(Table114[[#This Row],[Category]]="Transportation", _xlfn.XLOOKUP(Table114[[#This Row],[Resource]], 'SI - Payload'!$A$10:$A$40,'SI - Payload'!$B$10:$B$40,"",0), "")</calculatedColumnFormula>
    </tableColumn>
    <tableColumn id="15" xr3:uid="{1E378CA8-586B-4529-A63B-F690C59539A9}" name="Payload Unit" dataDxfId="122">
      <calculatedColumnFormula>IF(Table114[[#This Row],[Category]]="Transportation", "ton", "")</calculatedColumnFormula>
    </tableColumn>
    <tableColumn id="16" xr3:uid="{3C67F1C0-A8A1-4354-8ECF-CF8E77ABEA11}" name="Market Price" dataDxfId="121"/>
    <tableColumn id="17" xr3:uid="{B02DD5A5-9DFE-40F9-894F-D9673ADDAA93}" name="Market Price Unit" dataDxfId="120"/>
    <tableColumn id="12" xr3:uid="{BC90FA6E-6C81-4B63-BD92-C61576AD58E9}" name="Incumbent Product" dataDxfId="119">
      <calculatedColumnFormula>IF(OR(Table114[[#This Row],[Type]]="Main Product", Table114[[#This Row],[Type]]="Co-Product"), Table114[[#This Row],[Resource]], "")</calculatedColumnFormula>
    </tableColumn>
    <tableColumn id="13" xr3:uid="{C2C50AD7-FE23-4169-B8DF-12D9C0D65A04}" name="End Use of Incumbent Product" dataDxfId="118">
      <calculatedColumnFormula>IF(_xlfn.XLOOKUP($P6,'SI - End Use'!$B$2:$B$6,'SI - End Use'!$C$2:$C$6, "")="", "", _xlfn.XLOOKUP($C6,'SI - End Use'!$B$2:$B$6,'SI - End Use'!$C$2:$C$6, ""))</calculatedColumnFormula>
    </tableColumn>
    <tableColumn id="20" xr3:uid="{DEADE759-037B-4113-A225-F8FC77173798}" name="Surrogate For" dataDxfId="117"/>
    <tableColumn id="18" xr3:uid="{0C96803B-3EB3-4AE9-9D7E-E74CCCB650B0}" name="Process" dataDxfId="116"/>
    <tableColumn id="11" xr3:uid="{DBD0ADA5-C020-4411-8395-68860EE8C797}" name="Note" dataDxfId="115"/>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94ECE91-B71E-4FD4-A40C-AC1C573B7E64}" name="Table115" displayName="Table115" ref="A5:T100" totalsRowShown="0" headerRowDxfId="114" dataDxfId="113" tableBorderDxfId="112" dataCellStyle="Percent">
  <autoFilter ref="A5:T100" xr:uid="{1644AED8-49DE-4A1D-989C-1566C9A522B9}"/>
  <tableColumns count="20">
    <tableColumn id="1" xr3:uid="{3C38D66F-2EC3-4ADC-9042-D67110173361}" name="Type" dataDxfId="111"/>
    <tableColumn id="2" xr3:uid="{FC261E78-6E38-485E-87E6-57B3D8097227}" name="Category" dataDxfId="110"/>
    <tableColumn id="3" xr3:uid="{BC36BD5A-D9A2-45D8-BE62-E79CC3DE930F}" name="Resource" dataDxfId="109">
      <calculatedColumnFormula>_xlfn.XLOOKUP($B6,'SI - Resources'!$A$1:$J$1,'SI - Resources'!$A$2:$J$2, "")</calculatedColumnFormula>
    </tableColumn>
    <tableColumn id="4" xr3:uid="{72C110B9-1F2A-4E50-8234-B903A4500553}" name="End Use" dataDxfId="108">
      <calculatedColumnFormula>IF(_xlfn.XLOOKUP($C6,'SI - End Use'!$B$2:$B$6,'SI - End Use'!$C$2:$C$6, "")="", "", _xlfn.XLOOKUP($C6,'SI - End Use'!$B$2:$B$6,'SI - End Use'!$C$2:$C$6, ""))</calculatedColumnFormula>
    </tableColumn>
    <tableColumn id="5" xr3:uid="{3C28DD07-3681-44FC-AF7E-D9A64806AC79}" name="Amount" dataDxfId="107" dataCellStyle="Comma"/>
    <tableColumn id="6" xr3:uid="{4143DD8D-B7FB-4F5E-B91E-F8E0AF7CCD26}" name="Unit" dataDxfId="106">
      <calculatedColumnFormula array="1">IF($B6="Transportation",  'SI - Units'!$B$9:$B$9, _xlfn.XLOOKUP(_xlfn.XLOOKUP($C6,'SI - Units'!$B$24:$B$109,'SI - Units'!$C$24:$C$109, ""),'SI - Units'!$A$2:$A$8,'SI - Units'!$B$2:$B$8, ""))</calculatedColumnFormula>
    </tableColumn>
    <tableColumn id="7" xr3:uid="{BC2188FA-7791-4313-9D90-84B0E5BAD594}" name="Moisture" dataDxfId="105" dataCellStyle="Percent"/>
    <tableColumn id="8" xr3:uid="{79347065-376E-40C1-A548-C440C1113AAF}" name="Previous Stage" dataDxfId="104" dataCellStyle="Percent"/>
    <tableColumn id="9" xr3:uid="{9293D945-9900-41C4-BA0B-06081E9D119F}" name="Always Use Displacement Method for Co-Product?" dataDxfId="103" dataCellStyle="Percent">
      <calculatedColumnFormula>IF(Table115[[#This Row],[Type]]="Co-product", "No", "")</calculatedColumnFormula>
    </tableColumn>
    <tableColumn id="19" xr3:uid="{34D13EA4-2F4C-4554-A161-1B3A68F02827}" name="Urban Share" dataDxfId="102" dataCellStyle="Percent"/>
    <tableColumn id="10" xr3:uid="{0365CCCF-E221-45D0-A6CA-2C7063FC4C09}" name="Product Train" dataDxfId="101"/>
    <tableColumn id="14" xr3:uid="{E21DA34E-96AD-4CE4-85F4-BE9E95A51C17}" name="Payload" dataDxfId="100">
      <calculatedColumnFormula>IF(Table115[[#This Row],[Category]]="Transportation", _xlfn.XLOOKUP(Table115[[#This Row],[Resource]], 'SI - Payload'!$A$10:$A$40,'SI - Payload'!$B$10:$B$40,"",0), "")</calculatedColumnFormula>
    </tableColumn>
    <tableColumn id="15" xr3:uid="{D2D1540A-EE2F-4904-92C4-13489C1FC2AF}" name="Payload Unit" dataDxfId="99">
      <calculatedColumnFormula>IF(Table115[[#This Row],[Category]]="Transportation", "ton", "")</calculatedColumnFormula>
    </tableColumn>
    <tableColumn id="16" xr3:uid="{58325AD4-9EBC-42E3-905B-E03136FE10B9}" name="Market Price" dataDxfId="98"/>
    <tableColumn id="17" xr3:uid="{FD9AAF59-1DC8-41C0-B071-6EC9A8CE6615}" name="Market Price Unit" dataDxfId="97"/>
    <tableColumn id="12" xr3:uid="{55E85BFB-0317-4797-9D6F-0554C51AE7F9}" name="Incumbent Product" dataDxfId="96">
      <calculatedColumnFormula>IF(OR(Table115[[#This Row],[Type]]="Main Product", Table115[[#This Row],[Type]]="Co-Product"), Table115[[#This Row],[Resource]], "")</calculatedColumnFormula>
    </tableColumn>
    <tableColumn id="13" xr3:uid="{1E5141A6-D713-4091-873A-9864193D7ECC}" name="End Use of Incumbent Product" dataDxfId="95">
      <calculatedColumnFormula>IF(_xlfn.XLOOKUP($P6,'SI - End Use'!$B$2:$B$6,'SI - End Use'!$C$2:$C$6, "")="", "", _xlfn.XLOOKUP($C6,'SI - End Use'!$B$2:$B$6,'SI - End Use'!$C$2:$C$6, ""))</calculatedColumnFormula>
    </tableColumn>
    <tableColumn id="20" xr3:uid="{0E187295-C534-4C8F-B6AA-80F7CF39A608}" name="Surrogate For" dataDxfId="94"/>
    <tableColumn id="18" xr3:uid="{8455D568-7087-404C-81AB-B8547DB835CB}" name="Process" dataDxfId="93"/>
    <tableColumn id="11" xr3:uid="{40B2B83F-C8C4-486B-AF6A-7323BDC8CCFE}" name="Note" dataDxfId="92"/>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85D2363C-74E0-4E45-BA5A-E02EC21AE54D}" name="Table116" displayName="Table116" ref="A5:T100" totalsRowShown="0" headerRowDxfId="91" dataDxfId="90" tableBorderDxfId="89" dataCellStyle="Percent">
  <autoFilter ref="A5:T100" xr:uid="{1644AED8-49DE-4A1D-989C-1566C9A522B9}"/>
  <tableColumns count="20">
    <tableColumn id="1" xr3:uid="{267E8A30-959C-452C-A6CC-D6C057F24543}" name="Type" dataDxfId="88"/>
    <tableColumn id="2" xr3:uid="{07E5344F-F415-4CAB-A649-6C35315EF5B7}" name="Category" dataDxfId="87"/>
    <tableColumn id="3" xr3:uid="{C09C5A40-063E-452B-A093-23FB4FA8086B}" name="Resource" dataDxfId="86">
      <calculatedColumnFormula>_xlfn.XLOOKUP($B6,'SI - Resources'!$A$1:$J$1,'SI - Resources'!$A$2:$J$2, "")</calculatedColumnFormula>
    </tableColumn>
    <tableColumn id="4" xr3:uid="{AA9A4A88-0172-49D3-96EA-55F32D6BAB91}" name="End Use" dataDxfId="85">
      <calculatedColumnFormula>IF(_xlfn.XLOOKUP($C6,'SI - End Use'!$B$2:$B$6,'SI - End Use'!$C$2:$C$6, "")="", "", _xlfn.XLOOKUP($C6,'SI - End Use'!$B$2:$B$6,'SI - End Use'!$C$2:$C$6, ""))</calculatedColumnFormula>
    </tableColumn>
    <tableColumn id="5" xr3:uid="{1AA4EF4A-5725-47E2-B9EE-C54F0D72DC13}" name="Amount" dataDxfId="84" dataCellStyle="Comma"/>
    <tableColumn id="6" xr3:uid="{B99294AF-16AB-4D4C-88A6-B972A98F31AE}" name="Unit" dataDxfId="83">
      <calculatedColumnFormula array="1">IF($B6="Transportation",  'SI - Units'!$B$9:$B$9, _xlfn.XLOOKUP(_xlfn.XLOOKUP($C6,'SI - Units'!$B$24:$B$109,'SI - Units'!$C$24:$C$109, ""),'SI - Units'!$A$2:$A$8,'SI - Units'!$B$2:$B$8, ""))</calculatedColumnFormula>
    </tableColumn>
    <tableColumn id="7" xr3:uid="{35C6737C-6381-45D5-BB1F-62660D37158A}" name="Moisture" dataDxfId="82" dataCellStyle="Percent"/>
    <tableColumn id="8" xr3:uid="{5A915426-D154-405B-85EA-20D604C2DC96}" name="Previous Stage" dataDxfId="81" dataCellStyle="Percent"/>
    <tableColumn id="9" xr3:uid="{DA069634-EA62-4D00-B776-F52E30B37700}" name="Always Use Displacement Method for Co-Product?" dataDxfId="80" dataCellStyle="Percent">
      <calculatedColumnFormula>IF(Table116[[#This Row],[Type]]="Co-product", "No", "")</calculatedColumnFormula>
    </tableColumn>
    <tableColumn id="19" xr3:uid="{A2FE0DBA-BA56-437F-8017-8F35B66080EA}" name="Urban Share" dataDxfId="79" dataCellStyle="Percent"/>
    <tableColumn id="10" xr3:uid="{3FC1D276-6044-43EA-8FFE-6330C18AAAEA}" name="Product Train" dataDxfId="78"/>
    <tableColumn id="14" xr3:uid="{F39A9E14-47FB-437A-874D-1CE4D6F486BD}" name="Payload" dataDxfId="77">
      <calculatedColumnFormula>IF(Table116[[#This Row],[Category]]="Transportation", _xlfn.XLOOKUP(Table116[[#This Row],[Resource]], 'SI - Payload'!$A$10:$A$40,'SI - Payload'!$B$10:$B$40,"",0), "")</calculatedColumnFormula>
    </tableColumn>
    <tableColumn id="15" xr3:uid="{6A16A909-B4F9-4008-8D8C-A21FD5344F33}" name="Payload Unit" dataDxfId="76">
      <calculatedColumnFormula>IF(Table116[[#This Row],[Category]]="Transportation", "ton", "")</calculatedColumnFormula>
    </tableColumn>
    <tableColumn id="16" xr3:uid="{7ACFF5A1-530E-4574-8CCF-6014A17DED1F}" name="Market Price" dataDxfId="75"/>
    <tableColumn id="17" xr3:uid="{10CC7E25-16C3-4487-9020-2364320BB0F6}" name="Market Price Unit" dataDxfId="74"/>
    <tableColumn id="12" xr3:uid="{E491674C-1C98-45D7-83FC-555A3096D908}" name="Incumbent Product" dataDxfId="73">
      <calculatedColumnFormula>IF(OR(Table116[[#This Row],[Type]]="Main Product", Table116[[#This Row],[Type]]="Co-Product"), Table116[[#This Row],[Resource]], "")</calculatedColumnFormula>
    </tableColumn>
    <tableColumn id="13" xr3:uid="{856720A5-3900-4615-BB7A-57514C89726D}" name="End Use of Incumbent Product" dataDxfId="72">
      <calculatedColumnFormula>IF(_xlfn.XLOOKUP($P6,'SI - End Use'!$B$2:$B$6,'SI - End Use'!$C$2:$C$6, "")="", "", _xlfn.XLOOKUP($C6,'SI - End Use'!$B$2:$B$6,'SI - End Use'!$C$2:$C$6, ""))</calculatedColumnFormula>
    </tableColumn>
    <tableColumn id="20" xr3:uid="{5A90943D-16D5-4BDA-962C-19A13F6E8AB8}" name="Surrogate For" dataDxfId="71"/>
    <tableColumn id="18" xr3:uid="{CF6EBF07-BA8B-43CE-82C3-59E29FEF9D74}" name="Process" dataDxfId="70"/>
    <tableColumn id="11" xr3:uid="{19B3CDDE-677F-4341-B2BF-5A637D5F6385}" name="Note" dataDxfId="69"/>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24A396BA-2CD2-4079-AA5B-B18E48D2E9C8}" name="Table117" displayName="Table117" ref="A5:T100" totalsRowShown="0" headerRowDxfId="68" dataDxfId="67" tableBorderDxfId="66" dataCellStyle="Percent">
  <autoFilter ref="A5:T100" xr:uid="{1644AED8-49DE-4A1D-989C-1566C9A522B9}"/>
  <tableColumns count="20">
    <tableColumn id="1" xr3:uid="{2C7BD698-AF81-4FF8-929B-FA65C95AB055}" name="Type" dataDxfId="65"/>
    <tableColumn id="2" xr3:uid="{8ABE79B0-EB47-434F-9597-1E5E0ADB71DC}" name="Category" dataDxfId="64"/>
    <tableColumn id="3" xr3:uid="{69D78EC1-407B-4DFE-AC99-A38B57A2C09E}" name="Resource" dataDxfId="63">
      <calculatedColumnFormula>_xlfn.XLOOKUP($B6,'SI - Resources'!$A$1:$J$1,'SI - Resources'!$A$2:$J$2, "")</calculatedColumnFormula>
    </tableColumn>
    <tableColumn id="4" xr3:uid="{52F75706-D18E-4442-BFC4-410DC293AAA3}" name="End Use" dataDxfId="62">
      <calculatedColumnFormula>IF(_xlfn.XLOOKUP($C6,'SI - End Use'!$B$2:$B$6,'SI - End Use'!$C$2:$C$6, "")="", "", _xlfn.XLOOKUP($C6,'SI - End Use'!$B$2:$B$6,'SI - End Use'!$C$2:$C$6, ""))</calculatedColumnFormula>
    </tableColumn>
    <tableColumn id="5" xr3:uid="{9F38E5ED-CDF5-4F83-890D-24FB06E235FC}" name="Amount" dataDxfId="61" dataCellStyle="Comma"/>
    <tableColumn id="6" xr3:uid="{3ACEA781-8167-43A0-A833-46625CC99CBE}" name="Unit" dataDxfId="60">
      <calculatedColumnFormula array="1">IF($B6="Transportation",  'SI - Units'!$B$9:$B$9, _xlfn.XLOOKUP(_xlfn.XLOOKUP($C6,'SI - Units'!$B$24:$B$109,'SI - Units'!$C$24:$C$109, ""),'SI - Units'!$A$2:$A$8,'SI - Units'!$B$2:$B$8, ""))</calculatedColumnFormula>
    </tableColumn>
    <tableColumn id="7" xr3:uid="{B5C83816-A716-4C88-8E16-9100286A1C6F}" name="Moisture" dataDxfId="59" dataCellStyle="Percent"/>
    <tableColumn id="8" xr3:uid="{961A9FAE-AD98-485E-B669-B4C538DA0995}" name="Previous Stage" dataDxfId="58" dataCellStyle="Percent"/>
    <tableColumn id="9" xr3:uid="{60E7FA53-9DF4-4D04-BFA2-AD3E323325F3}" name="Always Use Displacement Method for Co-Product?" dataDxfId="57" dataCellStyle="Percent">
      <calculatedColumnFormula>IF(Table117[[#This Row],[Type]]="Co-product", "No", "")</calculatedColumnFormula>
    </tableColumn>
    <tableColumn id="19" xr3:uid="{4410DE15-CD0A-43E3-BF1B-26946EDD4937}" name="Urban Share" dataDxfId="56" dataCellStyle="Percent"/>
    <tableColumn id="10" xr3:uid="{465CE46E-54E8-4FE9-B164-133479785B61}" name="Product Train" dataDxfId="55"/>
    <tableColumn id="14" xr3:uid="{C64B9C10-A92F-4D3E-9E49-F202FF99E30C}" name="Payload" dataDxfId="54">
      <calculatedColumnFormula>IF(Table117[[#This Row],[Category]]="Transportation", _xlfn.XLOOKUP(Table117[[#This Row],[Resource]], 'SI - Payload'!$A$10:$A$40,'SI - Payload'!$B$10:$B$40,"",0), "")</calculatedColumnFormula>
    </tableColumn>
    <tableColumn id="15" xr3:uid="{B2C6C9FF-AF37-4C49-8B8F-6DEA98EBF439}" name="Payload Unit" dataDxfId="53">
      <calculatedColumnFormula>IF(Table117[[#This Row],[Category]]="Transportation", "ton", "")</calculatedColumnFormula>
    </tableColumn>
    <tableColumn id="16" xr3:uid="{B9643C62-FDA6-4407-BDFB-10192C826E3A}" name="Market Price" dataDxfId="52"/>
    <tableColumn id="17" xr3:uid="{BFADB77B-6181-4E0A-9A94-8646D6882E21}" name="Market Price Unit" dataDxfId="51"/>
    <tableColumn id="12" xr3:uid="{0AABAEB9-8482-432F-93D1-2C5764D984A9}" name="Incumbent Product" dataDxfId="50">
      <calculatedColumnFormula>IF(OR(Table117[[#This Row],[Type]]="Main Product", Table117[[#This Row],[Type]]="Co-Product"), Table117[[#This Row],[Resource]], "")</calculatedColumnFormula>
    </tableColumn>
    <tableColumn id="13" xr3:uid="{ABEEA1D9-5769-4EC6-87EC-2F86E4D4BFE1}" name="End Use of Incumbent Product" dataDxfId="49">
      <calculatedColumnFormula>IF(_xlfn.XLOOKUP($P6,'SI - End Use'!$B$2:$B$6,'SI - End Use'!$C$2:$C$6, "")="", "", _xlfn.XLOOKUP($C6,'SI - End Use'!$B$2:$B$6,'SI - End Use'!$C$2:$C$6, ""))</calculatedColumnFormula>
    </tableColumn>
    <tableColumn id="20" xr3:uid="{B78E94FF-F088-4CC4-8EC6-5C0AEFC572C4}" name="Surrogate For" dataDxfId="48"/>
    <tableColumn id="18" xr3:uid="{9EC012AC-619E-4FBF-90F7-699244F53C6D}" name="Process" dataDxfId="47"/>
    <tableColumn id="11" xr3:uid="{6C9CCC6B-ACAC-4023-B69D-D41E81C4CC41}" name="Note" dataDxfId="46"/>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2964955-1F2C-451D-B2EB-D00AD01DC1EA}" name="Table118" displayName="Table118" ref="A5:T99" totalsRowShown="0" headerRowDxfId="45" dataDxfId="44" tableBorderDxfId="43" dataCellStyle="Percent">
  <autoFilter ref="A5:T99" xr:uid="{1644AED8-49DE-4A1D-989C-1566C9A522B9}"/>
  <tableColumns count="20">
    <tableColumn id="1" xr3:uid="{33ABF04E-09BD-4797-A9C5-1C99BC76AAB9}" name="Type" dataDxfId="42"/>
    <tableColumn id="2" xr3:uid="{40D4D604-B02D-4BF7-8958-8A82AB82B33E}" name="Category" dataDxfId="41"/>
    <tableColumn id="3" xr3:uid="{34EA3E8E-D41B-407C-8FF5-980CB390A98C}" name="Resource" dataDxfId="40">
      <calculatedColumnFormula>_xlfn.XLOOKUP($B6,'SI - Resources'!$A$1:$J$1,'SI - Resources'!$A$2:$J$2, "")</calculatedColumnFormula>
    </tableColumn>
    <tableColumn id="4" xr3:uid="{9CD3955B-8ADB-4A09-A215-8C2C05BF8B9F}" name="End Use" dataDxfId="39">
      <calculatedColumnFormula>IF(_xlfn.XLOOKUP($C6,'SI - End Use'!$B$2:$B$6,'SI - End Use'!$C$2:$C$6, "")="", "", _xlfn.XLOOKUP($C6,'SI - End Use'!$B$2:$B$6,'SI - End Use'!$C$2:$C$6, ""))</calculatedColumnFormula>
    </tableColumn>
    <tableColumn id="5" xr3:uid="{08CA2DFA-7917-4F9F-9929-262733A67D2D}" name="Amount" dataDxfId="38" dataCellStyle="Comma"/>
    <tableColumn id="6" xr3:uid="{48DD1BF5-6754-4E37-A41F-24DB63B55472}" name="Unit" dataDxfId="37">
      <calculatedColumnFormula array="1">IF($B6="Transportation",  'SI - Units'!$B$9:$B$9, _xlfn.XLOOKUP(_xlfn.XLOOKUP($C6,'SI - Units'!$B$24:$B$109,'SI - Units'!$C$24:$C$109, ""),'SI - Units'!$A$2:$A$8,'SI - Units'!$B$2:$B$8, ""))</calculatedColumnFormula>
    </tableColumn>
    <tableColumn id="7" xr3:uid="{8C2F4A69-5DE6-4732-879A-0022BDE8BD39}" name="Moisture" dataDxfId="36" dataCellStyle="Percent"/>
    <tableColumn id="8" xr3:uid="{475953B8-DE11-4506-848C-234264A47BD5}" name="Previous Stage" dataDxfId="35" dataCellStyle="Percent"/>
    <tableColumn id="9" xr3:uid="{A2848191-4749-4960-87D1-D85422A5FC3F}" name="Always Use Displacement Method for Co-Product?" dataDxfId="34" dataCellStyle="Percent">
      <calculatedColumnFormula>IF(Table118[[#This Row],[Type]]="Co-product", "No", "")</calculatedColumnFormula>
    </tableColumn>
    <tableColumn id="19" xr3:uid="{23F2E37F-E955-4384-8A73-A84B5B8E1AA4}" name="Urban Share" dataDxfId="33" dataCellStyle="Percent"/>
    <tableColumn id="10" xr3:uid="{48331A88-0403-41B4-B872-D0095188E4C8}" name="Product Train" dataDxfId="32"/>
    <tableColumn id="14" xr3:uid="{A65F31CF-5A62-4173-B206-0D065BC124B9}" name="Payload" dataDxfId="31">
      <calculatedColumnFormula>IF(Table118[[#This Row],[Category]]="Transportation", _xlfn.XLOOKUP(Table118[[#This Row],[Resource]], 'SI - Payload'!$A$10:$A$40,'SI - Payload'!$B$10:$B$40,"",0), "")</calculatedColumnFormula>
    </tableColumn>
    <tableColumn id="15" xr3:uid="{38ED7F84-2990-44C0-80BA-681DB1F3A1B3}" name="Payload Unit" dataDxfId="30">
      <calculatedColumnFormula>IF(Table118[[#This Row],[Category]]="Transportation", "ton", "")</calculatedColumnFormula>
    </tableColumn>
    <tableColumn id="16" xr3:uid="{3EA90AC8-EF73-4B41-8054-C7C08D14E555}" name="Market Price" dataDxfId="29"/>
    <tableColumn id="17" xr3:uid="{60B40A22-4EE8-4AFB-986E-C06DC97ABD59}" name="Market Price Unit" dataDxfId="28"/>
    <tableColumn id="12" xr3:uid="{E81D3FE1-05F3-491A-8711-9141BC7493CE}" name="Incumbent Product" dataDxfId="27">
      <calculatedColumnFormula>IF(OR(Table118[[#This Row],[Type]]="Main Product", Table118[[#This Row],[Type]]="Co-Product"), Table118[[#This Row],[Resource]], "")</calculatedColumnFormula>
    </tableColumn>
    <tableColumn id="13" xr3:uid="{35B40548-1955-485D-8692-F91CEF43CF7D}" name="End Use of Incumbent Product" dataDxfId="26">
      <calculatedColumnFormula>IF(_xlfn.XLOOKUP($P6,'SI - End Use'!$B$2:$B$6,'SI - End Use'!$C$2:$C$6, "")="", "", _xlfn.XLOOKUP($C6,'SI - End Use'!$B$2:$B$6,'SI - End Use'!$C$2:$C$6, ""))</calculatedColumnFormula>
    </tableColumn>
    <tableColumn id="20" xr3:uid="{F45BBE6F-28CD-4986-81B6-36E0801004AE}" name="Surrogate For" dataDxfId="25"/>
    <tableColumn id="18" xr3:uid="{FEED3D3D-1054-4240-9EEB-176D1CC5BEDC}" name="Process" dataDxfId="24"/>
    <tableColumn id="11" xr3:uid="{0A104DC0-C05E-4618-BB00-4946D0FE3063}" name="Note" dataDxfId="23"/>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BC29E91-D460-4149-9F2D-F039A62343CD}" name="Table13" displayName="Table13" ref="A5:T100" totalsRowShown="0" headerRowDxfId="22" dataDxfId="21" tableBorderDxfId="20" dataCellStyle="Percent">
  <autoFilter ref="A5:T100" xr:uid="{1644AED8-49DE-4A1D-989C-1566C9A522B9}"/>
  <tableColumns count="20">
    <tableColumn id="1" xr3:uid="{3976C997-9556-498C-92F1-16680EA2F3CB}" name="Type" dataDxfId="19"/>
    <tableColumn id="2" xr3:uid="{9D2055FE-353B-420C-B5E6-0F45671CDF94}" name="Category" dataDxfId="18"/>
    <tableColumn id="3" xr3:uid="{0C3E5568-6184-4D8B-8788-D60CC3F7976B}" name="Resource" dataDxfId="17">
      <calculatedColumnFormula>_xlfn.XLOOKUP($B6,'SI - Resources'!$A$1:$J$1,'SI - Resources'!$A$2:$J$2, "")</calculatedColumnFormula>
    </tableColumn>
    <tableColumn id="4" xr3:uid="{BC6B62C5-30F2-4A35-9E90-D2D012F89BF4}" name="End Use" dataDxfId="16">
      <calculatedColumnFormula>IF(_xlfn.XLOOKUP($C6,'SI - End Use'!$B$2:$B$6,'SI - End Use'!$C$2:$C$6, "")="", "", _xlfn.XLOOKUP($C6,'SI - End Use'!$B$2:$B$6,'SI - End Use'!$C$2:$C$6, ""))</calculatedColumnFormula>
    </tableColumn>
    <tableColumn id="5" xr3:uid="{75A3A8AC-EF17-45C3-BC88-7648CAA2EBD6}" name="Amount" dataDxfId="15" dataCellStyle="Comma"/>
    <tableColumn id="6" xr3:uid="{4397A965-B7DE-49CC-A938-33B87880C189}" name="Unit" dataDxfId="14">
      <calculatedColumnFormula array="1">IF($B6="Transportation",  'SI - Units'!$B$9:$B$9, _xlfn.XLOOKUP(_xlfn.XLOOKUP($C6,'SI - Units'!$B$24:$B$109,'SI - Units'!$C$24:$C$109, ""),'SI - Units'!$A$2:$A$8,'SI - Units'!$B$2:$B$8, ""))</calculatedColumnFormula>
    </tableColumn>
    <tableColumn id="7" xr3:uid="{3208E6C4-35DE-48E5-BE93-4A799EAA8F07}" name="Moisture" dataDxfId="13" dataCellStyle="Percent"/>
    <tableColumn id="8" xr3:uid="{4698F969-6E84-403E-866B-18B8D0A5D614}" name="Previous Stage" dataDxfId="12" dataCellStyle="Percent"/>
    <tableColumn id="9" xr3:uid="{5C05716A-7BF7-419B-AE66-1E468E6E2F3C}" name="Always Use Displacement Method for Co-Product?" dataDxfId="11" dataCellStyle="Percent">
      <calculatedColumnFormula>IF(Table13[[#This Row],[Type]]="Co-product", "No", "")</calculatedColumnFormula>
    </tableColumn>
    <tableColumn id="19" xr3:uid="{B41E83AF-8DE0-49FE-B222-37D37BB5255F}" name="Urban Share" dataDxfId="10" dataCellStyle="Percent"/>
    <tableColumn id="10" xr3:uid="{7B07E87A-0B23-4911-ABE6-FC378C641CAB}" name="Product Train" dataDxfId="9"/>
    <tableColumn id="14" xr3:uid="{4AA1D20A-4450-4D21-9861-929E238434C9}" name="Payload" dataDxfId="8">
      <calculatedColumnFormula>IF(Table13[[#This Row],[Category]]="Transportation", _xlfn.XLOOKUP(Table13[[#This Row],[Resource]], 'SI - Payload'!$A$10:$A$40,'SI - Payload'!$B$10:$B$40,"",0), "")</calculatedColumnFormula>
    </tableColumn>
    <tableColumn id="15" xr3:uid="{188AE9FC-FC9F-4667-8EAE-F093ACB6E6D6}" name="Payload Unit" dataDxfId="7">
      <calculatedColumnFormula>IF(Table13[[#This Row],[Category]]="Transportation", "ton", "")</calculatedColumnFormula>
    </tableColumn>
    <tableColumn id="16" xr3:uid="{38EABF0F-C94B-43DF-A42F-75D54CB27131}" name="Market Price" dataDxfId="6"/>
    <tableColumn id="17" xr3:uid="{903BF539-5272-4066-8F31-94F4CDB884B3}" name="Market Price Unit" dataDxfId="5"/>
    <tableColumn id="12" xr3:uid="{DAE1F886-9154-4461-B40A-00F330C13C90}" name="Incumbent Product" dataDxfId="4">
      <calculatedColumnFormula>IF(OR(Table13[[#This Row],[Type]]="Main Product", Table13[[#This Row],[Type]]="Co-Product"), Table13[[#This Row],[Resource]], "")</calculatedColumnFormula>
    </tableColumn>
    <tableColumn id="13" xr3:uid="{DEB35349-08F5-4848-B427-22B70C63FF93}" name="End Use of Incumbent Product" dataDxfId="3">
      <calculatedColumnFormula>IF(_xlfn.XLOOKUP($P6,'SI - End Use'!$B$2:$B$6,'SI - End Use'!$C$2:$C$6, "")="", "", _xlfn.XLOOKUP($C6,'SI - End Use'!$B$2:$B$6,'SI - End Use'!$C$2:$C$6, ""))</calculatedColumnFormula>
    </tableColumn>
    <tableColumn id="20" xr3:uid="{50A2A0DF-C425-4153-A0C9-9EB2DE42E92C}" name="Surrogate For" dataDxfId="2"/>
    <tableColumn id="18" xr3:uid="{6F740BA7-F290-4A1A-A3E7-67F405978F05}" name="Process" dataDxfId="1"/>
    <tableColumn id="11" xr3:uid="{1559A99A-CB76-4BFE-A55F-B718712109D8}" name="Not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3" dT="2020-09-14T22:32:35.76" personId="{1BA94B23-8AF6-4DEA-8555-F31E64B696F6}" id="{218C17CB-B7B2-4871-8B12-A067E418B0F3}">
    <text>energy cost for the blower is 3.11 $/DMT, at electricity cost = 0.1144 $/kwh, 1 kwh = 3412.1416 Btus. Only 25% of the biomass is processed with the blower.</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table" Target="../tables/table7.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table" Target="../tables/table8.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table" Target="../tables/table9.xml"/><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5" Type="http://schemas.openxmlformats.org/officeDocument/2006/relationships/table" Target="../tables/table10.xml"/><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9.bin"/><Relationship Id="rId5" Type="http://schemas.openxmlformats.org/officeDocument/2006/relationships/table" Target="../tables/table11.xml"/><Relationship Id="rId4" Type="http://schemas.openxmlformats.org/officeDocument/2006/relationships/ctrlProp" Target="../ctrlProps/ctrlProp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5" Type="http://schemas.openxmlformats.org/officeDocument/2006/relationships/table" Target="../tables/table12.xml"/><Relationship Id="rId4" Type="http://schemas.openxmlformats.org/officeDocument/2006/relationships/ctrlProp" Target="../ctrlProps/ctrlProp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1.bin"/><Relationship Id="rId5" Type="http://schemas.openxmlformats.org/officeDocument/2006/relationships/table" Target="../tables/table13.xml"/><Relationship Id="rId4" Type="http://schemas.openxmlformats.org/officeDocument/2006/relationships/ctrlProp" Target="../ctrlProps/ctrlProp9.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2.bin"/><Relationship Id="rId5" Type="http://schemas.openxmlformats.org/officeDocument/2006/relationships/table" Target="../tables/table14.xml"/><Relationship Id="rId4" Type="http://schemas.openxmlformats.org/officeDocument/2006/relationships/ctrlProp" Target="../ctrlProps/ctrlProp10.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3.bin"/><Relationship Id="rId5" Type="http://schemas.openxmlformats.org/officeDocument/2006/relationships/table" Target="../tables/table15.xml"/><Relationship Id="rId4" Type="http://schemas.openxmlformats.org/officeDocument/2006/relationships/ctrlProp" Target="../ctrlProps/ctrlProp11.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4.bin"/><Relationship Id="rId5" Type="http://schemas.openxmlformats.org/officeDocument/2006/relationships/table" Target="../tables/table16.xml"/><Relationship Id="rId4" Type="http://schemas.openxmlformats.org/officeDocument/2006/relationships/ctrlProp" Target="../ctrlProps/ctrlProp12.xml"/></Relationships>
</file>

<file path=xl/worksheets/_rels/sheet18.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33"/>
  <sheetViews>
    <sheetView workbookViewId="0">
      <pane ySplit="1" topLeftCell="A16" activePane="bottomLeft" state="frozen"/>
      <selection pane="bottomLeft" activeCell="A34" sqref="A34"/>
    </sheetView>
  </sheetViews>
  <sheetFormatPr defaultRowHeight="14.5" x14ac:dyDescent="0.35"/>
  <cols>
    <col min="1" max="1" width="46.1796875" customWidth="1"/>
    <col min="2" max="2" width="139.54296875" customWidth="1"/>
  </cols>
  <sheetData>
    <row r="1" spans="1:3" ht="64" customHeight="1" x14ac:dyDescent="0.35"/>
    <row r="2" spans="1:3" ht="103.5" customHeight="1" x14ac:dyDescent="0.35">
      <c r="A2" s="79" t="s">
        <v>261</v>
      </c>
      <c r="B2" s="79"/>
    </row>
    <row r="3" spans="1:3" ht="29.15" customHeight="1" x14ac:dyDescent="0.35">
      <c r="A3" s="81" t="s">
        <v>274</v>
      </c>
      <c r="B3" s="81"/>
    </row>
    <row r="4" spans="1:3" ht="28" customHeight="1" x14ac:dyDescent="0.35">
      <c r="A4" s="19"/>
      <c r="B4" s="19"/>
    </row>
    <row r="5" spans="1:3" ht="28" customHeight="1" x14ac:dyDescent="0.35">
      <c r="A5" s="80" t="s">
        <v>260</v>
      </c>
      <c r="B5" s="80"/>
    </row>
    <row r="6" spans="1:3" ht="28" customHeight="1" x14ac:dyDescent="0.35">
      <c r="A6" s="21" t="s">
        <v>119</v>
      </c>
      <c r="B6" s="20"/>
    </row>
    <row r="7" spans="1:3" x14ac:dyDescent="0.35">
      <c r="A7" s="23" t="s">
        <v>125</v>
      </c>
      <c r="B7" s="15" t="s">
        <v>256</v>
      </c>
    </row>
    <row r="8" spans="1:3" x14ac:dyDescent="0.35">
      <c r="A8" s="23" t="s">
        <v>262</v>
      </c>
      <c r="B8" s="22" t="s">
        <v>263</v>
      </c>
      <c r="C8" s="14"/>
    </row>
    <row r="9" spans="1:3" ht="21" x14ac:dyDescent="0.35">
      <c r="A9" s="20"/>
      <c r="B9" s="20"/>
    </row>
    <row r="10" spans="1:3" ht="28" customHeight="1" x14ac:dyDescent="0.35">
      <c r="A10" s="21" t="s">
        <v>120</v>
      </c>
      <c r="B10" s="20"/>
    </row>
    <row r="11" spans="1:3" x14ac:dyDescent="0.35">
      <c r="A11" s="16" t="s">
        <v>6</v>
      </c>
      <c r="B11" s="15" t="s">
        <v>264</v>
      </c>
    </row>
    <row r="12" spans="1:3" x14ac:dyDescent="0.35">
      <c r="A12" s="18" t="s">
        <v>0</v>
      </c>
      <c r="B12" s="15" t="s">
        <v>115</v>
      </c>
    </row>
    <row r="13" spans="1:3" x14ac:dyDescent="0.35">
      <c r="A13" s="18" t="s">
        <v>265</v>
      </c>
      <c r="B13" s="15" t="s">
        <v>273</v>
      </c>
    </row>
    <row r="14" spans="1:3" ht="58" x14ac:dyDescent="0.35">
      <c r="A14" s="18" t="s">
        <v>113</v>
      </c>
      <c r="B14" s="15" t="s">
        <v>266</v>
      </c>
    </row>
    <row r="15" spans="1:3" ht="87" x14ac:dyDescent="0.35">
      <c r="A15" s="18" t="s">
        <v>85</v>
      </c>
      <c r="B15" s="15" t="s">
        <v>267</v>
      </c>
    </row>
    <row r="16" spans="1:3" ht="43.5" x14ac:dyDescent="0.35">
      <c r="A16" s="18" t="s">
        <v>240</v>
      </c>
      <c r="B16" s="15" t="s">
        <v>268</v>
      </c>
    </row>
    <row r="17" spans="1:2" x14ac:dyDescent="0.35">
      <c r="A17" s="17" t="s">
        <v>1</v>
      </c>
      <c r="B17" s="15" t="s">
        <v>247</v>
      </c>
    </row>
    <row r="18" spans="1:2" x14ac:dyDescent="0.35">
      <c r="A18" s="17" t="s">
        <v>35</v>
      </c>
      <c r="B18" s="15" t="s">
        <v>116</v>
      </c>
    </row>
    <row r="19" spans="1:2" ht="43.5" x14ac:dyDescent="0.35">
      <c r="A19" s="17" t="s">
        <v>5</v>
      </c>
      <c r="B19" s="15" t="s">
        <v>269</v>
      </c>
    </row>
    <row r="20" spans="1:2" x14ac:dyDescent="0.35">
      <c r="A20" s="17" t="s">
        <v>7</v>
      </c>
      <c r="B20" s="15" t="s">
        <v>118</v>
      </c>
    </row>
    <row r="21" spans="1:2" x14ac:dyDescent="0.35">
      <c r="A21" s="17" t="s">
        <v>8</v>
      </c>
      <c r="B21" s="15" t="s">
        <v>117</v>
      </c>
    </row>
    <row r="22" spans="1:2" ht="29" x14ac:dyDescent="0.35">
      <c r="A22" s="17" t="s">
        <v>111</v>
      </c>
      <c r="B22" s="15" t="s">
        <v>270</v>
      </c>
    </row>
    <row r="23" spans="1:2" ht="29" x14ac:dyDescent="0.35">
      <c r="A23" s="17" t="s">
        <v>258</v>
      </c>
      <c r="B23" s="15" t="s">
        <v>271</v>
      </c>
    </row>
    <row r="24" spans="1:2" ht="58" x14ac:dyDescent="0.35">
      <c r="A24" s="17" t="s">
        <v>122</v>
      </c>
      <c r="B24" s="15" t="s">
        <v>272</v>
      </c>
    </row>
    <row r="25" spans="1:2" ht="29" x14ac:dyDescent="0.35">
      <c r="A25" s="17" t="s">
        <v>84</v>
      </c>
      <c r="B25" s="15" t="s">
        <v>248</v>
      </c>
    </row>
    <row r="26" spans="1:2" x14ac:dyDescent="0.35">
      <c r="A26" s="17" t="s">
        <v>133</v>
      </c>
      <c r="B26" s="15" t="s">
        <v>249</v>
      </c>
    </row>
    <row r="27" spans="1:2" x14ac:dyDescent="0.35">
      <c r="A27" s="17" t="s">
        <v>134</v>
      </c>
      <c r="B27" t="s">
        <v>250</v>
      </c>
    </row>
    <row r="28" spans="1:2" x14ac:dyDescent="0.35">
      <c r="A28" s="17" t="s">
        <v>135</v>
      </c>
      <c r="B28" s="15" t="s">
        <v>252</v>
      </c>
    </row>
    <row r="29" spans="1:2" x14ac:dyDescent="0.35">
      <c r="A29" s="17" t="s">
        <v>136</v>
      </c>
      <c r="B29" t="s">
        <v>251</v>
      </c>
    </row>
    <row r="30" spans="1:2" ht="29" x14ac:dyDescent="0.35">
      <c r="A30" s="17" t="s">
        <v>137</v>
      </c>
      <c r="B30" s="15" t="s">
        <v>253</v>
      </c>
    </row>
    <row r="31" spans="1:2" x14ac:dyDescent="0.35">
      <c r="A31" s="17" t="s">
        <v>138</v>
      </c>
      <c r="B31" t="s">
        <v>254</v>
      </c>
    </row>
    <row r="32" spans="1:2" ht="58" x14ac:dyDescent="0.35">
      <c r="A32" s="17" t="s">
        <v>255</v>
      </c>
      <c r="B32" s="15" t="s">
        <v>275</v>
      </c>
    </row>
    <row r="33" spans="1:2" x14ac:dyDescent="0.35">
      <c r="A33" s="17" t="s">
        <v>4</v>
      </c>
      <c r="B33" s="15" t="s">
        <v>121</v>
      </c>
    </row>
  </sheetData>
  <mergeCells count="3">
    <mergeCell ref="A2:B2"/>
    <mergeCell ref="A5:B5"/>
    <mergeCell ref="A3:B3"/>
  </mergeCells>
  <dataValidations disablePrompts="1" count="1">
    <dataValidation type="custom" allowBlank="1" showInputMessage="1" showErrorMessage="1" sqref="A22" xr:uid="{6BD3DB0C-AE19-4CCC-B043-8DB6748088F6}">
      <formula1>ISNUMBER(A22)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412750</xdr:colOff>
                    <xdr:row>0</xdr:row>
                    <xdr:rowOff>266700</xdr:rowOff>
                  </from>
                  <to>
                    <xdr:col>1</xdr:col>
                    <xdr:colOff>1879600</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_xlfn.XLOOKUP(_xlfn.XLOOKUP($C22,'SI - Units'!$B$24:$B$109,'SI - Units'!$C$24:$C$109),'SI - Units'!$A$2:$A$8,'SI - Units'!$B$2:$R$8)</xm:f>
          </x14:formula1>
          <xm:sqref>A21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T100"/>
  <sheetViews>
    <sheetView workbookViewId="0">
      <pane ySplit="5" topLeftCell="A6" activePane="bottomLeft" state="frozen"/>
      <selection activeCell="C19" sqref="C19"/>
      <selection pane="bottomLeft" activeCell="I2" sqref="I2"/>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c r="B6" s="6"/>
      <c r="C6" s="6" t="str">
        <f>_xlfn.XLOOKUP($B6,'SI - Resources'!$A$1:$J$1,'SI - Resources'!$A$2:$J$2, "")</f>
        <v/>
      </c>
      <c r="D6" s="6" t="str">
        <f>IF(_xlfn.XLOOKUP($C6,'SI - End Use'!$B$2:$B$6,'SI - End Use'!$C$2:$C$6, "")="", "", _xlfn.XLOOKUP($C6,'SI - End Use'!$B$2:$B$6,'SI - End Use'!$C$2:$C$6, ""))</f>
        <v/>
      </c>
      <c r="E6" s="12"/>
      <c r="F6" s="6" t="str" cm="1">
        <f t="array" ref="F6">IF($B6="Transportation",  'SI - Units'!$B$9:$B$9, _xlfn.XLOOKUP(_xlfn.XLOOKUP($C6,'SI - Units'!$B$24:$B$109,'SI - Units'!$C$24:$C$109, ""),'SI - Units'!$A$2:$A$8,'SI - Units'!$B$2:$B$8, ""))</f>
        <v/>
      </c>
      <c r="G6" s="25"/>
      <c r="H6" s="25"/>
      <c r="I6" s="26" t="str">
        <f>IF(Table1[[#This Row],[Type]]="Co-product", "No", "")</f>
        <v/>
      </c>
      <c r="J6" s="25"/>
      <c r="K6" s="6"/>
      <c r="L6" s="6" t="str">
        <f>IF(Table1[[#This Row],[Category]]="Transportation", _xlfn.XLOOKUP(Table1[[#This Row],[Resource]], 'SI - Payload'!$A$10:$A$40,'SI - Payload'!$B$10:$B$40,"",0), "")</f>
        <v/>
      </c>
      <c r="M6" s="6" t="str">
        <f>IF(Table1[[#This Row],[Category]]="Transportation", "ton", "")</f>
        <v/>
      </c>
      <c r="N6" s="6"/>
      <c r="O6" s="6"/>
      <c r="P6" s="6" t="str">
        <f>IF(OR(Table1[[#This Row],[Type]]="Main Product", Table1[[#This Row],[Type]]="Co-Product"), Table1[[#This Row],[Resource]], "")</f>
        <v/>
      </c>
      <c r="Q6" s="6" t="str">
        <f>IF(_xlfn.XLOOKUP($P6,'SI - End Use'!$B$2:$B$6,'SI - End Use'!$C$2:$C$6, "")="", "", _xlfn.XLOOKUP($C6,'SI - End Use'!$B$2:$B$6,'SI - End Use'!$C$2:$C$6, ""))</f>
        <v/>
      </c>
      <c r="R6" s="6"/>
      <c r="S6" s="6"/>
      <c r="T6" s="6"/>
    </row>
    <row r="7" spans="1:20" x14ac:dyDescent="0.35">
      <c r="A7" s="6"/>
      <c r="B7" s="6"/>
      <c r="C7" s="6" t="str">
        <f>_xlfn.XLOOKUP($B7,'SI - Resources'!$A$1:$J$1,'SI - Resources'!$A$2:$J$2, "")</f>
        <v/>
      </c>
      <c r="D7" s="6" t="str">
        <f>IF(_xlfn.XLOOKUP($C7,'SI - End Use'!$B$2:$B$6,'SI - End Use'!$C$2:$C$6, "")="", "", _xlfn.XLOOKUP($C7,'SI - End Use'!$B$2:$B$6,'SI - End Use'!$C$2:$C$6, ""))</f>
        <v/>
      </c>
      <c r="E7" s="12"/>
      <c r="F7" s="6" t="str" cm="1">
        <f t="array" ref="F7">IF($B7="Transportation",  'SI - Units'!$B$9:$B$9, _xlfn.XLOOKUP(_xlfn.XLOOKUP($C7,'SI - Units'!$B$24:$B$109,'SI - Units'!$C$24:$C$109, ""),'SI - Units'!$A$2:$A$8,'SI - Units'!$B$2:$B$8, ""))</f>
        <v/>
      </c>
      <c r="G7" s="25"/>
      <c r="H7" s="25"/>
      <c r="I7" s="26" t="str">
        <f>IF(Table1[[#This Row],[Type]]="Co-product", "No", "")</f>
        <v/>
      </c>
      <c r="J7" s="25"/>
      <c r="K7" s="6"/>
      <c r="L7" s="6" t="str">
        <f>IF(Table1[[#This Row],[Category]]="Transportation", _xlfn.XLOOKUP(Table1[[#This Row],[Resource]], 'SI - Payload'!$A$10:$A$40,'SI - Payload'!$B$10:$B$40,"",0), "")</f>
        <v/>
      </c>
      <c r="M7" s="6" t="str">
        <f>IF(Table1[[#This Row],[Category]]="Transportation", "ton", "")</f>
        <v/>
      </c>
      <c r="N7" s="6"/>
      <c r="O7" s="6"/>
      <c r="P7" s="6" t="str">
        <f>IF(OR(Table1[[#This Row],[Type]]="Main Product", Table1[[#This Row],[Type]]="Co-Product"), Table1[[#This Row],[Resource]], "")</f>
        <v/>
      </c>
      <c r="Q7" s="6" t="str">
        <f>IF(_xlfn.XLOOKUP($P7,'SI - End Use'!$B$2:$B$6,'SI - End Use'!$C$2:$C$6, "")="", "", _xlfn.XLOOKUP($C7,'SI - End Use'!$B$2:$B$6,'SI - End Use'!$C$2:$C$6, ""))</f>
        <v/>
      </c>
      <c r="R7" s="6"/>
      <c r="S7" s="6"/>
      <c r="T7" s="6"/>
    </row>
    <row r="8" spans="1:20" x14ac:dyDescent="0.35">
      <c r="A8" s="6"/>
      <c r="B8" s="6"/>
      <c r="C8" s="6" t="str">
        <f>_xlfn.XLOOKUP($B8,'SI - Resources'!$A$1:$J$1,'SI - Resources'!$A$2:$J$2, "")</f>
        <v/>
      </c>
      <c r="D8" s="6" t="str">
        <f>IF(_xlfn.XLOOKUP($C8,'SI - End Use'!$B$2:$B$6,'SI - End Use'!$C$2:$C$6, "")="", "", _xlfn.XLOOKUP($C8,'SI - End Use'!$B$2:$B$6,'SI - End Use'!$C$2:$C$6, ""))</f>
        <v/>
      </c>
      <c r="E8" s="12"/>
      <c r="F8" s="6" t="str" cm="1">
        <f t="array" ref="F8">IF($B8="Transportation",  'SI - Units'!$B$9:$B$9, _xlfn.XLOOKUP(_xlfn.XLOOKUP($C8,'SI - Units'!$B$24:$B$109,'SI - Units'!$C$24:$C$109, ""),'SI - Units'!$A$2:$A$8,'SI - Units'!$B$2:$B$8, ""))</f>
        <v/>
      </c>
      <c r="G8" s="25"/>
      <c r="H8" s="25"/>
      <c r="I8" s="26" t="str">
        <f>IF(Table1[[#This Row],[Type]]="Co-product", "No", "")</f>
        <v/>
      </c>
      <c r="J8" s="25"/>
      <c r="K8" s="6"/>
      <c r="L8" s="6" t="str">
        <f>IF(Table1[[#This Row],[Category]]="Transportation", _xlfn.XLOOKUP(Table1[[#This Row],[Resource]], 'SI - Payload'!$A$10:$A$40,'SI - Payload'!$B$10:$B$40,"",0), "")</f>
        <v/>
      </c>
      <c r="M8" s="6" t="str">
        <f>IF(Table1[[#This Row],[Category]]="Transportation", "ton", "")</f>
        <v/>
      </c>
      <c r="N8" s="6"/>
      <c r="O8" s="6"/>
      <c r="P8" s="6" t="str">
        <f>IF(OR(Table1[[#This Row],[Type]]="Main Product", Table1[[#This Row],[Type]]="Co-Product"), Table1[[#This Row],[Resource]], "")</f>
        <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IF(Table1[[#This Row],[Type]]="Co-product", "No", "")</f>
        <v/>
      </c>
      <c r="J9" s="25"/>
      <c r="K9" s="6"/>
      <c r="L9" s="6" t="str">
        <f>IF(Table1[[#This Row],[Category]]="Transportation", _xlfn.XLOOKUP(Table1[[#This Row],[Resource]], 'SI - Payload'!$A$10:$A$40,'SI - Payload'!$B$10:$B$40,"",0), "")</f>
        <v/>
      </c>
      <c r="M9" s="6" t="str">
        <f>IF(Table1[[#This Row],[Category]]="Transportation", "ton", "")</f>
        <v/>
      </c>
      <c r="N9" s="6"/>
      <c r="O9" s="6"/>
      <c r="P9" s="6" t="str">
        <f>IF(OR(Table1[[#This Row],[Type]]="Main Product", Table1[[#This Row],[Type]]="Co-Product"), Table1[[#This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IF(Table1[[#This Row],[Type]]="Co-product", "No", "")</f>
        <v/>
      </c>
      <c r="J10" s="25"/>
      <c r="K10" s="6"/>
      <c r="L10" s="6" t="str">
        <f>IF(Table1[[#This Row],[Category]]="Transportation", _xlfn.XLOOKUP(Table1[[#This Row],[Resource]], 'SI - Payload'!$A$10:$A$40,'SI - Payload'!$B$10:$B$40,"",0), "")</f>
        <v/>
      </c>
      <c r="M10" s="6" t="str">
        <f>IF(Table1[[#This Row],[Category]]="Transportation", "ton", "")</f>
        <v/>
      </c>
      <c r="N10" s="6"/>
      <c r="O10" s="6"/>
      <c r="P10" s="6" t="str">
        <f>IF(OR(Table1[[#This Row],[Type]]="Main Product", Table1[[#This Row],[Type]]="Co-Product"), Table1[[#This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IF(Table1[[#This Row],[Type]]="Co-product", "No", "")</f>
        <v/>
      </c>
      <c r="J11" s="25"/>
      <c r="K11" s="6"/>
      <c r="L11" s="6" t="str">
        <f>IF(Table1[[#This Row],[Category]]="Transportation", _xlfn.XLOOKUP(Table1[[#This Row],[Resource]], 'SI - Payload'!$A$10:$A$40,'SI - Payload'!$B$10:$B$40,"",0), "")</f>
        <v/>
      </c>
      <c r="M11" s="6" t="str">
        <f>IF(Table1[[#This Row],[Category]]="Transportation", "ton", "")</f>
        <v/>
      </c>
      <c r="N11" s="6"/>
      <c r="O11" s="6"/>
      <c r="P11" s="6" t="str">
        <f>IF(OR(Table1[[#This Row],[Type]]="Main Product", Table1[[#This Row],[Type]]="Co-Product"), Table1[[#This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IF(Table1[[#This Row],[Type]]="Co-product", "No", "")</f>
        <v/>
      </c>
      <c r="J12" s="25"/>
      <c r="K12" s="6"/>
      <c r="L12" s="6" t="str">
        <f>IF(Table1[[#This Row],[Category]]="Transportation", _xlfn.XLOOKUP(Table1[[#This Row],[Resource]], 'SI - Payload'!$A$10:$A$40,'SI - Payload'!$B$10:$B$40,"",0), "")</f>
        <v/>
      </c>
      <c r="M12" s="6" t="str">
        <f>IF(Table1[[#This Row],[Category]]="Transportation", "ton", "")</f>
        <v/>
      </c>
      <c r="N12" s="6"/>
      <c r="O12" s="6"/>
      <c r="P12" s="6" t="str">
        <f>IF(OR(Table1[[#This Row],[Type]]="Main Product", Table1[[#This Row],[Type]]="Co-Product"), Table1[[#This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IF(Table1[[#This Row],[Type]]="Co-product", "No", "")</f>
        <v/>
      </c>
      <c r="J13" s="25"/>
      <c r="K13" s="6"/>
      <c r="L13" s="6" t="str">
        <f>IF(Table1[[#This Row],[Category]]="Transportation", _xlfn.XLOOKUP(Table1[[#This Row],[Resource]], 'SI - Payload'!$A$10:$A$40,'SI - Payload'!$B$10:$B$40,"",0), "")</f>
        <v/>
      </c>
      <c r="M13" s="6" t="str">
        <f>IF(Table1[[#This Row],[Category]]="Transportation", "ton", "")</f>
        <v/>
      </c>
      <c r="N13" s="6"/>
      <c r="O13" s="6"/>
      <c r="P13" s="6" t="str">
        <f>IF(OR(Table1[[#This Row],[Type]]="Main Product", Table1[[#This Row],[Type]]="Co-Product"), Table1[[#This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IF(Table1[[#This Row],[Type]]="Co-product", "No", "")</f>
        <v/>
      </c>
      <c r="J14" s="25"/>
      <c r="K14" s="6"/>
      <c r="L14" s="6" t="str">
        <f>IF(Table1[[#This Row],[Category]]="Transportation", _xlfn.XLOOKUP(Table1[[#This Row],[Resource]], 'SI - Payload'!$A$10:$A$40,'SI - Payload'!$B$10:$B$40,"",0), "")</f>
        <v/>
      </c>
      <c r="M14" s="6" t="str">
        <f>IF(Table1[[#This Row],[Category]]="Transportation", "ton", "")</f>
        <v/>
      </c>
      <c r="N14" s="6"/>
      <c r="O14" s="6"/>
      <c r="P14" s="6" t="str">
        <f>IF(OR(Table1[[#This Row],[Type]]="Main Product", Table1[[#This Row],[Type]]="Co-Product"), Table1[[#This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IF(Table1[[#This Row],[Type]]="Co-product", "No", "")</f>
        <v/>
      </c>
      <c r="J15" s="25"/>
      <c r="K15" s="6"/>
      <c r="L15" s="6" t="str">
        <f>IF(Table1[[#This Row],[Category]]="Transportation", _xlfn.XLOOKUP(Table1[[#This Row],[Resource]], 'SI - Payload'!$A$10:$A$40,'SI - Payload'!$B$10:$B$40,"",0), "")</f>
        <v/>
      </c>
      <c r="M15" s="6" t="str">
        <f>IF(Table1[[#This Row],[Category]]="Transportation", "ton", "")</f>
        <v/>
      </c>
      <c r="N15" s="6"/>
      <c r="O15" s="6"/>
      <c r="P15" s="6" t="str">
        <f>IF(OR(Table1[[#This Row],[Type]]="Main Product", Table1[[#This Row],[Type]]="Co-Product"), Table1[[#This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IF(Table1[[#This Row],[Type]]="Co-product", "No", "")</f>
        <v/>
      </c>
      <c r="J16" s="25"/>
      <c r="K16" s="6"/>
      <c r="L16" s="6" t="str">
        <f>IF(Table1[[#This Row],[Category]]="Transportation", _xlfn.XLOOKUP(Table1[[#This Row],[Resource]], 'SI - Payload'!$A$10:$A$40,'SI - Payload'!$B$10:$B$40,"",0), "")</f>
        <v/>
      </c>
      <c r="M16" s="6" t="str">
        <f>IF(Table1[[#This Row],[Category]]="Transportation", "ton", "")</f>
        <v/>
      </c>
      <c r="N16" s="6"/>
      <c r="O16" s="6"/>
      <c r="P16" s="6" t="str">
        <f>IF(OR(Table1[[#This Row],[Type]]="Main Product", Table1[[#This Row],[Type]]="Co-Product"), Table1[[#This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IF(Table1[[#This Row],[Type]]="Co-product", "No", "")</f>
        <v/>
      </c>
      <c r="J17" s="25"/>
      <c r="K17" s="6"/>
      <c r="L17" s="6" t="str">
        <f>IF(Table1[[#This Row],[Category]]="Transportation", _xlfn.XLOOKUP(Table1[[#This Row],[Resource]], 'SI - Payload'!$A$10:$A$40,'SI - Payload'!$B$10:$B$40,"",0), "")</f>
        <v/>
      </c>
      <c r="M17" s="6" t="str">
        <f>IF(Table1[[#This Row],[Category]]="Transportation", "ton", "")</f>
        <v/>
      </c>
      <c r="N17" s="6"/>
      <c r="O17" s="6"/>
      <c r="P17" s="6" t="str">
        <f>IF(OR(Table1[[#This Row],[Type]]="Main Product", Table1[[#This Row],[Type]]="Co-Product"), Table1[[#This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IF(Table1[[#This Row],[Type]]="Co-product", "No", "")</f>
        <v/>
      </c>
      <c r="J18" s="25"/>
      <c r="K18" s="6"/>
      <c r="L18" s="6" t="str">
        <f>IF(Table1[[#This Row],[Category]]="Transportation", _xlfn.XLOOKUP(Table1[[#This Row],[Resource]], 'SI - Payload'!$A$10:$A$40,'SI - Payload'!$B$10:$B$40,"",0), "")</f>
        <v/>
      </c>
      <c r="M18" s="6" t="str">
        <f>IF(Table1[[#This Row],[Category]]="Transportation", "ton", "")</f>
        <v/>
      </c>
      <c r="N18" s="6"/>
      <c r="O18" s="6"/>
      <c r="P18" s="6" t="str">
        <f>IF(OR(Table1[[#This Row],[Type]]="Main Product", Table1[[#This Row],[Type]]="Co-Product"), Table1[[#This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IF(Table1[[#This Row],[Type]]="Co-product", "No", "")</f>
        <v/>
      </c>
      <c r="J19" s="25"/>
      <c r="K19" s="6"/>
      <c r="L19" s="6" t="str">
        <f>IF(Table1[[#This Row],[Category]]="Transportation", _xlfn.XLOOKUP(Table1[[#This Row],[Resource]], 'SI - Payload'!$A$10:$A$40,'SI - Payload'!$B$10:$B$40,"",0), "")</f>
        <v/>
      </c>
      <c r="M19" s="6" t="str">
        <f>IF(Table1[[#This Row],[Category]]="Transportation", "ton", "")</f>
        <v/>
      </c>
      <c r="N19" s="6"/>
      <c r="O19" s="6"/>
      <c r="P19" s="6" t="str">
        <f>IF(OR(Table1[[#This Row],[Type]]="Main Product", Table1[[#This Row],[Type]]="Co-Product"), Table1[[#This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IF(Table1[[#This Row],[Type]]="Co-product", "No", "")</f>
        <v/>
      </c>
      <c r="J20" s="25"/>
      <c r="K20" s="6"/>
      <c r="L20" s="6" t="str">
        <f>IF(Table1[[#This Row],[Category]]="Transportation", _xlfn.XLOOKUP(Table1[[#This Row],[Resource]], 'SI - Payload'!$A$10:$A$40,'SI - Payload'!$B$10:$B$40,"",0), "")</f>
        <v/>
      </c>
      <c r="M20" s="6" t="str">
        <f>IF(Table1[[#This Row],[Category]]="Transportation", "ton", "")</f>
        <v/>
      </c>
      <c r="N20" s="6"/>
      <c r="O20" s="6"/>
      <c r="P20" s="6" t="str">
        <f>IF(OR(Table1[[#This Row],[Type]]="Main Product", Table1[[#This Row],[Type]]="Co-Product"), Table1[[#This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IF(Table1[[#This Row],[Type]]="Co-product", "No", "")</f>
        <v/>
      </c>
      <c r="J21" s="25"/>
      <c r="K21" s="6"/>
      <c r="L21" s="6" t="str">
        <f>IF(Table1[[#This Row],[Category]]="Transportation", _xlfn.XLOOKUP(Table1[[#This Row],[Resource]], 'SI - Payload'!$A$10:$A$40,'SI - Payload'!$B$10:$B$40,"",0), "")</f>
        <v/>
      </c>
      <c r="M21" s="6" t="str">
        <f>IF(Table1[[#This Row],[Category]]="Transportation", "ton", "")</f>
        <v/>
      </c>
      <c r="N21" s="6"/>
      <c r="O21" s="6"/>
      <c r="P21" s="6" t="str">
        <f>IF(OR(Table1[[#This Row],[Type]]="Main Product", Table1[[#This Row],[Type]]="Co-Product"), Table1[[#This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IF(Table1[[#This Row],[Type]]="Co-product", "No", "")</f>
        <v/>
      </c>
      <c r="J22" s="25"/>
      <c r="K22" s="6"/>
      <c r="L22" s="6" t="str">
        <f>IF(Table1[[#This Row],[Category]]="Transportation", _xlfn.XLOOKUP(Table1[[#This Row],[Resource]], 'SI - Payload'!$A$10:$A$40,'SI - Payload'!$B$10:$B$40,"",0), "")</f>
        <v/>
      </c>
      <c r="M22" s="6" t="str">
        <f>IF(Table1[[#This Row],[Category]]="Transportation", "ton", "")</f>
        <v/>
      </c>
      <c r="N22" s="6"/>
      <c r="O22" s="6"/>
      <c r="P22" s="6" t="str">
        <f>IF(OR(Table1[[#This Row],[Type]]="Main Product", Table1[[#This Row],[Type]]="Co-Product"), Table1[[#This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IF(Table1[[#This Row],[Type]]="Co-product", "No", "")</f>
        <v/>
      </c>
      <c r="J23" s="25"/>
      <c r="K23" s="6"/>
      <c r="L23" s="6" t="str">
        <f>IF(Table1[[#This Row],[Category]]="Transportation", _xlfn.XLOOKUP(Table1[[#This Row],[Resource]], 'SI - Payload'!$A$10:$A$40,'SI - Payload'!$B$10:$B$40,"",0), "")</f>
        <v/>
      </c>
      <c r="M23" s="6" t="str">
        <f>IF(Table1[[#This Row],[Category]]="Transportation", "ton", "")</f>
        <v/>
      </c>
      <c r="N23" s="6"/>
      <c r="O23" s="6"/>
      <c r="P23" s="6" t="str">
        <f>IF(OR(Table1[[#This Row],[Type]]="Main Product", Table1[[#This Row],[Type]]="Co-Product"), Table1[[#This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IF(Table1[[#This Row],[Type]]="Co-product", "No", "")</f>
        <v/>
      </c>
      <c r="J24" s="25"/>
      <c r="K24" s="6"/>
      <c r="L24" s="6" t="str">
        <f>IF(Table1[[#This Row],[Category]]="Transportation", _xlfn.XLOOKUP(Table1[[#This Row],[Resource]], 'SI - Payload'!$A$10:$A$40,'SI - Payload'!$B$10:$B$40,"",0), "")</f>
        <v/>
      </c>
      <c r="M24" s="6" t="str">
        <f>IF(Table1[[#This Row],[Category]]="Transportation", "ton", "")</f>
        <v/>
      </c>
      <c r="N24" s="6"/>
      <c r="O24" s="6"/>
      <c r="P24" s="6" t="str">
        <f>IF(OR(Table1[[#This Row],[Type]]="Main Product", Table1[[#This Row],[Type]]="Co-Product"), Table1[[#This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IF(Table1[[#This Row],[Type]]="Co-product", "No", "")</f>
        <v/>
      </c>
      <c r="J25" s="25"/>
      <c r="K25" s="6"/>
      <c r="L25" s="6" t="str">
        <f>IF(Table1[[#This Row],[Category]]="Transportation", _xlfn.XLOOKUP(Table1[[#This Row],[Resource]], 'SI - Payload'!$A$10:$A$40,'SI - Payload'!$B$10:$B$40,"",0), "")</f>
        <v/>
      </c>
      <c r="M25" s="6" t="str">
        <f>IF(Table1[[#This Row],[Category]]="Transportation", "ton", "")</f>
        <v/>
      </c>
      <c r="N25" s="6"/>
      <c r="O25" s="6"/>
      <c r="P25" s="6" t="str">
        <f>IF(OR(Table1[[#This Row],[Type]]="Main Product", Table1[[#This Row],[Type]]="Co-Product"), Table1[[#This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IF(Table1[[#This Row],[Type]]="Co-product", "No", "")</f>
        <v/>
      </c>
      <c r="J26" s="25"/>
      <c r="K26" s="6"/>
      <c r="L26" s="6" t="str">
        <f>IF(Table1[[#This Row],[Category]]="Transportation", _xlfn.XLOOKUP(Table1[[#This Row],[Resource]], 'SI - Payload'!$A$10:$A$40,'SI - Payload'!$B$10:$B$40,"",0), "")</f>
        <v/>
      </c>
      <c r="M26" s="6" t="str">
        <f>IF(Table1[[#This Row],[Category]]="Transportation", "ton", "")</f>
        <v/>
      </c>
      <c r="N26" s="6"/>
      <c r="O26" s="6"/>
      <c r="P26" s="6" t="str">
        <f>IF(OR(Table1[[#This Row],[Type]]="Main Product", Table1[[#This Row],[Type]]="Co-Product"), Table1[[#This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IF(Table1[[#This Row],[Type]]="Co-product", "No", "")</f>
        <v/>
      </c>
      <c r="J27" s="25"/>
      <c r="K27" s="6"/>
      <c r="L27" s="6" t="str">
        <f>IF(Table1[[#This Row],[Category]]="Transportation", _xlfn.XLOOKUP(Table1[[#This Row],[Resource]], 'SI - Payload'!$A$10:$A$40,'SI - Payload'!$B$10:$B$40,"",0), "")</f>
        <v/>
      </c>
      <c r="M27" s="6" t="str">
        <f>IF(Table1[[#This Row],[Category]]="Transportation", "ton", "")</f>
        <v/>
      </c>
      <c r="N27" s="6"/>
      <c r="O27" s="6"/>
      <c r="P27" s="6" t="str">
        <f>IF(OR(Table1[[#This Row],[Type]]="Main Product", Table1[[#This Row],[Type]]="Co-Product"), Table1[[#This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IF(Table1[[#This Row],[Type]]="Co-product", "No", "")</f>
        <v/>
      </c>
      <c r="J28" s="25"/>
      <c r="K28" s="6"/>
      <c r="L28" s="6" t="str">
        <f>IF(Table1[[#This Row],[Category]]="Transportation", _xlfn.XLOOKUP(Table1[[#This Row],[Resource]], 'SI - Payload'!$A$10:$A$40,'SI - Payload'!$B$10:$B$40,"",0), "")</f>
        <v/>
      </c>
      <c r="M28" s="6" t="str">
        <f>IF(Table1[[#This Row],[Category]]="Transportation", "ton", "")</f>
        <v/>
      </c>
      <c r="N28" s="6"/>
      <c r="O28" s="6"/>
      <c r="P28" s="6" t="str">
        <f>IF(OR(Table1[[#This Row],[Type]]="Main Product", Table1[[#This Row],[Type]]="Co-Product"), Table1[[#This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IF(Table1[[#This Row],[Type]]="Co-product", "No", "")</f>
        <v/>
      </c>
      <c r="J29" s="25"/>
      <c r="K29" s="6"/>
      <c r="L29" s="6" t="str">
        <f>IF(Table1[[#This Row],[Category]]="Transportation", _xlfn.XLOOKUP(Table1[[#This Row],[Resource]], 'SI - Payload'!$A$10:$A$40,'SI - Payload'!$B$10:$B$40,"",0), "")</f>
        <v/>
      </c>
      <c r="M29" s="6" t="str">
        <f>IF(Table1[[#This Row],[Category]]="Transportation", "ton", "")</f>
        <v/>
      </c>
      <c r="N29" s="6"/>
      <c r="O29" s="6"/>
      <c r="P29" s="6" t="str">
        <f>IF(OR(Table1[[#This Row],[Type]]="Main Product", Table1[[#This Row],[Type]]="Co-Product"), Table1[[#This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IF(Table1[[#This Row],[Type]]="Co-product", "No", "")</f>
        <v/>
      </c>
      <c r="J30" s="25"/>
      <c r="K30" s="6"/>
      <c r="L30" s="6" t="str">
        <f>IF(Table1[[#This Row],[Category]]="Transportation", _xlfn.XLOOKUP(Table1[[#This Row],[Resource]], 'SI - Payload'!$A$10:$A$40,'SI - Payload'!$B$10:$B$40,"",0), "")</f>
        <v/>
      </c>
      <c r="M30" s="6" t="str">
        <f>IF(Table1[[#This Row],[Category]]="Transportation", "ton", "")</f>
        <v/>
      </c>
      <c r="N30" s="6"/>
      <c r="O30" s="6"/>
      <c r="P30" s="6" t="str">
        <f>IF(OR(Table1[[#This Row],[Type]]="Main Product", Table1[[#This Row],[Type]]="Co-Product"), Table1[[#This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IF(Table1[[#This Row],[Type]]="Co-product", "No", "")</f>
        <v/>
      </c>
      <c r="J31" s="25"/>
      <c r="K31" s="6"/>
      <c r="L31" s="6" t="str">
        <f>IF(Table1[[#This Row],[Category]]="Transportation", _xlfn.XLOOKUP(Table1[[#This Row],[Resource]], 'SI - Payload'!$A$10:$A$40,'SI - Payload'!$B$10:$B$40,"",0), "")</f>
        <v/>
      </c>
      <c r="M31" s="6" t="str">
        <f>IF(Table1[[#This Row],[Category]]="Transportation", "ton", "")</f>
        <v/>
      </c>
      <c r="N31" s="6"/>
      <c r="O31" s="6"/>
      <c r="P31" s="6" t="str">
        <f>IF(OR(Table1[[#This Row],[Type]]="Main Product", Table1[[#This Row],[Type]]="Co-Product"), Table1[[#This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IF(Table1[[#This Row],[Type]]="Co-product", "No", "")</f>
        <v/>
      </c>
      <c r="J32" s="25"/>
      <c r="K32" s="6"/>
      <c r="L32" s="6" t="str">
        <f>IF(Table1[[#This Row],[Category]]="Transportation", _xlfn.XLOOKUP(Table1[[#This Row],[Resource]], 'SI - Payload'!$A$10:$A$40,'SI - Payload'!$B$10:$B$40,"",0), "")</f>
        <v/>
      </c>
      <c r="M32" s="6" t="str">
        <f>IF(Table1[[#This Row],[Category]]="Transportation", "ton", "")</f>
        <v/>
      </c>
      <c r="N32" s="6"/>
      <c r="O32" s="6"/>
      <c r="P32" s="6" t="str">
        <f>IF(OR(Table1[[#This Row],[Type]]="Main Product", Table1[[#This Row],[Type]]="Co-Product"), Table1[[#This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IF(Table1[[#This Row],[Type]]="Co-product", "No", "")</f>
        <v/>
      </c>
      <c r="J33" s="25"/>
      <c r="K33" s="6"/>
      <c r="L33" s="6" t="str">
        <f>IF(Table1[[#This Row],[Category]]="Transportation", _xlfn.XLOOKUP(Table1[[#This Row],[Resource]], 'SI - Payload'!$A$10:$A$40,'SI - Payload'!$B$10:$B$40,"",0), "")</f>
        <v/>
      </c>
      <c r="M33" s="6" t="str">
        <f>IF(Table1[[#This Row],[Category]]="Transportation", "ton", "")</f>
        <v/>
      </c>
      <c r="N33" s="6"/>
      <c r="O33" s="6"/>
      <c r="P33" s="6" t="str">
        <f>IF(OR(Table1[[#This Row],[Type]]="Main Product", Table1[[#This Row],[Type]]="Co-Product"), Table1[[#This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IF(Table1[[#This Row],[Type]]="Co-product", "No", "")</f>
        <v/>
      </c>
      <c r="J34" s="25"/>
      <c r="K34" s="6"/>
      <c r="L34" s="6" t="str">
        <f>IF(Table1[[#This Row],[Category]]="Transportation", _xlfn.XLOOKUP(Table1[[#This Row],[Resource]], 'SI - Payload'!$A$10:$A$40,'SI - Payload'!$B$10:$B$40,"",0), "")</f>
        <v/>
      </c>
      <c r="M34" s="6" t="str">
        <f>IF(Table1[[#This Row],[Category]]="Transportation", "ton", "")</f>
        <v/>
      </c>
      <c r="N34" s="6"/>
      <c r="O34" s="6"/>
      <c r="P34" s="6" t="str">
        <f>IF(OR(Table1[[#This Row],[Type]]="Main Product", Table1[[#This Row],[Type]]="Co-Product"), Table1[[#This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IF(Table1[[#This Row],[Type]]="Co-product", "No", "")</f>
        <v/>
      </c>
      <c r="J35" s="25"/>
      <c r="K35" s="6"/>
      <c r="L35" s="6" t="str">
        <f>IF(Table1[[#This Row],[Category]]="Transportation", _xlfn.XLOOKUP(Table1[[#This Row],[Resource]], 'SI - Payload'!$A$10:$A$40,'SI - Payload'!$B$10:$B$40,"",0), "")</f>
        <v/>
      </c>
      <c r="M35" s="6" t="str">
        <f>IF(Table1[[#This Row],[Category]]="Transportation", "ton", "")</f>
        <v/>
      </c>
      <c r="N35" s="6"/>
      <c r="O35" s="6"/>
      <c r="P35" s="6" t="str">
        <f>IF(OR(Table1[[#This Row],[Type]]="Main Product", Table1[[#This Row],[Type]]="Co-Product"), Table1[[#This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IF(Table1[[#This Row],[Type]]="Co-product", "No", "")</f>
        <v/>
      </c>
      <c r="J36" s="25"/>
      <c r="K36" s="6"/>
      <c r="L36" s="6" t="str">
        <f>IF(Table1[[#This Row],[Category]]="Transportation", _xlfn.XLOOKUP(Table1[[#This Row],[Resource]], 'SI - Payload'!$A$10:$A$40,'SI - Payload'!$B$10:$B$40,"",0), "")</f>
        <v/>
      </c>
      <c r="M36" s="6" t="str">
        <f>IF(Table1[[#This Row],[Category]]="Transportation", "ton", "")</f>
        <v/>
      </c>
      <c r="N36" s="6"/>
      <c r="O36" s="6"/>
      <c r="P36" s="6" t="str">
        <f>IF(OR(Table1[[#This Row],[Type]]="Main Product", Table1[[#This Row],[Type]]="Co-Product"), Table1[[#This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IF(Table1[[#This Row],[Type]]="Co-product", "No", "")</f>
        <v/>
      </c>
      <c r="J37" s="25"/>
      <c r="K37" s="6"/>
      <c r="L37" s="6" t="str">
        <f>IF(Table1[[#This Row],[Category]]="Transportation", _xlfn.XLOOKUP(Table1[[#This Row],[Resource]], 'SI - Payload'!$A$10:$A$40,'SI - Payload'!$B$10:$B$40,"",0), "")</f>
        <v/>
      </c>
      <c r="M37" s="6" t="str">
        <f>IF(Table1[[#This Row],[Category]]="Transportation", "ton", "")</f>
        <v/>
      </c>
      <c r="N37" s="6"/>
      <c r="O37" s="6"/>
      <c r="P37" s="6" t="str">
        <f>IF(OR(Table1[[#This Row],[Type]]="Main Product", Table1[[#This Row],[Type]]="Co-Product"), Table1[[#This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IF(Table1[[#This Row],[Type]]="Co-product", "No", "")</f>
        <v/>
      </c>
      <c r="J38" s="25"/>
      <c r="K38" s="6"/>
      <c r="L38" s="6" t="str">
        <f>IF(Table1[[#This Row],[Category]]="Transportation", _xlfn.XLOOKUP(Table1[[#This Row],[Resource]], 'SI - Payload'!$A$10:$A$40,'SI - Payload'!$B$10:$B$40,"",0), "")</f>
        <v/>
      </c>
      <c r="M38" s="6" t="str">
        <f>IF(Table1[[#This Row],[Category]]="Transportation", "ton", "")</f>
        <v/>
      </c>
      <c r="N38" s="6"/>
      <c r="O38" s="6"/>
      <c r="P38" s="6" t="str">
        <f>IF(OR(Table1[[#This Row],[Type]]="Main Product", Table1[[#This Row],[Type]]="Co-Product"), Table1[[#This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IF(Table1[[#This Row],[Type]]="Co-product", "No", "")</f>
        <v/>
      </c>
      <c r="J39" s="25"/>
      <c r="K39" s="6"/>
      <c r="L39" s="6" t="str">
        <f>IF(Table1[[#This Row],[Category]]="Transportation", _xlfn.XLOOKUP(Table1[[#This Row],[Resource]], 'SI - Payload'!$A$10:$A$40,'SI - Payload'!$B$10:$B$40,"",0), "")</f>
        <v/>
      </c>
      <c r="M39" s="6" t="str">
        <f>IF(Table1[[#This Row],[Category]]="Transportation", "ton", "")</f>
        <v/>
      </c>
      <c r="N39" s="6"/>
      <c r="O39" s="6"/>
      <c r="P39" s="6" t="str">
        <f>IF(OR(Table1[[#This Row],[Type]]="Main Product", Table1[[#This Row],[Type]]="Co-Product"), Table1[[#This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IF(Table1[[#This Row],[Type]]="Co-product", "No", "")</f>
        <v/>
      </c>
      <c r="J40" s="25"/>
      <c r="K40" s="6"/>
      <c r="L40" s="6" t="str">
        <f>IF(Table1[[#This Row],[Category]]="Transportation", _xlfn.XLOOKUP(Table1[[#This Row],[Resource]], 'SI - Payload'!$A$10:$A$40,'SI - Payload'!$B$10:$B$40,"",0), "")</f>
        <v/>
      </c>
      <c r="M40" s="6" t="str">
        <f>IF(Table1[[#This Row],[Category]]="Transportation", "ton", "")</f>
        <v/>
      </c>
      <c r="N40" s="6"/>
      <c r="O40" s="6"/>
      <c r="P40" s="6" t="str">
        <f>IF(OR(Table1[[#This Row],[Type]]="Main Product", Table1[[#This Row],[Type]]="Co-Product"), Table1[[#This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IF(Table1[[#This Row],[Type]]="Co-product", "No", "")</f>
        <v/>
      </c>
      <c r="J41" s="25"/>
      <c r="K41" s="6"/>
      <c r="L41" s="6" t="str">
        <f>IF(Table1[[#This Row],[Category]]="Transportation", _xlfn.XLOOKUP(Table1[[#This Row],[Resource]], 'SI - Payload'!$A$10:$A$40,'SI - Payload'!$B$10:$B$40,"",0), "")</f>
        <v/>
      </c>
      <c r="M41" s="6" t="str">
        <f>IF(Table1[[#This Row],[Category]]="Transportation", "ton", "")</f>
        <v/>
      </c>
      <c r="N41" s="6"/>
      <c r="O41" s="6"/>
      <c r="P41" s="6" t="str">
        <f>IF(OR(Table1[[#This Row],[Type]]="Main Product", Table1[[#This Row],[Type]]="Co-Product"), Table1[[#This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IF(Table1[[#This Row],[Type]]="Co-product", "No", "")</f>
        <v/>
      </c>
      <c r="J42" s="25"/>
      <c r="K42" s="6"/>
      <c r="L42" s="6" t="str">
        <f>IF(Table1[[#This Row],[Category]]="Transportation", _xlfn.XLOOKUP(Table1[[#This Row],[Resource]], 'SI - Payload'!$A$10:$A$40,'SI - Payload'!$B$10:$B$40,"",0), "")</f>
        <v/>
      </c>
      <c r="M42" s="6" t="str">
        <f>IF(Table1[[#This Row],[Category]]="Transportation", "ton", "")</f>
        <v/>
      </c>
      <c r="N42" s="6"/>
      <c r="O42" s="6"/>
      <c r="P42" s="6" t="str">
        <f>IF(OR(Table1[[#This Row],[Type]]="Main Product", Table1[[#This Row],[Type]]="Co-Product"), Table1[[#This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IF(Table1[[#This Row],[Type]]="Co-product", "No", "")</f>
        <v/>
      </c>
      <c r="J43" s="25"/>
      <c r="K43" s="6"/>
      <c r="L43" s="6" t="str">
        <f>IF(Table1[[#This Row],[Category]]="Transportation", _xlfn.XLOOKUP(Table1[[#This Row],[Resource]], 'SI - Payload'!$A$10:$A$40,'SI - Payload'!$B$10:$B$40,"",0), "")</f>
        <v/>
      </c>
      <c r="M43" s="6" t="str">
        <f>IF(Table1[[#This Row],[Category]]="Transportation", "ton", "")</f>
        <v/>
      </c>
      <c r="N43" s="6"/>
      <c r="O43" s="6"/>
      <c r="P43" s="6" t="str">
        <f>IF(OR(Table1[[#This Row],[Type]]="Main Product", Table1[[#This Row],[Type]]="Co-Product"), Table1[[#This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IF(Table1[[#This Row],[Type]]="Co-product", "No", "")</f>
        <v/>
      </c>
      <c r="J44" s="25"/>
      <c r="K44" s="6"/>
      <c r="L44" s="6" t="str">
        <f>IF(Table1[[#This Row],[Category]]="Transportation", _xlfn.XLOOKUP(Table1[[#This Row],[Resource]], 'SI - Payload'!$A$10:$A$40,'SI - Payload'!$B$10:$B$40,"",0), "")</f>
        <v/>
      </c>
      <c r="M44" s="6" t="str">
        <f>IF(Table1[[#This Row],[Category]]="Transportation", "ton", "")</f>
        <v/>
      </c>
      <c r="N44" s="6"/>
      <c r="O44" s="6"/>
      <c r="P44" s="6" t="str">
        <f>IF(OR(Table1[[#This Row],[Type]]="Main Product", Table1[[#This Row],[Type]]="Co-Product"), Table1[[#This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IF(Table1[[#This Row],[Type]]="Co-product", "No", "")</f>
        <v/>
      </c>
      <c r="J45" s="25"/>
      <c r="K45" s="6"/>
      <c r="L45" s="6" t="str">
        <f>IF(Table1[[#This Row],[Category]]="Transportation", _xlfn.XLOOKUP(Table1[[#This Row],[Resource]], 'SI - Payload'!$A$10:$A$40,'SI - Payload'!$B$10:$B$40,"",0), "")</f>
        <v/>
      </c>
      <c r="M45" s="6" t="str">
        <f>IF(Table1[[#This Row],[Category]]="Transportation", "ton", "")</f>
        <v/>
      </c>
      <c r="N45" s="6"/>
      <c r="O45" s="6"/>
      <c r="P45" s="6" t="str">
        <f>IF(OR(Table1[[#This Row],[Type]]="Main Product", Table1[[#This Row],[Type]]="Co-Product"), Table1[[#This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IF(Table1[[#This Row],[Type]]="Co-product", "No", "")</f>
        <v/>
      </c>
      <c r="J46" s="25"/>
      <c r="K46" s="6"/>
      <c r="L46" s="6" t="str">
        <f>IF(Table1[[#This Row],[Category]]="Transportation", _xlfn.XLOOKUP(Table1[[#This Row],[Resource]], 'SI - Payload'!$A$10:$A$40,'SI - Payload'!$B$10:$B$40,"",0), "")</f>
        <v/>
      </c>
      <c r="M46" s="6" t="str">
        <f>IF(Table1[[#This Row],[Category]]="Transportation", "ton", "")</f>
        <v/>
      </c>
      <c r="N46" s="6"/>
      <c r="O46" s="6"/>
      <c r="P46" s="6" t="str">
        <f>IF(OR(Table1[[#This Row],[Type]]="Main Product", Table1[[#This Row],[Type]]="Co-Product"), Table1[[#This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IF(Table1[[#This Row],[Type]]="Co-product", "No", "")</f>
        <v/>
      </c>
      <c r="J47" s="25"/>
      <c r="K47" s="6"/>
      <c r="L47" s="6" t="str">
        <f>IF(Table1[[#This Row],[Category]]="Transportation", _xlfn.XLOOKUP(Table1[[#This Row],[Resource]], 'SI - Payload'!$A$10:$A$40,'SI - Payload'!$B$10:$B$40,"",0), "")</f>
        <v/>
      </c>
      <c r="M47" s="6" t="str">
        <f>IF(Table1[[#This Row],[Category]]="Transportation", "ton", "")</f>
        <v/>
      </c>
      <c r="N47" s="6"/>
      <c r="O47" s="6"/>
      <c r="P47" s="6" t="str">
        <f>IF(OR(Table1[[#This Row],[Type]]="Main Product", Table1[[#This Row],[Type]]="Co-Product"), Table1[[#This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IF(Table1[[#This Row],[Type]]="Co-product", "No", "")</f>
        <v/>
      </c>
      <c r="J48" s="25"/>
      <c r="K48" s="6"/>
      <c r="L48" s="6" t="str">
        <f>IF(Table1[[#This Row],[Category]]="Transportation", _xlfn.XLOOKUP(Table1[[#This Row],[Resource]], 'SI - Payload'!$A$10:$A$40,'SI - Payload'!$B$10:$B$40,"",0), "")</f>
        <v/>
      </c>
      <c r="M48" s="6" t="str">
        <f>IF(Table1[[#This Row],[Category]]="Transportation", "ton", "")</f>
        <v/>
      </c>
      <c r="N48" s="6"/>
      <c r="O48" s="6"/>
      <c r="P48" s="6" t="str">
        <f>IF(OR(Table1[[#This Row],[Type]]="Main Product", Table1[[#This Row],[Type]]="Co-Product"), Table1[[#This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IF(Table1[[#This Row],[Type]]="Co-product", "No", "")</f>
        <v/>
      </c>
      <c r="J49" s="25"/>
      <c r="K49" s="6"/>
      <c r="L49" s="6" t="str">
        <f>IF(Table1[[#This Row],[Category]]="Transportation", _xlfn.XLOOKUP(Table1[[#This Row],[Resource]], 'SI - Payload'!$A$10:$A$40,'SI - Payload'!$B$10:$B$40,"",0), "")</f>
        <v/>
      </c>
      <c r="M49" s="6" t="str">
        <f>IF(Table1[[#This Row],[Category]]="Transportation", "ton", "")</f>
        <v/>
      </c>
      <c r="N49" s="6"/>
      <c r="O49" s="6"/>
      <c r="P49" s="6" t="str">
        <f>IF(OR(Table1[[#This Row],[Type]]="Main Product", Table1[[#This Row],[Type]]="Co-Product"), Table1[[#This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IF(Table1[[#This Row],[Type]]="Co-product", "No", "")</f>
        <v/>
      </c>
      <c r="J50" s="25"/>
      <c r="K50" s="6"/>
      <c r="L50" s="6" t="str">
        <f>IF(Table1[[#This Row],[Category]]="Transportation", _xlfn.XLOOKUP(Table1[[#This Row],[Resource]], 'SI - Payload'!$A$10:$A$40,'SI - Payload'!$B$10:$B$40,"",0), "")</f>
        <v/>
      </c>
      <c r="M50" s="6" t="str">
        <f>IF(Table1[[#This Row],[Category]]="Transportation", "ton", "")</f>
        <v/>
      </c>
      <c r="N50" s="6"/>
      <c r="O50" s="6"/>
      <c r="P50" s="6" t="str">
        <f>IF(OR(Table1[[#This Row],[Type]]="Main Product", Table1[[#This Row],[Type]]="Co-Product"), Table1[[#This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IF(Table1[[#This Row],[Type]]="Co-product", "No", "")</f>
        <v/>
      </c>
      <c r="J51" s="25"/>
      <c r="K51" s="6"/>
      <c r="L51" s="6" t="str">
        <f>IF(Table1[[#This Row],[Category]]="Transportation", _xlfn.XLOOKUP(Table1[[#This Row],[Resource]], 'SI - Payload'!$A$10:$A$40,'SI - Payload'!$B$10:$B$40,"",0), "")</f>
        <v/>
      </c>
      <c r="M51" s="6" t="str">
        <f>IF(Table1[[#This Row],[Category]]="Transportation", "ton", "")</f>
        <v/>
      </c>
      <c r="N51" s="6"/>
      <c r="O51" s="6"/>
      <c r="P51" s="6" t="str">
        <f>IF(OR(Table1[[#This Row],[Type]]="Main Product", Table1[[#This Row],[Type]]="Co-Product"), Table1[[#This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IF(Table1[[#This Row],[Type]]="Co-product", "No", "")</f>
        <v/>
      </c>
      <c r="J52" s="25"/>
      <c r="K52" s="6"/>
      <c r="L52" s="6" t="str">
        <f>IF(Table1[[#This Row],[Category]]="Transportation", _xlfn.XLOOKUP(Table1[[#This Row],[Resource]], 'SI - Payload'!$A$10:$A$40,'SI - Payload'!$B$10:$B$40,"",0), "")</f>
        <v/>
      </c>
      <c r="M52" s="6" t="str">
        <f>IF(Table1[[#This Row],[Category]]="Transportation", "ton", "")</f>
        <v/>
      </c>
      <c r="N52" s="6"/>
      <c r="O52" s="6"/>
      <c r="P52" s="6" t="str">
        <f>IF(OR(Table1[[#This Row],[Type]]="Main Product", Table1[[#This Row],[Type]]="Co-Product"), Table1[[#This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IF(Table1[[#This Row],[Type]]="Co-product", "No", "")</f>
        <v/>
      </c>
      <c r="J53" s="25"/>
      <c r="K53" s="6"/>
      <c r="L53" s="6" t="str">
        <f>IF(Table1[[#This Row],[Category]]="Transportation", _xlfn.XLOOKUP(Table1[[#This Row],[Resource]], 'SI - Payload'!$A$10:$A$40,'SI - Payload'!$B$10:$B$40,"",0), "")</f>
        <v/>
      </c>
      <c r="M53" s="6" t="str">
        <f>IF(Table1[[#This Row],[Category]]="Transportation", "ton", "")</f>
        <v/>
      </c>
      <c r="N53" s="6"/>
      <c r="O53" s="6"/>
      <c r="P53" s="6" t="str">
        <f>IF(OR(Table1[[#This Row],[Type]]="Main Product", Table1[[#This Row],[Type]]="Co-Product"), Table1[[#This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IF(Table1[[#This Row],[Type]]="Co-product", "No", "")</f>
        <v/>
      </c>
      <c r="J54" s="25"/>
      <c r="K54" s="6"/>
      <c r="L54" s="6" t="str">
        <f>IF(Table1[[#This Row],[Category]]="Transportation", _xlfn.XLOOKUP(Table1[[#This Row],[Resource]], 'SI - Payload'!$A$10:$A$40,'SI - Payload'!$B$10:$B$40,"",0), "")</f>
        <v/>
      </c>
      <c r="M54" s="6" t="str">
        <f>IF(Table1[[#This Row],[Category]]="Transportation", "ton", "")</f>
        <v/>
      </c>
      <c r="N54" s="6"/>
      <c r="O54" s="6"/>
      <c r="P54" s="6" t="str">
        <f>IF(OR(Table1[[#This Row],[Type]]="Main Product", Table1[[#This Row],[Type]]="Co-Product"), Table1[[#This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IF(Table1[[#This Row],[Type]]="Co-product", "No", "")</f>
        <v/>
      </c>
      <c r="J55" s="25"/>
      <c r="K55" s="6"/>
      <c r="L55" s="6" t="str">
        <f>IF(Table1[[#This Row],[Category]]="Transportation", _xlfn.XLOOKUP(Table1[[#This Row],[Resource]], 'SI - Payload'!$A$10:$A$40,'SI - Payload'!$B$10:$B$40,"",0), "")</f>
        <v/>
      </c>
      <c r="M55" s="6" t="str">
        <f>IF(Table1[[#This Row],[Category]]="Transportation", "ton", "")</f>
        <v/>
      </c>
      <c r="N55" s="6"/>
      <c r="O55" s="6"/>
      <c r="P55" s="6" t="str">
        <f>IF(OR(Table1[[#This Row],[Type]]="Main Product", Table1[[#This Row],[Type]]="Co-Product"), Table1[[#This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IF(Table1[[#This Row],[Type]]="Co-product", "No", "")</f>
        <v/>
      </c>
      <c r="J56" s="25"/>
      <c r="K56" s="6"/>
      <c r="L56" s="6" t="str">
        <f>IF(Table1[[#This Row],[Category]]="Transportation", _xlfn.XLOOKUP(Table1[[#This Row],[Resource]], 'SI - Payload'!$A$10:$A$40,'SI - Payload'!$B$10:$B$40,"",0), "")</f>
        <v/>
      </c>
      <c r="M56" s="6" t="str">
        <f>IF(Table1[[#This Row],[Category]]="Transportation", "ton", "")</f>
        <v/>
      </c>
      <c r="N56" s="6"/>
      <c r="O56" s="6"/>
      <c r="P56" s="6" t="str">
        <f>IF(OR(Table1[[#This Row],[Type]]="Main Product", Table1[[#This Row],[Type]]="Co-Product"), Table1[[#This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IF(Table1[[#This Row],[Type]]="Co-product", "No", "")</f>
        <v/>
      </c>
      <c r="J57" s="25"/>
      <c r="K57" s="6"/>
      <c r="L57" s="6" t="str">
        <f>IF(Table1[[#This Row],[Category]]="Transportation", _xlfn.XLOOKUP(Table1[[#This Row],[Resource]], 'SI - Payload'!$A$10:$A$40,'SI - Payload'!$B$10:$B$40,"",0), "")</f>
        <v/>
      </c>
      <c r="M57" s="6" t="str">
        <f>IF(Table1[[#This Row],[Category]]="Transportation", "ton", "")</f>
        <v/>
      </c>
      <c r="N57" s="6"/>
      <c r="O57" s="6"/>
      <c r="P57" s="6" t="str">
        <f>IF(OR(Table1[[#This Row],[Type]]="Main Product", Table1[[#This Row],[Type]]="Co-Product"), Table1[[#This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IF(Table1[[#This Row],[Type]]="Co-product", "No", "")</f>
        <v/>
      </c>
      <c r="J58" s="25"/>
      <c r="K58" s="6"/>
      <c r="L58" s="6" t="str">
        <f>IF(Table1[[#This Row],[Category]]="Transportation", _xlfn.XLOOKUP(Table1[[#This Row],[Resource]], 'SI - Payload'!$A$10:$A$40,'SI - Payload'!$B$10:$B$40,"",0), "")</f>
        <v/>
      </c>
      <c r="M58" s="6" t="str">
        <f>IF(Table1[[#This Row],[Category]]="Transportation", "ton", "")</f>
        <v/>
      </c>
      <c r="N58" s="6"/>
      <c r="O58" s="6"/>
      <c r="P58" s="6" t="str">
        <f>IF(OR(Table1[[#This Row],[Type]]="Main Product", Table1[[#This Row],[Type]]="Co-Product"), Table1[[#This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IF(Table1[[#This Row],[Type]]="Co-product", "No", "")</f>
        <v/>
      </c>
      <c r="J59" s="25"/>
      <c r="K59" s="6"/>
      <c r="L59" s="6" t="str">
        <f>IF(Table1[[#This Row],[Category]]="Transportation", _xlfn.XLOOKUP(Table1[[#This Row],[Resource]], 'SI - Payload'!$A$10:$A$40,'SI - Payload'!$B$10:$B$40,"",0), "")</f>
        <v/>
      </c>
      <c r="M59" s="6" t="str">
        <f>IF(Table1[[#This Row],[Category]]="Transportation", "ton", "")</f>
        <v/>
      </c>
      <c r="N59" s="6"/>
      <c r="O59" s="6"/>
      <c r="P59" s="6" t="str">
        <f>IF(OR(Table1[[#This Row],[Type]]="Main Product", Table1[[#This Row],[Type]]="Co-Product"), Table1[[#This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IF(Table1[[#This Row],[Type]]="Co-product", "No", "")</f>
        <v/>
      </c>
      <c r="J60" s="25"/>
      <c r="K60" s="6"/>
      <c r="L60" s="6" t="str">
        <f>IF(Table1[[#This Row],[Category]]="Transportation", _xlfn.XLOOKUP(Table1[[#This Row],[Resource]], 'SI - Payload'!$A$10:$A$40,'SI - Payload'!$B$10:$B$40,"",0), "")</f>
        <v/>
      </c>
      <c r="M60" s="6" t="str">
        <f>IF(Table1[[#This Row],[Category]]="Transportation", "ton", "")</f>
        <v/>
      </c>
      <c r="N60" s="6"/>
      <c r="O60" s="6"/>
      <c r="P60" s="6" t="str">
        <f>IF(OR(Table1[[#This Row],[Type]]="Main Product", Table1[[#This Row],[Type]]="Co-Product"), Table1[[#This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IF(Table1[[#This Row],[Type]]="Co-product", "No", "")</f>
        <v/>
      </c>
      <c r="J61" s="25"/>
      <c r="K61" s="6"/>
      <c r="L61" s="6" t="str">
        <f>IF(Table1[[#This Row],[Category]]="Transportation", _xlfn.XLOOKUP(Table1[[#This Row],[Resource]], 'SI - Payload'!$A$10:$A$40,'SI - Payload'!$B$10:$B$40,"",0), "")</f>
        <v/>
      </c>
      <c r="M61" s="6" t="str">
        <f>IF(Table1[[#This Row],[Category]]="Transportation", "ton", "")</f>
        <v/>
      </c>
      <c r="N61" s="6"/>
      <c r="O61" s="6"/>
      <c r="P61" s="6" t="str">
        <f>IF(OR(Table1[[#This Row],[Type]]="Main Product", Table1[[#This Row],[Type]]="Co-Product"), Table1[[#This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IF(Table1[[#This Row],[Type]]="Co-product", "No", "")</f>
        <v/>
      </c>
      <c r="J62" s="25"/>
      <c r="K62" s="6"/>
      <c r="L62" s="6" t="str">
        <f>IF(Table1[[#This Row],[Category]]="Transportation", _xlfn.XLOOKUP(Table1[[#This Row],[Resource]], 'SI - Payload'!$A$10:$A$40,'SI - Payload'!$B$10:$B$40,"",0), "")</f>
        <v/>
      </c>
      <c r="M62" s="6" t="str">
        <f>IF(Table1[[#This Row],[Category]]="Transportation", "ton", "")</f>
        <v/>
      </c>
      <c r="N62" s="6"/>
      <c r="O62" s="6"/>
      <c r="P62" s="6" t="str">
        <f>IF(OR(Table1[[#This Row],[Type]]="Main Product", Table1[[#This Row],[Type]]="Co-Product"), Table1[[#This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IF(Table1[[#This Row],[Type]]="Co-product", "No", "")</f>
        <v/>
      </c>
      <c r="J63" s="25"/>
      <c r="K63" s="6"/>
      <c r="L63" s="6" t="str">
        <f>IF(Table1[[#This Row],[Category]]="Transportation", _xlfn.XLOOKUP(Table1[[#This Row],[Resource]], 'SI - Payload'!$A$10:$A$40,'SI - Payload'!$B$10:$B$40,"",0), "")</f>
        <v/>
      </c>
      <c r="M63" s="6" t="str">
        <f>IF(Table1[[#This Row],[Category]]="Transportation", "ton", "")</f>
        <v/>
      </c>
      <c r="N63" s="6"/>
      <c r="O63" s="6"/>
      <c r="P63" s="6" t="str">
        <f>IF(OR(Table1[[#This Row],[Type]]="Main Product", Table1[[#This Row],[Type]]="Co-Product"), Table1[[#This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IF(Table1[[#This Row],[Type]]="Co-product", "No", "")</f>
        <v/>
      </c>
      <c r="J64" s="25"/>
      <c r="K64" s="6"/>
      <c r="L64" s="6" t="str">
        <f>IF(Table1[[#This Row],[Category]]="Transportation", _xlfn.XLOOKUP(Table1[[#This Row],[Resource]], 'SI - Payload'!$A$10:$A$40,'SI - Payload'!$B$10:$B$40,"",0), "")</f>
        <v/>
      </c>
      <c r="M64" s="6" t="str">
        <f>IF(Table1[[#This Row],[Category]]="Transportation", "ton", "")</f>
        <v/>
      </c>
      <c r="N64" s="6"/>
      <c r="O64" s="6"/>
      <c r="P64" s="6" t="str">
        <f>IF(OR(Table1[[#This Row],[Type]]="Main Product", Table1[[#This Row],[Type]]="Co-Product"), Table1[[#This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IF(Table1[[#This Row],[Type]]="Co-product", "No", "")</f>
        <v/>
      </c>
      <c r="J65" s="25"/>
      <c r="K65" s="6"/>
      <c r="L65" s="6" t="str">
        <f>IF(Table1[[#This Row],[Category]]="Transportation", _xlfn.XLOOKUP(Table1[[#This Row],[Resource]], 'SI - Payload'!$A$10:$A$40,'SI - Payload'!$B$10:$B$40,"",0), "")</f>
        <v/>
      </c>
      <c r="M65" s="6" t="str">
        <f>IF(Table1[[#This Row],[Category]]="Transportation", "ton", "")</f>
        <v/>
      </c>
      <c r="N65" s="6"/>
      <c r="O65" s="6"/>
      <c r="P65" s="6" t="str">
        <f>IF(OR(Table1[[#This Row],[Type]]="Main Product", Table1[[#This Row],[Type]]="Co-Product"), Table1[[#This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IF(Table1[[#This Row],[Type]]="Co-product", "No", "")</f>
        <v/>
      </c>
      <c r="J66" s="25"/>
      <c r="K66" s="6"/>
      <c r="L66" s="6" t="str">
        <f>IF(Table1[[#This Row],[Category]]="Transportation", _xlfn.XLOOKUP(Table1[[#This Row],[Resource]], 'SI - Payload'!$A$10:$A$40,'SI - Payload'!$B$10:$B$40,"",0), "")</f>
        <v/>
      </c>
      <c r="M66" s="6" t="str">
        <f>IF(Table1[[#This Row],[Category]]="Transportation", "ton", "")</f>
        <v/>
      </c>
      <c r="N66" s="6"/>
      <c r="O66" s="6"/>
      <c r="P66" s="6" t="str">
        <f>IF(OR(Table1[[#This Row],[Type]]="Main Product", Table1[[#This Row],[Type]]="Co-Product"), Table1[[#This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IF(Table1[[#This Row],[Type]]="Co-product", "No", "")</f>
        <v/>
      </c>
      <c r="J67" s="25"/>
      <c r="K67" s="6"/>
      <c r="L67" s="6" t="str">
        <f>IF(Table1[[#This Row],[Category]]="Transportation", _xlfn.XLOOKUP(Table1[[#This Row],[Resource]], 'SI - Payload'!$A$10:$A$40,'SI - Payload'!$B$10:$B$40,"",0), "")</f>
        <v/>
      </c>
      <c r="M67" s="6" t="str">
        <f>IF(Table1[[#This Row],[Category]]="Transportation", "ton", "")</f>
        <v/>
      </c>
      <c r="N67" s="6"/>
      <c r="O67" s="6"/>
      <c r="P67" s="6" t="str">
        <f>IF(OR(Table1[[#This Row],[Type]]="Main Product", Table1[[#This Row],[Type]]="Co-Product"), Table1[[#This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IF(Table1[[#This Row],[Type]]="Co-product", "No", "")</f>
        <v/>
      </c>
      <c r="J68" s="25"/>
      <c r="K68" s="6"/>
      <c r="L68" s="6" t="str">
        <f>IF(Table1[[#This Row],[Category]]="Transportation", _xlfn.XLOOKUP(Table1[[#This Row],[Resource]], 'SI - Payload'!$A$10:$A$40,'SI - Payload'!$B$10:$B$40,"",0), "")</f>
        <v/>
      </c>
      <c r="M68" s="6" t="str">
        <f>IF(Table1[[#This Row],[Category]]="Transportation", "ton", "")</f>
        <v/>
      </c>
      <c r="N68" s="6"/>
      <c r="O68" s="6"/>
      <c r="P68" s="6" t="str">
        <f>IF(OR(Table1[[#This Row],[Type]]="Main Product", Table1[[#This Row],[Type]]="Co-Product"), Table1[[#This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IF(Table1[[#This Row],[Type]]="Co-product", "No", "")</f>
        <v/>
      </c>
      <c r="J69" s="25"/>
      <c r="K69" s="6"/>
      <c r="L69" s="6" t="str">
        <f>IF(Table1[[#This Row],[Category]]="Transportation", _xlfn.XLOOKUP(Table1[[#This Row],[Resource]], 'SI - Payload'!$A$10:$A$40,'SI - Payload'!$B$10:$B$40,"",0), "")</f>
        <v/>
      </c>
      <c r="M69" s="6" t="str">
        <f>IF(Table1[[#This Row],[Category]]="Transportation", "ton", "")</f>
        <v/>
      </c>
      <c r="N69" s="6"/>
      <c r="O69" s="6"/>
      <c r="P69" s="6" t="str">
        <f>IF(OR(Table1[[#This Row],[Type]]="Main Product", Table1[[#This Row],[Type]]="Co-Product"), Table1[[#This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IF(Table1[[#This Row],[Type]]="Co-product", "No", "")</f>
        <v/>
      </c>
      <c r="J70" s="25"/>
      <c r="K70" s="6"/>
      <c r="L70" s="6" t="str">
        <f>IF(Table1[[#This Row],[Category]]="Transportation", _xlfn.XLOOKUP(Table1[[#This Row],[Resource]], 'SI - Payload'!$A$10:$A$40,'SI - Payload'!$B$10:$B$40,"",0), "")</f>
        <v/>
      </c>
      <c r="M70" s="6" t="str">
        <f>IF(Table1[[#This Row],[Category]]="Transportation", "ton", "")</f>
        <v/>
      </c>
      <c r="N70" s="6"/>
      <c r="O70" s="6"/>
      <c r="P70" s="6" t="str">
        <f>IF(OR(Table1[[#This Row],[Type]]="Main Product", Table1[[#This Row],[Type]]="Co-Product"), Table1[[#This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IF(Table1[[#This Row],[Type]]="Co-product", "No", "")</f>
        <v/>
      </c>
      <c r="J71" s="25"/>
      <c r="K71" s="6"/>
      <c r="L71" s="6" t="str">
        <f>IF(Table1[[#This Row],[Category]]="Transportation", _xlfn.XLOOKUP(Table1[[#This Row],[Resource]], 'SI - Payload'!$A$10:$A$40,'SI - Payload'!$B$10:$B$40,"",0), "")</f>
        <v/>
      </c>
      <c r="M71" s="6" t="str">
        <f>IF(Table1[[#This Row],[Category]]="Transportation", "ton", "")</f>
        <v/>
      </c>
      <c r="N71" s="6"/>
      <c r="O71" s="6"/>
      <c r="P71" s="6" t="str">
        <f>IF(OR(Table1[[#This Row],[Type]]="Main Product", Table1[[#This Row],[Type]]="Co-Product"), Table1[[#This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IF(Table1[[#This Row],[Type]]="Co-product", "No", "")</f>
        <v/>
      </c>
      <c r="J72" s="25"/>
      <c r="K72" s="6"/>
      <c r="L72" s="6" t="str">
        <f>IF(Table1[[#This Row],[Category]]="Transportation", _xlfn.XLOOKUP(Table1[[#This Row],[Resource]], 'SI - Payload'!$A$10:$A$40,'SI - Payload'!$B$10:$B$40,"",0), "")</f>
        <v/>
      </c>
      <c r="M72" s="6" t="str">
        <f>IF(Table1[[#This Row],[Category]]="Transportation", "ton", "")</f>
        <v/>
      </c>
      <c r="N72" s="6"/>
      <c r="O72" s="6"/>
      <c r="P72" s="6" t="str">
        <f>IF(OR(Table1[[#This Row],[Type]]="Main Product", Table1[[#This Row],[Type]]="Co-Product"), Table1[[#This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IF(Table1[[#This Row],[Type]]="Co-product", "No", "")</f>
        <v/>
      </c>
      <c r="J73" s="25"/>
      <c r="K73" s="6"/>
      <c r="L73" s="6" t="str">
        <f>IF(Table1[[#This Row],[Category]]="Transportation", _xlfn.XLOOKUP(Table1[[#This Row],[Resource]], 'SI - Payload'!$A$10:$A$40,'SI - Payload'!$B$10:$B$40,"",0), "")</f>
        <v/>
      </c>
      <c r="M73" s="6" t="str">
        <f>IF(Table1[[#This Row],[Category]]="Transportation", "ton", "")</f>
        <v/>
      </c>
      <c r="N73" s="6"/>
      <c r="O73" s="6"/>
      <c r="P73" s="6" t="str">
        <f>IF(OR(Table1[[#This Row],[Type]]="Main Product", Table1[[#This Row],[Type]]="Co-Product"), Table1[[#This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IF(Table1[[#This Row],[Type]]="Co-product", "No", "")</f>
        <v/>
      </c>
      <c r="J74" s="25"/>
      <c r="K74" s="6"/>
      <c r="L74" s="6" t="str">
        <f>IF(Table1[[#This Row],[Category]]="Transportation", _xlfn.XLOOKUP(Table1[[#This Row],[Resource]], 'SI - Payload'!$A$10:$A$40,'SI - Payload'!$B$10:$B$40,"",0), "")</f>
        <v/>
      </c>
      <c r="M74" s="6" t="str">
        <f>IF(Table1[[#This Row],[Category]]="Transportation", "ton", "")</f>
        <v/>
      </c>
      <c r="N74" s="6"/>
      <c r="O74" s="6"/>
      <c r="P74" s="6" t="str">
        <f>IF(OR(Table1[[#This Row],[Type]]="Main Product", Table1[[#This Row],[Type]]="Co-Product"), Table1[[#This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IF(Table1[[#This Row],[Type]]="Co-product", "No", "")</f>
        <v/>
      </c>
      <c r="J75" s="25"/>
      <c r="K75" s="6"/>
      <c r="L75" s="6" t="str">
        <f>IF(Table1[[#This Row],[Category]]="Transportation", _xlfn.XLOOKUP(Table1[[#This Row],[Resource]], 'SI - Payload'!$A$10:$A$40,'SI - Payload'!$B$10:$B$40,"",0), "")</f>
        <v/>
      </c>
      <c r="M75" s="6" t="str">
        <f>IF(Table1[[#This Row],[Category]]="Transportation", "ton", "")</f>
        <v/>
      </c>
      <c r="N75" s="6"/>
      <c r="O75" s="6"/>
      <c r="P75" s="6" t="str">
        <f>IF(OR(Table1[[#This Row],[Type]]="Main Product", Table1[[#This Row],[Type]]="Co-Product"), Table1[[#This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IF(Table1[[#This Row],[Type]]="Co-product", "No", "")</f>
        <v/>
      </c>
      <c r="J76" s="25"/>
      <c r="K76" s="6"/>
      <c r="L76" s="6" t="str">
        <f>IF(Table1[[#This Row],[Category]]="Transportation", _xlfn.XLOOKUP(Table1[[#This Row],[Resource]], 'SI - Payload'!$A$10:$A$40,'SI - Payload'!$B$10:$B$40,"",0), "")</f>
        <v/>
      </c>
      <c r="M76" s="6" t="str">
        <f>IF(Table1[[#This Row],[Category]]="Transportation", "ton", "")</f>
        <v/>
      </c>
      <c r="N76" s="6"/>
      <c r="O76" s="6"/>
      <c r="P76" s="6" t="str">
        <f>IF(OR(Table1[[#This Row],[Type]]="Main Product", Table1[[#This Row],[Type]]="Co-Product"), Table1[[#This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IF(Table1[[#This Row],[Type]]="Co-product", "No", "")</f>
        <v/>
      </c>
      <c r="J77" s="25"/>
      <c r="K77" s="6"/>
      <c r="L77" s="6" t="str">
        <f>IF(Table1[[#This Row],[Category]]="Transportation", _xlfn.XLOOKUP(Table1[[#This Row],[Resource]], 'SI - Payload'!$A$10:$A$40,'SI - Payload'!$B$10:$B$40,"",0), "")</f>
        <v/>
      </c>
      <c r="M77" s="6" t="str">
        <f>IF(Table1[[#This Row],[Category]]="Transportation", "ton", "")</f>
        <v/>
      </c>
      <c r="N77" s="6"/>
      <c r="O77" s="6"/>
      <c r="P77" s="6" t="str">
        <f>IF(OR(Table1[[#This Row],[Type]]="Main Product", Table1[[#This Row],[Type]]="Co-Product"), Table1[[#This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IF(Table1[[#This Row],[Type]]="Co-product", "No", "")</f>
        <v/>
      </c>
      <c r="J78" s="25"/>
      <c r="K78" s="6"/>
      <c r="L78" s="6" t="str">
        <f>IF(Table1[[#This Row],[Category]]="Transportation", _xlfn.XLOOKUP(Table1[[#This Row],[Resource]], 'SI - Payload'!$A$10:$A$40,'SI - Payload'!$B$10:$B$40,"",0), "")</f>
        <v/>
      </c>
      <c r="M78" s="6" t="str">
        <f>IF(Table1[[#This Row],[Category]]="Transportation", "ton", "")</f>
        <v/>
      </c>
      <c r="N78" s="6"/>
      <c r="O78" s="6"/>
      <c r="P78" s="6" t="str">
        <f>IF(OR(Table1[[#This Row],[Type]]="Main Product", Table1[[#This Row],[Type]]="Co-Product"), Table1[[#This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IF(Table1[[#This Row],[Type]]="Co-product", "No", "")</f>
        <v/>
      </c>
      <c r="J79" s="25"/>
      <c r="K79" s="6"/>
      <c r="L79" s="6" t="str">
        <f>IF(Table1[[#This Row],[Category]]="Transportation", _xlfn.XLOOKUP(Table1[[#This Row],[Resource]], 'SI - Payload'!$A$10:$A$40,'SI - Payload'!$B$10:$B$40,"",0), "")</f>
        <v/>
      </c>
      <c r="M79" s="6" t="str">
        <f>IF(Table1[[#This Row],[Category]]="Transportation", "ton", "")</f>
        <v/>
      </c>
      <c r="N79" s="6"/>
      <c r="O79" s="6"/>
      <c r="P79" s="6" t="str">
        <f>IF(OR(Table1[[#This Row],[Type]]="Main Product", Table1[[#This Row],[Type]]="Co-Product"), Table1[[#This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IF(Table1[[#This Row],[Type]]="Co-product", "No", "")</f>
        <v/>
      </c>
      <c r="J80" s="25"/>
      <c r="K80" s="6"/>
      <c r="L80" s="6" t="str">
        <f>IF(Table1[[#This Row],[Category]]="Transportation", _xlfn.XLOOKUP(Table1[[#This Row],[Resource]], 'SI - Payload'!$A$10:$A$40,'SI - Payload'!$B$10:$B$40,"",0), "")</f>
        <v/>
      </c>
      <c r="M80" s="6" t="str">
        <f>IF(Table1[[#This Row],[Category]]="Transportation", "ton", "")</f>
        <v/>
      </c>
      <c r="N80" s="6"/>
      <c r="O80" s="6"/>
      <c r="P80" s="6" t="str">
        <f>IF(OR(Table1[[#This Row],[Type]]="Main Product", Table1[[#This Row],[Type]]="Co-Product"), Table1[[#This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IF(Table1[[#This Row],[Type]]="Co-product", "No", "")</f>
        <v/>
      </c>
      <c r="J81" s="25"/>
      <c r="K81" s="6"/>
      <c r="L81" s="6" t="str">
        <f>IF(Table1[[#This Row],[Category]]="Transportation", _xlfn.XLOOKUP(Table1[[#This Row],[Resource]], 'SI - Payload'!$A$10:$A$40,'SI - Payload'!$B$10:$B$40,"",0), "")</f>
        <v/>
      </c>
      <c r="M81" s="6" t="str">
        <f>IF(Table1[[#This Row],[Category]]="Transportation", "ton", "")</f>
        <v/>
      </c>
      <c r="N81" s="6"/>
      <c r="O81" s="6"/>
      <c r="P81" s="6" t="str">
        <f>IF(OR(Table1[[#This Row],[Type]]="Main Product", Table1[[#This Row],[Type]]="Co-Product"), Table1[[#This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IF(Table1[[#This Row],[Type]]="Co-product", "No", "")</f>
        <v/>
      </c>
      <c r="J82" s="25"/>
      <c r="K82" s="6"/>
      <c r="L82" s="6" t="str">
        <f>IF(Table1[[#This Row],[Category]]="Transportation", _xlfn.XLOOKUP(Table1[[#This Row],[Resource]], 'SI - Payload'!$A$10:$A$40,'SI - Payload'!$B$10:$B$40,"",0), "")</f>
        <v/>
      </c>
      <c r="M82" s="6" t="str">
        <f>IF(Table1[[#This Row],[Category]]="Transportation", "ton", "")</f>
        <v/>
      </c>
      <c r="N82" s="6"/>
      <c r="O82" s="6"/>
      <c r="P82" s="6" t="str">
        <f>IF(OR(Table1[[#This Row],[Type]]="Main Product", Table1[[#This Row],[Type]]="Co-Product"), Table1[[#This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IF(Table1[[#This Row],[Type]]="Co-product", "No", "")</f>
        <v/>
      </c>
      <c r="J83" s="25"/>
      <c r="K83" s="6"/>
      <c r="L83" s="6" t="str">
        <f>IF(Table1[[#This Row],[Category]]="Transportation", _xlfn.XLOOKUP(Table1[[#This Row],[Resource]], 'SI - Payload'!$A$10:$A$40,'SI - Payload'!$B$10:$B$40,"",0), "")</f>
        <v/>
      </c>
      <c r="M83" s="6" t="str">
        <f>IF(Table1[[#This Row],[Category]]="Transportation", "ton", "")</f>
        <v/>
      </c>
      <c r="N83" s="6"/>
      <c r="O83" s="6"/>
      <c r="P83" s="6" t="str">
        <f>IF(OR(Table1[[#This Row],[Type]]="Main Product", Table1[[#This Row],[Type]]="Co-Product"), Table1[[#This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IF(Table1[[#This Row],[Type]]="Co-product", "No", "")</f>
        <v/>
      </c>
      <c r="J84" s="25"/>
      <c r="K84" s="6"/>
      <c r="L84" s="6" t="str">
        <f>IF(Table1[[#This Row],[Category]]="Transportation", _xlfn.XLOOKUP(Table1[[#This Row],[Resource]], 'SI - Payload'!$A$10:$A$40,'SI - Payload'!$B$10:$B$40,"",0), "")</f>
        <v/>
      </c>
      <c r="M84" s="6" t="str">
        <f>IF(Table1[[#This Row],[Category]]="Transportation", "ton", "")</f>
        <v/>
      </c>
      <c r="N84" s="6"/>
      <c r="O84" s="6"/>
      <c r="P84" s="6" t="str">
        <f>IF(OR(Table1[[#This Row],[Type]]="Main Product", Table1[[#This Row],[Type]]="Co-Product"), Table1[[#This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IF(Table1[[#This Row],[Type]]="Co-product", "No", "")</f>
        <v/>
      </c>
      <c r="J85" s="25"/>
      <c r="K85" s="6"/>
      <c r="L85" s="6" t="str">
        <f>IF(Table1[[#This Row],[Category]]="Transportation", _xlfn.XLOOKUP(Table1[[#This Row],[Resource]], 'SI - Payload'!$A$10:$A$40,'SI - Payload'!$B$10:$B$40,"",0), "")</f>
        <v/>
      </c>
      <c r="M85" s="6" t="str">
        <f>IF(Table1[[#This Row],[Category]]="Transportation", "ton", "")</f>
        <v/>
      </c>
      <c r="N85" s="6"/>
      <c r="O85" s="6"/>
      <c r="P85" s="6" t="str">
        <f>IF(OR(Table1[[#This Row],[Type]]="Main Product", Table1[[#This Row],[Type]]="Co-Product"), Table1[[#This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IF(Table1[[#This Row],[Type]]="Co-product", "No", "")</f>
        <v/>
      </c>
      <c r="J86" s="25"/>
      <c r="K86" s="6"/>
      <c r="L86" s="6" t="str">
        <f>IF(Table1[[#This Row],[Category]]="Transportation", _xlfn.XLOOKUP(Table1[[#This Row],[Resource]], 'SI - Payload'!$A$10:$A$40,'SI - Payload'!$B$10:$B$40,"",0), "")</f>
        <v/>
      </c>
      <c r="M86" s="6" t="str">
        <f>IF(Table1[[#This Row],[Category]]="Transportation", "ton", "")</f>
        <v/>
      </c>
      <c r="N86" s="6"/>
      <c r="O86" s="6"/>
      <c r="P86" s="6" t="str">
        <f>IF(OR(Table1[[#This Row],[Type]]="Main Product", Table1[[#This Row],[Type]]="Co-Product"), Table1[[#This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IF(Table1[[#This Row],[Type]]="Co-product", "No", "")</f>
        <v/>
      </c>
      <c r="J87" s="25"/>
      <c r="K87" s="6"/>
      <c r="L87" s="6" t="str">
        <f>IF(Table1[[#This Row],[Category]]="Transportation", _xlfn.XLOOKUP(Table1[[#This Row],[Resource]], 'SI - Payload'!$A$10:$A$40,'SI - Payload'!$B$10:$B$40,"",0), "")</f>
        <v/>
      </c>
      <c r="M87" s="6" t="str">
        <f>IF(Table1[[#This Row],[Category]]="Transportation", "ton", "")</f>
        <v/>
      </c>
      <c r="N87" s="6"/>
      <c r="O87" s="6"/>
      <c r="P87" s="6" t="str">
        <f>IF(OR(Table1[[#This Row],[Type]]="Main Product", Table1[[#This Row],[Type]]="Co-Product"), Table1[[#This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IF(Table1[[#This Row],[Type]]="Co-product", "No", "")</f>
        <v/>
      </c>
      <c r="J88" s="25"/>
      <c r="K88" s="6"/>
      <c r="L88" s="6" t="str">
        <f>IF(Table1[[#This Row],[Category]]="Transportation", _xlfn.XLOOKUP(Table1[[#This Row],[Resource]], 'SI - Payload'!$A$10:$A$40,'SI - Payload'!$B$10:$B$40,"",0), "")</f>
        <v/>
      </c>
      <c r="M88" s="6" t="str">
        <f>IF(Table1[[#This Row],[Category]]="Transportation", "ton", "")</f>
        <v/>
      </c>
      <c r="N88" s="6"/>
      <c r="O88" s="6"/>
      <c r="P88" s="6" t="str">
        <f>IF(OR(Table1[[#This Row],[Type]]="Main Product", Table1[[#This Row],[Type]]="Co-Product"), Table1[[#This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IF(Table1[[#This Row],[Type]]="Co-product", "No", "")</f>
        <v/>
      </c>
      <c r="J89" s="25"/>
      <c r="K89" s="6"/>
      <c r="L89" s="6" t="str">
        <f>IF(Table1[[#This Row],[Category]]="Transportation", _xlfn.XLOOKUP(Table1[[#This Row],[Resource]], 'SI - Payload'!$A$10:$A$40,'SI - Payload'!$B$10:$B$40,"",0), "")</f>
        <v/>
      </c>
      <c r="M89" s="6" t="str">
        <f>IF(Table1[[#This Row],[Category]]="Transportation", "ton", "")</f>
        <v/>
      </c>
      <c r="N89" s="6"/>
      <c r="O89" s="6"/>
      <c r="P89" s="6" t="str">
        <f>IF(OR(Table1[[#This Row],[Type]]="Main Product", Table1[[#This Row],[Type]]="Co-Product"), Table1[[#This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IF(Table1[[#This Row],[Type]]="Co-product", "No", "")</f>
        <v/>
      </c>
      <c r="J90" s="25"/>
      <c r="K90" s="6"/>
      <c r="L90" s="6" t="str">
        <f>IF(Table1[[#This Row],[Category]]="Transportation", _xlfn.XLOOKUP(Table1[[#This Row],[Resource]], 'SI - Payload'!$A$10:$A$40,'SI - Payload'!$B$10:$B$40,"",0), "")</f>
        <v/>
      </c>
      <c r="M90" s="6" t="str">
        <f>IF(Table1[[#This Row],[Category]]="Transportation", "ton", "")</f>
        <v/>
      </c>
      <c r="N90" s="6"/>
      <c r="O90" s="6"/>
      <c r="P90" s="6" t="str">
        <f>IF(OR(Table1[[#This Row],[Type]]="Main Product", Table1[[#This Row],[Type]]="Co-Product"), Table1[[#This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IF(Table1[[#This Row],[Type]]="Co-product", "No", "")</f>
        <v/>
      </c>
      <c r="J91" s="25"/>
      <c r="K91" s="6"/>
      <c r="L91" s="6" t="str">
        <f>IF(Table1[[#This Row],[Category]]="Transportation", _xlfn.XLOOKUP(Table1[[#This Row],[Resource]], 'SI - Payload'!$A$10:$A$40,'SI - Payload'!$B$10:$B$40,"",0), "")</f>
        <v/>
      </c>
      <c r="M91" s="6" t="str">
        <f>IF(Table1[[#This Row],[Category]]="Transportation", "ton", "")</f>
        <v/>
      </c>
      <c r="N91" s="6"/>
      <c r="O91" s="6"/>
      <c r="P91" s="6" t="str">
        <f>IF(OR(Table1[[#This Row],[Type]]="Main Product", Table1[[#This Row],[Type]]="Co-Product"), Table1[[#This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IF(Table1[[#This Row],[Type]]="Co-product", "No", "")</f>
        <v/>
      </c>
      <c r="J92" s="25"/>
      <c r="K92" s="6"/>
      <c r="L92" s="6" t="str">
        <f>IF(Table1[[#This Row],[Category]]="Transportation", _xlfn.XLOOKUP(Table1[[#This Row],[Resource]], 'SI - Payload'!$A$10:$A$40,'SI - Payload'!$B$10:$B$40,"",0), "")</f>
        <v/>
      </c>
      <c r="M92" s="6" t="str">
        <f>IF(Table1[[#This Row],[Category]]="Transportation", "ton", "")</f>
        <v/>
      </c>
      <c r="N92" s="6"/>
      <c r="O92" s="6"/>
      <c r="P92" s="6" t="str">
        <f>IF(OR(Table1[[#This Row],[Type]]="Main Product", Table1[[#This Row],[Type]]="Co-Product"), Table1[[#This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IF(Table1[[#This Row],[Type]]="Co-product", "No", "")</f>
        <v/>
      </c>
      <c r="J93" s="25"/>
      <c r="K93" s="6"/>
      <c r="L93" s="6" t="str">
        <f>IF(Table1[[#This Row],[Category]]="Transportation", _xlfn.XLOOKUP(Table1[[#This Row],[Resource]], 'SI - Payload'!$A$10:$A$40,'SI - Payload'!$B$10:$B$40,"",0), "")</f>
        <v/>
      </c>
      <c r="M93" s="6" t="str">
        <f>IF(Table1[[#This Row],[Category]]="Transportation", "ton", "")</f>
        <v/>
      </c>
      <c r="N93" s="6"/>
      <c r="O93" s="6"/>
      <c r="P93" s="6" t="str">
        <f>IF(OR(Table1[[#This Row],[Type]]="Main Product", Table1[[#This Row],[Type]]="Co-Product"), Table1[[#This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IF(Table1[[#This Row],[Type]]="Co-product", "No", "")</f>
        <v/>
      </c>
      <c r="J94" s="25"/>
      <c r="K94" s="6"/>
      <c r="L94" s="6" t="str">
        <f>IF(Table1[[#This Row],[Category]]="Transportation", _xlfn.XLOOKUP(Table1[[#This Row],[Resource]], 'SI - Payload'!$A$10:$A$40,'SI - Payload'!$B$10:$B$40,"",0), "")</f>
        <v/>
      </c>
      <c r="M94" s="6" t="str">
        <f>IF(Table1[[#This Row],[Category]]="Transportation", "ton", "")</f>
        <v/>
      </c>
      <c r="N94" s="6"/>
      <c r="O94" s="6"/>
      <c r="P94" s="6" t="str">
        <f>IF(OR(Table1[[#This Row],[Type]]="Main Product", Table1[[#This Row],[Type]]="Co-Product"), Table1[[#This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IF(Table1[[#This Row],[Type]]="Co-product", "No", "")</f>
        <v/>
      </c>
      <c r="J95" s="25"/>
      <c r="K95" s="6"/>
      <c r="L95" s="6" t="str">
        <f>IF(Table1[[#This Row],[Category]]="Transportation", _xlfn.XLOOKUP(Table1[[#This Row],[Resource]], 'SI - Payload'!$A$10:$A$40,'SI - Payload'!$B$10:$B$40,"",0), "")</f>
        <v/>
      </c>
      <c r="M95" s="6" t="str">
        <f>IF(Table1[[#This Row],[Category]]="Transportation", "ton", "")</f>
        <v/>
      </c>
      <c r="N95" s="6"/>
      <c r="O95" s="6"/>
      <c r="P95" s="6" t="str">
        <f>IF(OR(Table1[[#This Row],[Type]]="Main Product", Table1[[#This Row],[Type]]="Co-Product"), Table1[[#This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IF(Table1[[#This Row],[Type]]="Co-product", "No", "")</f>
        <v/>
      </c>
      <c r="J96" s="25"/>
      <c r="K96" s="6"/>
      <c r="L96" s="6" t="str">
        <f>IF(Table1[[#This Row],[Category]]="Transportation", _xlfn.XLOOKUP(Table1[[#This Row],[Resource]], 'SI - Payload'!$A$10:$A$40,'SI - Payload'!$B$10:$B$40,"",0), "")</f>
        <v/>
      </c>
      <c r="M96" s="6" t="str">
        <f>IF(Table1[[#This Row],[Category]]="Transportation", "ton", "")</f>
        <v/>
      </c>
      <c r="N96" s="6"/>
      <c r="O96" s="6"/>
      <c r="P96" s="6" t="str">
        <f>IF(OR(Table1[[#This Row],[Type]]="Main Product", Table1[[#This Row],[Type]]="Co-Product"), Table1[[#This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IF(Table1[[#This Row],[Type]]="Co-product", "No", "")</f>
        <v/>
      </c>
      <c r="J97" s="25"/>
      <c r="K97" s="6"/>
      <c r="L97" s="6" t="str">
        <f>IF(Table1[[#This Row],[Category]]="Transportation", _xlfn.XLOOKUP(Table1[[#This Row],[Resource]], 'SI - Payload'!$A$10:$A$40,'SI - Payload'!$B$10:$B$40,"",0), "")</f>
        <v/>
      </c>
      <c r="M97" s="6" t="str">
        <f>IF(Table1[[#This Row],[Category]]="Transportation", "ton", "")</f>
        <v/>
      </c>
      <c r="N97" s="6"/>
      <c r="O97" s="6"/>
      <c r="P97" s="6" t="str">
        <f>IF(OR(Table1[[#This Row],[Type]]="Main Product", Table1[[#This Row],[Type]]="Co-Product"), Table1[[#This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IF(Table1[[#This Row],[Type]]="Co-product", "No", "")</f>
        <v/>
      </c>
      <c r="J98" s="25"/>
      <c r="K98" s="6"/>
      <c r="L98" s="6" t="str">
        <f>IF(Table1[[#This Row],[Category]]="Transportation", _xlfn.XLOOKUP(Table1[[#This Row],[Resource]], 'SI - Payload'!$A$10:$A$40,'SI - Payload'!$B$10:$B$40,"",0), "")</f>
        <v/>
      </c>
      <c r="M98" s="6" t="str">
        <f>IF(Table1[[#This Row],[Category]]="Transportation", "ton", "")</f>
        <v/>
      </c>
      <c r="N98" s="6"/>
      <c r="O98" s="6"/>
      <c r="P98" s="6" t="str">
        <f>IF(OR(Table1[[#This Row],[Type]]="Main Product", Table1[[#This Row],[Type]]="Co-Product"), Table1[[#This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IF(Table1[[#This Row],[Type]]="Co-product", "No", "")</f>
        <v/>
      </c>
      <c r="J99" s="25"/>
      <c r="K99" s="6"/>
      <c r="L99" s="6" t="str">
        <f>IF(Table1[[#This Row],[Category]]="Transportation", _xlfn.XLOOKUP(Table1[[#This Row],[Resource]], 'SI - Payload'!$A$10:$A$40,'SI - Payload'!$B$10:$B$40,"",0), "")</f>
        <v/>
      </c>
      <c r="M99" s="6" t="str">
        <f>IF(Table1[[#This Row],[Category]]="Transportation", "ton", "")</f>
        <v/>
      </c>
      <c r="N99" s="6"/>
      <c r="O99" s="6"/>
      <c r="P99" s="6" t="str">
        <f>IF(OR(Table1[[#This Row],[Type]]="Main Product", Table1[[#This Row],[Type]]="Co-Product"), Table1[[#This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IF(Table1[[#This Row],[Type]]="Co-product", "No", "")</f>
        <v/>
      </c>
      <c r="J100" s="25"/>
      <c r="K100" s="6"/>
      <c r="L100" s="6" t="str">
        <f>IF(Table1[[#This Row],[Category]]="Transportation", _xlfn.XLOOKUP(Table1[[#This Row],[Resource]], 'SI - Payload'!$A$10:$A$40,'SI - Payload'!$B$10:$B$40,"",0), "")</f>
        <v/>
      </c>
      <c r="M100" s="6" t="str">
        <f>IF(Table1[[#This Row],[Category]]="Transportation", "ton", "")</f>
        <v/>
      </c>
      <c r="N100" s="6"/>
      <c r="O100" s="6"/>
      <c r="P100" s="6" t="str">
        <f>IF(OR(Table1[[#This Row],[Type]]="Main Product", Table1[[#This Row],[Type]]="Co-Product"), Table1[[#This Row],[Resource]], "")</f>
        <v/>
      </c>
      <c r="Q100" s="6" t="str">
        <f>IF(_xlfn.XLOOKUP($P100,'SI - End Use'!$B$2:$B$6,'SI - End Use'!$C$2:$C$6, "")="", "", _xlfn.XLOOKUP($C100,'SI - End Use'!$B$2:$B$6,'SI - End Use'!$C$2:$C$6, ""))</f>
        <v/>
      </c>
      <c r="R100" s="6"/>
      <c r="S100" s="6"/>
      <c r="T100" s="6"/>
    </row>
  </sheetData>
  <phoneticPr fontId="15" type="noConversion"/>
  <dataValidations count="7">
    <dataValidation type="list" allowBlank="1" showInputMessage="1" showErrorMessage="1" sqref="C2" xr:uid="{73449F48-79DC-469F-BA4A-33C89F8E76C2}">
      <formula1>"Yes, No"</formula1>
    </dataValidation>
    <dataValidation type="custom" allowBlank="1" showInputMessage="1" showErrorMessage="1" sqref="E6:E100" xr:uid="{0628AE1A-88FC-4B0C-B79D-862BD1EDF44B}">
      <formula1>ISNUMBER(E6)</formula1>
    </dataValidation>
    <dataValidation type="decimal" allowBlank="1" showInputMessage="1" showErrorMessage="1" error="Please type a number between 0 and 1." sqref="G6:G100" xr:uid="{77F9124D-1D0E-4379-AF61-9A752A5D05DC}">
      <formula1>0</formula1>
      <formula2>1</formula2>
    </dataValidation>
    <dataValidation type="decimal" operator="greaterThan" allowBlank="1" showInputMessage="1" showErrorMessage="1" error="Please type a positive price." sqref="N6:N100" xr:uid="{2F05DDD3-7CC2-4F6E-8CEB-5225CE706D4E}">
      <formula1>0</formula1>
    </dataValidation>
    <dataValidation type="decimal" operator="greaterThan" allowBlank="1" showInputMessage="1" showErrorMessage="1" error="Please type a positive number." sqref="L6:L100" xr:uid="{751FB50C-1C6A-47E6-B503-A56F763BA60D}">
      <formula1>0</formula1>
    </dataValidation>
    <dataValidation type="list" allowBlank="1" showInputMessage="1" showErrorMessage="1" sqref="M6:M100" xr:uid="{2D00DD87-99F7-4095-AC51-B3DA0B074971}">
      <formula1>payload_units</formula1>
    </dataValidation>
    <dataValidation type="decimal" allowBlank="1" showInputMessage="1" showErrorMessage="1" sqref="J6:J100" xr:uid="{0D15966B-8CA3-49FA-91F0-FC231371E901}">
      <formula1>0</formula1>
      <formula2>1</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777B5CB-B7C8-46CD-A1A0-26B3C75364C5}">
          <x14:formula1>
            <xm:f>'SI - Co-products'!$D$2:$D$8</xm:f>
          </x14:formula1>
          <xm:sqref>C1</xm:sqref>
        </x14:dataValidation>
        <x14:dataValidation type="list" allowBlank="1" showInputMessage="1" showErrorMessage="1" xr:uid="{14BD51AA-663B-4E5D-AB66-8F9036F958FC}">
          <x14:formula1>
            <xm:f>_xlfn.XLOOKUP(_xlfn.XLOOKUP(#REF!,'SI - Units'!$B$24:$B$109,'SI - Units'!$C$24:$C$109),'SI - Units'!$A$2:$A$8,'SI - Units'!$B$2:$R$8)</xm:f>
          </x14:formula1>
          <xm:sqref>F5</xm:sqref>
        </x14:dataValidation>
        <x14:dataValidation type="list" allowBlank="1" showInputMessage="1" showErrorMessage="1" xr:uid="{98C737DB-05DE-4B55-BC21-D443B4AFD73C}">
          <x14:formula1>
            <xm:f>'SI - Co-products'!$A$2:$A$5</xm:f>
          </x14:formula1>
          <xm:sqref>K6:K100</xm:sqref>
        </x14:dataValidation>
        <x14:dataValidation type="list" allowBlank="1" showInputMessage="1" showErrorMessage="1" xr:uid="{A661F3EB-4472-4021-BF1D-5407F0EC0D4D}">
          <x14:formula1>
            <xm:f>'SI - Co-products'!$C$2:$C$4</xm:f>
          </x14:formula1>
          <xm:sqref>I6:I100</xm:sqref>
        </x14:dataValidation>
        <x14:dataValidation type="list" allowBlank="1" showInputMessage="1" showErrorMessage="1" xr:uid="{8A3E68E7-60EC-4BD9-8B2B-6DBC01684E36}">
          <x14:formula1>
            <xm:f>'SI - Resources'!$A$1:$J$1</xm:f>
          </x14:formula1>
          <xm:sqref>B6:B100</xm:sqref>
        </x14:dataValidation>
        <x14:dataValidation type="list" allowBlank="1" showInputMessage="1" showErrorMessage="1" xr:uid="{7278667E-A56C-4614-A6ED-00C2D0D6E674}">
          <x14:formula1>
            <xm:f>'SI - Co-products'!$B$2:$B$6</xm:f>
          </x14:formula1>
          <xm:sqref>A6:A100</xm:sqref>
        </x14:dataValidation>
        <x14:dataValidation type="list" allowBlank="1" showInputMessage="1" showErrorMessage="1" xr:uid="{CB2C94B2-2061-419A-98FA-978462E1885E}">
          <x14:formula1>
            <xm:f>INDIRECT(_xlfn.XLOOKUP($B6, 'SI - Resources'!$R$1:$R$10,'SI - Resources'!$S$1:$S$10, "placeholder_resource", 0))</xm:f>
          </x14:formula1>
          <xm:sqref>P6:P100 C6:C100</xm:sqref>
        </x14:dataValidation>
        <x14:dataValidation type="list" allowBlank="1" showInputMessage="1" xr:uid="{E72F2434-6FC6-48BC-A1D3-F7F1254C28A5}">
          <x14:formula1>
            <xm:f>INDIRECT(_xlfn.XLOOKUP($C6,'SI - End Use'!$A$11:$A$18,'SI - End Use'!$B$11:$B$18,"other_end_use",0))</xm:f>
          </x14:formula1>
          <xm:sqref>D6:D100</xm:sqref>
        </x14:dataValidation>
        <x14:dataValidation type="list" allowBlank="1" showInputMessage="1" showErrorMessage="1" xr:uid="{DC2C16C8-CE07-4FE6-9DEE-2F41BAAE693C}">
          <x14:formula1>
            <xm:f>INDIRECT(_xlfn.XLOOKUP($P6,'SI - End Use'!$A$11:$A$18,'SI - End Use'!$B$11:$B$18,"other_end_use",0))</xm:f>
          </x14:formula1>
          <xm:sqref>Q6:R100</xm:sqref>
        </x14:dataValidation>
        <x14:dataValidation type="list" allowBlank="1" showInputMessage="1" showErrorMessage="1" xr:uid="{CE4F3BE5-4A30-4B88-911F-8304175FD33C}">
          <x14:formula1>
            <xm:f>IF($B6="Transportation",  transport_units, INDIRECT(_xlfn.XLOOKUP($C6, 'SI - Units'!$F$26:$F$36,'SI - Units'!$G$26:$G$36,"mass",0)))</xm:f>
          </x14:formula1>
          <xm:sqref>F6:F100</xm:sqref>
        </x14:dataValidation>
        <x14:dataValidation type="list" allowBlank="1" showInputMessage="1" showErrorMessage="1" xr:uid="{05496563-CC83-4996-B1CE-3FED2D55798A}">
          <x14:formula1>
            <xm:f>INDIRECT("p_"&amp;_xlfn.XLOOKUP($C6,'SI - Units'!$F$26:$F$36,'SI - Units'!$G$26:$G$36,"mass",0))</xm:f>
          </x14:formula1>
          <xm:sqref>O6:O100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sheetPr codeName="Sheet1"/>
  <dimension ref="A1:BZ40"/>
  <sheetViews>
    <sheetView topLeftCell="A3" workbookViewId="0">
      <selection activeCell="A15" sqref="A15"/>
    </sheetView>
  </sheetViews>
  <sheetFormatPr defaultRowHeight="14.5" x14ac:dyDescent="0.35"/>
  <cols>
    <col min="1" max="1" width="25" bestFit="1" customWidth="1"/>
    <col min="7" max="7" width="8.81640625" bestFit="1" customWidth="1"/>
  </cols>
  <sheetData>
    <row r="1" spans="1:78" ht="65.5" x14ac:dyDescent="0.35">
      <c r="A1" s="27" t="s">
        <v>139</v>
      </c>
      <c r="B1" s="28" t="s">
        <v>140</v>
      </c>
      <c r="C1" s="28" t="s">
        <v>141</v>
      </c>
      <c r="D1" s="28" t="s">
        <v>2</v>
      </c>
      <c r="E1" s="28" t="s">
        <v>142</v>
      </c>
      <c r="F1" s="28" t="s">
        <v>143</v>
      </c>
      <c r="G1" s="28" t="s">
        <v>144</v>
      </c>
      <c r="H1" s="28" t="s">
        <v>145</v>
      </c>
      <c r="I1" s="28" t="s">
        <v>146</v>
      </c>
      <c r="J1" s="28" t="s">
        <v>147</v>
      </c>
      <c r="K1" s="28" t="s">
        <v>148</v>
      </c>
      <c r="L1" s="28" t="s">
        <v>149</v>
      </c>
      <c r="M1" s="28" t="s">
        <v>150</v>
      </c>
      <c r="N1" s="28" t="s">
        <v>151</v>
      </c>
      <c r="O1" s="28" t="s">
        <v>152</v>
      </c>
      <c r="P1" s="28" t="s">
        <v>153</v>
      </c>
      <c r="Q1" s="28" t="s">
        <v>154</v>
      </c>
      <c r="R1" s="28" t="s">
        <v>155</v>
      </c>
      <c r="S1" s="28" t="s">
        <v>156</v>
      </c>
      <c r="T1" s="28" t="s">
        <v>157</v>
      </c>
      <c r="U1" s="28" t="s">
        <v>158</v>
      </c>
      <c r="V1" s="28" t="s">
        <v>159</v>
      </c>
      <c r="W1" s="28" t="s">
        <v>71</v>
      </c>
      <c r="X1" s="28" t="s">
        <v>160</v>
      </c>
      <c r="Y1" s="28" t="s">
        <v>161</v>
      </c>
      <c r="Z1" s="28" t="s">
        <v>162</v>
      </c>
      <c r="AA1" s="28" t="s">
        <v>163</v>
      </c>
      <c r="AB1" s="28" t="s">
        <v>164</v>
      </c>
      <c r="AC1" s="28" t="s">
        <v>165</v>
      </c>
      <c r="AD1" s="28" t="s">
        <v>166</v>
      </c>
      <c r="AE1" s="28" t="s">
        <v>167</v>
      </c>
      <c r="AF1" s="28" t="s">
        <v>168</v>
      </c>
      <c r="AG1" s="28" t="s">
        <v>169</v>
      </c>
      <c r="AH1" s="28" t="s">
        <v>170</v>
      </c>
      <c r="AI1" s="28" t="s">
        <v>171</v>
      </c>
      <c r="AJ1" s="28" t="s">
        <v>172</v>
      </c>
      <c r="AK1" s="28" t="s">
        <v>173</v>
      </c>
      <c r="AL1" s="28" t="s">
        <v>174</v>
      </c>
      <c r="AM1" s="28" t="s">
        <v>175</v>
      </c>
      <c r="AN1" s="28" t="s">
        <v>176</v>
      </c>
      <c r="AO1" s="28" t="s">
        <v>177</v>
      </c>
      <c r="AP1" s="28" t="s">
        <v>178</v>
      </c>
      <c r="AQ1" s="28" t="s">
        <v>179</v>
      </c>
      <c r="AR1" s="28" t="s">
        <v>180</v>
      </c>
      <c r="AS1" s="28" t="s">
        <v>181</v>
      </c>
      <c r="AT1" s="28" t="s">
        <v>182</v>
      </c>
      <c r="AU1" s="28" t="s">
        <v>183</v>
      </c>
      <c r="AV1" s="28" t="s">
        <v>184</v>
      </c>
      <c r="AW1" s="28" t="s">
        <v>185</v>
      </c>
      <c r="AX1" s="28" t="s">
        <v>186</v>
      </c>
      <c r="AY1" s="28" t="s">
        <v>187</v>
      </c>
      <c r="AZ1" s="28" t="s">
        <v>188</v>
      </c>
      <c r="BA1" s="28" t="s">
        <v>189</v>
      </c>
      <c r="BB1" s="28" t="s">
        <v>190</v>
      </c>
      <c r="BC1" s="28" t="s">
        <v>15</v>
      </c>
      <c r="BD1" s="28" t="s">
        <v>191</v>
      </c>
      <c r="BE1" s="28" t="s">
        <v>192</v>
      </c>
      <c r="BF1" s="28" t="s">
        <v>19</v>
      </c>
      <c r="BG1" s="28" t="s">
        <v>193</v>
      </c>
      <c r="BH1" s="28" t="s">
        <v>194</v>
      </c>
      <c r="BI1" s="28" t="s">
        <v>195</v>
      </c>
      <c r="BJ1" s="28" t="s">
        <v>196</v>
      </c>
      <c r="BK1" s="28" t="s">
        <v>197</v>
      </c>
      <c r="BL1" s="28" t="s">
        <v>198</v>
      </c>
      <c r="BM1" s="28" t="s">
        <v>199</v>
      </c>
      <c r="BN1" s="28" t="s">
        <v>200</v>
      </c>
      <c r="BO1" s="28" t="s">
        <v>201</v>
      </c>
      <c r="BP1" s="28" t="s">
        <v>202</v>
      </c>
      <c r="BQ1" s="28" t="s">
        <v>203</v>
      </c>
      <c r="BR1" s="28" t="s">
        <v>204</v>
      </c>
      <c r="BS1" s="28" t="s">
        <v>205</v>
      </c>
      <c r="BT1" s="28" t="s">
        <v>206</v>
      </c>
      <c r="BU1" s="28" t="s">
        <v>207</v>
      </c>
      <c r="BV1" s="28" t="s">
        <v>208</v>
      </c>
      <c r="BW1" s="28" t="s">
        <v>209</v>
      </c>
      <c r="BX1" s="28" t="s">
        <v>210</v>
      </c>
      <c r="BY1" s="28" t="s">
        <v>211</v>
      </c>
      <c r="BZ1" s="29" t="s">
        <v>212</v>
      </c>
    </row>
    <row r="2" spans="1:78" x14ac:dyDescent="0.35">
      <c r="A2" s="30" t="s">
        <v>213</v>
      </c>
      <c r="B2" s="31">
        <v>133526.27602620388</v>
      </c>
      <c r="C2" s="31">
        <v>90000</v>
      </c>
      <c r="D2" s="31">
        <v>100000</v>
      </c>
      <c r="E2" s="32">
        <v>80000</v>
      </c>
      <c r="F2" s="31">
        <v>90000</v>
      </c>
      <c r="G2" s="32">
        <v>100000</v>
      </c>
      <c r="H2" s="32">
        <v>100000</v>
      </c>
      <c r="I2" s="32">
        <v>100000</v>
      </c>
      <c r="J2" s="32">
        <v>100000</v>
      </c>
      <c r="K2" s="33"/>
      <c r="L2" s="31">
        <v>65000</v>
      </c>
      <c r="M2" s="31">
        <v>90000</v>
      </c>
      <c r="N2" s="32">
        <v>80000</v>
      </c>
      <c r="O2" s="31">
        <v>100000</v>
      </c>
      <c r="P2" s="31">
        <v>90000</v>
      </c>
      <c r="Q2" s="33"/>
      <c r="R2" s="31">
        <v>15000</v>
      </c>
      <c r="S2" s="32">
        <v>22000</v>
      </c>
      <c r="T2" s="33"/>
      <c r="U2" s="33"/>
      <c r="V2" s="33"/>
      <c r="W2" s="33"/>
      <c r="X2" s="33"/>
      <c r="Y2" s="32">
        <v>65000</v>
      </c>
      <c r="Z2" s="33"/>
      <c r="AA2" s="33"/>
      <c r="AB2" s="33"/>
      <c r="AC2" s="33"/>
      <c r="AD2" s="33"/>
      <c r="AE2" s="33"/>
      <c r="AF2" s="33"/>
      <c r="AG2" s="33"/>
      <c r="AH2" s="33"/>
      <c r="AI2" s="33"/>
      <c r="AJ2" s="33"/>
      <c r="AK2" s="32">
        <v>150000</v>
      </c>
      <c r="AL2" s="33"/>
      <c r="AM2" s="34"/>
      <c r="AN2" s="33"/>
      <c r="AO2" s="33"/>
      <c r="AP2" s="33"/>
      <c r="AQ2" s="33"/>
      <c r="AR2" s="35">
        <v>100000</v>
      </c>
      <c r="AS2" s="35">
        <v>100000</v>
      </c>
      <c r="AT2" s="36"/>
      <c r="AU2" s="33"/>
      <c r="AV2" s="33"/>
      <c r="AW2" s="33"/>
      <c r="AX2" s="33"/>
      <c r="AY2" s="33"/>
      <c r="AZ2" s="33"/>
      <c r="BA2" s="33"/>
      <c r="BB2" s="33"/>
      <c r="BC2" s="33"/>
      <c r="BD2" s="33"/>
      <c r="BE2" s="33"/>
      <c r="BF2" s="33"/>
      <c r="BG2" s="33"/>
      <c r="BH2" s="33"/>
      <c r="BI2" s="33"/>
      <c r="BJ2" s="33"/>
      <c r="BK2" s="33"/>
      <c r="BL2" s="34"/>
      <c r="BM2" s="33"/>
      <c r="BN2" s="37">
        <v>100000</v>
      </c>
      <c r="BO2" s="34"/>
      <c r="BP2" s="38">
        <v>90000</v>
      </c>
      <c r="BQ2" s="33"/>
      <c r="BR2" s="34"/>
      <c r="BS2" s="38">
        <v>80000</v>
      </c>
      <c r="BT2" s="33"/>
      <c r="BU2" s="33"/>
      <c r="BV2" s="33"/>
      <c r="BW2" s="33"/>
      <c r="BX2" s="33"/>
      <c r="BY2" s="33"/>
      <c r="BZ2" s="39"/>
    </row>
    <row r="3" spans="1:78" x14ac:dyDescent="0.35">
      <c r="A3" s="30" t="s">
        <v>214</v>
      </c>
      <c r="B3" s="32">
        <v>22500</v>
      </c>
      <c r="C3" s="32">
        <v>20000</v>
      </c>
      <c r="D3" s="32">
        <v>22500</v>
      </c>
      <c r="E3" s="32">
        <v>18000</v>
      </c>
      <c r="F3" s="32">
        <v>19000</v>
      </c>
      <c r="G3" s="32">
        <v>22500</v>
      </c>
      <c r="H3" s="32">
        <v>20000</v>
      </c>
      <c r="I3" s="32">
        <v>20000</v>
      </c>
      <c r="J3" s="32">
        <v>20000</v>
      </c>
      <c r="K3" s="33"/>
      <c r="L3" s="32">
        <v>15000</v>
      </c>
      <c r="M3" s="32">
        <v>20000</v>
      </c>
      <c r="N3" s="32">
        <v>18000</v>
      </c>
      <c r="O3" s="32">
        <v>20000</v>
      </c>
      <c r="P3" s="32">
        <v>19000</v>
      </c>
      <c r="Q3" s="33"/>
      <c r="R3" s="32">
        <v>3000</v>
      </c>
      <c r="S3" s="32">
        <v>20000</v>
      </c>
      <c r="T3" s="32">
        <v>20000</v>
      </c>
      <c r="U3" s="33">
        <v>20000</v>
      </c>
      <c r="V3" s="32">
        <v>22500</v>
      </c>
      <c r="W3" s="33">
        <v>20000</v>
      </c>
      <c r="X3" s="33">
        <v>20000</v>
      </c>
      <c r="Y3" s="32">
        <v>22500</v>
      </c>
      <c r="Z3" s="32">
        <v>20000</v>
      </c>
      <c r="AA3" s="32">
        <v>20000</v>
      </c>
      <c r="AB3" s="32">
        <v>20000</v>
      </c>
      <c r="AC3" s="32">
        <v>20000</v>
      </c>
      <c r="AD3" s="32">
        <v>20000</v>
      </c>
      <c r="AE3" s="32">
        <v>20000</v>
      </c>
      <c r="AF3" s="32">
        <v>20000</v>
      </c>
      <c r="AG3" s="33"/>
      <c r="AH3" s="33"/>
      <c r="AI3" s="33"/>
      <c r="AJ3" s="32">
        <v>20000</v>
      </c>
      <c r="AK3" s="33"/>
      <c r="AL3" s="32">
        <v>20000</v>
      </c>
      <c r="AM3" s="32">
        <v>20000</v>
      </c>
      <c r="AN3" s="32">
        <v>20000</v>
      </c>
      <c r="AO3" s="32">
        <v>30000</v>
      </c>
      <c r="AP3" s="33"/>
      <c r="AQ3" s="32">
        <v>30000</v>
      </c>
      <c r="AR3" s="32">
        <v>22500</v>
      </c>
      <c r="AS3" s="32">
        <v>20000</v>
      </c>
      <c r="AT3" s="32">
        <v>20000</v>
      </c>
      <c r="AU3" s="32">
        <v>20000</v>
      </c>
      <c r="AV3" s="33"/>
      <c r="AW3" s="32">
        <v>22500</v>
      </c>
      <c r="AX3" s="33"/>
      <c r="AY3" s="33"/>
      <c r="AZ3" s="33"/>
      <c r="BA3" s="33"/>
      <c r="BB3" s="33"/>
      <c r="BC3" s="33"/>
      <c r="BD3" s="33"/>
      <c r="BE3" s="33"/>
      <c r="BF3" s="33"/>
      <c r="BG3" s="33"/>
      <c r="BH3" s="33"/>
      <c r="BI3" s="32">
        <v>20000</v>
      </c>
      <c r="BJ3" s="33"/>
      <c r="BK3" s="32">
        <v>20000</v>
      </c>
      <c r="BL3" s="33"/>
      <c r="BM3" s="32"/>
      <c r="BN3" s="33"/>
      <c r="BO3" s="34"/>
      <c r="BP3" s="32">
        <v>19000</v>
      </c>
      <c r="BQ3" s="32">
        <v>20000</v>
      </c>
      <c r="BR3" s="34"/>
      <c r="BS3" s="32">
        <v>18000</v>
      </c>
      <c r="BT3" s="32">
        <v>20000</v>
      </c>
      <c r="BU3" s="33"/>
      <c r="BV3" s="33"/>
      <c r="BW3" s="33"/>
      <c r="BX3" s="33"/>
      <c r="BY3" s="33"/>
      <c r="BZ3" s="39"/>
    </row>
    <row r="4" spans="1:78" x14ac:dyDescent="0.35">
      <c r="A4" s="30" t="s">
        <v>215</v>
      </c>
      <c r="B4" s="32">
        <v>25</v>
      </c>
      <c r="C4" s="32">
        <v>25</v>
      </c>
      <c r="D4" s="32">
        <v>25</v>
      </c>
      <c r="E4" s="32">
        <v>20</v>
      </c>
      <c r="F4" s="32">
        <v>22</v>
      </c>
      <c r="G4" s="32">
        <v>25</v>
      </c>
      <c r="H4" s="32">
        <v>25</v>
      </c>
      <c r="I4" s="32">
        <v>25</v>
      </c>
      <c r="J4" s="32">
        <v>25</v>
      </c>
      <c r="K4" s="32">
        <v>25</v>
      </c>
      <c r="L4" s="32">
        <v>15</v>
      </c>
      <c r="M4" s="32">
        <v>25</v>
      </c>
      <c r="N4" s="32">
        <v>20</v>
      </c>
      <c r="O4" s="32">
        <v>25</v>
      </c>
      <c r="P4" s="32">
        <v>22</v>
      </c>
      <c r="Q4" s="32">
        <v>0.4</v>
      </c>
      <c r="R4" s="32">
        <v>4</v>
      </c>
      <c r="S4" s="32">
        <v>33</v>
      </c>
      <c r="T4" s="32">
        <v>25</v>
      </c>
      <c r="U4" s="33">
        <v>25</v>
      </c>
      <c r="V4" s="32">
        <v>25</v>
      </c>
      <c r="W4" s="33">
        <v>25</v>
      </c>
      <c r="X4" s="33">
        <v>25</v>
      </c>
      <c r="Y4" s="32">
        <v>22.5</v>
      </c>
      <c r="Z4" s="32">
        <v>17.5</v>
      </c>
      <c r="AA4" s="32">
        <v>17.5</v>
      </c>
      <c r="AB4" s="32">
        <v>25</v>
      </c>
      <c r="AC4" s="32">
        <v>15</v>
      </c>
      <c r="AD4" s="40">
        <v>17.684999999999999</v>
      </c>
      <c r="AE4" s="40">
        <v>20.889521999999999</v>
      </c>
      <c r="AF4" s="32">
        <v>17.5</v>
      </c>
      <c r="AG4" s="32">
        <v>25</v>
      </c>
      <c r="AH4" s="32">
        <v>17</v>
      </c>
      <c r="AI4" s="32">
        <v>17</v>
      </c>
      <c r="AJ4" s="32">
        <v>15</v>
      </c>
      <c r="AK4" s="32">
        <v>25</v>
      </c>
      <c r="AL4" s="32">
        <v>15</v>
      </c>
      <c r="AM4" s="32">
        <v>15</v>
      </c>
      <c r="AN4" s="32">
        <v>15</v>
      </c>
      <c r="AO4" s="32">
        <v>25</v>
      </c>
      <c r="AP4" s="32">
        <v>25</v>
      </c>
      <c r="AQ4" s="32">
        <v>25</v>
      </c>
      <c r="AR4" s="32">
        <v>25</v>
      </c>
      <c r="AS4" s="32">
        <v>25</v>
      </c>
      <c r="AT4" s="32">
        <v>25</v>
      </c>
      <c r="AU4" s="32">
        <v>24</v>
      </c>
      <c r="AV4" s="32">
        <v>25</v>
      </c>
      <c r="AW4" s="32">
        <v>25</v>
      </c>
      <c r="AX4" s="32">
        <v>25</v>
      </c>
      <c r="AY4" s="32">
        <v>25</v>
      </c>
      <c r="AZ4" s="32">
        <v>25</v>
      </c>
      <c r="BA4" s="32">
        <v>25</v>
      </c>
      <c r="BB4" s="32">
        <v>23</v>
      </c>
      <c r="BC4" s="32">
        <v>23</v>
      </c>
      <c r="BD4" s="32">
        <v>23</v>
      </c>
      <c r="BE4" s="32">
        <v>23</v>
      </c>
      <c r="BF4" s="32">
        <v>23</v>
      </c>
      <c r="BG4" s="32">
        <v>23</v>
      </c>
      <c r="BH4" s="32">
        <v>23</v>
      </c>
      <c r="BI4" s="32">
        <v>25</v>
      </c>
      <c r="BJ4" s="32">
        <v>25</v>
      </c>
      <c r="BK4" s="32">
        <v>20</v>
      </c>
      <c r="BL4" s="41">
        <v>23</v>
      </c>
      <c r="BM4" s="32">
        <v>21.75</v>
      </c>
      <c r="BN4" s="34"/>
      <c r="BO4" s="42">
        <v>23</v>
      </c>
      <c r="BP4" s="32">
        <v>22</v>
      </c>
      <c r="BQ4" s="37">
        <v>17.62</v>
      </c>
      <c r="BR4" s="42">
        <v>17.68</v>
      </c>
      <c r="BS4" s="32">
        <v>20</v>
      </c>
      <c r="BT4" s="32">
        <v>17.62</v>
      </c>
      <c r="BU4" s="32">
        <v>24</v>
      </c>
      <c r="BV4" s="32">
        <v>15</v>
      </c>
      <c r="BW4" s="32">
        <v>15</v>
      </c>
      <c r="BX4" s="32">
        <v>21</v>
      </c>
      <c r="BY4" s="32">
        <v>24</v>
      </c>
      <c r="BZ4" s="43">
        <v>17.5</v>
      </c>
    </row>
    <row r="5" spans="1:78" x14ac:dyDescent="0.35">
      <c r="A5" s="44" t="s">
        <v>216</v>
      </c>
      <c r="B5" s="45"/>
      <c r="C5" s="45"/>
      <c r="D5" s="45"/>
      <c r="E5" s="45"/>
      <c r="F5" s="45"/>
      <c r="G5" s="45"/>
      <c r="H5" s="45"/>
      <c r="I5" s="45"/>
      <c r="J5" s="45"/>
      <c r="K5" s="46">
        <v>8</v>
      </c>
      <c r="L5" s="45"/>
      <c r="M5" s="45"/>
      <c r="N5" s="45"/>
      <c r="O5" s="45"/>
      <c r="P5" s="45"/>
      <c r="Q5" s="46">
        <v>0.4</v>
      </c>
      <c r="R5" s="46">
        <v>1.28</v>
      </c>
      <c r="S5" s="46"/>
      <c r="T5" s="45"/>
      <c r="U5" s="45"/>
      <c r="V5" s="45"/>
      <c r="W5" s="45"/>
      <c r="X5" s="45"/>
      <c r="Y5" s="46">
        <v>8</v>
      </c>
      <c r="Z5" s="45"/>
      <c r="AA5" s="45"/>
      <c r="AB5" s="45"/>
      <c r="AC5" s="46">
        <v>8</v>
      </c>
      <c r="AD5" s="45"/>
      <c r="AE5" s="45"/>
      <c r="AF5" s="45"/>
      <c r="AG5" s="45"/>
      <c r="AH5" s="45"/>
      <c r="AI5" s="45"/>
      <c r="AJ5" s="46">
        <v>8</v>
      </c>
      <c r="AK5" s="46">
        <v>8</v>
      </c>
      <c r="AL5" s="46">
        <v>8</v>
      </c>
      <c r="AM5" s="46">
        <v>8</v>
      </c>
      <c r="AN5" s="46">
        <v>8</v>
      </c>
      <c r="AO5" s="45"/>
      <c r="AP5" s="45"/>
      <c r="AQ5" s="45"/>
      <c r="AR5" s="47"/>
      <c r="AS5" s="47"/>
      <c r="AT5" s="47"/>
      <c r="AU5" s="45"/>
      <c r="AV5" s="46">
        <v>8</v>
      </c>
      <c r="AW5" s="45"/>
      <c r="AX5" s="45"/>
      <c r="AY5" s="45"/>
      <c r="AZ5" s="46">
        <v>8</v>
      </c>
      <c r="BA5" s="46">
        <v>8</v>
      </c>
      <c r="BB5" s="46">
        <v>8</v>
      </c>
      <c r="BC5" s="46">
        <v>8</v>
      </c>
      <c r="BD5" s="46">
        <v>8</v>
      </c>
      <c r="BE5" s="46">
        <v>8</v>
      </c>
      <c r="BF5" s="46">
        <v>8</v>
      </c>
      <c r="BG5" s="46">
        <v>8</v>
      </c>
      <c r="BH5" s="46">
        <v>8</v>
      </c>
      <c r="BI5" s="45"/>
      <c r="BJ5" s="45"/>
      <c r="BK5" s="45">
        <v>5</v>
      </c>
      <c r="BL5" s="48">
        <v>8</v>
      </c>
      <c r="BM5" s="45"/>
      <c r="BN5" s="47"/>
      <c r="BO5" s="47"/>
      <c r="BP5" s="45"/>
      <c r="BQ5" s="45"/>
      <c r="BR5" s="47"/>
      <c r="BS5" s="45"/>
      <c r="BT5" s="45"/>
      <c r="BU5" s="45"/>
      <c r="BV5" s="45">
        <v>8</v>
      </c>
      <c r="BW5" s="45"/>
      <c r="BX5" s="45"/>
      <c r="BY5" s="45"/>
      <c r="BZ5" s="49"/>
    </row>
    <row r="10" spans="1:78" x14ac:dyDescent="0.35">
      <c r="A10" t="s">
        <v>32</v>
      </c>
      <c r="B10" s="50">
        <f>AC4</f>
        <v>15</v>
      </c>
    </row>
    <row r="11" spans="1:78" x14ac:dyDescent="0.35">
      <c r="A11" t="s">
        <v>287</v>
      </c>
      <c r="B11" s="50">
        <f>AV4</f>
        <v>25</v>
      </c>
    </row>
    <row r="12" spans="1:78" x14ac:dyDescent="0.35">
      <c r="A12" t="s">
        <v>2</v>
      </c>
      <c r="B12" s="50">
        <f>D4</f>
        <v>25</v>
      </c>
    </row>
    <row r="13" spans="1:78" x14ac:dyDescent="0.35">
      <c r="A13" t="s">
        <v>22</v>
      </c>
      <c r="B13" s="51">
        <f>Q4</f>
        <v>0.4</v>
      </c>
    </row>
    <row r="14" spans="1:78" x14ac:dyDescent="0.35">
      <c r="A14" t="s">
        <v>71</v>
      </c>
      <c r="B14" s="50">
        <f>W4</f>
        <v>25</v>
      </c>
    </row>
    <row r="15" spans="1:78" x14ac:dyDescent="0.35">
      <c r="A15" t="s">
        <v>366</v>
      </c>
      <c r="B15" s="50">
        <f>W4</f>
        <v>25</v>
      </c>
    </row>
    <row r="16" spans="1:78" x14ac:dyDescent="0.35">
      <c r="A16" t="s">
        <v>276</v>
      </c>
      <c r="B16" s="50">
        <f>W4</f>
        <v>25</v>
      </c>
    </row>
    <row r="17" spans="1:2" x14ac:dyDescent="0.35">
      <c r="A17" s="50" t="s">
        <v>311</v>
      </c>
      <c r="B17" s="50">
        <f>W6</f>
        <v>0</v>
      </c>
    </row>
    <row r="18" spans="1:2" x14ac:dyDescent="0.35">
      <c r="A18" s="50" t="s">
        <v>312</v>
      </c>
      <c r="B18" s="50">
        <f>W6</f>
        <v>0</v>
      </c>
    </row>
    <row r="19" spans="1:2" x14ac:dyDescent="0.35">
      <c r="A19" t="s">
        <v>13</v>
      </c>
      <c r="B19" s="50">
        <f>$Y$4</f>
        <v>22.5</v>
      </c>
    </row>
    <row r="20" spans="1:2" x14ac:dyDescent="0.35">
      <c r="A20" t="s">
        <v>14</v>
      </c>
      <c r="B20" s="50">
        <f t="shared" ref="B20:B40" si="0">$Y$4</f>
        <v>22.5</v>
      </c>
    </row>
    <row r="21" spans="1:2" x14ac:dyDescent="0.35">
      <c r="A21" t="s">
        <v>15</v>
      </c>
      <c r="B21" s="50">
        <f t="shared" si="0"/>
        <v>22.5</v>
      </c>
    </row>
    <row r="22" spans="1:2" x14ac:dyDescent="0.35">
      <c r="A22" t="s">
        <v>16</v>
      </c>
      <c r="B22" s="50">
        <f t="shared" si="0"/>
        <v>22.5</v>
      </c>
    </row>
    <row r="23" spans="1:2" x14ac:dyDescent="0.35">
      <c r="A23" t="s">
        <v>17</v>
      </c>
      <c r="B23" s="50">
        <f t="shared" si="0"/>
        <v>22.5</v>
      </c>
    </row>
    <row r="24" spans="1:2" x14ac:dyDescent="0.35">
      <c r="A24" t="s">
        <v>18</v>
      </c>
      <c r="B24" s="50">
        <f t="shared" si="0"/>
        <v>22.5</v>
      </c>
    </row>
    <row r="25" spans="1:2" x14ac:dyDescent="0.35">
      <c r="A25" t="s">
        <v>19</v>
      </c>
      <c r="B25" s="50">
        <f t="shared" si="0"/>
        <v>22.5</v>
      </c>
    </row>
    <row r="26" spans="1:2" x14ac:dyDescent="0.35">
      <c r="A26" t="s">
        <v>107</v>
      </c>
      <c r="B26" s="50">
        <f t="shared" si="0"/>
        <v>22.5</v>
      </c>
    </row>
    <row r="27" spans="1:2" x14ac:dyDescent="0.35">
      <c r="A27" t="s">
        <v>106</v>
      </c>
      <c r="B27" s="50">
        <f t="shared" si="0"/>
        <v>22.5</v>
      </c>
    </row>
    <row r="28" spans="1:2" x14ac:dyDescent="0.35">
      <c r="A28" t="s">
        <v>21</v>
      </c>
      <c r="B28" s="50">
        <f t="shared" si="0"/>
        <v>22.5</v>
      </c>
    </row>
    <row r="29" spans="1:2" x14ac:dyDescent="0.35">
      <c r="A29" t="s">
        <v>36</v>
      </c>
      <c r="B29" s="50">
        <f t="shared" si="0"/>
        <v>22.5</v>
      </c>
    </row>
    <row r="30" spans="1:2" x14ac:dyDescent="0.35">
      <c r="A30" t="s">
        <v>23</v>
      </c>
      <c r="B30" s="50">
        <f t="shared" si="0"/>
        <v>22.5</v>
      </c>
    </row>
    <row r="31" spans="1:2" x14ac:dyDescent="0.35">
      <c r="A31" t="s">
        <v>25</v>
      </c>
      <c r="B31" s="50">
        <f t="shared" si="0"/>
        <v>22.5</v>
      </c>
    </row>
    <row r="32" spans="1:2" x14ac:dyDescent="0.35">
      <c r="A32" t="s">
        <v>26</v>
      </c>
      <c r="B32" s="50">
        <f t="shared" si="0"/>
        <v>22.5</v>
      </c>
    </row>
    <row r="33" spans="1:2" x14ac:dyDescent="0.35">
      <c r="A33" t="s">
        <v>30</v>
      </c>
      <c r="B33" s="50">
        <f t="shared" si="0"/>
        <v>22.5</v>
      </c>
    </row>
    <row r="34" spans="1:2" x14ac:dyDescent="0.35">
      <c r="A34" t="s">
        <v>21</v>
      </c>
      <c r="B34" s="50">
        <f t="shared" si="0"/>
        <v>22.5</v>
      </c>
    </row>
    <row r="35" spans="1:2" x14ac:dyDescent="0.35">
      <c r="A35" t="s">
        <v>20</v>
      </c>
      <c r="B35" s="50">
        <f t="shared" si="0"/>
        <v>22.5</v>
      </c>
    </row>
    <row r="36" spans="1:2" x14ac:dyDescent="0.35">
      <c r="A36" t="s">
        <v>36</v>
      </c>
      <c r="B36" s="50">
        <f t="shared" si="0"/>
        <v>22.5</v>
      </c>
    </row>
    <row r="37" spans="1:2" x14ac:dyDescent="0.35">
      <c r="A37" t="s">
        <v>25</v>
      </c>
      <c r="B37" s="50">
        <f t="shared" si="0"/>
        <v>22.5</v>
      </c>
    </row>
    <row r="38" spans="1:2" x14ac:dyDescent="0.35">
      <c r="A38" t="s">
        <v>239</v>
      </c>
      <c r="B38" s="50">
        <v>23</v>
      </c>
    </row>
    <row r="39" spans="1:2" x14ac:dyDescent="0.35">
      <c r="A39" t="s">
        <v>243</v>
      </c>
      <c r="B39" s="50">
        <v>23</v>
      </c>
    </row>
    <row r="40" spans="1:2" x14ac:dyDescent="0.35">
      <c r="A40" t="s">
        <v>51</v>
      </c>
      <c r="B40" s="50">
        <f t="shared" si="0"/>
        <v>22.5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S53"/>
  <sheetViews>
    <sheetView workbookViewId="0">
      <selection activeCell="C7" sqref="C7"/>
    </sheetView>
  </sheetViews>
  <sheetFormatPr defaultRowHeight="14.5" x14ac:dyDescent="0.35"/>
  <cols>
    <col min="1" max="2" width="9.81640625" customWidth="1"/>
    <col min="3" max="3" width="10.54296875" bestFit="1" customWidth="1"/>
    <col min="4" max="4" width="10.54296875" customWidth="1"/>
    <col min="5" max="5" width="22.54296875" customWidth="1"/>
    <col min="7" max="7" width="15.54296875" bestFit="1" customWidth="1"/>
    <col min="10" max="10" width="15.81640625" bestFit="1" customWidth="1"/>
  </cols>
  <sheetData>
    <row r="1" spans="1:19" x14ac:dyDescent="0.35">
      <c r="A1" s="2" t="s">
        <v>38</v>
      </c>
      <c r="B1" s="2" t="s">
        <v>230</v>
      </c>
      <c r="C1" s="2" t="s">
        <v>244</v>
      </c>
      <c r="D1" s="2" t="s">
        <v>3</v>
      </c>
      <c r="E1" s="2" t="s">
        <v>37</v>
      </c>
      <c r="F1" s="2" t="s">
        <v>29</v>
      </c>
      <c r="G1" s="2" t="s">
        <v>281</v>
      </c>
      <c r="H1" s="2" t="s">
        <v>33</v>
      </c>
      <c r="I1" s="2" t="s">
        <v>217</v>
      </c>
      <c r="J1" s="2" t="s">
        <v>245</v>
      </c>
      <c r="K1" s="2" t="s">
        <v>329</v>
      </c>
      <c r="R1" t="s">
        <v>38</v>
      </c>
      <c r="S1" t="s">
        <v>320</v>
      </c>
    </row>
    <row r="2" spans="1:19" x14ac:dyDescent="0.35">
      <c r="A2" t="s">
        <v>32</v>
      </c>
      <c r="B2" t="s">
        <v>231</v>
      </c>
      <c r="C2" t="s">
        <v>2</v>
      </c>
      <c r="D2" t="s">
        <v>3</v>
      </c>
      <c r="E2" t="s">
        <v>277</v>
      </c>
      <c r="F2" t="s">
        <v>29</v>
      </c>
      <c r="G2" t="s">
        <v>282</v>
      </c>
      <c r="H2" t="s">
        <v>32</v>
      </c>
      <c r="I2" t="s">
        <v>239</v>
      </c>
      <c r="J2" t="s">
        <v>218</v>
      </c>
      <c r="R2" t="s">
        <v>230</v>
      </c>
      <c r="S2" t="s">
        <v>321</v>
      </c>
    </row>
    <row r="3" spans="1:19" x14ac:dyDescent="0.35">
      <c r="A3" t="s">
        <v>287</v>
      </c>
      <c r="C3" s="1" t="s">
        <v>24</v>
      </c>
      <c r="E3" s="1" t="s">
        <v>14</v>
      </c>
      <c r="G3" t="s">
        <v>283</v>
      </c>
      <c r="H3" t="s">
        <v>239</v>
      </c>
      <c r="I3" t="s">
        <v>243</v>
      </c>
      <c r="J3" t="s">
        <v>219</v>
      </c>
      <c r="R3" t="s">
        <v>244</v>
      </c>
      <c r="S3" t="s">
        <v>325</v>
      </c>
    </row>
    <row r="4" spans="1:19" x14ac:dyDescent="0.35">
      <c r="C4" s="1" t="s">
        <v>22</v>
      </c>
      <c r="D4" s="1"/>
      <c r="E4" s="1" t="s">
        <v>51</v>
      </c>
      <c r="G4" t="s">
        <v>284</v>
      </c>
      <c r="H4" t="s">
        <v>71</v>
      </c>
      <c r="J4" t="s">
        <v>220</v>
      </c>
      <c r="R4" t="s">
        <v>3</v>
      </c>
      <c r="S4" t="s">
        <v>322</v>
      </c>
    </row>
    <row r="5" spans="1:19" x14ac:dyDescent="0.35">
      <c r="C5" s="1" t="s">
        <v>308</v>
      </c>
      <c r="D5" s="1"/>
      <c r="E5" s="1" t="s">
        <v>36</v>
      </c>
      <c r="G5" t="s">
        <v>285</v>
      </c>
      <c r="H5" t="s">
        <v>366</v>
      </c>
      <c r="J5" t="s">
        <v>221</v>
      </c>
      <c r="R5" t="s">
        <v>37</v>
      </c>
      <c r="S5" t="s">
        <v>326</v>
      </c>
    </row>
    <row r="6" spans="1:19" x14ac:dyDescent="0.35">
      <c r="C6" t="s">
        <v>71</v>
      </c>
      <c r="E6" s="1" t="s">
        <v>13</v>
      </c>
      <c r="H6" t="s">
        <v>276</v>
      </c>
      <c r="J6" t="s">
        <v>222</v>
      </c>
      <c r="R6" t="s">
        <v>29</v>
      </c>
      <c r="S6" t="s">
        <v>323</v>
      </c>
    </row>
    <row r="7" spans="1:19" x14ac:dyDescent="0.35">
      <c r="C7" t="s">
        <v>366</v>
      </c>
      <c r="E7" s="1" t="s">
        <v>235</v>
      </c>
      <c r="H7" t="s">
        <v>311</v>
      </c>
      <c r="J7" t="s">
        <v>223</v>
      </c>
      <c r="R7" t="s">
        <v>281</v>
      </c>
      <c r="S7" t="s">
        <v>327</v>
      </c>
    </row>
    <row r="8" spans="1:19" x14ac:dyDescent="0.35">
      <c r="C8" t="s">
        <v>276</v>
      </c>
      <c r="E8" s="1" t="s">
        <v>25</v>
      </c>
      <c r="H8" t="s">
        <v>312</v>
      </c>
      <c r="J8" t="s">
        <v>224</v>
      </c>
      <c r="R8" t="s">
        <v>33</v>
      </c>
      <c r="S8" t="s">
        <v>332</v>
      </c>
    </row>
    <row r="9" spans="1:19" x14ac:dyDescent="0.35">
      <c r="C9" t="s">
        <v>311</v>
      </c>
      <c r="E9" s="1" t="s">
        <v>278</v>
      </c>
      <c r="H9" t="s">
        <v>243</v>
      </c>
      <c r="J9" t="s">
        <v>225</v>
      </c>
      <c r="R9" t="s">
        <v>217</v>
      </c>
      <c r="S9" t="s">
        <v>324</v>
      </c>
    </row>
    <row r="10" spans="1:19" x14ac:dyDescent="0.35">
      <c r="C10" t="s">
        <v>312</v>
      </c>
      <c r="E10" s="1" t="s">
        <v>15</v>
      </c>
      <c r="H10" t="s">
        <v>287</v>
      </c>
      <c r="J10" t="s">
        <v>226</v>
      </c>
      <c r="R10" t="s">
        <v>245</v>
      </c>
      <c r="S10" t="s">
        <v>328</v>
      </c>
    </row>
    <row r="11" spans="1:19" x14ac:dyDescent="0.35">
      <c r="E11" s="1" t="s">
        <v>16</v>
      </c>
      <c r="J11" t="s">
        <v>227</v>
      </c>
    </row>
    <row r="12" spans="1:19" x14ac:dyDescent="0.35">
      <c r="E12" s="1" t="s">
        <v>23</v>
      </c>
      <c r="J12" t="s">
        <v>228</v>
      </c>
      <c r="P12" s="34"/>
    </row>
    <row r="13" spans="1:19" x14ac:dyDescent="0.35">
      <c r="E13" t="s">
        <v>18</v>
      </c>
      <c r="J13" t="s">
        <v>229</v>
      </c>
      <c r="P13" s="34"/>
    </row>
    <row r="14" spans="1:19" x14ac:dyDescent="0.35">
      <c r="E14" t="s">
        <v>19</v>
      </c>
      <c r="P14" s="34"/>
    </row>
    <row r="15" spans="1:19" x14ac:dyDescent="0.35">
      <c r="E15" s="1" t="s">
        <v>107</v>
      </c>
    </row>
    <row r="16" spans="1:19" x14ac:dyDescent="0.35">
      <c r="E16" s="1" t="s">
        <v>234</v>
      </c>
    </row>
    <row r="17" spans="5:5" x14ac:dyDescent="0.35">
      <c r="E17" s="1" t="s">
        <v>238</v>
      </c>
    </row>
    <row r="18" spans="5:5" x14ac:dyDescent="0.35">
      <c r="E18" s="1" t="s">
        <v>236</v>
      </c>
    </row>
    <row r="19" spans="5:5" x14ac:dyDescent="0.35">
      <c r="E19" s="1" t="s">
        <v>233</v>
      </c>
    </row>
    <row r="20" spans="5:5" x14ac:dyDescent="0.35">
      <c r="E20" s="1" t="s">
        <v>237</v>
      </c>
    </row>
    <row r="21" spans="5:5" x14ac:dyDescent="0.35">
      <c r="E21" s="1" t="s">
        <v>49</v>
      </c>
    </row>
    <row r="22" spans="5:5" x14ac:dyDescent="0.35">
      <c r="E22" s="1" t="s">
        <v>279</v>
      </c>
    </row>
    <row r="23" spans="5:5" x14ac:dyDescent="0.35">
      <c r="E23" s="1" t="s">
        <v>21</v>
      </c>
    </row>
    <row r="24" spans="5:5" x14ac:dyDescent="0.35">
      <c r="E24" s="1" t="s">
        <v>106</v>
      </c>
    </row>
    <row r="25" spans="5:5" x14ac:dyDescent="0.35">
      <c r="E25" t="s">
        <v>286</v>
      </c>
    </row>
    <row r="26" spans="5:5" x14ac:dyDescent="0.35">
      <c r="E26" s="1" t="s">
        <v>288</v>
      </c>
    </row>
    <row r="27" spans="5:5" x14ac:dyDescent="0.35">
      <c r="E27" s="1" t="s">
        <v>87</v>
      </c>
    </row>
    <row r="28" spans="5:5" x14ac:dyDescent="0.35">
      <c r="E28" s="1" t="s">
        <v>15</v>
      </c>
    </row>
    <row r="29" spans="5:5" x14ac:dyDescent="0.35">
      <c r="E29" s="1" t="s">
        <v>289</v>
      </c>
    </row>
    <row r="30" spans="5:5" x14ac:dyDescent="0.35">
      <c r="E30" s="58" t="s">
        <v>290</v>
      </c>
    </row>
    <row r="31" spans="5:5" x14ac:dyDescent="0.35">
      <c r="E31" s="58" t="s">
        <v>291</v>
      </c>
    </row>
    <row r="32" spans="5:5" x14ac:dyDescent="0.35">
      <c r="E32" s="59" t="s">
        <v>292</v>
      </c>
    </row>
    <row r="33" spans="5:5" x14ac:dyDescent="0.35">
      <c r="E33" s="59" t="s">
        <v>293</v>
      </c>
    </row>
    <row r="34" spans="5:5" x14ac:dyDescent="0.35">
      <c r="E34" s="59" t="s">
        <v>294</v>
      </c>
    </row>
    <row r="35" spans="5:5" x14ac:dyDescent="0.35">
      <c r="E35" s="59" t="s">
        <v>295</v>
      </c>
    </row>
    <row r="36" spans="5:5" x14ac:dyDescent="0.35">
      <c r="E36" s="59" t="s">
        <v>296</v>
      </c>
    </row>
    <row r="37" spans="5:5" x14ac:dyDescent="0.35">
      <c r="E37" s="59" t="s">
        <v>297</v>
      </c>
    </row>
    <row r="38" spans="5:5" x14ac:dyDescent="0.35">
      <c r="E38" s="59" t="s">
        <v>298</v>
      </c>
    </row>
    <row r="39" spans="5:5" x14ac:dyDescent="0.35">
      <c r="E39" s="59" t="s">
        <v>299</v>
      </c>
    </row>
    <row r="40" spans="5:5" x14ac:dyDescent="0.35">
      <c r="E40" s="59" t="s">
        <v>300</v>
      </c>
    </row>
    <row r="41" spans="5:5" x14ac:dyDescent="0.35">
      <c r="E41" s="59" t="s">
        <v>301</v>
      </c>
    </row>
    <row r="42" spans="5:5" x14ac:dyDescent="0.35">
      <c r="E42" s="59" t="s">
        <v>302</v>
      </c>
    </row>
    <row r="43" spans="5:5" x14ac:dyDescent="0.35">
      <c r="E43" s="59" t="s">
        <v>303</v>
      </c>
    </row>
    <row r="44" spans="5:5" x14ac:dyDescent="0.35">
      <c r="E44" s="59" t="s">
        <v>304</v>
      </c>
    </row>
    <row r="45" spans="5:5" x14ac:dyDescent="0.35">
      <c r="E45" s="59" t="s">
        <v>305</v>
      </c>
    </row>
    <row r="46" spans="5:5" x14ac:dyDescent="0.35">
      <c r="E46" s="59" t="s">
        <v>306</v>
      </c>
    </row>
    <row r="47" spans="5:5" x14ac:dyDescent="0.35">
      <c r="E47" s="59" t="s">
        <v>307</v>
      </c>
    </row>
    <row r="48" spans="5:5" x14ac:dyDescent="0.35">
      <c r="E48" s="59" t="s">
        <v>309</v>
      </c>
    </row>
    <row r="49" spans="5:5" x14ac:dyDescent="0.35">
      <c r="E49" s="59" t="s">
        <v>310</v>
      </c>
    </row>
    <row r="50" spans="5:5" x14ac:dyDescent="0.35">
      <c r="E50" s="1" t="s">
        <v>313</v>
      </c>
    </row>
    <row r="51" spans="5:5" x14ac:dyDescent="0.35">
      <c r="E51" s="1" t="s">
        <v>314</v>
      </c>
    </row>
    <row r="52" spans="5:5" x14ac:dyDescent="0.35">
      <c r="E52" s="1" t="s">
        <v>315</v>
      </c>
    </row>
    <row r="53" spans="5:5" x14ac:dyDescent="0.35">
      <c r="E53" s="1" t="s">
        <v>50</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O18"/>
  <sheetViews>
    <sheetView workbookViewId="0">
      <selection activeCell="A15" sqref="A15"/>
    </sheetView>
  </sheetViews>
  <sheetFormatPr defaultRowHeight="14.5" x14ac:dyDescent="0.35"/>
  <cols>
    <col min="1" max="1" width="30.7265625" bestFit="1" customWidth="1"/>
    <col min="2" max="2" width="26.1796875" style="3" customWidth="1"/>
    <col min="3" max="3" width="38.7265625" style="3" bestFit="1" customWidth="1"/>
    <col min="4" max="4" width="38.7265625" style="3" customWidth="1"/>
    <col min="5" max="5" width="16.7265625" bestFit="1" customWidth="1"/>
    <col min="6" max="6" width="11.1796875" bestFit="1" customWidth="1"/>
    <col min="7" max="7" width="12.26953125" bestFit="1" customWidth="1"/>
    <col min="8" max="8" width="15.1796875" bestFit="1" customWidth="1"/>
    <col min="9" max="9" width="10.453125" customWidth="1"/>
    <col min="10" max="15" width="11.453125" customWidth="1"/>
  </cols>
  <sheetData>
    <row r="1" spans="1:15" x14ac:dyDescent="0.35">
      <c r="A1" t="s">
        <v>88</v>
      </c>
      <c r="B1" s="3" t="s">
        <v>89</v>
      </c>
      <c r="C1" s="3" t="s">
        <v>90</v>
      </c>
      <c r="D1" s="3" t="s">
        <v>91</v>
      </c>
      <c r="E1" t="s">
        <v>92</v>
      </c>
      <c r="F1" t="s">
        <v>93</v>
      </c>
      <c r="G1" t="s">
        <v>94</v>
      </c>
      <c r="H1" t="s">
        <v>95</v>
      </c>
      <c r="I1" t="s">
        <v>96</v>
      </c>
      <c r="J1" t="s">
        <v>97</v>
      </c>
      <c r="K1" t="s">
        <v>98</v>
      </c>
      <c r="L1" t="s">
        <v>99</v>
      </c>
      <c r="M1" t="s">
        <v>100</v>
      </c>
      <c r="N1" t="s">
        <v>280</v>
      </c>
      <c r="O1" t="s">
        <v>101</v>
      </c>
    </row>
    <row r="2" spans="1:15" ht="38.5" x14ac:dyDescent="0.35">
      <c r="A2" t="s">
        <v>244</v>
      </c>
      <c r="B2" s="3" t="s">
        <v>2</v>
      </c>
      <c r="C2" s="4" t="s">
        <v>39</v>
      </c>
      <c r="D2" s="4" t="s">
        <v>40</v>
      </c>
      <c r="E2" s="4" t="s">
        <v>9</v>
      </c>
      <c r="F2" s="4" t="s">
        <v>41</v>
      </c>
      <c r="G2" s="4" t="s">
        <v>12</v>
      </c>
      <c r="H2" s="3" t="s">
        <v>83</v>
      </c>
      <c r="I2" s="3"/>
      <c r="J2" s="3"/>
      <c r="K2" s="3"/>
      <c r="L2" s="3"/>
      <c r="M2" s="3"/>
      <c r="N2" s="3"/>
      <c r="O2" s="3"/>
    </row>
    <row r="3" spans="1:15" x14ac:dyDescent="0.35">
      <c r="B3" s="3" t="s">
        <v>24</v>
      </c>
      <c r="C3" s="5" t="s">
        <v>31</v>
      </c>
      <c r="D3" s="5" t="s">
        <v>42</v>
      </c>
      <c r="E3" s="5" t="s">
        <v>43</v>
      </c>
      <c r="F3" s="5" t="s">
        <v>44</v>
      </c>
      <c r="G3" s="5" t="s">
        <v>45</v>
      </c>
      <c r="H3" s="5" t="s">
        <v>9</v>
      </c>
      <c r="I3" s="5" t="s">
        <v>46</v>
      </c>
      <c r="J3" s="5" t="s">
        <v>47</v>
      </c>
      <c r="K3" s="5" t="s">
        <v>48</v>
      </c>
      <c r="L3" s="3" t="s">
        <v>232</v>
      </c>
      <c r="M3" s="3"/>
      <c r="N3" s="3"/>
      <c r="O3" s="3"/>
    </row>
    <row r="4" spans="1:15" x14ac:dyDescent="0.35">
      <c r="B4" s="3" t="s">
        <v>71</v>
      </c>
      <c r="C4" s="5" t="s">
        <v>241</v>
      </c>
      <c r="D4" s="5" t="s">
        <v>83</v>
      </c>
      <c r="E4" s="5" t="s">
        <v>242</v>
      </c>
      <c r="F4" s="5"/>
      <c r="G4" s="5"/>
      <c r="H4" s="5"/>
      <c r="I4" s="5"/>
      <c r="J4" s="5"/>
      <c r="K4" s="5"/>
      <c r="L4" s="3"/>
      <c r="M4" s="3"/>
      <c r="N4" s="3"/>
      <c r="O4" s="3"/>
    </row>
    <row r="5" spans="1:15" x14ac:dyDescent="0.35">
      <c r="A5" t="s">
        <v>3</v>
      </c>
      <c r="B5" s="3" t="s">
        <v>3</v>
      </c>
      <c r="C5" s="5" t="s">
        <v>10</v>
      </c>
      <c r="D5" s="5" t="s">
        <v>177</v>
      </c>
      <c r="E5" s="5" t="s">
        <v>72</v>
      </c>
      <c r="F5" s="5" t="s">
        <v>73</v>
      </c>
      <c r="G5" s="5" t="s">
        <v>74</v>
      </c>
      <c r="H5" s="5" t="s">
        <v>75</v>
      </c>
      <c r="I5" s="5" t="s">
        <v>76</v>
      </c>
      <c r="J5" s="5" t="s">
        <v>77</v>
      </c>
      <c r="K5" s="5" t="s">
        <v>78</v>
      </c>
      <c r="L5" s="5" t="s">
        <v>79</v>
      </c>
      <c r="M5" s="3" t="s">
        <v>80</v>
      </c>
      <c r="N5" s="3" t="s">
        <v>81</v>
      </c>
      <c r="O5" s="3" t="s">
        <v>82</v>
      </c>
    </row>
    <row r="6" spans="1:15" x14ac:dyDescent="0.35">
      <c r="A6" t="s">
        <v>217</v>
      </c>
      <c r="B6" s="3" t="s">
        <v>217</v>
      </c>
    </row>
    <row r="11" spans="1:15" x14ac:dyDescent="0.35">
      <c r="A11" s="3" t="s">
        <v>2</v>
      </c>
      <c r="B11" s="3" t="s">
        <v>316</v>
      </c>
    </row>
    <row r="12" spans="1:15" x14ac:dyDescent="0.35">
      <c r="A12" s="3" t="s">
        <v>24</v>
      </c>
      <c r="B12" s="3" t="s">
        <v>317</v>
      </c>
    </row>
    <row r="13" spans="1:15" x14ac:dyDescent="0.35">
      <c r="A13" s="3" t="s">
        <v>71</v>
      </c>
      <c r="B13" s="3" t="s">
        <v>318</v>
      </c>
    </row>
    <row r="14" spans="1:15" x14ac:dyDescent="0.35">
      <c r="A14" s="3" t="s">
        <v>366</v>
      </c>
      <c r="B14" s="3" t="s">
        <v>318</v>
      </c>
    </row>
    <row r="15" spans="1:15" x14ac:dyDescent="0.35">
      <c r="A15" s="3" t="s">
        <v>276</v>
      </c>
      <c r="B15" s="3" t="s">
        <v>318</v>
      </c>
    </row>
    <row r="16" spans="1:15" x14ac:dyDescent="0.35">
      <c r="A16" s="3" t="s">
        <v>311</v>
      </c>
      <c r="B16" s="3" t="s">
        <v>318</v>
      </c>
    </row>
    <row r="17" spans="1:2" x14ac:dyDescent="0.35">
      <c r="A17" s="3" t="s">
        <v>312</v>
      </c>
      <c r="B17" s="3" t="s">
        <v>318</v>
      </c>
    </row>
    <row r="18" spans="1:2" x14ac:dyDescent="0.35">
      <c r="A18" s="3" t="s">
        <v>3</v>
      </c>
      <c r="B18" s="3" t="s">
        <v>319</v>
      </c>
    </row>
  </sheetData>
  <phoneticPr fontId="15"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109"/>
  <sheetViews>
    <sheetView topLeftCell="A6" workbookViewId="0">
      <selection activeCell="F49" sqref="F49"/>
    </sheetView>
  </sheetViews>
  <sheetFormatPr defaultRowHeight="14.5" x14ac:dyDescent="0.35"/>
  <cols>
    <col min="1" max="1" width="21.1796875" bestFit="1" customWidth="1"/>
    <col min="2" max="2" width="35.7265625" customWidth="1"/>
    <col min="3" max="6" width="10.453125" customWidth="1"/>
    <col min="7" max="7" width="20.54296875" bestFit="1" customWidth="1"/>
    <col min="8" max="9" width="10.453125" customWidth="1"/>
    <col min="10" max="18" width="11.453125" customWidth="1"/>
  </cols>
  <sheetData>
    <row r="1" spans="1:19" x14ac:dyDescent="0.35">
      <c r="A1" t="s">
        <v>88</v>
      </c>
      <c r="B1" s="3" t="s">
        <v>89</v>
      </c>
      <c r="C1" s="3" t="s">
        <v>90</v>
      </c>
      <c r="D1" s="3" t="s">
        <v>91</v>
      </c>
      <c r="E1" s="3" t="s">
        <v>92</v>
      </c>
      <c r="F1" s="3" t="s">
        <v>93</v>
      </c>
      <c r="G1" s="3" t="s">
        <v>94</v>
      </c>
      <c r="H1" s="3" t="s">
        <v>95</v>
      </c>
      <c r="I1" s="3" t="s">
        <v>96</v>
      </c>
      <c r="J1" s="3" t="s">
        <v>97</v>
      </c>
      <c r="K1" s="3" t="s">
        <v>98</v>
      </c>
      <c r="L1" s="3" t="s">
        <v>99</v>
      </c>
      <c r="M1" s="3" t="s">
        <v>100</v>
      </c>
      <c r="N1" s="3" t="s">
        <v>101</v>
      </c>
      <c r="O1" s="3" t="s">
        <v>102</v>
      </c>
      <c r="P1" s="3" t="s">
        <v>103</v>
      </c>
      <c r="Q1" s="3" t="s">
        <v>104</v>
      </c>
      <c r="R1" s="3" t="s">
        <v>105</v>
      </c>
      <c r="S1" s="3"/>
    </row>
    <row r="2" spans="1:19" x14ac:dyDescent="0.35">
      <c r="A2" t="s">
        <v>52</v>
      </c>
      <c r="B2" s="3" t="s">
        <v>69</v>
      </c>
      <c r="C2" s="3" t="s">
        <v>70</v>
      </c>
      <c r="D2" s="3" t="s">
        <v>68</v>
      </c>
      <c r="E2" s="3" t="s">
        <v>64</v>
      </c>
      <c r="F2" s="3" t="s">
        <v>65</v>
      </c>
      <c r="G2" s="3" t="s">
        <v>66</v>
      </c>
      <c r="H2" s="3" t="s">
        <v>67</v>
      </c>
      <c r="I2" s="11" t="s">
        <v>58</v>
      </c>
      <c r="J2" s="11" t="s">
        <v>59</v>
      </c>
      <c r="K2" s="11" t="s">
        <v>27</v>
      </c>
      <c r="L2" s="11" t="s">
        <v>11</v>
      </c>
      <c r="M2" s="3" t="s">
        <v>246</v>
      </c>
      <c r="N2" s="3" t="s">
        <v>28</v>
      </c>
      <c r="O2" s="3" t="s">
        <v>63</v>
      </c>
      <c r="P2" s="3" t="s">
        <v>62</v>
      </c>
      <c r="Q2" s="3" t="s">
        <v>61</v>
      </c>
      <c r="R2" s="3" t="s">
        <v>60</v>
      </c>
    </row>
    <row r="3" spans="1:19" x14ac:dyDescent="0.35">
      <c r="A3" t="s">
        <v>53</v>
      </c>
      <c r="B3" s="11" t="s">
        <v>58</v>
      </c>
      <c r="C3" s="11" t="s">
        <v>59</v>
      </c>
      <c r="D3" s="11" t="s">
        <v>27</v>
      </c>
      <c r="E3" s="11" t="s">
        <v>11</v>
      </c>
      <c r="F3" s="3" t="s">
        <v>246</v>
      </c>
      <c r="G3" s="3" t="s">
        <v>28</v>
      </c>
      <c r="H3" s="3" t="s">
        <v>63</v>
      </c>
      <c r="I3" s="3" t="s">
        <v>62</v>
      </c>
      <c r="J3" s="3" t="s">
        <v>61</v>
      </c>
      <c r="K3" s="3" t="s">
        <v>60</v>
      </c>
      <c r="L3" s="3"/>
    </row>
    <row r="4" spans="1:19" x14ac:dyDescent="0.35">
      <c r="A4" t="s">
        <v>54</v>
      </c>
      <c r="B4" s="3" t="s">
        <v>69</v>
      </c>
      <c r="C4" s="3" t="s">
        <v>70</v>
      </c>
      <c r="D4" s="3" t="s">
        <v>68</v>
      </c>
      <c r="E4" s="3" t="s">
        <v>64</v>
      </c>
      <c r="F4" s="3" t="s">
        <v>65</v>
      </c>
      <c r="G4" s="3" t="s">
        <v>66</v>
      </c>
      <c r="H4" s="3" t="s">
        <v>67</v>
      </c>
      <c r="I4" s="11" t="s">
        <v>58</v>
      </c>
      <c r="J4" s="11" t="s">
        <v>59</v>
      </c>
      <c r="K4" s="11" t="s">
        <v>27</v>
      </c>
      <c r="L4" s="11" t="s">
        <v>11</v>
      </c>
      <c r="M4" s="3" t="s">
        <v>246</v>
      </c>
      <c r="N4" s="3"/>
    </row>
    <row r="5" spans="1:19" x14ac:dyDescent="0.35">
      <c r="A5" t="s">
        <v>55</v>
      </c>
      <c r="B5" s="3" t="s">
        <v>69</v>
      </c>
      <c r="C5" s="3" t="s">
        <v>70</v>
      </c>
      <c r="D5" s="3" t="s">
        <v>68</v>
      </c>
      <c r="E5" s="3" t="s">
        <v>64</v>
      </c>
      <c r="F5" s="3" t="s">
        <v>65</v>
      </c>
      <c r="G5" s="3" t="s">
        <v>66</v>
      </c>
      <c r="H5" s="3" t="s">
        <v>67</v>
      </c>
      <c r="I5" s="3" t="s">
        <v>28</v>
      </c>
      <c r="J5" s="3" t="s">
        <v>63</v>
      </c>
      <c r="K5" s="3" t="s">
        <v>62</v>
      </c>
      <c r="L5" s="3" t="s">
        <v>61</v>
      </c>
      <c r="M5" s="3" t="s">
        <v>60</v>
      </c>
      <c r="N5" s="3"/>
    </row>
    <row r="6" spans="1:19" x14ac:dyDescent="0.35">
      <c r="A6" t="s">
        <v>56</v>
      </c>
      <c r="B6" s="11" t="s">
        <v>58</v>
      </c>
      <c r="C6" s="11" t="s">
        <v>59</v>
      </c>
      <c r="D6" s="11" t="s">
        <v>27</v>
      </c>
      <c r="E6" s="11" t="s">
        <v>11</v>
      </c>
      <c r="F6" s="3" t="s">
        <v>246</v>
      </c>
    </row>
    <row r="7" spans="1:19" x14ac:dyDescent="0.35">
      <c r="A7" t="s">
        <v>57</v>
      </c>
      <c r="B7" s="3" t="s">
        <v>28</v>
      </c>
      <c r="C7" s="3" t="s">
        <v>63</v>
      </c>
      <c r="D7" s="3" t="s">
        <v>62</v>
      </c>
      <c r="E7" s="3" t="s">
        <v>61</v>
      </c>
      <c r="F7" s="3" t="s">
        <v>60</v>
      </c>
    </row>
    <row r="8" spans="1:19" x14ac:dyDescent="0.35">
      <c r="A8" t="s">
        <v>3</v>
      </c>
      <c r="B8" s="3" t="s">
        <v>68</v>
      </c>
      <c r="C8" s="3" t="s">
        <v>69</v>
      </c>
      <c r="D8" s="3" t="s">
        <v>70</v>
      </c>
      <c r="E8" s="3" t="s">
        <v>67</v>
      </c>
      <c r="F8" s="3" t="s">
        <v>64</v>
      </c>
      <c r="G8" s="3" t="s">
        <v>65</v>
      </c>
      <c r="H8" s="3" t="s">
        <v>66</v>
      </c>
      <c r="I8" s="3"/>
      <c r="J8" s="3"/>
      <c r="K8" s="3"/>
    </row>
    <row r="9" spans="1:19" x14ac:dyDescent="0.35">
      <c r="A9" t="s">
        <v>33</v>
      </c>
      <c r="B9" s="3" t="s">
        <v>34</v>
      </c>
      <c r="C9" s="3" t="s">
        <v>109</v>
      </c>
      <c r="D9" s="3" t="s">
        <v>108</v>
      </c>
      <c r="E9" s="3" t="s">
        <v>110</v>
      </c>
      <c r="F9" s="3"/>
      <c r="G9" s="3"/>
      <c r="H9" s="3"/>
      <c r="I9" s="3"/>
    </row>
    <row r="10" spans="1:19" x14ac:dyDescent="0.35">
      <c r="A10" t="s">
        <v>133</v>
      </c>
      <c r="B10" s="3" t="s">
        <v>11</v>
      </c>
      <c r="C10" s="3" t="s">
        <v>246</v>
      </c>
      <c r="D10" s="3" t="s">
        <v>59</v>
      </c>
      <c r="E10" s="3" t="s">
        <v>58</v>
      </c>
      <c r="F10" s="3" t="s">
        <v>27</v>
      </c>
      <c r="G10" s="3"/>
      <c r="H10" s="3"/>
      <c r="I10" s="3"/>
    </row>
    <row r="11" spans="1:19" x14ac:dyDescent="0.35">
      <c r="B11" s="3"/>
      <c r="C11" s="3"/>
      <c r="D11" s="3"/>
      <c r="E11" s="3"/>
      <c r="F11" s="3"/>
      <c r="G11" s="3"/>
      <c r="H11" s="3"/>
      <c r="I11" s="3"/>
    </row>
    <row r="12" spans="1:19" x14ac:dyDescent="0.35">
      <c r="A12" t="s">
        <v>88</v>
      </c>
      <c r="B12" s="3" t="s">
        <v>89</v>
      </c>
      <c r="C12" s="3" t="s">
        <v>90</v>
      </c>
      <c r="D12" s="3" t="s">
        <v>91</v>
      </c>
      <c r="E12" s="3" t="s">
        <v>92</v>
      </c>
      <c r="F12" s="3" t="s">
        <v>93</v>
      </c>
      <c r="G12" s="3" t="s">
        <v>94</v>
      </c>
      <c r="H12" s="3" t="s">
        <v>95</v>
      </c>
      <c r="I12" s="3" t="s">
        <v>96</v>
      </c>
      <c r="J12" s="3" t="s">
        <v>97</v>
      </c>
      <c r="K12" s="3" t="s">
        <v>98</v>
      </c>
      <c r="L12" s="3" t="s">
        <v>99</v>
      </c>
      <c r="M12" s="3" t="s">
        <v>100</v>
      </c>
      <c r="N12" s="3" t="s">
        <v>101</v>
      </c>
      <c r="O12" s="3" t="s">
        <v>102</v>
      </c>
      <c r="P12" s="3" t="s">
        <v>103</v>
      </c>
      <c r="Q12" s="3" t="s">
        <v>104</v>
      </c>
      <c r="R12" s="3" t="s">
        <v>105</v>
      </c>
    </row>
    <row r="13" spans="1:19" x14ac:dyDescent="0.35">
      <c r="A13" t="s">
        <v>52</v>
      </c>
      <c r="B13" s="3" t="str">
        <f t="shared" ref="B13:Q19" si="0">IF(B2&lt;&gt;"","$/"&amp;B2, "")</f>
        <v>$/BTU</v>
      </c>
      <c r="C13" s="3" t="str">
        <f t="shared" si="0"/>
        <v>$/mmBTU</v>
      </c>
      <c r="D13" s="3" t="str">
        <f t="shared" si="0"/>
        <v>$/kWh</v>
      </c>
      <c r="E13" s="3" t="str">
        <f t="shared" si="0"/>
        <v>$/J</v>
      </c>
      <c r="F13" s="3" t="str">
        <f t="shared" si="0"/>
        <v>$/kJ</v>
      </c>
      <c r="G13" s="3" t="str">
        <f t="shared" si="0"/>
        <v>$/MJ</v>
      </c>
      <c r="H13" s="3" t="str">
        <f t="shared" si="0"/>
        <v>$/Wh</v>
      </c>
      <c r="I13" s="3" t="str">
        <f t="shared" si="0"/>
        <v>$/kg</v>
      </c>
      <c r="J13" s="3" t="str">
        <f t="shared" si="0"/>
        <v>$/lb</v>
      </c>
      <c r="K13" s="3" t="str">
        <f t="shared" si="0"/>
        <v>$/g</v>
      </c>
      <c r="L13" s="3" t="str">
        <f t="shared" si="0"/>
        <v>$/ton</v>
      </c>
      <c r="M13" s="3" t="str">
        <f t="shared" si="0"/>
        <v>$/metric ton</v>
      </c>
      <c r="N13" s="3" t="str">
        <f t="shared" si="0"/>
        <v>$/gal</v>
      </c>
      <c r="O13" s="3" t="str">
        <f t="shared" si="0"/>
        <v>$/ft3</v>
      </c>
      <c r="P13" s="3" t="str">
        <f t="shared" si="0"/>
        <v>$/L</v>
      </c>
      <c r="Q13" s="3" t="str">
        <f t="shared" si="0"/>
        <v>$/ml</v>
      </c>
      <c r="R13" s="3" t="str">
        <f t="shared" ref="C13:R20" si="1">IF(R2&lt;&gt;"","$/"&amp;R2, "")</f>
        <v>$/m3</v>
      </c>
    </row>
    <row r="14" spans="1:19" x14ac:dyDescent="0.35">
      <c r="A14" t="s">
        <v>53</v>
      </c>
      <c r="B14" s="3" t="str">
        <f t="shared" si="0"/>
        <v>$/kg</v>
      </c>
      <c r="C14" s="3" t="str">
        <f t="shared" si="1"/>
        <v>$/lb</v>
      </c>
      <c r="D14" s="3" t="str">
        <f t="shared" si="1"/>
        <v>$/g</v>
      </c>
      <c r="E14" s="3" t="str">
        <f t="shared" si="1"/>
        <v>$/ton</v>
      </c>
      <c r="F14" s="3" t="str">
        <f t="shared" si="1"/>
        <v>$/metric ton</v>
      </c>
      <c r="G14" s="3" t="str">
        <f t="shared" si="1"/>
        <v>$/gal</v>
      </c>
      <c r="H14" s="3" t="str">
        <f t="shared" si="1"/>
        <v>$/ft3</v>
      </c>
      <c r="I14" s="3" t="str">
        <f t="shared" si="1"/>
        <v>$/L</v>
      </c>
      <c r="J14" s="3" t="str">
        <f t="shared" si="1"/>
        <v>$/ml</v>
      </c>
      <c r="K14" s="3" t="str">
        <f t="shared" si="1"/>
        <v>$/m3</v>
      </c>
      <c r="L14" s="3" t="str">
        <f t="shared" si="1"/>
        <v/>
      </c>
      <c r="M14" s="3" t="str">
        <f t="shared" si="1"/>
        <v/>
      </c>
      <c r="N14" s="3" t="str">
        <f t="shared" si="1"/>
        <v/>
      </c>
      <c r="O14" s="3" t="str">
        <f t="shared" si="1"/>
        <v/>
      </c>
      <c r="P14" s="3" t="str">
        <f t="shared" si="1"/>
        <v/>
      </c>
      <c r="Q14" s="3" t="str">
        <f t="shared" si="1"/>
        <v/>
      </c>
      <c r="R14" s="3" t="str">
        <f t="shared" si="1"/>
        <v/>
      </c>
    </row>
    <row r="15" spans="1:19" x14ac:dyDescent="0.35">
      <c r="A15" t="s">
        <v>54</v>
      </c>
      <c r="B15" s="3" t="str">
        <f t="shared" si="0"/>
        <v>$/BTU</v>
      </c>
      <c r="C15" s="3" t="str">
        <f t="shared" si="1"/>
        <v>$/mmBTU</v>
      </c>
      <c r="D15" s="3" t="str">
        <f t="shared" si="1"/>
        <v>$/kWh</v>
      </c>
      <c r="E15" s="3" t="str">
        <f t="shared" si="1"/>
        <v>$/J</v>
      </c>
      <c r="F15" s="3" t="str">
        <f t="shared" si="1"/>
        <v>$/kJ</v>
      </c>
      <c r="G15" s="3" t="str">
        <f t="shared" si="1"/>
        <v>$/MJ</v>
      </c>
      <c r="H15" s="3" t="str">
        <f t="shared" si="1"/>
        <v>$/Wh</v>
      </c>
      <c r="I15" s="3" t="str">
        <f t="shared" si="1"/>
        <v>$/kg</v>
      </c>
      <c r="J15" s="3" t="str">
        <f t="shared" si="1"/>
        <v>$/lb</v>
      </c>
      <c r="K15" s="3" t="str">
        <f t="shared" si="1"/>
        <v>$/g</v>
      </c>
      <c r="L15" s="3" t="str">
        <f t="shared" si="1"/>
        <v>$/ton</v>
      </c>
      <c r="M15" s="3" t="str">
        <f t="shared" si="1"/>
        <v>$/metric ton</v>
      </c>
      <c r="N15" s="3" t="str">
        <f t="shared" si="1"/>
        <v/>
      </c>
      <c r="O15" s="3" t="str">
        <f t="shared" si="1"/>
        <v/>
      </c>
      <c r="P15" s="3" t="str">
        <f t="shared" si="1"/>
        <v/>
      </c>
      <c r="Q15" s="3" t="str">
        <f t="shared" si="1"/>
        <v/>
      </c>
      <c r="R15" s="3" t="str">
        <f t="shared" si="1"/>
        <v/>
      </c>
    </row>
    <row r="16" spans="1:19" x14ac:dyDescent="0.35">
      <c r="A16" t="s">
        <v>55</v>
      </c>
      <c r="B16" s="3" t="str">
        <f t="shared" si="0"/>
        <v>$/BTU</v>
      </c>
      <c r="C16" s="3" t="str">
        <f t="shared" si="1"/>
        <v>$/mmBTU</v>
      </c>
      <c r="D16" s="3" t="str">
        <f t="shared" si="1"/>
        <v>$/kWh</v>
      </c>
      <c r="E16" s="3" t="str">
        <f t="shared" si="1"/>
        <v>$/J</v>
      </c>
      <c r="F16" s="3" t="str">
        <f t="shared" si="1"/>
        <v>$/kJ</v>
      </c>
      <c r="G16" s="3" t="str">
        <f t="shared" si="1"/>
        <v>$/MJ</v>
      </c>
      <c r="H16" s="3" t="str">
        <f t="shared" si="1"/>
        <v>$/Wh</v>
      </c>
      <c r="I16" s="3" t="str">
        <f t="shared" si="1"/>
        <v>$/gal</v>
      </c>
      <c r="J16" s="3" t="str">
        <f t="shared" si="1"/>
        <v>$/ft3</v>
      </c>
      <c r="K16" s="3" t="str">
        <f t="shared" si="1"/>
        <v>$/L</v>
      </c>
      <c r="L16" s="3" t="str">
        <f t="shared" si="1"/>
        <v>$/ml</v>
      </c>
      <c r="M16" s="3" t="str">
        <f t="shared" si="1"/>
        <v>$/m3</v>
      </c>
      <c r="N16" s="3" t="str">
        <f t="shared" si="1"/>
        <v/>
      </c>
      <c r="O16" s="3" t="str">
        <f t="shared" si="1"/>
        <v/>
      </c>
      <c r="P16" s="3" t="str">
        <f t="shared" si="1"/>
        <v/>
      </c>
      <c r="Q16" s="3" t="str">
        <f t="shared" si="1"/>
        <v/>
      </c>
      <c r="R16" s="3" t="str">
        <f t="shared" si="1"/>
        <v/>
      </c>
    </row>
    <row r="17" spans="1:23" x14ac:dyDescent="0.35">
      <c r="A17" t="s">
        <v>56</v>
      </c>
      <c r="B17" s="3" t="str">
        <f t="shared" si="0"/>
        <v>$/kg</v>
      </c>
      <c r="C17" s="3" t="str">
        <f t="shared" si="1"/>
        <v>$/lb</v>
      </c>
      <c r="D17" s="3" t="str">
        <f t="shared" si="1"/>
        <v>$/g</v>
      </c>
      <c r="E17" s="3" t="str">
        <f t="shared" si="1"/>
        <v>$/ton</v>
      </c>
      <c r="F17" s="3" t="str">
        <f t="shared" si="1"/>
        <v>$/metric ton</v>
      </c>
      <c r="G17" s="3" t="str">
        <f t="shared" si="1"/>
        <v/>
      </c>
      <c r="H17" s="3" t="str">
        <f t="shared" si="1"/>
        <v/>
      </c>
      <c r="I17" s="3" t="str">
        <f t="shared" si="1"/>
        <v/>
      </c>
      <c r="J17" s="3" t="str">
        <f t="shared" si="1"/>
        <v/>
      </c>
      <c r="K17" s="3" t="str">
        <f t="shared" si="1"/>
        <v/>
      </c>
      <c r="L17" s="3" t="str">
        <f t="shared" si="1"/>
        <v/>
      </c>
      <c r="M17" s="3" t="str">
        <f t="shared" si="1"/>
        <v/>
      </c>
      <c r="N17" s="3" t="str">
        <f t="shared" si="1"/>
        <v/>
      </c>
      <c r="O17" s="3" t="str">
        <f t="shared" si="1"/>
        <v/>
      </c>
      <c r="P17" s="3" t="str">
        <f t="shared" si="1"/>
        <v/>
      </c>
      <c r="Q17" s="3" t="str">
        <f t="shared" si="1"/>
        <v/>
      </c>
      <c r="R17" s="3" t="str">
        <f t="shared" si="1"/>
        <v/>
      </c>
    </row>
    <row r="18" spans="1:23" x14ac:dyDescent="0.35">
      <c r="A18" t="s">
        <v>57</v>
      </c>
      <c r="B18" s="3" t="str">
        <f t="shared" si="0"/>
        <v>$/gal</v>
      </c>
      <c r="C18" s="3" t="str">
        <f t="shared" si="1"/>
        <v>$/ft3</v>
      </c>
      <c r="D18" s="3" t="str">
        <f t="shared" si="1"/>
        <v>$/L</v>
      </c>
      <c r="E18" s="3" t="str">
        <f t="shared" si="1"/>
        <v>$/ml</v>
      </c>
      <c r="F18" s="3" t="str">
        <f t="shared" si="1"/>
        <v>$/m3</v>
      </c>
      <c r="G18" s="3" t="str">
        <f t="shared" si="1"/>
        <v/>
      </c>
      <c r="H18" s="3" t="str">
        <f t="shared" si="1"/>
        <v/>
      </c>
      <c r="I18" s="3" t="str">
        <f t="shared" si="1"/>
        <v/>
      </c>
      <c r="J18" s="3" t="str">
        <f t="shared" si="1"/>
        <v/>
      </c>
      <c r="K18" s="3" t="str">
        <f t="shared" si="1"/>
        <v/>
      </c>
      <c r="L18" s="3" t="str">
        <f t="shared" si="1"/>
        <v/>
      </c>
      <c r="M18" s="3" t="str">
        <f t="shared" si="1"/>
        <v/>
      </c>
      <c r="N18" s="3" t="str">
        <f t="shared" si="1"/>
        <v/>
      </c>
      <c r="O18" s="3" t="str">
        <f t="shared" si="1"/>
        <v/>
      </c>
      <c r="P18" s="3" t="str">
        <f t="shared" si="1"/>
        <v/>
      </c>
      <c r="Q18" s="3" t="str">
        <f t="shared" si="1"/>
        <v/>
      </c>
      <c r="R18" s="3" t="str">
        <f t="shared" si="1"/>
        <v/>
      </c>
    </row>
    <row r="19" spans="1:23" x14ac:dyDescent="0.35">
      <c r="A19" t="s">
        <v>3</v>
      </c>
      <c r="B19" s="3" t="str">
        <f t="shared" si="0"/>
        <v>$/kWh</v>
      </c>
      <c r="C19" s="3" t="str">
        <f t="shared" si="1"/>
        <v>$/BTU</v>
      </c>
      <c r="D19" s="3" t="str">
        <f t="shared" si="1"/>
        <v>$/mmBTU</v>
      </c>
      <c r="E19" s="3" t="str">
        <f t="shared" si="1"/>
        <v>$/Wh</v>
      </c>
      <c r="F19" s="3" t="str">
        <f t="shared" si="1"/>
        <v>$/J</v>
      </c>
      <c r="G19" s="3" t="str">
        <f t="shared" si="1"/>
        <v>$/kJ</v>
      </c>
      <c r="H19" s="3" t="str">
        <f t="shared" si="1"/>
        <v>$/MJ</v>
      </c>
      <c r="I19" s="3" t="str">
        <f t="shared" si="1"/>
        <v/>
      </c>
      <c r="J19" s="3" t="str">
        <f t="shared" si="1"/>
        <v/>
      </c>
      <c r="K19" s="3" t="str">
        <f t="shared" si="1"/>
        <v/>
      </c>
      <c r="L19" s="3" t="str">
        <f t="shared" si="1"/>
        <v/>
      </c>
      <c r="M19" s="3" t="str">
        <f t="shared" si="1"/>
        <v/>
      </c>
      <c r="N19" s="3" t="str">
        <f t="shared" si="1"/>
        <v/>
      </c>
      <c r="O19" s="3" t="str">
        <f t="shared" si="1"/>
        <v/>
      </c>
      <c r="P19" s="3" t="str">
        <f t="shared" si="1"/>
        <v/>
      </c>
      <c r="Q19" s="3" t="str">
        <f t="shared" si="1"/>
        <v/>
      </c>
      <c r="R19" s="3" t="str">
        <f t="shared" si="1"/>
        <v/>
      </c>
    </row>
    <row r="20" spans="1:23" x14ac:dyDescent="0.35">
      <c r="A20" t="s">
        <v>33</v>
      </c>
      <c r="B20" s="3"/>
      <c r="C20" s="3"/>
      <c r="D20" s="3"/>
      <c r="E20" s="3"/>
      <c r="F20" s="3" t="str">
        <f t="shared" si="1"/>
        <v/>
      </c>
      <c r="G20" s="3" t="str">
        <f t="shared" si="1"/>
        <v/>
      </c>
      <c r="H20" s="3" t="str">
        <f t="shared" si="1"/>
        <v/>
      </c>
      <c r="I20" s="3" t="str">
        <f t="shared" si="1"/>
        <v/>
      </c>
      <c r="J20" s="3" t="str">
        <f t="shared" si="1"/>
        <v/>
      </c>
      <c r="K20" s="3" t="str">
        <f t="shared" si="1"/>
        <v/>
      </c>
      <c r="L20" s="3" t="str">
        <f t="shared" si="1"/>
        <v/>
      </c>
      <c r="M20" s="3" t="str">
        <f t="shared" si="1"/>
        <v/>
      </c>
      <c r="N20" s="3" t="str">
        <f t="shared" si="1"/>
        <v/>
      </c>
      <c r="O20" s="3" t="str">
        <f t="shared" si="1"/>
        <v/>
      </c>
      <c r="P20" s="3" t="str">
        <f t="shared" si="1"/>
        <v/>
      </c>
      <c r="Q20" s="3" t="str">
        <f t="shared" si="1"/>
        <v/>
      </c>
      <c r="R20" s="3" t="str">
        <f t="shared" si="1"/>
        <v/>
      </c>
    </row>
    <row r="21" spans="1:23" x14ac:dyDescent="0.35">
      <c r="B21" s="3"/>
      <c r="C21" s="3"/>
      <c r="D21" s="3"/>
      <c r="E21" s="3"/>
      <c r="F21" s="3"/>
      <c r="G21" s="3"/>
      <c r="H21" s="3"/>
      <c r="I21" s="3"/>
    </row>
    <row r="22" spans="1:23" x14ac:dyDescent="0.35">
      <c r="A22" s="9" t="s">
        <v>88</v>
      </c>
      <c r="B22" s="9" t="s">
        <v>89</v>
      </c>
      <c r="C22" s="10" t="s">
        <v>90</v>
      </c>
    </row>
    <row r="23" spans="1:23" x14ac:dyDescent="0.35">
      <c r="B23" t="s">
        <v>88</v>
      </c>
      <c r="C23" s="3" t="s">
        <v>89</v>
      </c>
      <c r="G23" s="3"/>
      <c r="H23" s="3"/>
      <c r="I23" s="3"/>
      <c r="J23" s="3"/>
      <c r="K23" s="3"/>
      <c r="L23" s="3"/>
      <c r="M23" s="3"/>
      <c r="N23" s="3"/>
      <c r="O23" s="3"/>
      <c r="P23" s="3"/>
      <c r="Q23" s="3"/>
      <c r="R23" s="3"/>
      <c r="S23" s="3"/>
      <c r="T23" s="3"/>
      <c r="U23" s="3"/>
      <c r="V23" s="3"/>
      <c r="W23" s="3"/>
    </row>
    <row r="24" spans="1:23" x14ac:dyDescent="0.35">
      <c r="A24" s="2" t="s">
        <v>38</v>
      </c>
      <c r="B24" t="s">
        <v>32</v>
      </c>
      <c r="C24" s="3" t="s">
        <v>56</v>
      </c>
      <c r="G24" s="3"/>
      <c r="H24" s="3"/>
      <c r="I24" s="3"/>
      <c r="J24" s="3"/>
    </row>
    <row r="25" spans="1:23" x14ac:dyDescent="0.35">
      <c r="A25" s="2"/>
      <c r="B25" t="s">
        <v>287</v>
      </c>
      <c r="C25" s="3" t="s">
        <v>56</v>
      </c>
      <c r="G25" s="3"/>
      <c r="H25" s="3"/>
      <c r="I25" s="3"/>
      <c r="J25" s="3"/>
    </row>
    <row r="26" spans="1:23" x14ac:dyDescent="0.35">
      <c r="A26" s="2" t="s">
        <v>230</v>
      </c>
      <c r="B26" t="s">
        <v>231</v>
      </c>
      <c r="C26" s="3" t="s">
        <v>56</v>
      </c>
      <c r="F26" t="s">
        <v>2</v>
      </c>
      <c r="G26" s="3" t="s">
        <v>330</v>
      </c>
      <c r="H26" s="3"/>
      <c r="I26" s="3"/>
      <c r="J26" s="3"/>
    </row>
    <row r="27" spans="1:23" x14ac:dyDescent="0.35">
      <c r="A27" s="2" t="s">
        <v>244</v>
      </c>
      <c r="B27" t="s">
        <v>2</v>
      </c>
      <c r="C27" t="s">
        <v>52</v>
      </c>
      <c r="F27" s="1" t="s">
        <v>24</v>
      </c>
      <c r="G27" s="3" t="s">
        <v>330</v>
      </c>
    </row>
    <row r="28" spans="1:23" x14ac:dyDescent="0.35">
      <c r="A28" s="2"/>
      <c r="B28" t="s">
        <v>3</v>
      </c>
      <c r="C28" t="s">
        <v>3</v>
      </c>
      <c r="F28" s="1" t="s">
        <v>22</v>
      </c>
      <c r="G28" s="3" t="s">
        <v>330</v>
      </c>
    </row>
    <row r="29" spans="1:23" x14ac:dyDescent="0.35">
      <c r="A29" s="2"/>
      <c r="B29" s="1" t="s">
        <v>24</v>
      </c>
      <c r="C29" t="s">
        <v>52</v>
      </c>
      <c r="F29" s="1" t="s">
        <v>308</v>
      </c>
      <c r="G29" s="3" t="s">
        <v>330</v>
      </c>
      <c r="H29" s="3"/>
      <c r="I29" s="3"/>
      <c r="J29" s="3"/>
      <c r="K29" s="3"/>
      <c r="L29" s="3"/>
    </row>
    <row r="30" spans="1:23" x14ac:dyDescent="0.35">
      <c r="A30" s="2"/>
      <c r="B30" s="1" t="s">
        <v>22</v>
      </c>
      <c r="C30" t="s">
        <v>52</v>
      </c>
      <c r="F30" s="1" t="s">
        <v>71</v>
      </c>
      <c r="G30" s="3" t="s">
        <v>330</v>
      </c>
      <c r="H30" s="3"/>
      <c r="I30" s="3"/>
      <c r="J30" s="3"/>
      <c r="K30" s="3"/>
      <c r="L30" s="3"/>
    </row>
    <row r="31" spans="1:23" x14ac:dyDescent="0.35">
      <c r="A31" s="2"/>
      <c r="B31" s="1" t="s">
        <v>308</v>
      </c>
      <c r="C31" t="s">
        <v>52</v>
      </c>
      <c r="F31" s="1" t="s">
        <v>366</v>
      </c>
      <c r="G31" s="3" t="s">
        <v>330</v>
      </c>
      <c r="H31" s="3"/>
      <c r="I31" s="3"/>
      <c r="J31" s="3"/>
      <c r="K31" s="3"/>
      <c r="L31" s="3"/>
    </row>
    <row r="32" spans="1:23" x14ac:dyDescent="0.35">
      <c r="A32" s="2"/>
      <c r="B32" s="1" t="s">
        <v>71</v>
      </c>
      <c r="C32" t="s">
        <v>52</v>
      </c>
      <c r="F32" s="1" t="s">
        <v>276</v>
      </c>
      <c r="G32" s="3" t="s">
        <v>330</v>
      </c>
      <c r="H32" s="3"/>
      <c r="I32" s="3"/>
      <c r="J32" s="3"/>
      <c r="K32" s="3"/>
      <c r="L32" s="3"/>
    </row>
    <row r="33" spans="1:7" x14ac:dyDescent="0.35">
      <c r="A33" s="2"/>
      <c r="B33" s="1" t="s">
        <v>366</v>
      </c>
      <c r="C33" t="s">
        <v>52</v>
      </c>
      <c r="F33" t="s">
        <v>311</v>
      </c>
      <c r="G33" s="3" t="s">
        <v>330</v>
      </c>
    </row>
    <row r="34" spans="1:7" x14ac:dyDescent="0.35">
      <c r="A34" s="2"/>
      <c r="B34" s="1" t="s">
        <v>276</v>
      </c>
      <c r="C34" t="s">
        <v>52</v>
      </c>
      <c r="F34" t="s">
        <v>312</v>
      </c>
      <c r="G34" s="3" t="s">
        <v>330</v>
      </c>
    </row>
    <row r="35" spans="1:7" x14ac:dyDescent="0.35">
      <c r="A35" s="2"/>
      <c r="B35" t="s">
        <v>311</v>
      </c>
      <c r="C35" t="s">
        <v>52</v>
      </c>
      <c r="F35" s="1" t="s">
        <v>87</v>
      </c>
      <c r="G35" s="3" t="s">
        <v>330</v>
      </c>
    </row>
    <row r="36" spans="1:7" x14ac:dyDescent="0.35">
      <c r="A36" s="2"/>
      <c r="B36" t="s">
        <v>312</v>
      </c>
      <c r="C36" t="s">
        <v>52</v>
      </c>
      <c r="F36" t="s">
        <v>29</v>
      </c>
      <c r="G36" s="3" t="s">
        <v>331</v>
      </c>
    </row>
    <row r="37" spans="1:7" x14ac:dyDescent="0.35">
      <c r="A37" s="2"/>
      <c r="B37" s="1" t="s">
        <v>87</v>
      </c>
      <c r="C37" t="s">
        <v>52</v>
      </c>
      <c r="G37" s="3"/>
    </row>
    <row r="38" spans="1:7" x14ac:dyDescent="0.35">
      <c r="A38" s="2" t="s">
        <v>37</v>
      </c>
      <c r="B38" t="s">
        <v>13</v>
      </c>
      <c r="C38" t="s">
        <v>56</v>
      </c>
    </row>
    <row r="39" spans="1:7" x14ac:dyDescent="0.35">
      <c r="A39" s="2"/>
      <c r="B39" s="1" t="s">
        <v>14</v>
      </c>
      <c r="C39" t="s">
        <v>56</v>
      </c>
    </row>
    <row r="40" spans="1:7" x14ac:dyDescent="0.35">
      <c r="A40" s="2"/>
      <c r="B40" s="1" t="s">
        <v>15</v>
      </c>
      <c r="C40" t="s">
        <v>56</v>
      </c>
    </row>
    <row r="41" spans="1:7" x14ac:dyDescent="0.35">
      <c r="A41" s="2"/>
      <c r="B41" s="1" t="s">
        <v>16</v>
      </c>
      <c r="C41" t="s">
        <v>56</v>
      </c>
    </row>
    <row r="42" spans="1:7" x14ac:dyDescent="0.35">
      <c r="A42" s="2"/>
      <c r="B42" s="1" t="s">
        <v>17</v>
      </c>
      <c r="C42" t="s">
        <v>56</v>
      </c>
    </row>
    <row r="43" spans="1:7" x14ac:dyDescent="0.35">
      <c r="A43" s="2"/>
      <c r="B43" s="1" t="s">
        <v>18</v>
      </c>
      <c r="C43" t="s">
        <v>56</v>
      </c>
    </row>
    <row r="44" spans="1:7" x14ac:dyDescent="0.35">
      <c r="A44" s="2"/>
      <c r="B44" s="1" t="s">
        <v>19</v>
      </c>
      <c r="C44" t="s">
        <v>56</v>
      </c>
    </row>
    <row r="45" spans="1:7" x14ac:dyDescent="0.35">
      <c r="A45" s="2"/>
      <c r="B45" s="1" t="s">
        <v>20</v>
      </c>
      <c r="C45" t="s">
        <v>56</v>
      </c>
    </row>
    <row r="46" spans="1:7" x14ac:dyDescent="0.35">
      <c r="A46" s="2"/>
      <c r="B46" s="1" t="s">
        <v>21</v>
      </c>
      <c r="C46" t="s">
        <v>56</v>
      </c>
    </row>
    <row r="47" spans="1:7" x14ac:dyDescent="0.35">
      <c r="A47" s="2"/>
      <c r="B47" s="1" t="s">
        <v>106</v>
      </c>
      <c r="C47" t="s">
        <v>56</v>
      </c>
    </row>
    <row r="48" spans="1:7" x14ac:dyDescent="0.35">
      <c r="A48" s="2"/>
      <c r="B48" s="1" t="s">
        <v>36</v>
      </c>
      <c r="C48" t="s">
        <v>56</v>
      </c>
    </row>
    <row r="49" spans="1:3" x14ac:dyDescent="0.35">
      <c r="A49" s="2"/>
      <c r="B49" s="1" t="s">
        <v>23</v>
      </c>
      <c r="C49" t="s">
        <v>56</v>
      </c>
    </row>
    <row r="50" spans="1:3" x14ac:dyDescent="0.35">
      <c r="A50" s="2"/>
      <c r="B50" s="1" t="s">
        <v>25</v>
      </c>
      <c r="C50" t="s">
        <v>56</v>
      </c>
    </row>
    <row r="51" spans="1:3" x14ac:dyDescent="0.35">
      <c r="A51" s="2"/>
      <c r="B51" t="s">
        <v>26</v>
      </c>
      <c r="C51" t="s">
        <v>56</v>
      </c>
    </row>
    <row r="52" spans="1:3" x14ac:dyDescent="0.35">
      <c r="A52" s="2"/>
      <c r="B52" t="s">
        <v>30</v>
      </c>
      <c r="C52" t="s">
        <v>56</v>
      </c>
    </row>
    <row r="53" spans="1:3" x14ac:dyDescent="0.35">
      <c r="B53" t="s">
        <v>21</v>
      </c>
      <c r="C53" t="s">
        <v>56</v>
      </c>
    </row>
    <row r="54" spans="1:3" x14ac:dyDescent="0.35">
      <c r="B54" t="s">
        <v>20</v>
      </c>
      <c r="C54" t="s">
        <v>56</v>
      </c>
    </row>
    <row r="55" spans="1:3" x14ac:dyDescent="0.35">
      <c r="B55" t="s">
        <v>36</v>
      </c>
      <c r="C55" t="s">
        <v>56</v>
      </c>
    </row>
    <row r="56" spans="1:3" x14ac:dyDescent="0.35">
      <c r="B56" t="s">
        <v>25</v>
      </c>
      <c r="C56" t="s">
        <v>56</v>
      </c>
    </row>
    <row r="57" spans="1:3" x14ac:dyDescent="0.35">
      <c r="B57" t="s">
        <v>51</v>
      </c>
      <c r="C57" t="s">
        <v>56</v>
      </c>
    </row>
    <row r="58" spans="1:3" x14ac:dyDescent="0.35">
      <c r="B58" t="s">
        <v>233</v>
      </c>
      <c r="C58" t="s">
        <v>56</v>
      </c>
    </row>
    <row r="59" spans="1:3" x14ac:dyDescent="0.35">
      <c r="B59" t="s">
        <v>234</v>
      </c>
      <c r="C59" t="s">
        <v>56</v>
      </c>
    </row>
    <row r="60" spans="1:3" x14ac:dyDescent="0.35">
      <c r="B60" t="s">
        <v>50</v>
      </c>
      <c r="C60" t="s">
        <v>56</v>
      </c>
    </row>
    <row r="61" spans="1:3" x14ac:dyDescent="0.35">
      <c r="B61" t="s">
        <v>235</v>
      </c>
      <c r="C61" t="s">
        <v>56</v>
      </c>
    </row>
    <row r="62" spans="1:3" x14ac:dyDescent="0.35">
      <c r="B62" t="s">
        <v>236</v>
      </c>
      <c r="C62" t="s">
        <v>56</v>
      </c>
    </row>
    <row r="63" spans="1:3" x14ac:dyDescent="0.35">
      <c r="B63" t="s">
        <v>237</v>
      </c>
      <c r="C63" t="s">
        <v>56</v>
      </c>
    </row>
    <row r="64" spans="1:3" x14ac:dyDescent="0.35">
      <c r="B64" s="52" t="s">
        <v>286</v>
      </c>
      <c r="C64" s="52" t="s">
        <v>56</v>
      </c>
    </row>
    <row r="65" spans="2:3" x14ac:dyDescent="0.35">
      <c r="B65" s="54" t="s">
        <v>15</v>
      </c>
      <c r="C65" s="52" t="s">
        <v>56</v>
      </c>
    </row>
    <row r="66" spans="2:3" x14ac:dyDescent="0.35">
      <c r="B66" s="54" t="s">
        <v>289</v>
      </c>
      <c r="C66" s="52" t="s">
        <v>56</v>
      </c>
    </row>
    <row r="67" spans="2:3" x14ac:dyDescent="0.35">
      <c r="B67" s="55" t="s">
        <v>290</v>
      </c>
      <c r="C67" s="52" t="s">
        <v>56</v>
      </c>
    </row>
    <row r="68" spans="2:3" x14ac:dyDescent="0.35">
      <c r="B68" s="55" t="s">
        <v>291</v>
      </c>
      <c r="C68" s="52" t="s">
        <v>56</v>
      </c>
    </row>
    <row r="69" spans="2:3" x14ac:dyDescent="0.35">
      <c r="B69" s="56" t="s">
        <v>292</v>
      </c>
      <c r="C69" s="52" t="s">
        <v>56</v>
      </c>
    </row>
    <row r="70" spans="2:3" x14ac:dyDescent="0.35">
      <c r="B70" s="56" t="s">
        <v>293</v>
      </c>
      <c r="C70" s="52" t="s">
        <v>56</v>
      </c>
    </row>
    <row r="71" spans="2:3" x14ac:dyDescent="0.35">
      <c r="B71" s="56" t="s">
        <v>294</v>
      </c>
      <c r="C71" s="52" t="s">
        <v>56</v>
      </c>
    </row>
    <row r="72" spans="2:3" x14ac:dyDescent="0.35">
      <c r="B72" s="56" t="s">
        <v>295</v>
      </c>
      <c r="C72" s="52" t="s">
        <v>56</v>
      </c>
    </row>
    <row r="73" spans="2:3" x14ac:dyDescent="0.35">
      <c r="B73" s="56" t="s">
        <v>296</v>
      </c>
      <c r="C73" s="52" t="s">
        <v>56</v>
      </c>
    </row>
    <row r="74" spans="2:3" x14ac:dyDescent="0.35">
      <c r="B74" s="56" t="s">
        <v>297</v>
      </c>
      <c r="C74" s="52" t="s">
        <v>56</v>
      </c>
    </row>
    <row r="75" spans="2:3" x14ac:dyDescent="0.35">
      <c r="B75" s="56" t="s">
        <v>298</v>
      </c>
      <c r="C75" s="52" t="s">
        <v>56</v>
      </c>
    </row>
    <row r="76" spans="2:3" x14ac:dyDescent="0.35">
      <c r="B76" s="56" t="s">
        <v>299</v>
      </c>
      <c r="C76" s="52" t="s">
        <v>56</v>
      </c>
    </row>
    <row r="77" spans="2:3" x14ac:dyDescent="0.35">
      <c r="B77" s="56" t="s">
        <v>300</v>
      </c>
      <c r="C77" s="52" t="s">
        <v>56</v>
      </c>
    </row>
    <row r="78" spans="2:3" x14ac:dyDescent="0.35">
      <c r="B78" s="56" t="s">
        <v>301</v>
      </c>
      <c r="C78" s="52" t="s">
        <v>56</v>
      </c>
    </row>
    <row r="79" spans="2:3" x14ac:dyDescent="0.35">
      <c r="B79" s="56" t="s">
        <v>302</v>
      </c>
      <c r="C79" s="52" t="s">
        <v>56</v>
      </c>
    </row>
    <row r="80" spans="2:3" x14ac:dyDescent="0.35">
      <c r="B80" s="56" t="s">
        <v>303</v>
      </c>
      <c r="C80" s="52" t="s">
        <v>56</v>
      </c>
    </row>
    <row r="81" spans="1:3" x14ac:dyDescent="0.35">
      <c r="B81" s="56" t="s">
        <v>304</v>
      </c>
      <c r="C81" s="52" t="s">
        <v>56</v>
      </c>
    </row>
    <row r="82" spans="1:3" x14ac:dyDescent="0.35">
      <c r="B82" s="56" t="s">
        <v>305</v>
      </c>
      <c r="C82" s="52" t="s">
        <v>56</v>
      </c>
    </row>
    <row r="83" spans="1:3" x14ac:dyDescent="0.35">
      <c r="B83" s="56" t="s">
        <v>306</v>
      </c>
      <c r="C83" s="52" t="s">
        <v>56</v>
      </c>
    </row>
    <row r="84" spans="1:3" x14ac:dyDescent="0.35">
      <c r="B84" s="56" t="s">
        <v>307</v>
      </c>
      <c r="C84" s="52" t="s">
        <v>56</v>
      </c>
    </row>
    <row r="85" spans="1:3" x14ac:dyDescent="0.35">
      <c r="B85" s="52" t="s">
        <v>309</v>
      </c>
      <c r="C85" s="52" t="s">
        <v>56</v>
      </c>
    </row>
    <row r="86" spans="1:3" x14ac:dyDescent="0.35">
      <c r="B86" s="52" t="s">
        <v>310</v>
      </c>
      <c r="C86" s="52" t="s">
        <v>56</v>
      </c>
    </row>
    <row r="87" spans="1:3" x14ac:dyDescent="0.35">
      <c r="B87" s="52" t="s">
        <v>313</v>
      </c>
      <c r="C87" s="52" t="s">
        <v>56</v>
      </c>
    </row>
    <row r="88" spans="1:3" x14ac:dyDescent="0.35">
      <c r="B88" s="52" t="s">
        <v>314</v>
      </c>
      <c r="C88" s="52" t="s">
        <v>56</v>
      </c>
    </row>
    <row r="89" spans="1:3" x14ac:dyDescent="0.35">
      <c r="B89" s="52" t="s">
        <v>315</v>
      </c>
      <c r="C89" s="52" t="s">
        <v>56</v>
      </c>
    </row>
    <row r="90" spans="1:3" x14ac:dyDescent="0.35">
      <c r="B90" t="s">
        <v>238</v>
      </c>
      <c r="C90" t="s">
        <v>56</v>
      </c>
    </row>
    <row r="91" spans="1:3" s="52" customFormat="1" x14ac:dyDescent="0.35">
      <c r="A91" s="53" t="s">
        <v>281</v>
      </c>
      <c r="B91" s="52" t="s">
        <v>282</v>
      </c>
      <c r="C91" s="52" t="s">
        <v>56</v>
      </c>
    </row>
    <row r="92" spans="1:3" s="52" customFormat="1" x14ac:dyDescent="0.35">
      <c r="B92" s="52" t="s">
        <v>283</v>
      </c>
      <c r="C92" s="52" t="s">
        <v>56</v>
      </c>
    </row>
    <row r="93" spans="1:3" s="52" customFormat="1" x14ac:dyDescent="0.35">
      <c r="B93" s="52" t="s">
        <v>284</v>
      </c>
      <c r="C93" s="52" t="s">
        <v>56</v>
      </c>
    </row>
    <row r="94" spans="1:3" s="52" customFormat="1" x14ac:dyDescent="0.35">
      <c r="B94" s="52" t="s">
        <v>285</v>
      </c>
      <c r="C94" s="52" t="s">
        <v>56</v>
      </c>
    </row>
    <row r="95" spans="1:3" x14ac:dyDescent="0.35">
      <c r="A95" s="2" t="s">
        <v>245</v>
      </c>
      <c r="B95" t="s">
        <v>218</v>
      </c>
      <c r="C95" t="s">
        <v>56</v>
      </c>
    </row>
    <row r="96" spans="1:3" x14ac:dyDescent="0.35">
      <c r="B96" t="s">
        <v>219</v>
      </c>
      <c r="C96" t="s">
        <v>56</v>
      </c>
    </row>
    <row r="97" spans="1:3" x14ac:dyDescent="0.35">
      <c r="B97" t="s">
        <v>220</v>
      </c>
      <c r="C97" t="s">
        <v>56</v>
      </c>
    </row>
    <row r="98" spans="1:3" x14ac:dyDescent="0.35">
      <c r="B98" t="s">
        <v>221</v>
      </c>
      <c r="C98" t="s">
        <v>56</v>
      </c>
    </row>
    <row r="99" spans="1:3" x14ac:dyDescent="0.35">
      <c r="B99" t="s">
        <v>222</v>
      </c>
      <c r="C99" t="s">
        <v>56</v>
      </c>
    </row>
    <row r="100" spans="1:3" x14ac:dyDescent="0.35">
      <c r="B100" t="s">
        <v>223</v>
      </c>
      <c r="C100" t="s">
        <v>56</v>
      </c>
    </row>
    <row r="101" spans="1:3" x14ac:dyDescent="0.35">
      <c r="B101" t="s">
        <v>224</v>
      </c>
      <c r="C101" t="s">
        <v>56</v>
      </c>
    </row>
    <row r="102" spans="1:3" x14ac:dyDescent="0.35">
      <c r="B102" t="s">
        <v>225</v>
      </c>
      <c r="C102" t="s">
        <v>56</v>
      </c>
    </row>
    <row r="103" spans="1:3" x14ac:dyDescent="0.35">
      <c r="B103" t="s">
        <v>226</v>
      </c>
      <c r="C103" t="s">
        <v>56</v>
      </c>
    </row>
    <row r="104" spans="1:3" x14ac:dyDescent="0.35">
      <c r="B104" t="s">
        <v>227</v>
      </c>
      <c r="C104" t="s">
        <v>56</v>
      </c>
    </row>
    <row r="105" spans="1:3" x14ac:dyDescent="0.35">
      <c r="B105" t="s">
        <v>228</v>
      </c>
      <c r="C105" t="s">
        <v>56</v>
      </c>
    </row>
    <row r="106" spans="1:3" x14ac:dyDescent="0.35">
      <c r="B106" t="s">
        <v>229</v>
      </c>
      <c r="C106" t="s">
        <v>56</v>
      </c>
    </row>
    <row r="107" spans="1:3" x14ac:dyDescent="0.35">
      <c r="A107" s="2" t="s">
        <v>217</v>
      </c>
      <c r="B107" t="s">
        <v>239</v>
      </c>
      <c r="C107" t="s">
        <v>56</v>
      </c>
    </row>
    <row r="108" spans="1:3" x14ac:dyDescent="0.35">
      <c r="A108" s="2"/>
      <c r="B108" t="s">
        <v>243</v>
      </c>
      <c r="C108" t="s">
        <v>56</v>
      </c>
    </row>
    <row r="109" spans="1:3" x14ac:dyDescent="0.35">
      <c r="A109" s="2" t="s">
        <v>29</v>
      </c>
      <c r="B109" t="s">
        <v>29</v>
      </c>
      <c r="C109" t="s">
        <v>53</v>
      </c>
    </row>
  </sheetData>
  <phoneticPr fontId="15" type="noConversion"/>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C19" sqref="C19"/>
    </sheetView>
  </sheetViews>
  <sheetFormatPr defaultRowHeight="14.5" x14ac:dyDescent="0.35"/>
  <cols>
    <col min="1" max="1" width="12.1796875" bestFit="1" customWidth="1"/>
    <col min="2" max="2" width="26.453125" bestFit="1" customWidth="1"/>
  </cols>
  <sheetData>
    <row r="1" spans="1:4" x14ac:dyDescent="0.35">
      <c r="A1" s="2" t="s">
        <v>112</v>
      </c>
      <c r="B1" s="2" t="s">
        <v>6</v>
      </c>
      <c r="C1" s="2" t="s">
        <v>123</v>
      </c>
      <c r="D1" s="2" t="s">
        <v>125</v>
      </c>
    </row>
    <row r="2" spans="1:4" x14ac:dyDescent="0.35">
      <c r="B2" t="s">
        <v>0</v>
      </c>
      <c r="D2" t="s">
        <v>126</v>
      </c>
    </row>
    <row r="3" spans="1:4" x14ac:dyDescent="0.35">
      <c r="A3" t="s">
        <v>86</v>
      </c>
      <c r="B3" t="s">
        <v>257</v>
      </c>
      <c r="C3" t="s">
        <v>124</v>
      </c>
      <c r="D3" t="s">
        <v>130</v>
      </c>
    </row>
    <row r="4" spans="1:4" x14ac:dyDescent="0.35">
      <c r="A4" t="s">
        <v>113</v>
      </c>
      <c r="B4" t="s">
        <v>113</v>
      </c>
      <c r="C4" t="s">
        <v>114</v>
      </c>
      <c r="D4" t="s">
        <v>131</v>
      </c>
    </row>
    <row r="5" spans="1:4" x14ac:dyDescent="0.35">
      <c r="A5" t="s">
        <v>85</v>
      </c>
      <c r="B5" t="s">
        <v>85</v>
      </c>
      <c r="D5" t="s">
        <v>132</v>
      </c>
    </row>
    <row r="6" spans="1:4" x14ac:dyDescent="0.35">
      <c r="B6" t="s">
        <v>240</v>
      </c>
      <c r="D6" t="s">
        <v>127</v>
      </c>
    </row>
    <row r="7" spans="1:4" x14ac:dyDescent="0.35">
      <c r="D7" t="s">
        <v>128</v>
      </c>
    </row>
    <row r="8" spans="1:4" x14ac:dyDescent="0.35">
      <c r="D8" t="s">
        <v>129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5081E-293E-4AC2-8258-8CB554B67B55}">
  <sheetPr codeName="Sheet9"/>
  <dimension ref="A1:T100"/>
  <sheetViews>
    <sheetView workbookViewId="0">
      <pane ySplit="5" topLeftCell="A6" activePane="bottomLeft" state="frozen"/>
      <selection activeCell="C19" sqref="C19"/>
      <selection pane="bottomLeft" activeCell="E16" sqref="E16"/>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0</v>
      </c>
      <c r="B6" s="6" t="s">
        <v>38</v>
      </c>
      <c r="C6" s="6" t="s">
        <v>32</v>
      </c>
      <c r="D6" s="6" t="s">
        <v>336</v>
      </c>
      <c r="E6" s="60">
        <v>1</v>
      </c>
      <c r="F6" s="6" t="s">
        <v>11</v>
      </c>
      <c r="G6" s="25"/>
      <c r="H6" s="25"/>
      <c r="I6" s="26" t="str">
        <f>IF(Table18[[#This Row],[Type]]="Co-product", "No", "")</f>
        <v/>
      </c>
      <c r="J6" s="25"/>
      <c r="K6" s="6"/>
      <c r="L6" s="6" t="str">
        <f>IF(Table18[[#This Row],[Category]]="Transportation", _xlfn.XLOOKUP(Table18[[#This Row],[Resource]], 'SI - Payload'!$A$10:$A$40,'SI - Payload'!$B$10:$B$40,"",0), "")</f>
        <v/>
      </c>
      <c r="M6" s="6" t="str">
        <f>IF(Table18[[#This Row],[Category]]="Transportation", "ton", "")</f>
        <v/>
      </c>
      <c r="N6" s="6"/>
      <c r="O6" s="6"/>
      <c r="P6" s="6" t="str">
        <f>IF(OR(Table18[[#This Row],[Type]]="Main Product", Table18[[#This Row],[Type]]="Co-Product"), Table18[[#This Row],[Resource]], "")</f>
        <v/>
      </c>
      <c r="Q6" s="6" t="str">
        <f>IF(_xlfn.XLOOKUP($P6,'SI - End Use'!$B$2:$B$6,'SI - End Use'!$C$2:$C$6, "")="", "", _xlfn.XLOOKUP($C6,'SI - End Use'!$B$2:$B$6,'SI - End Use'!$C$2:$C$6, ""))</f>
        <v/>
      </c>
      <c r="R6" s="6"/>
      <c r="S6" s="6"/>
      <c r="T6" s="6"/>
    </row>
    <row r="7" spans="1:20" x14ac:dyDescent="0.35">
      <c r="A7" s="6" t="s">
        <v>0</v>
      </c>
      <c r="B7" s="6" t="s">
        <v>244</v>
      </c>
      <c r="C7" s="6" t="s">
        <v>2</v>
      </c>
      <c r="D7" s="6" t="s">
        <v>12</v>
      </c>
      <c r="E7" s="60">
        <f>'INL Data'!B2*1000*'INL Data'!D2</f>
        <v>93089</v>
      </c>
      <c r="F7" s="6" t="s">
        <v>69</v>
      </c>
      <c r="G7" s="25"/>
      <c r="H7" s="25"/>
      <c r="I7" s="26" t="str">
        <f>IF(Table18[[#This Row],[Type]]="Co-product", "No", "")</f>
        <v/>
      </c>
      <c r="J7" s="25"/>
      <c r="K7" s="6"/>
      <c r="L7" s="6" t="str">
        <f>IF(Table18[[#This Row],[Category]]="Transportation", _xlfn.XLOOKUP(Table18[[#This Row],[Resource]], 'SI - Payload'!$A$10:$A$40,'SI - Payload'!$B$10:$B$40,"",0), "")</f>
        <v/>
      </c>
      <c r="M7" s="6" t="str">
        <f>IF(Table18[[#This Row],[Category]]="Transportation", "ton", "")</f>
        <v/>
      </c>
      <c r="N7" s="6"/>
      <c r="O7" s="6"/>
      <c r="P7" s="6" t="str">
        <f>IF(OR(Table18[[#This Row],[Type]]="Main Product", Table18[[#This Row],[Type]]="Co-Product"), Table18[[#This Row],[Resource]], "")</f>
        <v/>
      </c>
      <c r="Q7" s="6" t="str">
        <f>IF(_xlfn.XLOOKUP($P7,'SI - End Use'!$B$2:$B$6,'SI - End Use'!$C$2:$C$6, "")="", "", _xlfn.XLOOKUP($C7,'SI - End Use'!$B$2:$B$6,'SI - End Use'!$C$2:$C$6, ""))</f>
        <v/>
      </c>
      <c r="R7" s="6"/>
      <c r="S7" s="6"/>
      <c r="T7" s="6"/>
    </row>
    <row r="8" spans="1:20" x14ac:dyDescent="0.35">
      <c r="A8" s="6" t="s">
        <v>0</v>
      </c>
      <c r="B8" s="6" t="s">
        <v>3</v>
      </c>
      <c r="C8" s="6" t="s">
        <v>3</v>
      </c>
      <c r="D8" s="6" t="s">
        <v>10</v>
      </c>
      <c r="E8" s="60">
        <f>'INL Data'!B3*1000*'INL Data'!E2</f>
        <v>0</v>
      </c>
      <c r="F8" s="6" t="s">
        <v>69</v>
      </c>
      <c r="G8" s="25"/>
      <c r="H8" s="25"/>
      <c r="I8" s="26" t="str">
        <f>IF(Table18[[#This Row],[Type]]="Co-product", "No", "")</f>
        <v/>
      </c>
      <c r="J8" s="25"/>
      <c r="K8" s="6"/>
      <c r="L8" s="6" t="str">
        <f>IF(Table18[[#This Row],[Category]]="Transportation", _xlfn.XLOOKUP(Table18[[#This Row],[Resource]], 'SI - Payload'!$A$10:$A$40,'SI - Payload'!$B$10:$B$40,"",0), "")</f>
        <v/>
      </c>
      <c r="M8" s="6" t="str">
        <f>IF(Table18[[#This Row],[Category]]="Transportation", "ton", "")</f>
        <v/>
      </c>
      <c r="N8" s="6"/>
      <c r="O8" s="6"/>
      <c r="P8" s="6" t="str">
        <f>IF(OR(Table18[[#This Row],[Type]]="Main Product", Table18[[#This Row],[Type]]="Co-Product"), Table18[[#This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Data'!B3*1000*'INL Data'!F3</f>
        <v>0</v>
      </c>
      <c r="F9" s="6" t="s">
        <v>69</v>
      </c>
      <c r="G9" s="25"/>
      <c r="H9" s="25"/>
      <c r="I9" s="26" t="str">
        <f>IF(Table18[[#This Row],[Type]]="Co-product", "No", "")</f>
        <v/>
      </c>
      <c r="J9" s="25"/>
      <c r="K9" s="6"/>
      <c r="L9" s="6" t="str">
        <f>IF(Table18[[#This Row],[Category]]="Transportation", _xlfn.XLOOKUP(Table18[[#This Row],[Resource]], 'SI - Payload'!$A$10:$A$40,'SI - Payload'!$B$10:$B$40,"",0), "")</f>
        <v/>
      </c>
      <c r="M9" s="6" t="str">
        <f>IF(Table18[[#This Row],[Category]]="Transportation", "ton", "")</f>
        <v/>
      </c>
      <c r="N9" s="6"/>
      <c r="O9" s="6"/>
      <c r="P9" s="6" t="str">
        <f>IF(OR(Table18[[#This Row],[Type]]="Main Product", Table18[[#This Row],[Type]]="Co-Product"), Table18[[#This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336</v>
      </c>
      <c r="E10" s="60">
        <f>1-'INL Data'!H2</f>
        <v>1</v>
      </c>
      <c r="F10" s="6" t="s">
        <v>11</v>
      </c>
      <c r="G10" s="25"/>
      <c r="H10" s="25"/>
      <c r="I10" s="26" t="str">
        <f>IF(Table18[[#This Row],[Type]]="Co-product", "No", "")</f>
        <v/>
      </c>
      <c r="J10" s="25"/>
      <c r="K10" s="6"/>
      <c r="L10" s="6" t="str">
        <f>IF(Table18[[#This Row],[Category]]="Transportation", _xlfn.XLOOKUP(Table18[[#This Row],[Resource]], 'SI - Payload'!$A$10:$A$40,'SI - Payload'!$B$10:$B$40,"",0), "")</f>
        <v/>
      </c>
      <c r="M10" s="6" t="str">
        <f>IF(Table18[[#This Row],[Category]]="Transportation", "ton", "")</f>
        <v/>
      </c>
      <c r="N10" s="6"/>
      <c r="O10" s="6"/>
      <c r="P10" s="6" t="str">
        <f>IF(OR(Table18[[#This Row],[Type]]="Main Product", Table18[[#This Row],[Type]]="Co-Product"), Table18[[#This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IF(Table18[[#This Row],[Type]]="Co-product", "No", "")</f>
        <v/>
      </c>
      <c r="J11" s="25"/>
      <c r="K11" s="6"/>
      <c r="L11" s="6" t="str">
        <f>IF(Table18[[#This Row],[Category]]="Transportation", _xlfn.XLOOKUP(Table18[[#This Row],[Resource]], 'SI - Payload'!$A$10:$A$40,'SI - Payload'!$B$10:$B$40,"",0), "")</f>
        <v/>
      </c>
      <c r="M11" s="6" t="str">
        <f>IF(Table18[[#This Row],[Category]]="Transportation", "ton", "")</f>
        <v/>
      </c>
      <c r="N11" s="6"/>
      <c r="O11" s="6"/>
      <c r="P11" s="6" t="str">
        <f>IF(OR(Table18[[#This Row],[Type]]="Main Product", Table18[[#This Row],[Type]]="Co-Product"), Table18[[#This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IF(Table18[[#This Row],[Type]]="Co-product", "No", "")</f>
        <v/>
      </c>
      <c r="J12" s="25"/>
      <c r="K12" s="6"/>
      <c r="L12" s="6" t="str">
        <f>IF(Table18[[#This Row],[Category]]="Transportation", _xlfn.XLOOKUP(Table18[[#This Row],[Resource]], 'SI - Payload'!$A$10:$A$40,'SI - Payload'!$B$10:$B$40,"",0), "")</f>
        <v/>
      </c>
      <c r="M12" s="6" t="str">
        <f>IF(Table18[[#This Row],[Category]]="Transportation", "ton", "")</f>
        <v/>
      </c>
      <c r="N12" s="6"/>
      <c r="O12" s="6"/>
      <c r="P12" s="6" t="str">
        <f>IF(OR(Table18[[#This Row],[Type]]="Main Product", Table18[[#This Row],[Type]]="Co-Product"), Table18[[#This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IF(Table18[[#This Row],[Type]]="Co-product", "No", "")</f>
        <v/>
      </c>
      <c r="J13" s="25"/>
      <c r="K13" s="6"/>
      <c r="L13" s="6" t="str">
        <f>IF(Table18[[#This Row],[Category]]="Transportation", _xlfn.XLOOKUP(Table18[[#This Row],[Resource]], 'SI - Payload'!$A$10:$A$40,'SI - Payload'!$B$10:$B$40,"",0), "")</f>
        <v/>
      </c>
      <c r="M13" s="6" t="str">
        <f>IF(Table18[[#This Row],[Category]]="Transportation", "ton", "")</f>
        <v/>
      </c>
      <c r="N13" s="6"/>
      <c r="O13" s="6"/>
      <c r="P13" s="6" t="str">
        <f>IF(OR(Table18[[#This Row],[Type]]="Main Product", Table18[[#This Row],[Type]]="Co-Product"), Table18[[#This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IF(Table18[[#This Row],[Type]]="Co-product", "No", "")</f>
        <v/>
      </c>
      <c r="J14" s="25"/>
      <c r="K14" s="6"/>
      <c r="L14" s="6" t="str">
        <f>IF(Table18[[#This Row],[Category]]="Transportation", _xlfn.XLOOKUP(Table18[[#This Row],[Resource]], 'SI - Payload'!$A$10:$A$40,'SI - Payload'!$B$10:$B$40,"",0), "")</f>
        <v/>
      </c>
      <c r="M14" s="6" t="str">
        <f>IF(Table18[[#This Row],[Category]]="Transportation", "ton", "")</f>
        <v/>
      </c>
      <c r="N14" s="6"/>
      <c r="O14" s="6"/>
      <c r="P14" s="6" t="str">
        <f>IF(OR(Table18[[#This Row],[Type]]="Main Product", Table18[[#This Row],[Type]]="Co-Product"), Table18[[#This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IF(Table18[[#This Row],[Type]]="Co-product", "No", "")</f>
        <v/>
      </c>
      <c r="J15" s="25"/>
      <c r="K15" s="6"/>
      <c r="L15" s="6" t="str">
        <f>IF(Table18[[#This Row],[Category]]="Transportation", _xlfn.XLOOKUP(Table18[[#This Row],[Resource]], 'SI - Payload'!$A$10:$A$40,'SI - Payload'!$B$10:$B$40,"",0), "")</f>
        <v/>
      </c>
      <c r="M15" s="6" t="str">
        <f>IF(Table18[[#This Row],[Category]]="Transportation", "ton", "")</f>
        <v/>
      </c>
      <c r="N15" s="6"/>
      <c r="O15" s="6"/>
      <c r="P15" s="6" t="str">
        <f>IF(OR(Table18[[#This Row],[Type]]="Main Product", Table18[[#This Row],[Type]]="Co-Product"), Table18[[#This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IF(Table18[[#This Row],[Type]]="Co-product", "No", "")</f>
        <v/>
      </c>
      <c r="J16" s="25"/>
      <c r="K16" s="6"/>
      <c r="L16" s="6" t="str">
        <f>IF(Table18[[#This Row],[Category]]="Transportation", _xlfn.XLOOKUP(Table18[[#This Row],[Resource]], 'SI - Payload'!$A$10:$A$40,'SI - Payload'!$B$10:$B$40,"",0), "")</f>
        <v/>
      </c>
      <c r="M16" s="6" t="str">
        <f>IF(Table18[[#This Row],[Category]]="Transportation", "ton", "")</f>
        <v/>
      </c>
      <c r="N16" s="6"/>
      <c r="O16" s="6"/>
      <c r="P16" s="6" t="str">
        <f>IF(OR(Table18[[#This Row],[Type]]="Main Product", Table18[[#This Row],[Type]]="Co-Product"), Table18[[#This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IF(Table18[[#This Row],[Type]]="Co-product", "No", "")</f>
        <v/>
      </c>
      <c r="J17" s="25"/>
      <c r="K17" s="6"/>
      <c r="L17" s="6" t="str">
        <f>IF(Table18[[#This Row],[Category]]="Transportation", _xlfn.XLOOKUP(Table18[[#This Row],[Resource]], 'SI - Payload'!$A$10:$A$40,'SI - Payload'!$B$10:$B$40,"",0), "")</f>
        <v/>
      </c>
      <c r="M17" s="6" t="str">
        <f>IF(Table18[[#This Row],[Category]]="Transportation", "ton", "")</f>
        <v/>
      </c>
      <c r="N17" s="6"/>
      <c r="O17" s="6"/>
      <c r="P17" s="6" t="str">
        <f>IF(OR(Table18[[#This Row],[Type]]="Main Product", Table18[[#This Row],[Type]]="Co-Product"), Table18[[#This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IF(Table18[[#This Row],[Type]]="Co-product", "No", "")</f>
        <v/>
      </c>
      <c r="J18" s="25"/>
      <c r="K18" s="6"/>
      <c r="L18" s="6" t="str">
        <f>IF(Table18[[#This Row],[Category]]="Transportation", _xlfn.XLOOKUP(Table18[[#This Row],[Resource]], 'SI - Payload'!$A$10:$A$40,'SI - Payload'!$B$10:$B$40,"",0), "")</f>
        <v/>
      </c>
      <c r="M18" s="6" t="str">
        <f>IF(Table18[[#This Row],[Category]]="Transportation", "ton", "")</f>
        <v/>
      </c>
      <c r="N18" s="6"/>
      <c r="O18" s="6"/>
      <c r="P18" s="6" t="str">
        <f>IF(OR(Table18[[#This Row],[Type]]="Main Product", Table18[[#This Row],[Type]]="Co-Product"), Table18[[#This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IF(Table18[[#This Row],[Type]]="Co-product", "No", "")</f>
        <v/>
      </c>
      <c r="J19" s="25"/>
      <c r="K19" s="6"/>
      <c r="L19" s="6" t="str">
        <f>IF(Table18[[#This Row],[Category]]="Transportation", _xlfn.XLOOKUP(Table18[[#This Row],[Resource]], 'SI - Payload'!$A$10:$A$40,'SI - Payload'!$B$10:$B$40,"",0), "")</f>
        <v/>
      </c>
      <c r="M19" s="6" t="str">
        <f>IF(Table18[[#This Row],[Category]]="Transportation", "ton", "")</f>
        <v/>
      </c>
      <c r="N19" s="6"/>
      <c r="O19" s="6"/>
      <c r="P19" s="6" t="str">
        <f>IF(OR(Table18[[#This Row],[Type]]="Main Product", Table18[[#This Row],[Type]]="Co-Product"), Table18[[#This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IF(Table18[[#This Row],[Type]]="Co-product", "No", "")</f>
        <v/>
      </c>
      <c r="J20" s="25"/>
      <c r="K20" s="6"/>
      <c r="L20" s="6" t="str">
        <f>IF(Table18[[#This Row],[Category]]="Transportation", _xlfn.XLOOKUP(Table18[[#This Row],[Resource]], 'SI - Payload'!$A$10:$A$40,'SI - Payload'!$B$10:$B$40,"",0), "")</f>
        <v/>
      </c>
      <c r="M20" s="6" t="str">
        <f>IF(Table18[[#This Row],[Category]]="Transportation", "ton", "")</f>
        <v/>
      </c>
      <c r="N20" s="6"/>
      <c r="O20" s="6"/>
      <c r="P20" s="6" t="str">
        <f>IF(OR(Table18[[#This Row],[Type]]="Main Product", Table18[[#This Row],[Type]]="Co-Product"), Table18[[#This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IF(Table18[[#This Row],[Type]]="Co-product", "No", "")</f>
        <v/>
      </c>
      <c r="J21" s="25"/>
      <c r="K21" s="6"/>
      <c r="L21" s="6" t="str">
        <f>IF(Table18[[#This Row],[Category]]="Transportation", _xlfn.XLOOKUP(Table18[[#This Row],[Resource]], 'SI - Payload'!$A$10:$A$40,'SI - Payload'!$B$10:$B$40,"",0), "")</f>
        <v/>
      </c>
      <c r="M21" s="6" t="str">
        <f>IF(Table18[[#This Row],[Category]]="Transportation", "ton", "")</f>
        <v/>
      </c>
      <c r="N21" s="6"/>
      <c r="O21" s="6"/>
      <c r="P21" s="6" t="str">
        <f>IF(OR(Table18[[#This Row],[Type]]="Main Product", Table18[[#This Row],[Type]]="Co-Product"), Table18[[#This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IF(Table18[[#This Row],[Type]]="Co-product", "No", "")</f>
        <v/>
      </c>
      <c r="J22" s="25"/>
      <c r="K22" s="6"/>
      <c r="L22" s="6" t="str">
        <f>IF(Table18[[#This Row],[Category]]="Transportation", _xlfn.XLOOKUP(Table18[[#This Row],[Resource]], 'SI - Payload'!$A$10:$A$40,'SI - Payload'!$B$10:$B$40,"",0), "")</f>
        <v/>
      </c>
      <c r="M22" s="6" t="str">
        <f>IF(Table18[[#This Row],[Category]]="Transportation", "ton", "")</f>
        <v/>
      </c>
      <c r="N22" s="6"/>
      <c r="O22" s="6"/>
      <c r="P22" s="6" t="str">
        <f>IF(OR(Table18[[#This Row],[Type]]="Main Product", Table18[[#This Row],[Type]]="Co-Product"), Table18[[#This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IF(Table18[[#This Row],[Type]]="Co-product", "No", "")</f>
        <v/>
      </c>
      <c r="J23" s="25"/>
      <c r="K23" s="6"/>
      <c r="L23" s="6" t="str">
        <f>IF(Table18[[#This Row],[Category]]="Transportation", _xlfn.XLOOKUP(Table18[[#This Row],[Resource]], 'SI - Payload'!$A$10:$A$40,'SI - Payload'!$B$10:$B$40,"",0), "")</f>
        <v/>
      </c>
      <c r="M23" s="6" t="str">
        <f>IF(Table18[[#This Row],[Category]]="Transportation", "ton", "")</f>
        <v/>
      </c>
      <c r="N23" s="6"/>
      <c r="O23" s="6"/>
      <c r="P23" s="6" t="str">
        <f>IF(OR(Table18[[#This Row],[Type]]="Main Product", Table18[[#This Row],[Type]]="Co-Product"), Table18[[#This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IF(Table18[[#This Row],[Type]]="Co-product", "No", "")</f>
        <v/>
      </c>
      <c r="J24" s="25"/>
      <c r="K24" s="6"/>
      <c r="L24" s="6" t="str">
        <f>IF(Table18[[#This Row],[Category]]="Transportation", _xlfn.XLOOKUP(Table18[[#This Row],[Resource]], 'SI - Payload'!$A$10:$A$40,'SI - Payload'!$B$10:$B$40,"",0), "")</f>
        <v/>
      </c>
      <c r="M24" s="6" t="str">
        <f>IF(Table18[[#This Row],[Category]]="Transportation", "ton", "")</f>
        <v/>
      </c>
      <c r="N24" s="6"/>
      <c r="O24" s="6"/>
      <c r="P24" s="6" t="str">
        <f>IF(OR(Table18[[#This Row],[Type]]="Main Product", Table18[[#This Row],[Type]]="Co-Product"), Table18[[#This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IF(Table18[[#This Row],[Type]]="Co-product", "No", "")</f>
        <v/>
      </c>
      <c r="J25" s="25"/>
      <c r="K25" s="6"/>
      <c r="L25" s="6" t="str">
        <f>IF(Table18[[#This Row],[Category]]="Transportation", _xlfn.XLOOKUP(Table18[[#This Row],[Resource]], 'SI - Payload'!$A$10:$A$40,'SI - Payload'!$B$10:$B$40,"",0), "")</f>
        <v/>
      </c>
      <c r="M25" s="6" t="str">
        <f>IF(Table18[[#This Row],[Category]]="Transportation", "ton", "")</f>
        <v/>
      </c>
      <c r="N25" s="6"/>
      <c r="O25" s="6"/>
      <c r="P25" s="6" t="str">
        <f>IF(OR(Table18[[#This Row],[Type]]="Main Product", Table18[[#This Row],[Type]]="Co-Product"), Table18[[#This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IF(Table18[[#This Row],[Type]]="Co-product", "No", "")</f>
        <v/>
      </c>
      <c r="J26" s="25"/>
      <c r="K26" s="6"/>
      <c r="L26" s="6" t="str">
        <f>IF(Table18[[#This Row],[Category]]="Transportation", _xlfn.XLOOKUP(Table18[[#This Row],[Resource]], 'SI - Payload'!$A$10:$A$40,'SI - Payload'!$B$10:$B$40,"",0), "")</f>
        <v/>
      </c>
      <c r="M26" s="6" t="str">
        <f>IF(Table18[[#This Row],[Category]]="Transportation", "ton", "")</f>
        <v/>
      </c>
      <c r="N26" s="6"/>
      <c r="O26" s="6"/>
      <c r="P26" s="6" t="str">
        <f>IF(OR(Table18[[#This Row],[Type]]="Main Product", Table18[[#This Row],[Type]]="Co-Product"), Table18[[#This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IF(Table18[[#This Row],[Type]]="Co-product", "No", "")</f>
        <v/>
      </c>
      <c r="J27" s="25"/>
      <c r="K27" s="6"/>
      <c r="L27" s="6" t="str">
        <f>IF(Table18[[#This Row],[Category]]="Transportation", _xlfn.XLOOKUP(Table18[[#This Row],[Resource]], 'SI - Payload'!$A$10:$A$40,'SI - Payload'!$B$10:$B$40,"",0), "")</f>
        <v/>
      </c>
      <c r="M27" s="6" t="str">
        <f>IF(Table18[[#This Row],[Category]]="Transportation", "ton", "")</f>
        <v/>
      </c>
      <c r="N27" s="6"/>
      <c r="O27" s="6"/>
      <c r="P27" s="6" t="str">
        <f>IF(OR(Table18[[#This Row],[Type]]="Main Product", Table18[[#This Row],[Type]]="Co-Product"), Table18[[#This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IF(Table18[[#This Row],[Type]]="Co-product", "No", "")</f>
        <v/>
      </c>
      <c r="J28" s="25"/>
      <c r="K28" s="6"/>
      <c r="L28" s="6" t="str">
        <f>IF(Table18[[#This Row],[Category]]="Transportation", _xlfn.XLOOKUP(Table18[[#This Row],[Resource]], 'SI - Payload'!$A$10:$A$40,'SI - Payload'!$B$10:$B$40,"",0), "")</f>
        <v/>
      </c>
      <c r="M28" s="6" t="str">
        <f>IF(Table18[[#This Row],[Category]]="Transportation", "ton", "")</f>
        <v/>
      </c>
      <c r="N28" s="6"/>
      <c r="O28" s="6"/>
      <c r="P28" s="6" t="str">
        <f>IF(OR(Table18[[#This Row],[Type]]="Main Product", Table18[[#This Row],[Type]]="Co-Product"), Table18[[#This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IF(Table18[[#This Row],[Type]]="Co-product", "No", "")</f>
        <v/>
      </c>
      <c r="J29" s="25"/>
      <c r="K29" s="6"/>
      <c r="L29" s="6" t="str">
        <f>IF(Table18[[#This Row],[Category]]="Transportation", _xlfn.XLOOKUP(Table18[[#This Row],[Resource]], 'SI - Payload'!$A$10:$A$40,'SI - Payload'!$B$10:$B$40,"",0), "")</f>
        <v/>
      </c>
      <c r="M29" s="6" t="str">
        <f>IF(Table18[[#This Row],[Category]]="Transportation", "ton", "")</f>
        <v/>
      </c>
      <c r="N29" s="6"/>
      <c r="O29" s="6"/>
      <c r="P29" s="6" t="str">
        <f>IF(OR(Table18[[#This Row],[Type]]="Main Product", Table18[[#This Row],[Type]]="Co-Product"), Table18[[#This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IF(Table18[[#This Row],[Type]]="Co-product", "No", "")</f>
        <v/>
      </c>
      <c r="J30" s="25"/>
      <c r="K30" s="6"/>
      <c r="L30" s="6" t="str">
        <f>IF(Table18[[#This Row],[Category]]="Transportation", _xlfn.XLOOKUP(Table18[[#This Row],[Resource]], 'SI - Payload'!$A$10:$A$40,'SI - Payload'!$B$10:$B$40,"",0), "")</f>
        <v/>
      </c>
      <c r="M30" s="6" t="str">
        <f>IF(Table18[[#This Row],[Category]]="Transportation", "ton", "")</f>
        <v/>
      </c>
      <c r="N30" s="6"/>
      <c r="O30" s="6"/>
      <c r="P30" s="6" t="str">
        <f>IF(OR(Table18[[#This Row],[Type]]="Main Product", Table18[[#This Row],[Type]]="Co-Product"), Table18[[#This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IF(Table18[[#This Row],[Type]]="Co-product", "No", "")</f>
        <v/>
      </c>
      <c r="J31" s="25"/>
      <c r="K31" s="6"/>
      <c r="L31" s="6" t="str">
        <f>IF(Table18[[#This Row],[Category]]="Transportation", _xlfn.XLOOKUP(Table18[[#This Row],[Resource]], 'SI - Payload'!$A$10:$A$40,'SI - Payload'!$B$10:$B$40,"",0), "")</f>
        <v/>
      </c>
      <c r="M31" s="6" t="str">
        <f>IF(Table18[[#This Row],[Category]]="Transportation", "ton", "")</f>
        <v/>
      </c>
      <c r="N31" s="6"/>
      <c r="O31" s="6"/>
      <c r="P31" s="6" t="str">
        <f>IF(OR(Table18[[#This Row],[Type]]="Main Product", Table18[[#This Row],[Type]]="Co-Product"), Table18[[#This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IF(Table18[[#This Row],[Type]]="Co-product", "No", "")</f>
        <v/>
      </c>
      <c r="J32" s="25"/>
      <c r="K32" s="6"/>
      <c r="L32" s="6" t="str">
        <f>IF(Table18[[#This Row],[Category]]="Transportation", _xlfn.XLOOKUP(Table18[[#This Row],[Resource]], 'SI - Payload'!$A$10:$A$40,'SI - Payload'!$B$10:$B$40,"",0), "")</f>
        <v/>
      </c>
      <c r="M32" s="6" t="str">
        <f>IF(Table18[[#This Row],[Category]]="Transportation", "ton", "")</f>
        <v/>
      </c>
      <c r="N32" s="6"/>
      <c r="O32" s="6"/>
      <c r="P32" s="6" t="str">
        <f>IF(OR(Table18[[#This Row],[Type]]="Main Product", Table18[[#This Row],[Type]]="Co-Product"), Table18[[#This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IF(Table18[[#This Row],[Type]]="Co-product", "No", "")</f>
        <v/>
      </c>
      <c r="J33" s="25"/>
      <c r="K33" s="6"/>
      <c r="L33" s="6" t="str">
        <f>IF(Table18[[#This Row],[Category]]="Transportation", _xlfn.XLOOKUP(Table18[[#This Row],[Resource]], 'SI - Payload'!$A$10:$A$40,'SI - Payload'!$B$10:$B$40,"",0), "")</f>
        <v/>
      </c>
      <c r="M33" s="6" t="str">
        <f>IF(Table18[[#This Row],[Category]]="Transportation", "ton", "")</f>
        <v/>
      </c>
      <c r="N33" s="6"/>
      <c r="O33" s="6"/>
      <c r="P33" s="6" t="str">
        <f>IF(OR(Table18[[#This Row],[Type]]="Main Product", Table18[[#This Row],[Type]]="Co-Product"), Table18[[#This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IF(Table18[[#This Row],[Type]]="Co-product", "No", "")</f>
        <v/>
      </c>
      <c r="J34" s="25"/>
      <c r="K34" s="6"/>
      <c r="L34" s="6" t="str">
        <f>IF(Table18[[#This Row],[Category]]="Transportation", _xlfn.XLOOKUP(Table18[[#This Row],[Resource]], 'SI - Payload'!$A$10:$A$40,'SI - Payload'!$B$10:$B$40,"",0), "")</f>
        <v/>
      </c>
      <c r="M34" s="6" t="str">
        <f>IF(Table18[[#This Row],[Category]]="Transportation", "ton", "")</f>
        <v/>
      </c>
      <c r="N34" s="6"/>
      <c r="O34" s="6"/>
      <c r="P34" s="6" t="str">
        <f>IF(OR(Table18[[#This Row],[Type]]="Main Product", Table18[[#This Row],[Type]]="Co-Product"), Table18[[#This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IF(Table18[[#This Row],[Type]]="Co-product", "No", "")</f>
        <v/>
      </c>
      <c r="J35" s="25"/>
      <c r="K35" s="6"/>
      <c r="L35" s="6" t="str">
        <f>IF(Table18[[#This Row],[Category]]="Transportation", _xlfn.XLOOKUP(Table18[[#This Row],[Resource]], 'SI - Payload'!$A$10:$A$40,'SI - Payload'!$B$10:$B$40,"",0), "")</f>
        <v/>
      </c>
      <c r="M35" s="6" t="str">
        <f>IF(Table18[[#This Row],[Category]]="Transportation", "ton", "")</f>
        <v/>
      </c>
      <c r="N35" s="6"/>
      <c r="O35" s="6"/>
      <c r="P35" s="6" t="str">
        <f>IF(OR(Table18[[#This Row],[Type]]="Main Product", Table18[[#This Row],[Type]]="Co-Product"), Table18[[#This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IF(Table18[[#This Row],[Type]]="Co-product", "No", "")</f>
        <v/>
      </c>
      <c r="J36" s="25"/>
      <c r="K36" s="6"/>
      <c r="L36" s="6" t="str">
        <f>IF(Table18[[#This Row],[Category]]="Transportation", _xlfn.XLOOKUP(Table18[[#This Row],[Resource]], 'SI - Payload'!$A$10:$A$40,'SI - Payload'!$B$10:$B$40,"",0), "")</f>
        <v/>
      </c>
      <c r="M36" s="6" t="str">
        <f>IF(Table18[[#This Row],[Category]]="Transportation", "ton", "")</f>
        <v/>
      </c>
      <c r="N36" s="6"/>
      <c r="O36" s="6"/>
      <c r="P36" s="6" t="str">
        <f>IF(OR(Table18[[#This Row],[Type]]="Main Product", Table18[[#This Row],[Type]]="Co-Product"), Table18[[#This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IF(Table18[[#This Row],[Type]]="Co-product", "No", "")</f>
        <v/>
      </c>
      <c r="J37" s="25"/>
      <c r="K37" s="6"/>
      <c r="L37" s="6" t="str">
        <f>IF(Table18[[#This Row],[Category]]="Transportation", _xlfn.XLOOKUP(Table18[[#This Row],[Resource]], 'SI - Payload'!$A$10:$A$40,'SI - Payload'!$B$10:$B$40,"",0), "")</f>
        <v/>
      </c>
      <c r="M37" s="6" t="str">
        <f>IF(Table18[[#This Row],[Category]]="Transportation", "ton", "")</f>
        <v/>
      </c>
      <c r="N37" s="6"/>
      <c r="O37" s="6"/>
      <c r="P37" s="6" t="str">
        <f>IF(OR(Table18[[#This Row],[Type]]="Main Product", Table18[[#This Row],[Type]]="Co-Product"), Table18[[#This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IF(Table18[[#This Row],[Type]]="Co-product", "No", "")</f>
        <v/>
      </c>
      <c r="J38" s="25"/>
      <c r="K38" s="6"/>
      <c r="L38" s="6" t="str">
        <f>IF(Table18[[#This Row],[Category]]="Transportation", _xlfn.XLOOKUP(Table18[[#This Row],[Resource]], 'SI - Payload'!$A$10:$A$40,'SI - Payload'!$B$10:$B$40,"",0), "")</f>
        <v/>
      </c>
      <c r="M38" s="6" t="str">
        <f>IF(Table18[[#This Row],[Category]]="Transportation", "ton", "")</f>
        <v/>
      </c>
      <c r="N38" s="6"/>
      <c r="O38" s="6"/>
      <c r="P38" s="6" t="str">
        <f>IF(OR(Table18[[#This Row],[Type]]="Main Product", Table18[[#This Row],[Type]]="Co-Product"), Table18[[#This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IF(Table18[[#This Row],[Type]]="Co-product", "No", "")</f>
        <v/>
      </c>
      <c r="J39" s="25"/>
      <c r="K39" s="6"/>
      <c r="L39" s="6" t="str">
        <f>IF(Table18[[#This Row],[Category]]="Transportation", _xlfn.XLOOKUP(Table18[[#This Row],[Resource]], 'SI - Payload'!$A$10:$A$40,'SI - Payload'!$B$10:$B$40,"",0), "")</f>
        <v/>
      </c>
      <c r="M39" s="6" t="str">
        <f>IF(Table18[[#This Row],[Category]]="Transportation", "ton", "")</f>
        <v/>
      </c>
      <c r="N39" s="6"/>
      <c r="O39" s="6"/>
      <c r="P39" s="6" t="str">
        <f>IF(OR(Table18[[#This Row],[Type]]="Main Product", Table18[[#This Row],[Type]]="Co-Product"), Table18[[#This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IF(Table18[[#This Row],[Type]]="Co-product", "No", "")</f>
        <v/>
      </c>
      <c r="J40" s="25"/>
      <c r="K40" s="6"/>
      <c r="L40" s="6" t="str">
        <f>IF(Table18[[#This Row],[Category]]="Transportation", _xlfn.XLOOKUP(Table18[[#This Row],[Resource]], 'SI - Payload'!$A$10:$A$40,'SI - Payload'!$B$10:$B$40,"",0), "")</f>
        <v/>
      </c>
      <c r="M40" s="6" t="str">
        <f>IF(Table18[[#This Row],[Category]]="Transportation", "ton", "")</f>
        <v/>
      </c>
      <c r="N40" s="6"/>
      <c r="O40" s="6"/>
      <c r="P40" s="6" t="str">
        <f>IF(OR(Table18[[#This Row],[Type]]="Main Product", Table18[[#This Row],[Type]]="Co-Product"), Table18[[#This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IF(Table18[[#This Row],[Type]]="Co-product", "No", "")</f>
        <v/>
      </c>
      <c r="J41" s="25"/>
      <c r="K41" s="6"/>
      <c r="L41" s="6" t="str">
        <f>IF(Table18[[#This Row],[Category]]="Transportation", _xlfn.XLOOKUP(Table18[[#This Row],[Resource]], 'SI - Payload'!$A$10:$A$40,'SI - Payload'!$B$10:$B$40,"",0), "")</f>
        <v/>
      </c>
      <c r="M41" s="6" t="str">
        <f>IF(Table18[[#This Row],[Category]]="Transportation", "ton", "")</f>
        <v/>
      </c>
      <c r="N41" s="6"/>
      <c r="O41" s="6"/>
      <c r="P41" s="6" t="str">
        <f>IF(OR(Table18[[#This Row],[Type]]="Main Product", Table18[[#This Row],[Type]]="Co-Product"), Table18[[#This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IF(Table18[[#This Row],[Type]]="Co-product", "No", "")</f>
        <v/>
      </c>
      <c r="J42" s="25"/>
      <c r="K42" s="6"/>
      <c r="L42" s="6" t="str">
        <f>IF(Table18[[#This Row],[Category]]="Transportation", _xlfn.XLOOKUP(Table18[[#This Row],[Resource]], 'SI - Payload'!$A$10:$A$40,'SI - Payload'!$B$10:$B$40,"",0), "")</f>
        <v/>
      </c>
      <c r="M42" s="6" t="str">
        <f>IF(Table18[[#This Row],[Category]]="Transportation", "ton", "")</f>
        <v/>
      </c>
      <c r="N42" s="6"/>
      <c r="O42" s="6"/>
      <c r="P42" s="6" t="str">
        <f>IF(OR(Table18[[#This Row],[Type]]="Main Product", Table18[[#This Row],[Type]]="Co-Product"), Table18[[#This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IF(Table18[[#This Row],[Type]]="Co-product", "No", "")</f>
        <v/>
      </c>
      <c r="J43" s="25"/>
      <c r="K43" s="6"/>
      <c r="L43" s="6" t="str">
        <f>IF(Table18[[#This Row],[Category]]="Transportation", _xlfn.XLOOKUP(Table18[[#This Row],[Resource]], 'SI - Payload'!$A$10:$A$40,'SI - Payload'!$B$10:$B$40,"",0), "")</f>
        <v/>
      </c>
      <c r="M43" s="6" t="str">
        <f>IF(Table18[[#This Row],[Category]]="Transportation", "ton", "")</f>
        <v/>
      </c>
      <c r="N43" s="6"/>
      <c r="O43" s="6"/>
      <c r="P43" s="6" t="str">
        <f>IF(OR(Table18[[#This Row],[Type]]="Main Product", Table18[[#This Row],[Type]]="Co-Product"), Table18[[#This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IF(Table18[[#This Row],[Type]]="Co-product", "No", "")</f>
        <v/>
      </c>
      <c r="J44" s="25"/>
      <c r="K44" s="6"/>
      <c r="L44" s="6" t="str">
        <f>IF(Table18[[#This Row],[Category]]="Transportation", _xlfn.XLOOKUP(Table18[[#This Row],[Resource]], 'SI - Payload'!$A$10:$A$40,'SI - Payload'!$B$10:$B$40,"",0), "")</f>
        <v/>
      </c>
      <c r="M44" s="6" t="str">
        <f>IF(Table18[[#This Row],[Category]]="Transportation", "ton", "")</f>
        <v/>
      </c>
      <c r="N44" s="6"/>
      <c r="O44" s="6"/>
      <c r="P44" s="6" t="str">
        <f>IF(OR(Table18[[#This Row],[Type]]="Main Product", Table18[[#This Row],[Type]]="Co-Product"), Table18[[#This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IF(Table18[[#This Row],[Type]]="Co-product", "No", "")</f>
        <v/>
      </c>
      <c r="J45" s="25"/>
      <c r="K45" s="6"/>
      <c r="L45" s="6" t="str">
        <f>IF(Table18[[#This Row],[Category]]="Transportation", _xlfn.XLOOKUP(Table18[[#This Row],[Resource]], 'SI - Payload'!$A$10:$A$40,'SI - Payload'!$B$10:$B$40,"",0), "")</f>
        <v/>
      </c>
      <c r="M45" s="6" t="str">
        <f>IF(Table18[[#This Row],[Category]]="Transportation", "ton", "")</f>
        <v/>
      </c>
      <c r="N45" s="6"/>
      <c r="O45" s="6"/>
      <c r="P45" s="6" t="str">
        <f>IF(OR(Table18[[#This Row],[Type]]="Main Product", Table18[[#This Row],[Type]]="Co-Product"), Table18[[#This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IF(Table18[[#This Row],[Type]]="Co-product", "No", "")</f>
        <v/>
      </c>
      <c r="J46" s="25"/>
      <c r="K46" s="6"/>
      <c r="L46" s="6" t="str">
        <f>IF(Table18[[#This Row],[Category]]="Transportation", _xlfn.XLOOKUP(Table18[[#This Row],[Resource]], 'SI - Payload'!$A$10:$A$40,'SI - Payload'!$B$10:$B$40,"",0), "")</f>
        <v/>
      </c>
      <c r="M46" s="6" t="str">
        <f>IF(Table18[[#This Row],[Category]]="Transportation", "ton", "")</f>
        <v/>
      </c>
      <c r="N46" s="6"/>
      <c r="O46" s="6"/>
      <c r="P46" s="6" t="str">
        <f>IF(OR(Table18[[#This Row],[Type]]="Main Product", Table18[[#This Row],[Type]]="Co-Product"), Table18[[#This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IF(Table18[[#This Row],[Type]]="Co-product", "No", "")</f>
        <v/>
      </c>
      <c r="J47" s="25"/>
      <c r="K47" s="6"/>
      <c r="L47" s="6" t="str">
        <f>IF(Table18[[#This Row],[Category]]="Transportation", _xlfn.XLOOKUP(Table18[[#This Row],[Resource]], 'SI - Payload'!$A$10:$A$40,'SI - Payload'!$B$10:$B$40,"",0), "")</f>
        <v/>
      </c>
      <c r="M47" s="6" t="str">
        <f>IF(Table18[[#This Row],[Category]]="Transportation", "ton", "")</f>
        <v/>
      </c>
      <c r="N47" s="6"/>
      <c r="O47" s="6"/>
      <c r="P47" s="6" t="str">
        <f>IF(OR(Table18[[#This Row],[Type]]="Main Product", Table18[[#This Row],[Type]]="Co-Product"), Table18[[#This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IF(Table18[[#This Row],[Type]]="Co-product", "No", "")</f>
        <v/>
      </c>
      <c r="J48" s="25"/>
      <c r="K48" s="6"/>
      <c r="L48" s="6" t="str">
        <f>IF(Table18[[#This Row],[Category]]="Transportation", _xlfn.XLOOKUP(Table18[[#This Row],[Resource]], 'SI - Payload'!$A$10:$A$40,'SI - Payload'!$B$10:$B$40,"",0), "")</f>
        <v/>
      </c>
      <c r="M48" s="6" t="str">
        <f>IF(Table18[[#This Row],[Category]]="Transportation", "ton", "")</f>
        <v/>
      </c>
      <c r="N48" s="6"/>
      <c r="O48" s="6"/>
      <c r="P48" s="6" t="str">
        <f>IF(OR(Table18[[#This Row],[Type]]="Main Product", Table18[[#This Row],[Type]]="Co-Product"), Table18[[#This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IF(Table18[[#This Row],[Type]]="Co-product", "No", "")</f>
        <v/>
      </c>
      <c r="J49" s="25"/>
      <c r="K49" s="6"/>
      <c r="L49" s="6" t="str">
        <f>IF(Table18[[#This Row],[Category]]="Transportation", _xlfn.XLOOKUP(Table18[[#This Row],[Resource]], 'SI - Payload'!$A$10:$A$40,'SI - Payload'!$B$10:$B$40,"",0), "")</f>
        <v/>
      </c>
      <c r="M49" s="6" t="str">
        <f>IF(Table18[[#This Row],[Category]]="Transportation", "ton", "")</f>
        <v/>
      </c>
      <c r="N49" s="6"/>
      <c r="O49" s="6"/>
      <c r="P49" s="6" t="str">
        <f>IF(OR(Table18[[#This Row],[Type]]="Main Product", Table18[[#This Row],[Type]]="Co-Product"), Table18[[#This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IF(Table18[[#This Row],[Type]]="Co-product", "No", "")</f>
        <v/>
      </c>
      <c r="J50" s="25"/>
      <c r="K50" s="6"/>
      <c r="L50" s="6" t="str">
        <f>IF(Table18[[#This Row],[Category]]="Transportation", _xlfn.XLOOKUP(Table18[[#This Row],[Resource]], 'SI - Payload'!$A$10:$A$40,'SI - Payload'!$B$10:$B$40,"",0), "")</f>
        <v/>
      </c>
      <c r="M50" s="6" t="str">
        <f>IF(Table18[[#This Row],[Category]]="Transportation", "ton", "")</f>
        <v/>
      </c>
      <c r="N50" s="6"/>
      <c r="O50" s="6"/>
      <c r="P50" s="6" t="str">
        <f>IF(OR(Table18[[#This Row],[Type]]="Main Product", Table18[[#This Row],[Type]]="Co-Product"), Table18[[#This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IF(Table18[[#This Row],[Type]]="Co-product", "No", "")</f>
        <v/>
      </c>
      <c r="J51" s="25"/>
      <c r="K51" s="6"/>
      <c r="L51" s="6" t="str">
        <f>IF(Table18[[#This Row],[Category]]="Transportation", _xlfn.XLOOKUP(Table18[[#This Row],[Resource]], 'SI - Payload'!$A$10:$A$40,'SI - Payload'!$B$10:$B$40,"",0), "")</f>
        <v/>
      </c>
      <c r="M51" s="6" t="str">
        <f>IF(Table18[[#This Row],[Category]]="Transportation", "ton", "")</f>
        <v/>
      </c>
      <c r="N51" s="6"/>
      <c r="O51" s="6"/>
      <c r="P51" s="6" t="str">
        <f>IF(OR(Table18[[#This Row],[Type]]="Main Product", Table18[[#This Row],[Type]]="Co-Product"), Table18[[#This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IF(Table18[[#This Row],[Type]]="Co-product", "No", "")</f>
        <v/>
      </c>
      <c r="J52" s="25"/>
      <c r="K52" s="6"/>
      <c r="L52" s="6" t="str">
        <f>IF(Table18[[#This Row],[Category]]="Transportation", _xlfn.XLOOKUP(Table18[[#This Row],[Resource]], 'SI - Payload'!$A$10:$A$40,'SI - Payload'!$B$10:$B$40,"",0), "")</f>
        <v/>
      </c>
      <c r="M52" s="6" t="str">
        <f>IF(Table18[[#This Row],[Category]]="Transportation", "ton", "")</f>
        <v/>
      </c>
      <c r="N52" s="6"/>
      <c r="O52" s="6"/>
      <c r="P52" s="6" t="str">
        <f>IF(OR(Table18[[#This Row],[Type]]="Main Product", Table18[[#This Row],[Type]]="Co-Product"), Table18[[#This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IF(Table18[[#This Row],[Type]]="Co-product", "No", "")</f>
        <v/>
      </c>
      <c r="J53" s="25"/>
      <c r="K53" s="6"/>
      <c r="L53" s="6" t="str">
        <f>IF(Table18[[#This Row],[Category]]="Transportation", _xlfn.XLOOKUP(Table18[[#This Row],[Resource]], 'SI - Payload'!$A$10:$A$40,'SI - Payload'!$B$10:$B$40,"",0), "")</f>
        <v/>
      </c>
      <c r="M53" s="6" t="str">
        <f>IF(Table18[[#This Row],[Category]]="Transportation", "ton", "")</f>
        <v/>
      </c>
      <c r="N53" s="6"/>
      <c r="O53" s="6"/>
      <c r="P53" s="6" t="str">
        <f>IF(OR(Table18[[#This Row],[Type]]="Main Product", Table18[[#This Row],[Type]]="Co-Product"), Table18[[#This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IF(Table18[[#This Row],[Type]]="Co-product", "No", "")</f>
        <v/>
      </c>
      <c r="J54" s="25"/>
      <c r="K54" s="6"/>
      <c r="L54" s="6" t="str">
        <f>IF(Table18[[#This Row],[Category]]="Transportation", _xlfn.XLOOKUP(Table18[[#This Row],[Resource]], 'SI - Payload'!$A$10:$A$40,'SI - Payload'!$B$10:$B$40,"",0), "")</f>
        <v/>
      </c>
      <c r="M54" s="6" t="str">
        <f>IF(Table18[[#This Row],[Category]]="Transportation", "ton", "")</f>
        <v/>
      </c>
      <c r="N54" s="6"/>
      <c r="O54" s="6"/>
      <c r="P54" s="6" t="str">
        <f>IF(OR(Table18[[#This Row],[Type]]="Main Product", Table18[[#This Row],[Type]]="Co-Product"), Table18[[#This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IF(Table18[[#This Row],[Type]]="Co-product", "No", "")</f>
        <v/>
      </c>
      <c r="J55" s="25"/>
      <c r="K55" s="6"/>
      <c r="L55" s="6" t="str">
        <f>IF(Table18[[#This Row],[Category]]="Transportation", _xlfn.XLOOKUP(Table18[[#This Row],[Resource]], 'SI - Payload'!$A$10:$A$40,'SI - Payload'!$B$10:$B$40,"",0), "")</f>
        <v/>
      </c>
      <c r="M55" s="6" t="str">
        <f>IF(Table18[[#This Row],[Category]]="Transportation", "ton", "")</f>
        <v/>
      </c>
      <c r="N55" s="6"/>
      <c r="O55" s="6"/>
      <c r="P55" s="6" t="str">
        <f>IF(OR(Table18[[#This Row],[Type]]="Main Product", Table18[[#This Row],[Type]]="Co-Product"), Table18[[#This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IF(Table18[[#This Row],[Type]]="Co-product", "No", "")</f>
        <v/>
      </c>
      <c r="J56" s="25"/>
      <c r="K56" s="6"/>
      <c r="L56" s="6" t="str">
        <f>IF(Table18[[#This Row],[Category]]="Transportation", _xlfn.XLOOKUP(Table18[[#This Row],[Resource]], 'SI - Payload'!$A$10:$A$40,'SI - Payload'!$B$10:$B$40,"",0), "")</f>
        <v/>
      </c>
      <c r="M56" s="6" t="str">
        <f>IF(Table18[[#This Row],[Category]]="Transportation", "ton", "")</f>
        <v/>
      </c>
      <c r="N56" s="6"/>
      <c r="O56" s="6"/>
      <c r="P56" s="6" t="str">
        <f>IF(OR(Table18[[#This Row],[Type]]="Main Product", Table18[[#This Row],[Type]]="Co-Product"), Table18[[#This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IF(Table18[[#This Row],[Type]]="Co-product", "No", "")</f>
        <v/>
      </c>
      <c r="J57" s="25"/>
      <c r="K57" s="6"/>
      <c r="L57" s="6" t="str">
        <f>IF(Table18[[#This Row],[Category]]="Transportation", _xlfn.XLOOKUP(Table18[[#This Row],[Resource]], 'SI - Payload'!$A$10:$A$40,'SI - Payload'!$B$10:$B$40,"",0), "")</f>
        <v/>
      </c>
      <c r="M57" s="6" t="str">
        <f>IF(Table18[[#This Row],[Category]]="Transportation", "ton", "")</f>
        <v/>
      </c>
      <c r="N57" s="6"/>
      <c r="O57" s="6"/>
      <c r="P57" s="6" t="str">
        <f>IF(OR(Table18[[#This Row],[Type]]="Main Product", Table18[[#This Row],[Type]]="Co-Product"), Table18[[#This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IF(Table18[[#This Row],[Type]]="Co-product", "No", "")</f>
        <v/>
      </c>
      <c r="J58" s="25"/>
      <c r="K58" s="6"/>
      <c r="L58" s="6" t="str">
        <f>IF(Table18[[#This Row],[Category]]="Transportation", _xlfn.XLOOKUP(Table18[[#This Row],[Resource]], 'SI - Payload'!$A$10:$A$40,'SI - Payload'!$B$10:$B$40,"",0), "")</f>
        <v/>
      </c>
      <c r="M58" s="6" t="str">
        <f>IF(Table18[[#This Row],[Category]]="Transportation", "ton", "")</f>
        <v/>
      </c>
      <c r="N58" s="6"/>
      <c r="O58" s="6"/>
      <c r="P58" s="6" t="str">
        <f>IF(OR(Table18[[#This Row],[Type]]="Main Product", Table18[[#This Row],[Type]]="Co-Product"), Table18[[#This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IF(Table18[[#This Row],[Type]]="Co-product", "No", "")</f>
        <v/>
      </c>
      <c r="J59" s="25"/>
      <c r="K59" s="6"/>
      <c r="L59" s="6" t="str">
        <f>IF(Table18[[#This Row],[Category]]="Transportation", _xlfn.XLOOKUP(Table18[[#This Row],[Resource]], 'SI - Payload'!$A$10:$A$40,'SI - Payload'!$B$10:$B$40,"",0), "")</f>
        <v/>
      </c>
      <c r="M59" s="6" t="str">
        <f>IF(Table18[[#This Row],[Category]]="Transportation", "ton", "")</f>
        <v/>
      </c>
      <c r="N59" s="6"/>
      <c r="O59" s="6"/>
      <c r="P59" s="6" t="str">
        <f>IF(OR(Table18[[#This Row],[Type]]="Main Product", Table18[[#This Row],[Type]]="Co-Product"), Table18[[#This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IF(Table18[[#This Row],[Type]]="Co-product", "No", "")</f>
        <v/>
      </c>
      <c r="J60" s="25"/>
      <c r="K60" s="6"/>
      <c r="L60" s="6" t="str">
        <f>IF(Table18[[#This Row],[Category]]="Transportation", _xlfn.XLOOKUP(Table18[[#This Row],[Resource]], 'SI - Payload'!$A$10:$A$40,'SI - Payload'!$B$10:$B$40,"",0), "")</f>
        <v/>
      </c>
      <c r="M60" s="6" t="str">
        <f>IF(Table18[[#This Row],[Category]]="Transportation", "ton", "")</f>
        <v/>
      </c>
      <c r="N60" s="6"/>
      <c r="O60" s="6"/>
      <c r="P60" s="6" t="str">
        <f>IF(OR(Table18[[#This Row],[Type]]="Main Product", Table18[[#This Row],[Type]]="Co-Product"), Table18[[#This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IF(Table18[[#This Row],[Type]]="Co-product", "No", "")</f>
        <v/>
      </c>
      <c r="J61" s="25"/>
      <c r="K61" s="6"/>
      <c r="L61" s="6" t="str">
        <f>IF(Table18[[#This Row],[Category]]="Transportation", _xlfn.XLOOKUP(Table18[[#This Row],[Resource]], 'SI - Payload'!$A$10:$A$40,'SI - Payload'!$B$10:$B$40,"",0), "")</f>
        <v/>
      </c>
      <c r="M61" s="6" t="str">
        <f>IF(Table18[[#This Row],[Category]]="Transportation", "ton", "")</f>
        <v/>
      </c>
      <c r="N61" s="6"/>
      <c r="O61" s="6"/>
      <c r="P61" s="6" t="str">
        <f>IF(OR(Table18[[#This Row],[Type]]="Main Product", Table18[[#This Row],[Type]]="Co-Product"), Table18[[#This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IF(Table18[[#This Row],[Type]]="Co-product", "No", "")</f>
        <v/>
      </c>
      <c r="J62" s="25"/>
      <c r="K62" s="6"/>
      <c r="L62" s="6" t="str">
        <f>IF(Table18[[#This Row],[Category]]="Transportation", _xlfn.XLOOKUP(Table18[[#This Row],[Resource]], 'SI - Payload'!$A$10:$A$40,'SI - Payload'!$B$10:$B$40,"",0), "")</f>
        <v/>
      </c>
      <c r="M62" s="6" t="str">
        <f>IF(Table18[[#This Row],[Category]]="Transportation", "ton", "")</f>
        <v/>
      </c>
      <c r="N62" s="6"/>
      <c r="O62" s="6"/>
      <c r="P62" s="6" t="str">
        <f>IF(OR(Table18[[#This Row],[Type]]="Main Product", Table18[[#This Row],[Type]]="Co-Product"), Table18[[#This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IF(Table18[[#This Row],[Type]]="Co-product", "No", "")</f>
        <v/>
      </c>
      <c r="J63" s="25"/>
      <c r="K63" s="6"/>
      <c r="L63" s="6" t="str">
        <f>IF(Table18[[#This Row],[Category]]="Transportation", _xlfn.XLOOKUP(Table18[[#This Row],[Resource]], 'SI - Payload'!$A$10:$A$40,'SI - Payload'!$B$10:$B$40,"",0), "")</f>
        <v/>
      </c>
      <c r="M63" s="6" t="str">
        <f>IF(Table18[[#This Row],[Category]]="Transportation", "ton", "")</f>
        <v/>
      </c>
      <c r="N63" s="6"/>
      <c r="O63" s="6"/>
      <c r="P63" s="6" t="str">
        <f>IF(OR(Table18[[#This Row],[Type]]="Main Product", Table18[[#This Row],[Type]]="Co-Product"), Table18[[#This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IF(Table18[[#This Row],[Type]]="Co-product", "No", "")</f>
        <v/>
      </c>
      <c r="J64" s="25"/>
      <c r="K64" s="6"/>
      <c r="L64" s="6" t="str">
        <f>IF(Table18[[#This Row],[Category]]="Transportation", _xlfn.XLOOKUP(Table18[[#This Row],[Resource]], 'SI - Payload'!$A$10:$A$40,'SI - Payload'!$B$10:$B$40,"",0), "")</f>
        <v/>
      </c>
      <c r="M64" s="6" t="str">
        <f>IF(Table18[[#This Row],[Category]]="Transportation", "ton", "")</f>
        <v/>
      </c>
      <c r="N64" s="6"/>
      <c r="O64" s="6"/>
      <c r="P64" s="6" t="str">
        <f>IF(OR(Table18[[#This Row],[Type]]="Main Product", Table18[[#This Row],[Type]]="Co-Product"), Table18[[#This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IF(Table18[[#This Row],[Type]]="Co-product", "No", "")</f>
        <v/>
      </c>
      <c r="J65" s="25"/>
      <c r="K65" s="6"/>
      <c r="L65" s="6" t="str">
        <f>IF(Table18[[#This Row],[Category]]="Transportation", _xlfn.XLOOKUP(Table18[[#This Row],[Resource]], 'SI - Payload'!$A$10:$A$40,'SI - Payload'!$B$10:$B$40,"",0), "")</f>
        <v/>
      </c>
      <c r="M65" s="6" t="str">
        <f>IF(Table18[[#This Row],[Category]]="Transportation", "ton", "")</f>
        <v/>
      </c>
      <c r="N65" s="6"/>
      <c r="O65" s="6"/>
      <c r="P65" s="6" t="str">
        <f>IF(OR(Table18[[#This Row],[Type]]="Main Product", Table18[[#This Row],[Type]]="Co-Product"), Table18[[#This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IF(Table18[[#This Row],[Type]]="Co-product", "No", "")</f>
        <v/>
      </c>
      <c r="J66" s="25"/>
      <c r="K66" s="6"/>
      <c r="L66" s="6" t="str">
        <f>IF(Table18[[#This Row],[Category]]="Transportation", _xlfn.XLOOKUP(Table18[[#This Row],[Resource]], 'SI - Payload'!$A$10:$A$40,'SI - Payload'!$B$10:$B$40,"",0), "")</f>
        <v/>
      </c>
      <c r="M66" s="6" t="str">
        <f>IF(Table18[[#This Row],[Category]]="Transportation", "ton", "")</f>
        <v/>
      </c>
      <c r="N66" s="6"/>
      <c r="O66" s="6"/>
      <c r="P66" s="6" t="str">
        <f>IF(OR(Table18[[#This Row],[Type]]="Main Product", Table18[[#This Row],[Type]]="Co-Product"), Table18[[#This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IF(Table18[[#This Row],[Type]]="Co-product", "No", "")</f>
        <v/>
      </c>
      <c r="J67" s="25"/>
      <c r="K67" s="6"/>
      <c r="L67" s="6" t="str">
        <f>IF(Table18[[#This Row],[Category]]="Transportation", _xlfn.XLOOKUP(Table18[[#This Row],[Resource]], 'SI - Payload'!$A$10:$A$40,'SI - Payload'!$B$10:$B$40,"",0), "")</f>
        <v/>
      </c>
      <c r="M67" s="6" t="str">
        <f>IF(Table18[[#This Row],[Category]]="Transportation", "ton", "")</f>
        <v/>
      </c>
      <c r="N67" s="6"/>
      <c r="O67" s="6"/>
      <c r="P67" s="6" t="str">
        <f>IF(OR(Table18[[#This Row],[Type]]="Main Product", Table18[[#This Row],[Type]]="Co-Product"), Table18[[#This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IF(Table18[[#This Row],[Type]]="Co-product", "No", "")</f>
        <v/>
      </c>
      <c r="J68" s="25"/>
      <c r="K68" s="6"/>
      <c r="L68" s="6" t="str">
        <f>IF(Table18[[#This Row],[Category]]="Transportation", _xlfn.XLOOKUP(Table18[[#This Row],[Resource]], 'SI - Payload'!$A$10:$A$40,'SI - Payload'!$B$10:$B$40,"",0), "")</f>
        <v/>
      </c>
      <c r="M68" s="6" t="str">
        <f>IF(Table18[[#This Row],[Category]]="Transportation", "ton", "")</f>
        <v/>
      </c>
      <c r="N68" s="6"/>
      <c r="O68" s="6"/>
      <c r="P68" s="6" t="str">
        <f>IF(OR(Table18[[#This Row],[Type]]="Main Product", Table18[[#This Row],[Type]]="Co-Product"), Table18[[#This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IF(Table18[[#This Row],[Type]]="Co-product", "No", "")</f>
        <v/>
      </c>
      <c r="J69" s="25"/>
      <c r="K69" s="6"/>
      <c r="L69" s="6" t="str">
        <f>IF(Table18[[#This Row],[Category]]="Transportation", _xlfn.XLOOKUP(Table18[[#This Row],[Resource]], 'SI - Payload'!$A$10:$A$40,'SI - Payload'!$B$10:$B$40,"",0), "")</f>
        <v/>
      </c>
      <c r="M69" s="6" t="str">
        <f>IF(Table18[[#This Row],[Category]]="Transportation", "ton", "")</f>
        <v/>
      </c>
      <c r="N69" s="6"/>
      <c r="O69" s="6"/>
      <c r="P69" s="6" t="str">
        <f>IF(OR(Table18[[#This Row],[Type]]="Main Product", Table18[[#This Row],[Type]]="Co-Product"), Table18[[#This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IF(Table18[[#This Row],[Type]]="Co-product", "No", "")</f>
        <v/>
      </c>
      <c r="J70" s="25"/>
      <c r="K70" s="6"/>
      <c r="L70" s="6" t="str">
        <f>IF(Table18[[#This Row],[Category]]="Transportation", _xlfn.XLOOKUP(Table18[[#This Row],[Resource]], 'SI - Payload'!$A$10:$A$40,'SI - Payload'!$B$10:$B$40,"",0), "")</f>
        <v/>
      </c>
      <c r="M70" s="6" t="str">
        <f>IF(Table18[[#This Row],[Category]]="Transportation", "ton", "")</f>
        <v/>
      </c>
      <c r="N70" s="6"/>
      <c r="O70" s="6"/>
      <c r="P70" s="6" t="str">
        <f>IF(OR(Table18[[#This Row],[Type]]="Main Product", Table18[[#This Row],[Type]]="Co-Product"), Table18[[#This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IF(Table18[[#This Row],[Type]]="Co-product", "No", "")</f>
        <v/>
      </c>
      <c r="J71" s="25"/>
      <c r="K71" s="6"/>
      <c r="L71" s="6" t="str">
        <f>IF(Table18[[#This Row],[Category]]="Transportation", _xlfn.XLOOKUP(Table18[[#This Row],[Resource]], 'SI - Payload'!$A$10:$A$40,'SI - Payload'!$B$10:$B$40,"",0), "")</f>
        <v/>
      </c>
      <c r="M71" s="6" t="str">
        <f>IF(Table18[[#This Row],[Category]]="Transportation", "ton", "")</f>
        <v/>
      </c>
      <c r="N71" s="6"/>
      <c r="O71" s="6"/>
      <c r="P71" s="6" t="str">
        <f>IF(OR(Table18[[#This Row],[Type]]="Main Product", Table18[[#This Row],[Type]]="Co-Product"), Table18[[#This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IF(Table18[[#This Row],[Type]]="Co-product", "No", "")</f>
        <v/>
      </c>
      <c r="J72" s="25"/>
      <c r="K72" s="6"/>
      <c r="L72" s="6" t="str">
        <f>IF(Table18[[#This Row],[Category]]="Transportation", _xlfn.XLOOKUP(Table18[[#This Row],[Resource]], 'SI - Payload'!$A$10:$A$40,'SI - Payload'!$B$10:$B$40,"",0), "")</f>
        <v/>
      </c>
      <c r="M72" s="6" t="str">
        <f>IF(Table18[[#This Row],[Category]]="Transportation", "ton", "")</f>
        <v/>
      </c>
      <c r="N72" s="6"/>
      <c r="O72" s="6"/>
      <c r="P72" s="6" t="str">
        <f>IF(OR(Table18[[#This Row],[Type]]="Main Product", Table18[[#This Row],[Type]]="Co-Product"), Table18[[#This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IF(Table18[[#This Row],[Type]]="Co-product", "No", "")</f>
        <v/>
      </c>
      <c r="J73" s="25"/>
      <c r="K73" s="6"/>
      <c r="L73" s="6" t="str">
        <f>IF(Table18[[#This Row],[Category]]="Transportation", _xlfn.XLOOKUP(Table18[[#This Row],[Resource]], 'SI - Payload'!$A$10:$A$40,'SI - Payload'!$B$10:$B$40,"",0), "")</f>
        <v/>
      </c>
      <c r="M73" s="6" t="str">
        <f>IF(Table18[[#This Row],[Category]]="Transportation", "ton", "")</f>
        <v/>
      </c>
      <c r="N73" s="6"/>
      <c r="O73" s="6"/>
      <c r="P73" s="6" t="str">
        <f>IF(OR(Table18[[#This Row],[Type]]="Main Product", Table18[[#This Row],[Type]]="Co-Product"), Table18[[#This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IF(Table18[[#This Row],[Type]]="Co-product", "No", "")</f>
        <v/>
      </c>
      <c r="J74" s="25"/>
      <c r="K74" s="6"/>
      <c r="L74" s="6" t="str">
        <f>IF(Table18[[#This Row],[Category]]="Transportation", _xlfn.XLOOKUP(Table18[[#This Row],[Resource]], 'SI - Payload'!$A$10:$A$40,'SI - Payload'!$B$10:$B$40,"",0), "")</f>
        <v/>
      </c>
      <c r="M74" s="6" t="str">
        <f>IF(Table18[[#This Row],[Category]]="Transportation", "ton", "")</f>
        <v/>
      </c>
      <c r="N74" s="6"/>
      <c r="O74" s="6"/>
      <c r="P74" s="6" t="str">
        <f>IF(OR(Table18[[#This Row],[Type]]="Main Product", Table18[[#This Row],[Type]]="Co-Product"), Table18[[#This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IF(Table18[[#This Row],[Type]]="Co-product", "No", "")</f>
        <v/>
      </c>
      <c r="J75" s="25"/>
      <c r="K75" s="6"/>
      <c r="L75" s="6" t="str">
        <f>IF(Table18[[#This Row],[Category]]="Transportation", _xlfn.XLOOKUP(Table18[[#This Row],[Resource]], 'SI - Payload'!$A$10:$A$40,'SI - Payload'!$B$10:$B$40,"",0), "")</f>
        <v/>
      </c>
      <c r="M75" s="6" t="str">
        <f>IF(Table18[[#This Row],[Category]]="Transportation", "ton", "")</f>
        <v/>
      </c>
      <c r="N75" s="6"/>
      <c r="O75" s="6"/>
      <c r="P75" s="6" t="str">
        <f>IF(OR(Table18[[#This Row],[Type]]="Main Product", Table18[[#This Row],[Type]]="Co-Product"), Table18[[#This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IF(Table18[[#This Row],[Type]]="Co-product", "No", "")</f>
        <v/>
      </c>
      <c r="J76" s="25"/>
      <c r="K76" s="6"/>
      <c r="L76" s="6" t="str">
        <f>IF(Table18[[#This Row],[Category]]="Transportation", _xlfn.XLOOKUP(Table18[[#This Row],[Resource]], 'SI - Payload'!$A$10:$A$40,'SI - Payload'!$B$10:$B$40,"",0), "")</f>
        <v/>
      </c>
      <c r="M76" s="6" t="str">
        <f>IF(Table18[[#This Row],[Category]]="Transportation", "ton", "")</f>
        <v/>
      </c>
      <c r="N76" s="6"/>
      <c r="O76" s="6"/>
      <c r="P76" s="6" t="str">
        <f>IF(OR(Table18[[#This Row],[Type]]="Main Product", Table18[[#This Row],[Type]]="Co-Product"), Table18[[#This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IF(Table18[[#This Row],[Type]]="Co-product", "No", "")</f>
        <v/>
      </c>
      <c r="J77" s="25"/>
      <c r="K77" s="6"/>
      <c r="L77" s="6" t="str">
        <f>IF(Table18[[#This Row],[Category]]="Transportation", _xlfn.XLOOKUP(Table18[[#This Row],[Resource]], 'SI - Payload'!$A$10:$A$40,'SI - Payload'!$B$10:$B$40,"",0), "")</f>
        <v/>
      </c>
      <c r="M77" s="6" t="str">
        <f>IF(Table18[[#This Row],[Category]]="Transportation", "ton", "")</f>
        <v/>
      </c>
      <c r="N77" s="6"/>
      <c r="O77" s="6"/>
      <c r="P77" s="6" t="str">
        <f>IF(OR(Table18[[#This Row],[Type]]="Main Product", Table18[[#This Row],[Type]]="Co-Product"), Table18[[#This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IF(Table18[[#This Row],[Type]]="Co-product", "No", "")</f>
        <v/>
      </c>
      <c r="J78" s="25"/>
      <c r="K78" s="6"/>
      <c r="L78" s="6" t="str">
        <f>IF(Table18[[#This Row],[Category]]="Transportation", _xlfn.XLOOKUP(Table18[[#This Row],[Resource]], 'SI - Payload'!$A$10:$A$40,'SI - Payload'!$B$10:$B$40,"",0), "")</f>
        <v/>
      </c>
      <c r="M78" s="6" t="str">
        <f>IF(Table18[[#This Row],[Category]]="Transportation", "ton", "")</f>
        <v/>
      </c>
      <c r="N78" s="6"/>
      <c r="O78" s="6"/>
      <c r="P78" s="6" t="str">
        <f>IF(OR(Table18[[#This Row],[Type]]="Main Product", Table18[[#This Row],[Type]]="Co-Product"), Table18[[#This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IF(Table18[[#This Row],[Type]]="Co-product", "No", "")</f>
        <v/>
      </c>
      <c r="J79" s="25"/>
      <c r="K79" s="6"/>
      <c r="L79" s="6" t="str">
        <f>IF(Table18[[#This Row],[Category]]="Transportation", _xlfn.XLOOKUP(Table18[[#This Row],[Resource]], 'SI - Payload'!$A$10:$A$40,'SI - Payload'!$B$10:$B$40,"",0), "")</f>
        <v/>
      </c>
      <c r="M79" s="6" t="str">
        <f>IF(Table18[[#This Row],[Category]]="Transportation", "ton", "")</f>
        <v/>
      </c>
      <c r="N79" s="6"/>
      <c r="O79" s="6"/>
      <c r="P79" s="6" t="str">
        <f>IF(OR(Table18[[#This Row],[Type]]="Main Product", Table18[[#This Row],[Type]]="Co-Product"), Table18[[#This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IF(Table18[[#This Row],[Type]]="Co-product", "No", "")</f>
        <v/>
      </c>
      <c r="J80" s="25"/>
      <c r="K80" s="6"/>
      <c r="L80" s="6" t="str">
        <f>IF(Table18[[#This Row],[Category]]="Transportation", _xlfn.XLOOKUP(Table18[[#This Row],[Resource]], 'SI - Payload'!$A$10:$A$40,'SI - Payload'!$B$10:$B$40,"",0), "")</f>
        <v/>
      </c>
      <c r="M80" s="6" t="str">
        <f>IF(Table18[[#This Row],[Category]]="Transportation", "ton", "")</f>
        <v/>
      </c>
      <c r="N80" s="6"/>
      <c r="O80" s="6"/>
      <c r="P80" s="6" t="str">
        <f>IF(OR(Table18[[#This Row],[Type]]="Main Product", Table18[[#This Row],[Type]]="Co-Product"), Table18[[#This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IF(Table18[[#This Row],[Type]]="Co-product", "No", "")</f>
        <v/>
      </c>
      <c r="J81" s="25"/>
      <c r="K81" s="6"/>
      <c r="L81" s="6" t="str">
        <f>IF(Table18[[#This Row],[Category]]="Transportation", _xlfn.XLOOKUP(Table18[[#This Row],[Resource]], 'SI - Payload'!$A$10:$A$40,'SI - Payload'!$B$10:$B$40,"",0), "")</f>
        <v/>
      </c>
      <c r="M81" s="6" t="str">
        <f>IF(Table18[[#This Row],[Category]]="Transportation", "ton", "")</f>
        <v/>
      </c>
      <c r="N81" s="6"/>
      <c r="O81" s="6"/>
      <c r="P81" s="6" t="str">
        <f>IF(OR(Table18[[#This Row],[Type]]="Main Product", Table18[[#This Row],[Type]]="Co-Product"), Table18[[#This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IF(Table18[[#This Row],[Type]]="Co-product", "No", "")</f>
        <v/>
      </c>
      <c r="J82" s="25"/>
      <c r="K82" s="6"/>
      <c r="L82" s="6" t="str">
        <f>IF(Table18[[#This Row],[Category]]="Transportation", _xlfn.XLOOKUP(Table18[[#This Row],[Resource]], 'SI - Payload'!$A$10:$A$40,'SI - Payload'!$B$10:$B$40,"",0), "")</f>
        <v/>
      </c>
      <c r="M82" s="6" t="str">
        <f>IF(Table18[[#This Row],[Category]]="Transportation", "ton", "")</f>
        <v/>
      </c>
      <c r="N82" s="6"/>
      <c r="O82" s="6"/>
      <c r="P82" s="6" t="str">
        <f>IF(OR(Table18[[#This Row],[Type]]="Main Product", Table18[[#This Row],[Type]]="Co-Product"), Table18[[#This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IF(Table18[[#This Row],[Type]]="Co-product", "No", "")</f>
        <v/>
      </c>
      <c r="J83" s="25"/>
      <c r="K83" s="6"/>
      <c r="L83" s="6" t="str">
        <f>IF(Table18[[#This Row],[Category]]="Transportation", _xlfn.XLOOKUP(Table18[[#This Row],[Resource]], 'SI - Payload'!$A$10:$A$40,'SI - Payload'!$B$10:$B$40,"",0), "")</f>
        <v/>
      </c>
      <c r="M83" s="6" t="str">
        <f>IF(Table18[[#This Row],[Category]]="Transportation", "ton", "")</f>
        <v/>
      </c>
      <c r="N83" s="6"/>
      <c r="O83" s="6"/>
      <c r="P83" s="6" t="str">
        <f>IF(OR(Table18[[#This Row],[Type]]="Main Product", Table18[[#This Row],[Type]]="Co-Product"), Table18[[#This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IF(Table18[[#This Row],[Type]]="Co-product", "No", "")</f>
        <v/>
      </c>
      <c r="J84" s="25"/>
      <c r="K84" s="6"/>
      <c r="L84" s="6" t="str">
        <f>IF(Table18[[#This Row],[Category]]="Transportation", _xlfn.XLOOKUP(Table18[[#This Row],[Resource]], 'SI - Payload'!$A$10:$A$40,'SI - Payload'!$B$10:$B$40,"",0), "")</f>
        <v/>
      </c>
      <c r="M84" s="6" t="str">
        <f>IF(Table18[[#This Row],[Category]]="Transportation", "ton", "")</f>
        <v/>
      </c>
      <c r="N84" s="6"/>
      <c r="O84" s="6"/>
      <c r="P84" s="6" t="str">
        <f>IF(OR(Table18[[#This Row],[Type]]="Main Product", Table18[[#This Row],[Type]]="Co-Product"), Table18[[#This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IF(Table18[[#This Row],[Type]]="Co-product", "No", "")</f>
        <v/>
      </c>
      <c r="J85" s="25"/>
      <c r="K85" s="6"/>
      <c r="L85" s="6" t="str">
        <f>IF(Table18[[#This Row],[Category]]="Transportation", _xlfn.XLOOKUP(Table18[[#This Row],[Resource]], 'SI - Payload'!$A$10:$A$40,'SI - Payload'!$B$10:$B$40,"",0), "")</f>
        <v/>
      </c>
      <c r="M85" s="6" t="str">
        <f>IF(Table18[[#This Row],[Category]]="Transportation", "ton", "")</f>
        <v/>
      </c>
      <c r="N85" s="6"/>
      <c r="O85" s="6"/>
      <c r="P85" s="6" t="str">
        <f>IF(OR(Table18[[#This Row],[Type]]="Main Product", Table18[[#This Row],[Type]]="Co-Product"), Table18[[#This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IF(Table18[[#This Row],[Type]]="Co-product", "No", "")</f>
        <v/>
      </c>
      <c r="J86" s="25"/>
      <c r="K86" s="6"/>
      <c r="L86" s="6" t="str">
        <f>IF(Table18[[#This Row],[Category]]="Transportation", _xlfn.XLOOKUP(Table18[[#This Row],[Resource]], 'SI - Payload'!$A$10:$A$40,'SI - Payload'!$B$10:$B$40,"",0), "")</f>
        <v/>
      </c>
      <c r="M86" s="6" t="str">
        <f>IF(Table18[[#This Row],[Category]]="Transportation", "ton", "")</f>
        <v/>
      </c>
      <c r="N86" s="6"/>
      <c r="O86" s="6"/>
      <c r="P86" s="6" t="str">
        <f>IF(OR(Table18[[#This Row],[Type]]="Main Product", Table18[[#This Row],[Type]]="Co-Product"), Table18[[#This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IF(Table18[[#This Row],[Type]]="Co-product", "No", "")</f>
        <v/>
      </c>
      <c r="J87" s="25"/>
      <c r="K87" s="6"/>
      <c r="L87" s="6" t="str">
        <f>IF(Table18[[#This Row],[Category]]="Transportation", _xlfn.XLOOKUP(Table18[[#This Row],[Resource]], 'SI - Payload'!$A$10:$A$40,'SI - Payload'!$B$10:$B$40,"",0), "")</f>
        <v/>
      </c>
      <c r="M87" s="6" t="str">
        <f>IF(Table18[[#This Row],[Category]]="Transportation", "ton", "")</f>
        <v/>
      </c>
      <c r="N87" s="6"/>
      <c r="O87" s="6"/>
      <c r="P87" s="6" t="str">
        <f>IF(OR(Table18[[#This Row],[Type]]="Main Product", Table18[[#This Row],[Type]]="Co-Product"), Table18[[#This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IF(Table18[[#This Row],[Type]]="Co-product", "No", "")</f>
        <v/>
      </c>
      <c r="J88" s="25"/>
      <c r="K88" s="6"/>
      <c r="L88" s="6" t="str">
        <f>IF(Table18[[#This Row],[Category]]="Transportation", _xlfn.XLOOKUP(Table18[[#This Row],[Resource]], 'SI - Payload'!$A$10:$A$40,'SI - Payload'!$B$10:$B$40,"",0), "")</f>
        <v/>
      </c>
      <c r="M88" s="6" t="str">
        <f>IF(Table18[[#This Row],[Category]]="Transportation", "ton", "")</f>
        <v/>
      </c>
      <c r="N88" s="6"/>
      <c r="O88" s="6"/>
      <c r="P88" s="6" t="str">
        <f>IF(OR(Table18[[#This Row],[Type]]="Main Product", Table18[[#This Row],[Type]]="Co-Product"), Table18[[#This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IF(Table18[[#This Row],[Type]]="Co-product", "No", "")</f>
        <v/>
      </c>
      <c r="J89" s="25"/>
      <c r="K89" s="6"/>
      <c r="L89" s="6" t="str">
        <f>IF(Table18[[#This Row],[Category]]="Transportation", _xlfn.XLOOKUP(Table18[[#This Row],[Resource]], 'SI - Payload'!$A$10:$A$40,'SI - Payload'!$B$10:$B$40,"",0), "")</f>
        <v/>
      </c>
      <c r="M89" s="6" t="str">
        <f>IF(Table18[[#This Row],[Category]]="Transportation", "ton", "")</f>
        <v/>
      </c>
      <c r="N89" s="6"/>
      <c r="O89" s="6"/>
      <c r="P89" s="6" t="str">
        <f>IF(OR(Table18[[#This Row],[Type]]="Main Product", Table18[[#This Row],[Type]]="Co-Product"), Table18[[#This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IF(Table18[[#This Row],[Type]]="Co-product", "No", "")</f>
        <v/>
      </c>
      <c r="J90" s="25"/>
      <c r="K90" s="6"/>
      <c r="L90" s="6" t="str">
        <f>IF(Table18[[#This Row],[Category]]="Transportation", _xlfn.XLOOKUP(Table18[[#This Row],[Resource]], 'SI - Payload'!$A$10:$A$40,'SI - Payload'!$B$10:$B$40,"",0), "")</f>
        <v/>
      </c>
      <c r="M90" s="6" t="str">
        <f>IF(Table18[[#This Row],[Category]]="Transportation", "ton", "")</f>
        <v/>
      </c>
      <c r="N90" s="6"/>
      <c r="O90" s="6"/>
      <c r="P90" s="6" t="str">
        <f>IF(OR(Table18[[#This Row],[Type]]="Main Product", Table18[[#This Row],[Type]]="Co-Product"), Table18[[#This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IF(Table18[[#This Row],[Type]]="Co-product", "No", "")</f>
        <v/>
      </c>
      <c r="J91" s="25"/>
      <c r="K91" s="6"/>
      <c r="L91" s="6" t="str">
        <f>IF(Table18[[#This Row],[Category]]="Transportation", _xlfn.XLOOKUP(Table18[[#This Row],[Resource]], 'SI - Payload'!$A$10:$A$40,'SI - Payload'!$B$10:$B$40,"",0), "")</f>
        <v/>
      </c>
      <c r="M91" s="6" t="str">
        <f>IF(Table18[[#This Row],[Category]]="Transportation", "ton", "")</f>
        <v/>
      </c>
      <c r="N91" s="6"/>
      <c r="O91" s="6"/>
      <c r="P91" s="6" t="str">
        <f>IF(OR(Table18[[#This Row],[Type]]="Main Product", Table18[[#This Row],[Type]]="Co-Product"), Table18[[#This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IF(Table18[[#This Row],[Type]]="Co-product", "No", "")</f>
        <v/>
      </c>
      <c r="J92" s="25"/>
      <c r="K92" s="6"/>
      <c r="L92" s="6" t="str">
        <f>IF(Table18[[#This Row],[Category]]="Transportation", _xlfn.XLOOKUP(Table18[[#This Row],[Resource]], 'SI - Payload'!$A$10:$A$40,'SI - Payload'!$B$10:$B$40,"",0), "")</f>
        <v/>
      </c>
      <c r="M92" s="6" t="str">
        <f>IF(Table18[[#This Row],[Category]]="Transportation", "ton", "")</f>
        <v/>
      </c>
      <c r="N92" s="6"/>
      <c r="O92" s="6"/>
      <c r="P92" s="6" t="str">
        <f>IF(OR(Table18[[#This Row],[Type]]="Main Product", Table18[[#This Row],[Type]]="Co-Product"), Table18[[#This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IF(Table18[[#This Row],[Type]]="Co-product", "No", "")</f>
        <v/>
      </c>
      <c r="J93" s="25"/>
      <c r="K93" s="6"/>
      <c r="L93" s="6" t="str">
        <f>IF(Table18[[#This Row],[Category]]="Transportation", _xlfn.XLOOKUP(Table18[[#This Row],[Resource]], 'SI - Payload'!$A$10:$A$40,'SI - Payload'!$B$10:$B$40,"",0), "")</f>
        <v/>
      </c>
      <c r="M93" s="6" t="str">
        <f>IF(Table18[[#This Row],[Category]]="Transportation", "ton", "")</f>
        <v/>
      </c>
      <c r="N93" s="6"/>
      <c r="O93" s="6"/>
      <c r="P93" s="6" t="str">
        <f>IF(OR(Table18[[#This Row],[Type]]="Main Product", Table18[[#This Row],[Type]]="Co-Product"), Table18[[#This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IF(Table18[[#This Row],[Type]]="Co-product", "No", "")</f>
        <v/>
      </c>
      <c r="J94" s="25"/>
      <c r="K94" s="6"/>
      <c r="L94" s="6" t="str">
        <f>IF(Table18[[#This Row],[Category]]="Transportation", _xlfn.XLOOKUP(Table18[[#This Row],[Resource]], 'SI - Payload'!$A$10:$A$40,'SI - Payload'!$B$10:$B$40,"",0), "")</f>
        <v/>
      </c>
      <c r="M94" s="6" t="str">
        <f>IF(Table18[[#This Row],[Category]]="Transportation", "ton", "")</f>
        <v/>
      </c>
      <c r="N94" s="6"/>
      <c r="O94" s="6"/>
      <c r="P94" s="6" t="str">
        <f>IF(OR(Table18[[#This Row],[Type]]="Main Product", Table18[[#This Row],[Type]]="Co-Product"), Table18[[#This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IF(Table18[[#This Row],[Type]]="Co-product", "No", "")</f>
        <v/>
      </c>
      <c r="J95" s="25"/>
      <c r="K95" s="6"/>
      <c r="L95" s="6" t="str">
        <f>IF(Table18[[#This Row],[Category]]="Transportation", _xlfn.XLOOKUP(Table18[[#This Row],[Resource]], 'SI - Payload'!$A$10:$A$40,'SI - Payload'!$B$10:$B$40,"",0), "")</f>
        <v/>
      </c>
      <c r="M95" s="6" t="str">
        <f>IF(Table18[[#This Row],[Category]]="Transportation", "ton", "")</f>
        <v/>
      </c>
      <c r="N95" s="6"/>
      <c r="O95" s="6"/>
      <c r="P95" s="6" t="str">
        <f>IF(OR(Table18[[#This Row],[Type]]="Main Product", Table18[[#This Row],[Type]]="Co-Product"), Table18[[#This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IF(Table18[[#This Row],[Type]]="Co-product", "No", "")</f>
        <v/>
      </c>
      <c r="J96" s="25"/>
      <c r="K96" s="6"/>
      <c r="L96" s="6" t="str">
        <f>IF(Table18[[#This Row],[Category]]="Transportation", _xlfn.XLOOKUP(Table18[[#This Row],[Resource]], 'SI - Payload'!$A$10:$A$40,'SI - Payload'!$B$10:$B$40,"",0), "")</f>
        <v/>
      </c>
      <c r="M96" s="6" t="str">
        <f>IF(Table18[[#This Row],[Category]]="Transportation", "ton", "")</f>
        <v/>
      </c>
      <c r="N96" s="6"/>
      <c r="O96" s="6"/>
      <c r="P96" s="6" t="str">
        <f>IF(OR(Table18[[#This Row],[Type]]="Main Product", Table18[[#This Row],[Type]]="Co-Product"), Table18[[#This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IF(Table18[[#This Row],[Type]]="Co-product", "No", "")</f>
        <v/>
      </c>
      <c r="J97" s="25"/>
      <c r="K97" s="6"/>
      <c r="L97" s="6" t="str">
        <f>IF(Table18[[#This Row],[Category]]="Transportation", _xlfn.XLOOKUP(Table18[[#This Row],[Resource]], 'SI - Payload'!$A$10:$A$40,'SI - Payload'!$B$10:$B$40,"",0), "")</f>
        <v/>
      </c>
      <c r="M97" s="6" t="str">
        <f>IF(Table18[[#This Row],[Category]]="Transportation", "ton", "")</f>
        <v/>
      </c>
      <c r="N97" s="6"/>
      <c r="O97" s="6"/>
      <c r="P97" s="6" t="str">
        <f>IF(OR(Table18[[#This Row],[Type]]="Main Product", Table18[[#This Row],[Type]]="Co-Product"), Table18[[#This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IF(Table18[[#This Row],[Type]]="Co-product", "No", "")</f>
        <v/>
      </c>
      <c r="J98" s="25"/>
      <c r="K98" s="6"/>
      <c r="L98" s="6" t="str">
        <f>IF(Table18[[#This Row],[Category]]="Transportation", _xlfn.XLOOKUP(Table18[[#This Row],[Resource]], 'SI - Payload'!$A$10:$A$40,'SI - Payload'!$B$10:$B$40,"",0), "")</f>
        <v/>
      </c>
      <c r="M98" s="6" t="str">
        <f>IF(Table18[[#This Row],[Category]]="Transportation", "ton", "")</f>
        <v/>
      </c>
      <c r="N98" s="6"/>
      <c r="O98" s="6"/>
      <c r="P98" s="6" t="str">
        <f>IF(OR(Table18[[#This Row],[Type]]="Main Product", Table18[[#This Row],[Type]]="Co-Product"), Table18[[#This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IF(Table18[[#This Row],[Type]]="Co-product", "No", "")</f>
        <v/>
      </c>
      <c r="J99" s="25"/>
      <c r="K99" s="6"/>
      <c r="L99" s="6" t="str">
        <f>IF(Table18[[#This Row],[Category]]="Transportation", _xlfn.XLOOKUP(Table18[[#This Row],[Resource]], 'SI - Payload'!$A$10:$A$40,'SI - Payload'!$B$10:$B$40,"",0), "")</f>
        <v/>
      </c>
      <c r="M99" s="6" t="str">
        <f>IF(Table18[[#This Row],[Category]]="Transportation", "ton", "")</f>
        <v/>
      </c>
      <c r="N99" s="6"/>
      <c r="O99" s="6"/>
      <c r="P99" s="6" t="str">
        <f>IF(OR(Table18[[#This Row],[Type]]="Main Product", Table18[[#This Row],[Type]]="Co-Product"), Table18[[#This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IF(Table18[[#This Row],[Type]]="Co-product", "No", "")</f>
        <v/>
      </c>
      <c r="J100" s="25"/>
      <c r="K100" s="6"/>
      <c r="L100" s="6" t="str">
        <f>IF(Table18[[#This Row],[Category]]="Transportation", _xlfn.XLOOKUP(Table18[[#This Row],[Resource]], 'SI - Payload'!$A$10:$A$40,'SI - Payload'!$B$10:$B$40,"",0), "")</f>
        <v/>
      </c>
      <c r="M100" s="6" t="str">
        <f>IF(Table18[[#This Row],[Category]]="Transportation", "ton", "")</f>
        <v/>
      </c>
      <c r="N100" s="6"/>
      <c r="O100" s="6"/>
      <c r="P100" s="6" t="str">
        <f>IF(OR(Table18[[#This Row],[Type]]="Main Product", Table18[[#This Row],[Type]]="Co-Product"), Table18[[#This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5EDE1B12-DCCC-4A2F-AE44-F291DA808746}">
      <formula1>0</formula1>
      <formula2>1</formula2>
    </dataValidation>
    <dataValidation type="list" allowBlank="1" showInputMessage="1" showErrorMessage="1" sqref="M6:M100" xr:uid="{BA6AF371-7BC3-4750-A3BA-D8B8EE6B6CDB}">
      <formula1>payload_units</formula1>
    </dataValidation>
    <dataValidation type="decimal" operator="greaterThan" allowBlank="1" showInputMessage="1" showErrorMessage="1" error="Please type a positive number." sqref="L6:L100" xr:uid="{74AD4E47-6ECA-4502-A92E-09F6E1080705}">
      <formula1>0</formula1>
    </dataValidation>
    <dataValidation type="decimal" operator="greaterThan" allowBlank="1" showInputMessage="1" showErrorMessage="1" error="Please type a positive price." sqref="N6:N100" xr:uid="{97089687-BEC4-4878-9AEB-C7788CEAC1C5}">
      <formula1>0</formula1>
    </dataValidation>
    <dataValidation type="decimal" allowBlank="1" showInputMessage="1" showErrorMessage="1" error="Please type a number between 0 and 1." sqref="G6:G100" xr:uid="{068879D8-51FB-45C1-8415-43D22752E7AC}">
      <formula1>0</formula1>
      <formula2>1</formula2>
    </dataValidation>
    <dataValidation type="custom" allowBlank="1" showInputMessage="1" showErrorMessage="1" sqref="E6:E100" xr:uid="{D48F69D4-2A32-4A8E-839E-851F5C7F0753}">
      <formula1>ISNUMBER(E6)</formula1>
    </dataValidation>
    <dataValidation type="list" allowBlank="1" showInputMessage="1" showErrorMessage="1" sqref="C2" xr:uid="{213C4B14-47C3-4AAF-8B38-884C315E12B8}">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EFBBED6A-6442-4433-B90F-9E685099DA0C}">
          <x14:formula1>
            <xm:f>IF($B6="Transportation",  transport_units, INDIRECT(_xlfn.XLOOKUP($C6, 'SI - Units'!$F$26:$F$36,'SI - Units'!$G$26:$G$36,"mass",0)))</xm:f>
          </x14:formula1>
          <xm:sqref>F6:F100</xm:sqref>
        </x14:dataValidation>
        <x14:dataValidation type="list" allowBlank="1" showInputMessage="1" showErrorMessage="1" xr:uid="{EE090971-7C8E-4590-817F-9B746A89349F}">
          <x14:formula1>
            <xm:f>INDIRECT("p_"&amp;_xlfn.XLOOKUP($C6,'SI - Units'!$F$26:$F$36,'SI - Units'!$G$26:$G$36,"mass",0))</xm:f>
          </x14:formula1>
          <xm:sqref>O6:O100</xm:sqref>
        </x14:dataValidation>
        <x14:dataValidation type="list" allowBlank="1" showInputMessage="1" showErrorMessage="1" xr:uid="{8FA0C96E-A11A-4CEC-B89E-1CCB074DAC73}">
          <x14:formula1>
            <xm:f>INDIRECT(_xlfn.XLOOKUP($P6,'SI - End Use'!$A$11:$A$18,'SI - End Use'!$B$11:$B$18,"other_end_use",0))</xm:f>
          </x14:formula1>
          <xm:sqref>Q6:R100</xm:sqref>
        </x14:dataValidation>
        <x14:dataValidation type="list" allowBlank="1" showInputMessage="1" xr:uid="{CBEE52DD-FE1F-4984-95AE-29FC5BF66301}">
          <x14:formula1>
            <xm:f>INDIRECT(_xlfn.XLOOKUP($C6,'SI - End Use'!$A$11:$A$18,'SI - End Use'!$B$11:$B$18,"other_end_use",0))</xm:f>
          </x14:formula1>
          <xm:sqref>D6:D100</xm:sqref>
        </x14:dataValidation>
        <x14:dataValidation type="list" allowBlank="1" showInputMessage="1" showErrorMessage="1" xr:uid="{135B965E-B00B-4444-BB77-5D477EA43E47}">
          <x14:formula1>
            <xm:f>INDIRECT(_xlfn.XLOOKUP($B6, 'SI - Resources'!$R$1:$R$10,'SI - Resources'!$S$1:$S$10, "placeholder_resource", 0))</xm:f>
          </x14:formula1>
          <xm:sqref>P6:P100 C6:C100</xm:sqref>
        </x14:dataValidation>
        <x14:dataValidation type="list" allowBlank="1" showInputMessage="1" showErrorMessage="1" xr:uid="{E7628D17-BC50-466E-963C-78C015F85C83}">
          <x14:formula1>
            <xm:f>'SI - Co-products'!$B$2:$B$6</xm:f>
          </x14:formula1>
          <xm:sqref>A6:A100</xm:sqref>
        </x14:dataValidation>
        <x14:dataValidation type="list" allowBlank="1" showInputMessage="1" showErrorMessage="1" xr:uid="{07ACE2FC-B87C-435F-9684-6300AF0375A8}">
          <x14:formula1>
            <xm:f>'SI - Resources'!$A$1:$J$1</xm:f>
          </x14:formula1>
          <xm:sqref>B6:B100</xm:sqref>
        </x14:dataValidation>
        <x14:dataValidation type="list" allowBlank="1" showInputMessage="1" showErrorMessage="1" xr:uid="{4631530B-F8D8-4E65-8A24-32548A4334EB}">
          <x14:formula1>
            <xm:f>'SI - Co-products'!$C$2:$C$4</xm:f>
          </x14:formula1>
          <xm:sqref>I6:I100</xm:sqref>
        </x14:dataValidation>
        <x14:dataValidation type="list" allowBlank="1" showInputMessage="1" showErrorMessage="1" xr:uid="{8A91869B-C25B-40C7-A16E-AD008F1B8B07}">
          <x14:formula1>
            <xm:f>'SI - Co-products'!$A$2:$A$5</xm:f>
          </x14:formula1>
          <xm:sqref>K6:K100</xm:sqref>
        </x14:dataValidation>
        <x14:dataValidation type="list" allowBlank="1" showInputMessage="1" showErrorMessage="1" xr:uid="{3A0F4A54-E3ED-4829-A877-97B7E61B8D76}">
          <x14:formula1>
            <xm:f>_xlfn.XLOOKUP(_xlfn.XLOOKUP(#REF!,'SI - Units'!$B$24:$B$109,'SI - Units'!$C$24:$C$109),'SI - Units'!$A$2:$A$8,'SI - Units'!$B$2:$R$8)</xm:f>
          </x14:formula1>
          <xm:sqref>F5</xm:sqref>
        </x14:dataValidation>
        <x14:dataValidation type="list" allowBlank="1" showInputMessage="1" showErrorMessage="1" xr:uid="{329F2F5E-2CE5-41F9-BBE8-C08A0620C49C}">
          <x14:formula1>
            <xm:f>'SI - Co-products'!$D$2:$D$8</xm:f>
          </x14:formula1>
          <xm:sqref>C1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F1F807-470A-4775-B24F-CC42BE45B78E}">
  <sheetPr codeName="Sheet11"/>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38</v>
      </c>
      <c r="C6" s="6" t="s">
        <v>32</v>
      </c>
      <c r="D6" s="6" t="s">
        <v>336</v>
      </c>
      <c r="E6" s="60">
        <v>1</v>
      </c>
      <c r="F6" s="6" t="s">
        <v>11</v>
      </c>
      <c r="G6" s="25"/>
      <c r="H6" s="25" t="s">
        <v>354</v>
      </c>
      <c r="I6" s="26" t="str">
        <f>IF(Table111[[#This Row],[Type]]="Co-product", "No", "")</f>
        <v/>
      </c>
      <c r="J6" s="25"/>
      <c r="K6" s="6"/>
      <c r="L6" s="6" t="str">
        <f>IF(Table111[[#This Row],[Category]]="Transportation", _xlfn.XLOOKUP(Table111[[#This Row],[Resource]], 'SI - Payload'!$A$10:$A$40,'SI - Payload'!$B$10:$B$40,"",0), "")</f>
        <v/>
      </c>
      <c r="M6" s="6" t="str">
        <f>IF(Table111[[#This Row],[Category]]="Transportation", "ton", "")</f>
        <v/>
      </c>
      <c r="N6" s="6"/>
      <c r="O6" s="6"/>
      <c r="P6" s="6" t="str">
        <f>IF(OR(Table111[[#This Row],[Type]]="Main Product", Table111[[#This Row],[Type]]="Co-Product"), Table111[[#This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Data'!B3*1000*'INL Data'!E3</f>
        <v>0</v>
      </c>
      <c r="F7" s="6" t="s">
        <v>69</v>
      </c>
      <c r="G7" s="25"/>
      <c r="H7" s="25"/>
      <c r="I7" s="26" t="str">
        <f>IF(Table111[[#This Row],[Type]]="Co-product", "No", "")</f>
        <v/>
      </c>
      <c r="J7" s="25"/>
      <c r="K7" s="6"/>
      <c r="L7" s="6" t="str">
        <f>IF(Table111[[#This Row],[Category]]="Transportation", _xlfn.XLOOKUP(Table111[[#This Row],[Resource]], 'SI - Payload'!$A$10:$A$40,'SI - Payload'!$B$10:$B$40,"",0), "")</f>
        <v/>
      </c>
      <c r="M7" s="6" t="str">
        <f>IF(Table111[[#This Row],[Category]]="Transportation", "ton", "")</f>
        <v/>
      </c>
      <c r="N7" s="6"/>
      <c r="O7" s="6"/>
      <c r="P7" s="6" t="str">
        <f>IF(OR(Table111[[#This Row],[Type]]="Main Product", Table111[[#This Row],[Type]]="Co-Product"), Table111[[#This Row],[Resource]], "")</f>
        <v/>
      </c>
      <c r="Q7" s="6" t="str">
        <f>IF(_xlfn.XLOOKUP($P7,'SI - End Use'!$B$2:$B$6,'SI - End Use'!$C$2:$C$6, "")="", "", _xlfn.XLOOKUP($C7,'SI - End Use'!$B$2:$B$6,'SI - End Use'!$C$2:$C$6, ""))</f>
        <v/>
      </c>
      <c r="R7" s="6"/>
      <c r="S7" s="6"/>
      <c r="T7" s="6"/>
    </row>
    <row r="8" spans="1:20" x14ac:dyDescent="0.35">
      <c r="A8" s="6" t="s">
        <v>0</v>
      </c>
      <c r="B8" s="6" t="s">
        <v>244</v>
      </c>
      <c r="C8" s="6" t="s">
        <v>2</v>
      </c>
      <c r="D8" s="6" t="s">
        <v>39</v>
      </c>
      <c r="E8" s="60">
        <f>'INL Data'!B3*1000*'INL Data'!D3</f>
        <v>0</v>
      </c>
      <c r="F8" s="6" t="s">
        <v>69</v>
      </c>
      <c r="G8" s="25"/>
      <c r="H8" s="25"/>
      <c r="I8" s="26" t="str">
        <f>IF(Table111[[#This Row],[Type]]="Co-product", "No", "")</f>
        <v/>
      </c>
      <c r="J8" s="25"/>
      <c r="K8" s="6"/>
      <c r="L8" s="6" t="str">
        <f>IF(Table111[[#This Row],[Category]]="Transportation", _xlfn.XLOOKUP(Table111[[#This Row],[Resource]], 'SI - Payload'!$A$10:$A$40,'SI - Payload'!$B$10:$B$40,"",0), "")</f>
        <v/>
      </c>
      <c r="M8" s="6" t="str">
        <f>IF(Table111[[#This Row],[Category]]="Transportation", "ton", "")</f>
        <v/>
      </c>
      <c r="N8" s="6"/>
      <c r="O8" s="6"/>
      <c r="P8" s="6" t="str">
        <f>IF(OR(Table111[[#This Row],[Type]]="Main Product", Table111[[#This Row],[Type]]="Co-Product"), Table111[[#This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Data'!B3*1000*'INL Data'!F3</f>
        <v>0</v>
      </c>
      <c r="F9" s="6" t="s">
        <v>69</v>
      </c>
      <c r="G9" s="25"/>
      <c r="H9" s="25"/>
      <c r="I9" s="26" t="str">
        <f>IF(Table111[[#This Row],[Type]]="Co-product", "No", "")</f>
        <v/>
      </c>
      <c r="J9" s="25"/>
      <c r="K9" s="6"/>
      <c r="L9" s="6" t="str">
        <f>IF(Table111[[#This Row],[Category]]="Transportation", _xlfn.XLOOKUP(Table111[[#This Row],[Resource]], 'SI - Payload'!$A$10:$A$40,'SI - Payload'!$B$10:$B$40,"",0), "")</f>
        <v/>
      </c>
      <c r="M9" s="6" t="str">
        <f>IF(Table111[[#This Row],[Category]]="Transportation", "ton", "")</f>
        <v/>
      </c>
      <c r="N9" s="6"/>
      <c r="O9" s="6"/>
      <c r="P9" s="6" t="str">
        <f>IF(OR(Table111[[#This Row],[Type]]="Main Product", Table111[[#This Row],[Type]]="Co-Product"), Table111[[#This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336</v>
      </c>
      <c r="E10" s="60">
        <f>1-'INL Data'!H3</f>
        <v>0.91200000000000003</v>
      </c>
      <c r="F10" s="6" t="s">
        <v>11</v>
      </c>
      <c r="G10" s="25"/>
      <c r="H10" s="25"/>
      <c r="I10" s="26" t="str">
        <f>IF(Table111[[#This Row],[Type]]="Co-product", "No", "")</f>
        <v/>
      </c>
      <c r="J10" s="25"/>
      <c r="K10" s="6"/>
      <c r="L10" s="6" t="str">
        <f>IF(Table111[[#This Row],[Category]]="Transportation", _xlfn.XLOOKUP(Table111[[#This Row],[Resource]], 'SI - Payload'!$A$10:$A$40,'SI - Payload'!$B$10:$B$40,"",0), "")</f>
        <v/>
      </c>
      <c r="M10" s="6" t="str">
        <f>IF(Table111[[#This Row],[Category]]="Transportation", "ton", "")</f>
        <v/>
      </c>
      <c r="N10" s="6"/>
      <c r="O10" s="6"/>
      <c r="P10" s="6" t="str">
        <f>IF(OR(Table111[[#This Row],[Type]]="Main Product", Table111[[#This Row],[Type]]="Co-Product"), Table111[[#This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IF(Table111[[#This Row],[Type]]="Co-product", "No", "")</f>
        <v/>
      </c>
      <c r="J11" s="25"/>
      <c r="K11" s="6"/>
      <c r="L11" s="6" t="str">
        <f>IF(Table111[[#This Row],[Category]]="Transportation", _xlfn.XLOOKUP(Table111[[#This Row],[Resource]], 'SI - Payload'!$A$10:$A$40,'SI - Payload'!$B$10:$B$40,"",0), "")</f>
        <v/>
      </c>
      <c r="M11" s="6" t="str">
        <f>IF(Table111[[#This Row],[Category]]="Transportation", "ton", "")</f>
        <v/>
      </c>
      <c r="N11" s="6"/>
      <c r="O11" s="6"/>
      <c r="P11" s="6" t="str">
        <f>IF(OR(Table111[[#This Row],[Type]]="Main Product", Table111[[#This Row],[Type]]="Co-Product"), Table111[[#This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IF(Table111[[#This Row],[Type]]="Co-product", "No", "")</f>
        <v/>
      </c>
      <c r="J12" s="25"/>
      <c r="K12" s="6"/>
      <c r="L12" s="6" t="str">
        <f>IF(Table111[[#This Row],[Category]]="Transportation", _xlfn.XLOOKUP(Table111[[#This Row],[Resource]], 'SI - Payload'!$A$10:$A$40,'SI - Payload'!$B$10:$B$40,"",0), "")</f>
        <v/>
      </c>
      <c r="M12" s="6" t="str">
        <f>IF(Table111[[#This Row],[Category]]="Transportation", "ton", "")</f>
        <v/>
      </c>
      <c r="N12" s="6"/>
      <c r="O12" s="6"/>
      <c r="P12" s="6" t="str">
        <f>IF(OR(Table111[[#This Row],[Type]]="Main Product", Table111[[#This Row],[Type]]="Co-Product"), Table111[[#This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IF(Table111[[#This Row],[Type]]="Co-product", "No", "")</f>
        <v/>
      </c>
      <c r="J13" s="25"/>
      <c r="K13" s="6"/>
      <c r="L13" s="6" t="str">
        <f>IF(Table111[[#This Row],[Category]]="Transportation", _xlfn.XLOOKUP(Table111[[#This Row],[Resource]], 'SI - Payload'!$A$10:$A$40,'SI - Payload'!$B$10:$B$40,"",0), "")</f>
        <v/>
      </c>
      <c r="M13" s="6" t="str">
        <f>IF(Table111[[#This Row],[Category]]="Transportation", "ton", "")</f>
        <v/>
      </c>
      <c r="N13" s="6"/>
      <c r="O13" s="6"/>
      <c r="P13" s="6" t="str">
        <f>IF(OR(Table111[[#This Row],[Type]]="Main Product", Table111[[#This Row],[Type]]="Co-Product"), Table111[[#This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IF(Table111[[#This Row],[Type]]="Co-product", "No", "")</f>
        <v/>
      </c>
      <c r="J14" s="25"/>
      <c r="K14" s="6"/>
      <c r="L14" s="6" t="str">
        <f>IF(Table111[[#This Row],[Category]]="Transportation", _xlfn.XLOOKUP(Table111[[#This Row],[Resource]], 'SI - Payload'!$A$10:$A$40,'SI - Payload'!$B$10:$B$40,"",0), "")</f>
        <v/>
      </c>
      <c r="M14" s="6" t="str">
        <f>IF(Table111[[#This Row],[Category]]="Transportation", "ton", "")</f>
        <v/>
      </c>
      <c r="N14" s="6"/>
      <c r="O14" s="6"/>
      <c r="P14" s="6" t="str">
        <f>IF(OR(Table111[[#This Row],[Type]]="Main Product", Table111[[#This Row],[Type]]="Co-Product"), Table111[[#This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IF(Table111[[#This Row],[Type]]="Co-product", "No", "")</f>
        <v/>
      </c>
      <c r="J15" s="25"/>
      <c r="K15" s="6"/>
      <c r="L15" s="6" t="str">
        <f>IF(Table111[[#This Row],[Category]]="Transportation", _xlfn.XLOOKUP(Table111[[#This Row],[Resource]], 'SI - Payload'!$A$10:$A$40,'SI - Payload'!$B$10:$B$40,"",0), "")</f>
        <v/>
      </c>
      <c r="M15" s="6" t="str">
        <f>IF(Table111[[#This Row],[Category]]="Transportation", "ton", "")</f>
        <v/>
      </c>
      <c r="N15" s="6"/>
      <c r="O15" s="6"/>
      <c r="P15" s="6" t="str">
        <f>IF(OR(Table111[[#This Row],[Type]]="Main Product", Table111[[#This Row],[Type]]="Co-Product"), Table111[[#This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IF(Table111[[#This Row],[Type]]="Co-product", "No", "")</f>
        <v/>
      </c>
      <c r="J16" s="25"/>
      <c r="K16" s="6"/>
      <c r="L16" s="6" t="str">
        <f>IF(Table111[[#This Row],[Category]]="Transportation", _xlfn.XLOOKUP(Table111[[#This Row],[Resource]], 'SI - Payload'!$A$10:$A$40,'SI - Payload'!$B$10:$B$40,"",0), "")</f>
        <v/>
      </c>
      <c r="M16" s="6" t="str">
        <f>IF(Table111[[#This Row],[Category]]="Transportation", "ton", "")</f>
        <v/>
      </c>
      <c r="N16" s="6"/>
      <c r="O16" s="6"/>
      <c r="P16" s="6" t="str">
        <f>IF(OR(Table111[[#This Row],[Type]]="Main Product", Table111[[#This Row],[Type]]="Co-Product"), Table111[[#This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IF(Table111[[#This Row],[Type]]="Co-product", "No", "")</f>
        <v/>
      </c>
      <c r="J17" s="25"/>
      <c r="K17" s="6"/>
      <c r="L17" s="6" t="str">
        <f>IF(Table111[[#This Row],[Category]]="Transportation", _xlfn.XLOOKUP(Table111[[#This Row],[Resource]], 'SI - Payload'!$A$10:$A$40,'SI - Payload'!$B$10:$B$40,"",0), "")</f>
        <v/>
      </c>
      <c r="M17" s="6" t="str">
        <f>IF(Table111[[#This Row],[Category]]="Transportation", "ton", "")</f>
        <v/>
      </c>
      <c r="N17" s="6"/>
      <c r="O17" s="6"/>
      <c r="P17" s="6" t="str">
        <f>IF(OR(Table111[[#This Row],[Type]]="Main Product", Table111[[#This Row],[Type]]="Co-Product"), Table111[[#This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IF(Table111[[#This Row],[Type]]="Co-product", "No", "")</f>
        <v/>
      </c>
      <c r="J18" s="25"/>
      <c r="K18" s="6"/>
      <c r="L18" s="6" t="str">
        <f>IF(Table111[[#This Row],[Category]]="Transportation", _xlfn.XLOOKUP(Table111[[#This Row],[Resource]], 'SI - Payload'!$A$10:$A$40,'SI - Payload'!$B$10:$B$40,"",0), "")</f>
        <v/>
      </c>
      <c r="M18" s="6" t="str">
        <f>IF(Table111[[#This Row],[Category]]="Transportation", "ton", "")</f>
        <v/>
      </c>
      <c r="N18" s="6"/>
      <c r="O18" s="6"/>
      <c r="P18" s="6" t="str">
        <f>IF(OR(Table111[[#This Row],[Type]]="Main Product", Table111[[#This Row],[Type]]="Co-Product"), Table111[[#This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IF(Table111[[#This Row],[Type]]="Co-product", "No", "")</f>
        <v/>
      </c>
      <c r="J19" s="25"/>
      <c r="K19" s="6"/>
      <c r="L19" s="6" t="str">
        <f>IF(Table111[[#This Row],[Category]]="Transportation", _xlfn.XLOOKUP(Table111[[#This Row],[Resource]], 'SI - Payload'!$A$10:$A$40,'SI - Payload'!$B$10:$B$40,"",0), "")</f>
        <v/>
      </c>
      <c r="M19" s="6" t="str">
        <f>IF(Table111[[#This Row],[Category]]="Transportation", "ton", "")</f>
        <v/>
      </c>
      <c r="N19" s="6"/>
      <c r="O19" s="6"/>
      <c r="P19" s="6" t="str">
        <f>IF(OR(Table111[[#This Row],[Type]]="Main Product", Table111[[#This Row],[Type]]="Co-Product"), Table111[[#This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IF(Table111[[#This Row],[Type]]="Co-product", "No", "")</f>
        <v/>
      </c>
      <c r="J20" s="25"/>
      <c r="K20" s="6"/>
      <c r="L20" s="6" t="str">
        <f>IF(Table111[[#This Row],[Category]]="Transportation", _xlfn.XLOOKUP(Table111[[#This Row],[Resource]], 'SI - Payload'!$A$10:$A$40,'SI - Payload'!$B$10:$B$40,"",0), "")</f>
        <v/>
      </c>
      <c r="M20" s="6" t="str">
        <f>IF(Table111[[#This Row],[Category]]="Transportation", "ton", "")</f>
        <v/>
      </c>
      <c r="N20" s="6"/>
      <c r="O20" s="6"/>
      <c r="P20" s="6" t="str">
        <f>IF(OR(Table111[[#This Row],[Type]]="Main Product", Table111[[#This Row],[Type]]="Co-Product"), Table111[[#This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IF(Table111[[#This Row],[Type]]="Co-product", "No", "")</f>
        <v/>
      </c>
      <c r="J21" s="25"/>
      <c r="K21" s="6"/>
      <c r="L21" s="6" t="str">
        <f>IF(Table111[[#This Row],[Category]]="Transportation", _xlfn.XLOOKUP(Table111[[#This Row],[Resource]], 'SI - Payload'!$A$10:$A$40,'SI - Payload'!$B$10:$B$40,"",0), "")</f>
        <v/>
      </c>
      <c r="M21" s="6" t="str">
        <f>IF(Table111[[#This Row],[Category]]="Transportation", "ton", "")</f>
        <v/>
      </c>
      <c r="N21" s="6"/>
      <c r="O21" s="6"/>
      <c r="P21" s="6" t="str">
        <f>IF(OR(Table111[[#This Row],[Type]]="Main Product", Table111[[#This Row],[Type]]="Co-Product"), Table111[[#This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IF(Table111[[#This Row],[Type]]="Co-product", "No", "")</f>
        <v/>
      </c>
      <c r="J22" s="25"/>
      <c r="K22" s="6"/>
      <c r="L22" s="6" t="str">
        <f>IF(Table111[[#This Row],[Category]]="Transportation", _xlfn.XLOOKUP(Table111[[#This Row],[Resource]], 'SI - Payload'!$A$10:$A$40,'SI - Payload'!$B$10:$B$40,"",0), "")</f>
        <v/>
      </c>
      <c r="M22" s="6" t="str">
        <f>IF(Table111[[#This Row],[Category]]="Transportation", "ton", "")</f>
        <v/>
      </c>
      <c r="N22" s="6"/>
      <c r="O22" s="6"/>
      <c r="P22" s="6" t="str">
        <f>IF(OR(Table111[[#This Row],[Type]]="Main Product", Table111[[#This Row],[Type]]="Co-Product"), Table111[[#This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IF(Table111[[#This Row],[Type]]="Co-product", "No", "")</f>
        <v/>
      </c>
      <c r="J23" s="25"/>
      <c r="K23" s="6"/>
      <c r="L23" s="6" t="str">
        <f>IF(Table111[[#This Row],[Category]]="Transportation", _xlfn.XLOOKUP(Table111[[#This Row],[Resource]], 'SI - Payload'!$A$10:$A$40,'SI - Payload'!$B$10:$B$40,"",0), "")</f>
        <v/>
      </c>
      <c r="M23" s="6" t="str">
        <f>IF(Table111[[#This Row],[Category]]="Transportation", "ton", "")</f>
        <v/>
      </c>
      <c r="N23" s="6"/>
      <c r="O23" s="6"/>
      <c r="P23" s="6" t="str">
        <f>IF(OR(Table111[[#This Row],[Type]]="Main Product", Table111[[#This Row],[Type]]="Co-Product"), Table111[[#This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IF(Table111[[#This Row],[Type]]="Co-product", "No", "")</f>
        <v/>
      </c>
      <c r="J24" s="25"/>
      <c r="K24" s="6"/>
      <c r="L24" s="6" t="str">
        <f>IF(Table111[[#This Row],[Category]]="Transportation", _xlfn.XLOOKUP(Table111[[#This Row],[Resource]], 'SI - Payload'!$A$10:$A$40,'SI - Payload'!$B$10:$B$40,"",0), "")</f>
        <v/>
      </c>
      <c r="M24" s="6" t="str">
        <f>IF(Table111[[#This Row],[Category]]="Transportation", "ton", "")</f>
        <v/>
      </c>
      <c r="N24" s="6"/>
      <c r="O24" s="6"/>
      <c r="P24" s="6" t="str">
        <f>IF(OR(Table111[[#This Row],[Type]]="Main Product", Table111[[#This Row],[Type]]="Co-Product"), Table111[[#This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IF(Table111[[#This Row],[Type]]="Co-product", "No", "")</f>
        <v/>
      </c>
      <c r="J25" s="25"/>
      <c r="K25" s="6"/>
      <c r="L25" s="6" t="str">
        <f>IF(Table111[[#This Row],[Category]]="Transportation", _xlfn.XLOOKUP(Table111[[#This Row],[Resource]], 'SI - Payload'!$A$10:$A$40,'SI - Payload'!$B$10:$B$40,"",0), "")</f>
        <v/>
      </c>
      <c r="M25" s="6" t="str">
        <f>IF(Table111[[#This Row],[Category]]="Transportation", "ton", "")</f>
        <v/>
      </c>
      <c r="N25" s="6"/>
      <c r="O25" s="6"/>
      <c r="P25" s="6" t="str">
        <f>IF(OR(Table111[[#This Row],[Type]]="Main Product", Table111[[#This Row],[Type]]="Co-Product"), Table111[[#This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IF(Table111[[#This Row],[Type]]="Co-product", "No", "")</f>
        <v/>
      </c>
      <c r="J26" s="25"/>
      <c r="K26" s="6"/>
      <c r="L26" s="6" t="str">
        <f>IF(Table111[[#This Row],[Category]]="Transportation", _xlfn.XLOOKUP(Table111[[#This Row],[Resource]], 'SI - Payload'!$A$10:$A$40,'SI - Payload'!$B$10:$B$40,"",0), "")</f>
        <v/>
      </c>
      <c r="M26" s="6" t="str">
        <f>IF(Table111[[#This Row],[Category]]="Transportation", "ton", "")</f>
        <v/>
      </c>
      <c r="N26" s="6"/>
      <c r="O26" s="6"/>
      <c r="P26" s="6" t="str">
        <f>IF(OR(Table111[[#This Row],[Type]]="Main Product", Table111[[#This Row],[Type]]="Co-Product"), Table111[[#This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IF(Table111[[#This Row],[Type]]="Co-product", "No", "")</f>
        <v/>
      </c>
      <c r="J27" s="25"/>
      <c r="K27" s="6"/>
      <c r="L27" s="6" t="str">
        <f>IF(Table111[[#This Row],[Category]]="Transportation", _xlfn.XLOOKUP(Table111[[#This Row],[Resource]], 'SI - Payload'!$A$10:$A$40,'SI - Payload'!$B$10:$B$40,"",0), "")</f>
        <v/>
      </c>
      <c r="M27" s="6" t="str">
        <f>IF(Table111[[#This Row],[Category]]="Transportation", "ton", "")</f>
        <v/>
      </c>
      <c r="N27" s="6"/>
      <c r="O27" s="6"/>
      <c r="P27" s="6" t="str">
        <f>IF(OR(Table111[[#This Row],[Type]]="Main Product", Table111[[#This Row],[Type]]="Co-Product"), Table111[[#This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IF(Table111[[#This Row],[Type]]="Co-product", "No", "")</f>
        <v/>
      </c>
      <c r="J28" s="25"/>
      <c r="K28" s="6"/>
      <c r="L28" s="6" t="str">
        <f>IF(Table111[[#This Row],[Category]]="Transportation", _xlfn.XLOOKUP(Table111[[#This Row],[Resource]], 'SI - Payload'!$A$10:$A$40,'SI - Payload'!$B$10:$B$40,"",0), "")</f>
        <v/>
      </c>
      <c r="M28" s="6" t="str">
        <f>IF(Table111[[#This Row],[Category]]="Transportation", "ton", "")</f>
        <v/>
      </c>
      <c r="N28" s="6"/>
      <c r="O28" s="6"/>
      <c r="P28" s="6" t="str">
        <f>IF(OR(Table111[[#This Row],[Type]]="Main Product", Table111[[#This Row],[Type]]="Co-Product"), Table111[[#This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IF(Table111[[#This Row],[Type]]="Co-product", "No", "")</f>
        <v/>
      </c>
      <c r="J29" s="25"/>
      <c r="K29" s="6"/>
      <c r="L29" s="6" t="str">
        <f>IF(Table111[[#This Row],[Category]]="Transportation", _xlfn.XLOOKUP(Table111[[#This Row],[Resource]], 'SI - Payload'!$A$10:$A$40,'SI - Payload'!$B$10:$B$40,"",0), "")</f>
        <v/>
      </c>
      <c r="M29" s="6" t="str">
        <f>IF(Table111[[#This Row],[Category]]="Transportation", "ton", "")</f>
        <v/>
      </c>
      <c r="N29" s="6"/>
      <c r="O29" s="6"/>
      <c r="P29" s="6" t="str">
        <f>IF(OR(Table111[[#This Row],[Type]]="Main Product", Table111[[#This Row],[Type]]="Co-Product"), Table111[[#This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IF(Table111[[#This Row],[Type]]="Co-product", "No", "")</f>
        <v/>
      </c>
      <c r="J30" s="25"/>
      <c r="K30" s="6"/>
      <c r="L30" s="6" t="str">
        <f>IF(Table111[[#This Row],[Category]]="Transportation", _xlfn.XLOOKUP(Table111[[#This Row],[Resource]], 'SI - Payload'!$A$10:$A$40,'SI - Payload'!$B$10:$B$40,"",0), "")</f>
        <v/>
      </c>
      <c r="M30" s="6" t="str">
        <f>IF(Table111[[#This Row],[Category]]="Transportation", "ton", "")</f>
        <v/>
      </c>
      <c r="N30" s="6"/>
      <c r="O30" s="6"/>
      <c r="P30" s="6" t="str">
        <f>IF(OR(Table111[[#This Row],[Type]]="Main Product", Table111[[#This Row],[Type]]="Co-Product"), Table111[[#This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IF(Table111[[#This Row],[Type]]="Co-product", "No", "")</f>
        <v/>
      </c>
      <c r="J31" s="25"/>
      <c r="K31" s="6"/>
      <c r="L31" s="6" t="str">
        <f>IF(Table111[[#This Row],[Category]]="Transportation", _xlfn.XLOOKUP(Table111[[#This Row],[Resource]], 'SI - Payload'!$A$10:$A$40,'SI - Payload'!$B$10:$B$40,"",0), "")</f>
        <v/>
      </c>
      <c r="M31" s="6" t="str">
        <f>IF(Table111[[#This Row],[Category]]="Transportation", "ton", "")</f>
        <v/>
      </c>
      <c r="N31" s="6"/>
      <c r="O31" s="6"/>
      <c r="P31" s="6" t="str">
        <f>IF(OR(Table111[[#This Row],[Type]]="Main Product", Table111[[#This Row],[Type]]="Co-Product"), Table111[[#This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IF(Table111[[#This Row],[Type]]="Co-product", "No", "")</f>
        <v/>
      </c>
      <c r="J32" s="25"/>
      <c r="K32" s="6"/>
      <c r="L32" s="6" t="str">
        <f>IF(Table111[[#This Row],[Category]]="Transportation", _xlfn.XLOOKUP(Table111[[#This Row],[Resource]], 'SI - Payload'!$A$10:$A$40,'SI - Payload'!$B$10:$B$40,"",0), "")</f>
        <v/>
      </c>
      <c r="M32" s="6" t="str">
        <f>IF(Table111[[#This Row],[Category]]="Transportation", "ton", "")</f>
        <v/>
      </c>
      <c r="N32" s="6"/>
      <c r="O32" s="6"/>
      <c r="P32" s="6" t="str">
        <f>IF(OR(Table111[[#This Row],[Type]]="Main Product", Table111[[#This Row],[Type]]="Co-Product"), Table111[[#This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IF(Table111[[#This Row],[Type]]="Co-product", "No", "")</f>
        <v/>
      </c>
      <c r="J33" s="25"/>
      <c r="K33" s="6"/>
      <c r="L33" s="6" t="str">
        <f>IF(Table111[[#This Row],[Category]]="Transportation", _xlfn.XLOOKUP(Table111[[#This Row],[Resource]], 'SI - Payload'!$A$10:$A$40,'SI - Payload'!$B$10:$B$40,"",0), "")</f>
        <v/>
      </c>
      <c r="M33" s="6" t="str">
        <f>IF(Table111[[#This Row],[Category]]="Transportation", "ton", "")</f>
        <v/>
      </c>
      <c r="N33" s="6"/>
      <c r="O33" s="6"/>
      <c r="P33" s="6" t="str">
        <f>IF(OR(Table111[[#This Row],[Type]]="Main Product", Table111[[#This Row],[Type]]="Co-Product"), Table111[[#This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IF(Table111[[#This Row],[Type]]="Co-product", "No", "")</f>
        <v/>
      </c>
      <c r="J34" s="25"/>
      <c r="K34" s="6"/>
      <c r="L34" s="6" t="str">
        <f>IF(Table111[[#This Row],[Category]]="Transportation", _xlfn.XLOOKUP(Table111[[#This Row],[Resource]], 'SI - Payload'!$A$10:$A$40,'SI - Payload'!$B$10:$B$40,"",0), "")</f>
        <v/>
      </c>
      <c r="M34" s="6" t="str">
        <f>IF(Table111[[#This Row],[Category]]="Transportation", "ton", "")</f>
        <v/>
      </c>
      <c r="N34" s="6"/>
      <c r="O34" s="6"/>
      <c r="P34" s="6" t="str">
        <f>IF(OR(Table111[[#This Row],[Type]]="Main Product", Table111[[#This Row],[Type]]="Co-Product"), Table111[[#This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IF(Table111[[#This Row],[Type]]="Co-product", "No", "")</f>
        <v/>
      </c>
      <c r="J35" s="25"/>
      <c r="K35" s="6"/>
      <c r="L35" s="6" t="str">
        <f>IF(Table111[[#This Row],[Category]]="Transportation", _xlfn.XLOOKUP(Table111[[#This Row],[Resource]], 'SI - Payload'!$A$10:$A$40,'SI - Payload'!$B$10:$B$40,"",0), "")</f>
        <v/>
      </c>
      <c r="M35" s="6" t="str">
        <f>IF(Table111[[#This Row],[Category]]="Transportation", "ton", "")</f>
        <v/>
      </c>
      <c r="N35" s="6"/>
      <c r="O35" s="6"/>
      <c r="P35" s="6" t="str">
        <f>IF(OR(Table111[[#This Row],[Type]]="Main Product", Table111[[#This Row],[Type]]="Co-Product"), Table111[[#This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IF(Table111[[#This Row],[Type]]="Co-product", "No", "")</f>
        <v/>
      </c>
      <c r="J36" s="25"/>
      <c r="K36" s="6"/>
      <c r="L36" s="6" t="str">
        <f>IF(Table111[[#This Row],[Category]]="Transportation", _xlfn.XLOOKUP(Table111[[#This Row],[Resource]], 'SI - Payload'!$A$10:$A$40,'SI - Payload'!$B$10:$B$40,"",0), "")</f>
        <v/>
      </c>
      <c r="M36" s="6" t="str">
        <f>IF(Table111[[#This Row],[Category]]="Transportation", "ton", "")</f>
        <v/>
      </c>
      <c r="N36" s="6"/>
      <c r="O36" s="6"/>
      <c r="P36" s="6" t="str">
        <f>IF(OR(Table111[[#This Row],[Type]]="Main Product", Table111[[#This Row],[Type]]="Co-Product"), Table111[[#This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IF(Table111[[#This Row],[Type]]="Co-product", "No", "")</f>
        <v/>
      </c>
      <c r="J37" s="25"/>
      <c r="K37" s="6"/>
      <c r="L37" s="6" t="str">
        <f>IF(Table111[[#This Row],[Category]]="Transportation", _xlfn.XLOOKUP(Table111[[#This Row],[Resource]], 'SI - Payload'!$A$10:$A$40,'SI - Payload'!$B$10:$B$40,"",0), "")</f>
        <v/>
      </c>
      <c r="M37" s="6" t="str">
        <f>IF(Table111[[#This Row],[Category]]="Transportation", "ton", "")</f>
        <v/>
      </c>
      <c r="N37" s="6"/>
      <c r="O37" s="6"/>
      <c r="P37" s="6" t="str">
        <f>IF(OR(Table111[[#This Row],[Type]]="Main Product", Table111[[#This Row],[Type]]="Co-Product"), Table111[[#This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IF(Table111[[#This Row],[Type]]="Co-product", "No", "")</f>
        <v/>
      </c>
      <c r="J38" s="25"/>
      <c r="K38" s="6"/>
      <c r="L38" s="6" t="str">
        <f>IF(Table111[[#This Row],[Category]]="Transportation", _xlfn.XLOOKUP(Table111[[#This Row],[Resource]], 'SI - Payload'!$A$10:$A$40,'SI - Payload'!$B$10:$B$40,"",0), "")</f>
        <v/>
      </c>
      <c r="M38" s="6" t="str">
        <f>IF(Table111[[#This Row],[Category]]="Transportation", "ton", "")</f>
        <v/>
      </c>
      <c r="N38" s="6"/>
      <c r="O38" s="6"/>
      <c r="P38" s="6" t="str">
        <f>IF(OR(Table111[[#This Row],[Type]]="Main Product", Table111[[#This Row],[Type]]="Co-Product"), Table111[[#This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IF(Table111[[#This Row],[Type]]="Co-product", "No", "")</f>
        <v/>
      </c>
      <c r="J39" s="25"/>
      <c r="K39" s="6"/>
      <c r="L39" s="6" t="str">
        <f>IF(Table111[[#This Row],[Category]]="Transportation", _xlfn.XLOOKUP(Table111[[#This Row],[Resource]], 'SI - Payload'!$A$10:$A$40,'SI - Payload'!$B$10:$B$40,"",0), "")</f>
        <v/>
      </c>
      <c r="M39" s="6" t="str">
        <f>IF(Table111[[#This Row],[Category]]="Transportation", "ton", "")</f>
        <v/>
      </c>
      <c r="N39" s="6"/>
      <c r="O39" s="6"/>
      <c r="P39" s="6" t="str">
        <f>IF(OR(Table111[[#This Row],[Type]]="Main Product", Table111[[#This Row],[Type]]="Co-Product"), Table111[[#This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IF(Table111[[#This Row],[Type]]="Co-product", "No", "")</f>
        <v/>
      </c>
      <c r="J40" s="25"/>
      <c r="K40" s="6"/>
      <c r="L40" s="6" t="str">
        <f>IF(Table111[[#This Row],[Category]]="Transportation", _xlfn.XLOOKUP(Table111[[#This Row],[Resource]], 'SI - Payload'!$A$10:$A$40,'SI - Payload'!$B$10:$B$40,"",0), "")</f>
        <v/>
      </c>
      <c r="M40" s="6" t="str">
        <f>IF(Table111[[#This Row],[Category]]="Transportation", "ton", "")</f>
        <v/>
      </c>
      <c r="N40" s="6"/>
      <c r="O40" s="6"/>
      <c r="P40" s="6" t="str">
        <f>IF(OR(Table111[[#This Row],[Type]]="Main Product", Table111[[#This Row],[Type]]="Co-Product"), Table111[[#This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IF(Table111[[#This Row],[Type]]="Co-product", "No", "")</f>
        <v/>
      </c>
      <c r="J41" s="25"/>
      <c r="K41" s="6"/>
      <c r="L41" s="6" t="str">
        <f>IF(Table111[[#This Row],[Category]]="Transportation", _xlfn.XLOOKUP(Table111[[#This Row],[Resource]], 'SI - Payload'!$A$10:$A$40,'SI - Payload'!$B$10:$B$40,"",0), "")</f>
        <v/>
      </c>
      <c r="M41" s="6" t="str">
        <f>IF(Table111[[#This Row],[Category]]="Transportation", "ton", "")</f>
        <v/>
      </c>
      <c r="N41" s="6"/>
      <c r="O41" s="6"/>
      <c r="P41" s="6" t="str">
        <f>IF(OR(Table111[[#This Row],[Type]]="Main Product", Table111[[#This Row],[Type]]="Co-Product"), Table111[[#This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IF(Table111[[#This Row],[Type]]="Co-product", "No", "")</f>
        <v/>
      </c>
      <c r="J42" s="25"/>
      <c r="K42" s="6"/>
      <c r="L42" s="6" t="str">
        <f>IF(Table111[[#This Row],[Category]]="Transportation", _xlfn.XLOOKUP(Table111[[#This Row],[Resource]], 'SI - Payload'!$A$10:$A$40,'SI - Payload'!$B$10:$B$40,"",0), "")</f>
        <v/>
      </c>
      <c r="M42" s="6" t="str">
        <f>IF(Table111[[#This Row],[Category]]="Transportation", "ton", "")</f>
        <v/>
      </c>
      <c r="N42" s="6"/>
      <c r="O42" s="6"/>
      <c r="P42" s="6" t="str">
        <f>IF(OR(Table111[[#This Row],[Type]]="Main Product", Table111[[#This Row],[Type]]="Co-Product"), Table111[[#This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IF(Table111[[#This Row],[Type]]="Co-product", "No", "")</f>
        <v/>
      </c>
      <c r="J43" s="25"/>
      <c r="K43" s="6"/>
      <c r="L43" s="6" t="str">
        <f>IF(Table111[[#This Row],[Category]]="Transportation", _xlfn.XLOOKUP(Table111[[#This Row],[Resource]], 'SI - Payload'!$A$10:$A$40,'SI - Payload'!$B$10:$B$40,"",0), "")</f>
        <v/>
      </c>
      <c r="M43" s="6" t="str">
        <f>IF(Table111[[#This Row],[Category]]="Transportation", "ton", "")</f>
        <v/>
      </c>
      <c r="N43" s="6"/>
      <c r="O43" s="6"/>
      <c r="P43" s="6" t="str">
        <f>IF(OR(Table111[[#This Row],[Type]]="Main Product", Table111[[#This Row],[Type]]="Co-Product"), Table111[[#This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IF(Table111[[#This Row],[Type]]="Co-product", "No", "")</f>
        <v/>
      </c>
      <c r="J44" s="25"/>
      <c r="K44" s="6"/>
      <c r="L44" s="6" t="str">
        <f>IF(Table111[[#This Row],[Category]]="Transportation", _xlfn.XLOOKUP(Table111[[#This Row],[Resource]], 'SI - Payload'!$A$10:$A$40,'SI - Payload'!$B$10:$B$40,"",0), "")</f>
        <v/>
      </c>
      <c r="M44" s="6" t="str">
        <f>IF(Table111[[#This Row],[Category]]="Transportation", "ton", "")</f>
        <v/>
      </c>
      <c r="N44" s="6"/>
      <c r="O44" s="6"/>
      <c r="P44" s="6" t="str">
        <f>IF(OR(Table111[[#This Row],[Type]]="Main Product", Table111[[#This Row],[Type]]="Co-Product"), Table111[[#This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IF(Table111[[#This Row],[Type]]="Co-product", "No", "")</f>
        <v/>
      </c>
      <c r="J45" s="25"/>
      <c r="K45" s="6"/>
      <c r="L45" s="6" t="str">
        <f>IF(Table111[[#This Row],[Category]]="Transportation", _xlfn.XLOOKUP(Table111[[#This Row],[Resource]], 'SI - Payload'!$A$10:$A$40,'SI - Payload'!$B$10:$B$40,"",0), "")</f>
        <v/>
      </c>
      <c r="M45" s="6" t="str">
        <f>IF(Table111[[#This Row],[Category]]="Transportation", "ton", "")</f>
        <v/>
      </c>
      <c r="N45" s="6"/>
      <c r="O45" s="6"/>
      <c r="P45" s="6" t="str">
        <f>IF(OR(Table111[[#This Row],[Type]]="Main Product", Table111[[#This Row],[Type]]="Co-Product"), Table111[[#This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IF(Table111[[#This Row],[Type]]="Co-product", "No", "")</f>
        <v/>
      </c>
      <c r="J46" s="25"/>
      <c r="K46" s="6"/>
      <c r="L46" s="6" t="str">
        <f>IF(Table111[[#This Row],[Category]]="Transportation", _xlfn.XLOOKUP(Table111[[#This Row],[Resource]], 'SI - Payload'!$A$10:$A$40,'SI - Payload'!$B$10:$B$40,"",0), "")</f>
        <v/>
      </c>
      <c r="M46" s="6" t="str">
        <f>IF(Table111[[#This Row],[Category]]="Transportation", "ton", "")</f>
        <v/>
      </c>
      <c r="N46" s="6"/>
      <c r="O46" s="6"/>
      <c r="P46" s="6" t="str">
        <f>IF(OR(Table111[[#This Row],[Type]]="Main Product", Table111[[#This Row],[Type]]="Co-Product"), Table111[[#This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IF(Table111[[#This Row],[Type]]="Co-product", "No", "")</f>
        <v/>
      </c>
      <c r="J47" s="25"/>
      <c r="K47" s="6"/>
      <c r="L47" s="6" t="str">
        <f>IF(Table111[[#This Row],[Category]]="Transportation", _xlfn.XLOOKUP(Table111[[#This Row],[Resource]], 'SI - Payload'!$A$10:$A$40,'SI - Payload'!$B$10:$B$40,"",0), "")</f>
        <v/>
      </c>
      <c r="M47" s="6" t="str">
        <f>IF(Table111[[#This Row],[Category]]="Transportation", "ton", "")</f>
        <v/>
      </c>
      <c r="N47" s="6"/>
      <c r="O47" s="6"/>
      <c r="P47" s="6" t="str">
        <f>IF(OR(Table111[[#This Row],[Type]]="Main Product", Table111[[#This Row],[Type]]="Co-Product"), Table111[[#This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IF(Table111[[#This Row],[Type]]="Co-product", "No", "")</f>
        <v/>
      </c>
      <c r="J48" s="25"/>
      <c r="K48" s="6"/>
      <c r="L48" s="6" t="str">
        <f>IF(Table111[[#This Row],[Category]]="Transportation", _xlfn.XLOOKUP(Table111[[#This Row],[Resource]], 'SI - Payload'!$A$10:$A$40,'SI - Payload'!$B$10:$B$40,"",0), "")</f>
        <v/>
      </c>
      <c r="M48" s="6" t="str">
        <f>IF(Table111[[#This Row],[Category]]="Transportation", "ton", "")</f>
        <v/>
      </c>
      <c r="N48" s="6"/>
      <c r="O48" s="6"/>
      <c r="P48" s="6" t="str">
        <f>IF(OR(Table111[[#This Row],[Type]]="Main Product", Table111[[#This Row],[Type]]="Co-Product"), Table111[[#This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IF(Table111[[#This Row],[Type]]="Co-product", "No", "")</f>
        <v/>
      </c>
      <c r="J49" s="25"/>
      <c r="K49" s="6"/>
      <c r="L49" s="6" t="str">
        <f>IF(Table111[[#This Row],[Category]]="Transportation", _xlfn.XLOOKUP(Table111[[#This Row],[Resource]], 'SI - Payload'!$A$10:$A$40,'SI - Payload'!$B$10:$B$40,"",0), "")</f>
        <v/>
      </c>
      <c r="M49" s="6" t="str">
        <f>IF(Table111[[#This Row],[Category]]="Transportation", "ton", "")</f>
        <v/>
      </c>
      <c r="N49" s="6"/>
      <c r="O49" s="6"/>
      <c r="P49" s="6" t="str">
        <f>IF(OR(Table111[[#This Row],[Type]]="Main Product", Table111[[#This Row],[Type]]="Co-Product"), Table111[[#This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IF(Table111[[#This Row],[Type]]="Co-product", "No", "")</f>
        <v/>
      </c>
      <c r="J50" s="25"/>
      <c r="K50" s="6"/>
      <c r="L50" s="6" t="str">
        <f>IF(Table111[[#This Row],[Category]]="Transportation", _xlfn.XLOOKUP(Table111[[#This Row],[Resource]], 'SI - Payload'!$A$10:$A$40,'SI - Payload'!$B$10:$B$40,"",0), "")</f>
        <v/>
      </c>
      <c r="M50" s="6" t="str">
        <f>IF(Table111[[#This Row],[Category]]="Transportation", "ton", "")</f>
        <v/>
      </c>
      <c r="N50" s="6"/>
      <c r="O50" s="6"/>
      <c r="P50" s="6" t="str">
        <f>IF(OR(Table111[[#This Row],[Type]]="Main Product", Table111[[#This Row],[Type]]="Co-Product"), Table111[[#This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IF(Table111[[#This Row],[Type]]="Co-product", "No", "")</f>
        <v/>
      </c>
      <c r="J51" s="25"/>
      <c r="K51" s="6"/>
      <c r="L51" s="6" t="str">
        <f>IF(Table111[[#This Row],[Category]]="Transportation", _xlfn.XLOOKUP(Table111[[#This Row],[Resource]], 'SI - Payload'!$A$10:$A$40,'SI - Payload'!$B$10:$B$40,"",0), "")</f>
        <v/>
      </c>
      <c r="M51" s="6" t="str">
        <f>IF(Table111[[#This Row],[Category]]="Transportation", "ton", "")</f>
        <v/>
      </c>
      <c r="N51" s="6"/>
      <c r="O51" s="6"/>
      <c r="P51" s="6" t="str">
        <f>IF(OR(Table111[[#This Row],[Type]]="Main Product", Table111[[#This Row],[Type]]="Co-Product"), Table111[[#This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IF(Table111[[#This Row],[Type]]="Co-product", "No", "")</f>
        <v/>
      </c>
      <c r="J52" s="25"/>
      <c r="K52" s="6"/>
      <c r="L52" s="6" t="str">
        <f>IF(Table111[[#This Row],[Category]]="Transportation", _xlfn.XLOOKUP(Table111[[#This Row],[Resource]], 'SI - Payload'!$A$10:$A$40,'SI - Payload'!$B$10:$B$40,"",0), "")</f>
        <v/>
      </c>
      <c r="M52" s="6" t="str">
        <f>IF(Table111[[#This Row],[Category]]="Transportation", "ton", "")</f>
        <v/>
      </c>
      <c r="N52" s="6"/>
      <c r="O52" s="6"/>
      <c r="P52" s="6" t="str">
        <f>IF(OR(Table111[[#This Row],[Type]]="Main Product", Table111[[#This Row],[Type]]="Co-Product"), Table111[[#This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IF(Table111[[#This Row],[Type]]="Co-product", "No", "")</f>
        <v/>
      </c>
      <c r="J53" s="25"/>
      <c r="K53" s="6"/>
      <c r="L53" s="6" t="str">
        <f>IF(Table111[[#This Row],[Category]]="Transportation", _xlfn.XLOOKUP(Table111[[#This Row],[Resource]], 'SI - Payload'!$A$10:$A$40,'SI - Payload'!$B$10:$B$40,"",0), "")</f>
        <v/>
      </c>
      <c r="M53" s="6" t="str">
        <f>IF(Table111[[#This Row],[Category]]="Transportation", "ton", "")</f>
        <v/>
      </c>
      <c r="N53" s="6"/>
      <c r="O53" s="6"/>
      <c r="P53" s="6" t="str">
        <f>IF(OR(Table111[[#This Row],[Type]]="Main Product", Table111[[#This Row],[Type]]="Co-Product"), Table111[[#This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IF(Table111[[#This Row],[Type]]="Co-product", "No", "")</f>
        <v/>
      </c>
      <c r="J54" s="25"/>
      <c r="K54" s="6"/>
      <c r="L54" s="6" t="str">
        <f>IF(Table111[[#This Row],[Category]]="Transportation", _xlfn.XLOOKUP(Table111[[#This Row],[Resource]], 'SI - Payload'!$A$10:$A$40,'SI - Payload'!$B$10:$B$40,"",0), "")</f>
        <v/>
      </c>
      <c r="M54" s="6" t="str">
        <f>IF(Table111[[#This Row],[Category]]="Transportation", "ton", "")</f>
        <v/>
      </c>
      <c r="N54" s="6"/>
      <c r="O54" s="6"/>
      <c r="P54" s="6" t="str">
        <f>IF(OR(Table111[[#This Row],[Type]]="Main Product", Table111[[#This Row],[Type]]="Co-Product"), Table111[[#This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IF(Table111[[#This Row],[Type]]="Co-product", "No", "")</f>
        <v/>
      </c>
      <c r="J55" s="25"/>
      <c r="K55" s="6"/>
      <c r="L55" s="6" t="str">
        <f>IF(Table111[[#This Row],[Category]]="Transportation", _xlfn.XLOOKUP(Table111[[#This Row],[Resource]], 'SI - Payload'!$A$10:$A$40,'SI - Payload'!$B$10:$B$40,"",0), "")</f>
        <v/>
      </c>
      <c r="M55" s="6" t="str">
        <f>IF(Table111[[#This Row],[Category]]="Transportation", "ton", "")</f>
        <v/>
      </c>
      <c r="N55" s="6"/>
      <c r="O55" s="6"/>
      <c r="P55" s="6" t="str">
        <f>IF(OR(Table111[[#This Row],[Type]]="Main Product", Table111[[#This Row],[Type]]="Co-Product"), Table111[[#This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IF(Table111[[#This Row],[Type]]="Co-product", "No", "")</f>
        <v/>
      </c>
      <c r="J56" s="25"/>
      <c r="K56" s="6"/>
      <c r="L56" s="6" t="str">
        <f>IF(Table111[[#This Row],[Category]]="Transportation", _xlfn.XLOOKUP(Table111[[#This Row],[Resource]], 'SI - Payload'!$A$10:$A$40,'SI - Payload'!$B$10:$B$40,"",0), "")</f>
        <v/>
      </c>
      <c r="M56" s="6" t="str">
        <f>IF(Table111[[#This Row],[Category]]="Transportation", "ton", "")</f>
        <v/>
      </c>
      <c r="N56" s="6"/>
      <c r="O56" s="6"/>
      <c r="P56" s="6" t="str">
        <f>IF(OR(Table111[[#This Row],[Type]]="Main Product", Table111[[#This Row],[Type]]="Co-Product"), Table111[[#This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IF(Table111[[#This Row],[Type]]="Co-product", "No", "")</f>
        <v/>
      </c>
      <c r="J57" s="25"/>
      <c r="K57" s="6"/>
      <c r="L57" s="6" t="str">
        <f>IF(Table111[[#This Row],[Category]]="Transportation", _xlfn.XLOOKUP(Table111[[#This Row],[Resource]], 'SI - Payload'!$A$10:$A$40,'SI - Payload'!$B$10:$B$40,"",0), "")</f>
        <v/>
      </c>
      <c r="M57" s="6" t="str">
        <f>IF(Table111[[#This Row],[Category]]="Transportation", "ton", "")</f>
        <v/>
      </c>
      <c r="N57" s="6"/>
      <c r="O57" s="6"/>
      <c r="P57" s="6" t="str">
        <f>IF(OR(Table111[[#This Row],[Type]]="Main Product", Table111[[#This Row],[Type]]="Co-Product"), Table111[[#This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IF(Table111[[#This Row],[Type]]="Co-product", "No", "")</f>
        <v/>
      </c>
      <c r="J58" s="25"/>
      <c r="K58" s="6"/>
      <c r="L58" s="6" t="str">
        <f>IF(Table111[[#This Row],[Category]]="Transportation", _xlfn.XLOOKUP(Table111[[#This Row],[Resource]], 'SI - Payload'!$A$10:$A$40,'SI - Payload'!$B$10:$B$40,"",0), "")</f>
        <v/>
      </c>
      <c r="M58" s="6" t="str">
        <f>IF(Table111[[#This Row],[Category]]="Transportation", "ton", "")</f>
        <v/>
      </c>
      <c r="N58" s="6"/>
      <c r="O58" s="6"/>
      <c r="P58" s="6" t="str">
        <f>IF(OR(Table111[[#This Row],[Type]]="Main Product", Table111[[#This Row],[Type]]="Co-Product"), Table111[[#This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IF(Table111[[#This Row],[Type]]="Co-product", "No", "")</f>
        <v/>
      </c>
      <c r="J59" s="25"/>
      <c r="K59" s="6"/>
      <c r="L59" s="6" t="str">
        <f>IF(Table111[[#This Row],[Category]]="Transportation", _xlfn.XLOOKUP(Table111[[#This Row],[Resource]], 'SI - Payload'!$A$10:$A$40,'SI - Payload'!$B$10:$B$40,"",0), "")</f>
        <v/>
      </c>
      <c r="M59" s="6" t="str">
        <f>IF(Table111[[#This Row],[Category]]="Transportation", "ton", "")</f>
        <v/>
      </c>
      <c r="N59" s="6"/>
      <c r="O59" s="6"/>
      <c r="P59" s="6" t="str">
        <f>IF(OR(Table111[[#This Row],[Type]]="Main Product", Table111[[#This Row],[Type]]="Co-Product"), Table111[[#This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IF(Table111[[#This Row],[Type]]="Co-product", "No", "")</f>
        <v/>
      </c>
      <c r="J60" s="25"/>
      <c r="K60" s="6"/>
      <c r="L60" s="6" t="str">
        <f>IF(Table111[[#This Row],[Category]]="Transportation", _xlfn.XLOOKUP(Table111[[#This Row],[Resource]], 'SI - Payload'!$A$10:$A$40,'SI - Payload'!$B$10:$B$40,"",0), "")</f>
        <v/>
      </c>
      <c r="M60" s="6" t="str">
        <f>IF(Table111[[#This Row],[Category]]="Transportation", "ton", "")</f>
        <v/>
      </c>
      <c r="N60" s="6"/>
      <c r="O60" s="6"/>
      <c r="P60" s="6" t="str">
        <f>IF(OR(Table111[[#This Row],[Type]]="Main Product", Table111[[#This Row],[Type]]="Co-Product"), Table111[[#This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IF(Table111[[#This Row],[Type]]="Co-product", "No", "")</f>
        <v/>
      </c>
      <c r="J61" s="25"/>
      <c r="K61" s="6"/>
      <c r="L61" s="6" t="str">
        <f>IF(Table111[[#This Row],[Category]]="Transportation", _xlfn.XLOOKUP(Table111[[#This Row],[Resource]], 'SI - Payload'!$A$10:$A$40,'SI - Payload'!$B$10:$B$40,"",0), "")</f>
        <v/>
      </c>
      <c r="M61" s="6" t="str">
        <f>IF(Table111[[#This Row],[Category]]="Transportation", "ton", "")</f>
        <v/>
      </c>
      <c r="N61" s="6"/>
      <c r="O61" s="6"/>
      <c r="P61" s="6" t="str">
        <f>IF(OR(Table111[[#This Row],[Type]]="Main Product", Table111[[#This Row],[Type]]="Co-Product"), Table111[[#This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IF(Table111[[#This Row],[Type]]="Co-product", "No", "")</f>
        <v/>
      </c>
      <c r="J62" s="25"/>
      <c r="K62" s="6"/>
      <c r="L62" s="6" t="str">
        <f>IF(Table111[[#This Row],[Category]]="Transportation", _xlfn.XLOOKUP(Table111[[#This Row],[Resource]], 'SI - Payload'!$A$10:$A$40,'SI - Payload'!$B$10:$B$40,"",0), "")</f>
        <v/>
      </c>
      <c r="M62" s="6" t="str">
        <f>IF(Table111[[#This Row],[Category]]="Transportation", "ton", "")</f>
        <v/>
      </c>
      <c r="N62" s="6"/>
      <c r="O62" s="6"/>
      <c r="P62" s="6" t="str">
        <f>IF(OR(Table111[[#This Row],[Type]]="Main Product", Table111[[#This Row],[Type]]="Co-Product"), Table111[[#This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IF(Table111[[#This Row],[Type]]="Co-product", "No", "")</f>
        <v/>
      </c>
      <c r="J63" s="25"/>
      <c r="K63" s="6"/>
      <c r="L63" s="6" t="str">
        <f>IF(Table111[[#This Row],[Category]]="Transportation", _xlfn.XLOOKUP(Table111[[#This Row],[Resource]], 'SI - Payload'!$A$10:$A$40,'SI - Payload'!$B$10:$B$40,"",0), "")</f>
        <v/>
      </c>
      <c r="M63" s="6" t="str">
        <f>IF(Table111[[#This Row],[Category]]="Transportation", "ton", "")</f>
        <v/>
      </c>
      <c r="N63" s="6"/>
      <c r="O63" s="6"/>
      <c r="P63" s="6" t="str">
        <f>IF(OR(Table111[[#This Row],[Type]]="Main Product", Table111[[#This Row],[Type]]="Co-Product"), Table111[[#This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IF(Table111[[#This Row],[Type]]="Co-product", "No", "")</f>
        <v/>
      </c>
      <c r="J64" s="25"/>
      <c r="K64" s="6"/>
      <c r="L64" s="6" t="str">
        <f>IF(Table111[[#This Row],[Category]]="Transportation", _xlfn.XLOOKUP(Table111[[#This Row],[Resource]], 'SI - Payload'!$A$10:$A$40,'SI - Payload'!$B$10:$B$40,"",0), "")</f>
        <v/>
      </c>
      <c r="M64" s="6" t="str">
        <f>IF(Table111[[#This Row],[Category]]="Transportation", "ton", "")</f>
        <v/>
      </c>
      <c r="N64" s="6"/>
      <c r="O64" s="6"/>
      <c r="P64" s="6" t="str">
        <f>IF(OR(Table111[[#This Row],[Type]]="Main Product", Table111[[#This Row],[Type]]="Co-Product"), Table111[[#This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IF(Table111[[#This Row],[Type]]="Co-product", "No", "")</f>
        <v/>
      </c>
      <c r="J65" s="25"/>
      <c r="K65" s="6"/>
      <c r="L65" s="6" t="str">
        <f>IF(Table111[[#This Row],[Category]]="Transportation", _xlfn.XLOOKUP(Table111[[#This Row],[Resource]], 'SI - Payload'!$A$10:$A$40,'SI - Payload'!$B$10:$B$40,"",0), "")</f>
        <v/>
      </c>
      <c r="M65" s="6" t="str">
        <f>IF(Table111[[#This Row],[Category]]="Transportation", "ton", "")</f>
        <v/>
      </c>
      <c r="N65" s="6"/>
      <c r="O65" s="6"/>
      <c r="P65" s="6" t="str">
        <f>IF(OR(Table111[[#This Row],[Type]]="Main Product", Table111[[#This Row],[Type]]="Co-Product"), Table111[[#This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IF(Table111[[#This Row],[Type]]="Co-product", "No", "")</f>
        <v/>
      </c>
      <c r="J66" s="25"/>
      <c r="K66" s="6"/>
      <c r="L66" s="6" t="str">
        <f>IF(Table111[[#This Row],[Category]]="Transportation", _xlfn.XLOOKUP(Table111[[#This Row],[Resource]], 'SI - Payload'!$A$10:$A$40,'SI - Payload'!$B$10:$B$40,"",0), "")</f>
        <v/>
      </c>
      <c r="M66" s="6" t="str">
        <f>IF(Table111[[#This Row],[Category]]="Transportation", "ton", "")</f>
        <v/>
      </c>
      <c r="N66" s="6"/>
      <c r="O66" s="6"/>
      <c r="P66" s="6" t="str">
        <f>IF(OR(Table111[[#This Row],[Type]]="Main Product", Table111[[#This Row],[Type]]="Co-Product"), Table111[[#This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IF(Table111[[#This Row],[Type]]="Co-product", "No", "")</f>
        <v/>
      </c>
      <c r="J67" s="25"/>
      <c r="K67" s="6"/>
      <c r="L67" s="6" t="str">
        <f>IF(Table111[[#This Row],[Category]]="Transportation", _xlfn.XLOOKUP(Table111[[#This Row],[Resource]], 'SI - Payload'!$A$10:$A$40,'SI - Payload'!$B$10:$B$40,"",0), "")</f>
        <v/>
      </c>
      <c r="M67" s="6" t="str">
        <f>IF(Table111[[#This Row],[Category]]="Transportation", "ton", "")</f>
        <v/>
      </c>
      <c r="N67" s="6"/>
      <c r="O67" s="6"/>
      <c r="P67" s="6" t="str">
        <f>IF(OR(Table111[[#This Row],[Type]]="Main Product", Table111[[#This Row],[Type]]="Co-Product"), Table111[[#This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IF(Table111[[#This Row],[Type]]="Co-product", "No", "")</f>
        <v/>
      </c>
      <c r="J68" s="25"/>
      <c r="K68" s="6"/>
      <c r="L68" s="6" t="str">
        <f>IF(Table111[[#This Row],[Category]]="Transportation", _xlfn.XLOOKUP(Table111[[#This Row],[Resource]], 'SI - Payload'!$A$10:$A$40,'SI - Payload'!$B$10:$B$40,"",0), "")</f>
        <v/>
      </c>
      <c r="M68" s="6" t="str">
        <f>IF(Table111[[#This Row],[Category]]="Transportation", "ton", "")</f>
        <v/>
      </c>
      <c r="N68" s="6"/>
      <c r="O68" s="6"/>
      <c r="P68" s="6" t="str">
        <f>IF(OR(Table111[[#This Row],[Type]]="Main Product", Table111[[#This Row],[Type]]="Co-Product"), Table111[[#This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IF(Table111[[#This Row],[Type]]="Co-product", "No", "")</f>
        <v/>
      </c>
      <c r="J69" s="25"/>
      <c r="K69" s="6"/>
      <c r="L69" s="6" t="str">
        <f>IF(Table111[[#This Row],[Category]]="Transportation", _xlfn.XLOOKUP(Table111[[#This Row],[Resource]], 'SI - Payload'!$A$10:$A$40,'SI - Payload'!$B$10:$B$40,"",0), "")</f>
        <v/>
      </c>
      <c r="M69" s="6" t="str">
        <f>IF(Table111[[#This Row],[Category]]="Transportation", "ton", "")</f>
        <v/>
      </c>
      <c r="N69" s="6"/>
      <c r="O69" s="6"/>
      <c r="P69" s="6" t="str">
        <f>IF(OR(Table111[[#This Row],[Type]]="Main Product", Table111[[#This Row],[Type]]="Co-Product"), Table111[[#This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IF(Table111[[#This Row],[Type]]="Co-product", "No", "")</f>
        <v/>
      </c>
      <c r="J70" s="25"/>
      <c r="K70" s="6"/>
      <c r="L70" s="6" t="str">
        <f>IF(Table111[[#This Row],[Category]]="Transportation", _xlfn.XLOOKUP(Table111[[#This Row],[Resource]], 'SI - Payload'!$A$10:$A$40,'SI - Payload'!$B$10:$B$40,"",0), "")</f>
        <v/>
      </c>
      <c r="M70" s="6" t="str">
        <f>IF(Table111[[#This Row],[Category]]="Transportation", "ton", "")</f>
        <v/>
      </c>
      <c r="N70" s="6"/>
      <c r="O70" s="6"/>
      <c r="P70" s="6" t="str">
        <f>IF(OR(Table111[[#This Row],[Type]]="Main Product", Table111[[#This Row],[Type]]="Co-Product"), Table111[[#This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IF(Table111[[#This Row],[Type]]="Co-product", "No", "")</f>
        <v/>
      </c>
      <c r="J71" s="25"/>
      <c r="K71" s="6"/>
      <c r="L71" s="6" t="str">
        <f>IF(Table111[[#This Row],[Category]]="Transportation", _xlfn.XLOOKUP(Table111[[#This Row],[Resource]], 'SI - Payload'!$A$10:$A$40,'SI - Payload'!$B$10:$B$40,"",0), "")</f>
        <v/>
      </c>
      <c r="M71" s="6" t="str">
        <f>IF(Table111[[#This Row],[Category]]="Transportation", "ton", "")</f>
        <v/>
      </c>
      <c r="N71" s="6"/>
      <c r="O71" s="6"/>
      <c r="P71" s="6" t="str">
        <f>IF(OR(Table111[[#This Row],[Type]]="Main Product", Table111[[#This Row],[Type]]="Co-Product"), Table111[[#This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IF(Table111[[#This Row],[Type]]="Co-product", "No", "")</f>
        <v/>
      </c>
      <c r="J72" s="25"/>
      <c r="K72" s="6"/>
      <c r="L72" s="6" t="str">
        <f>IF(Table111[[#This Row],[Category]]="Transportation", _xlfn.XLOOKUP(Table111[[#This Row],[Resource]], 'SI - Payload'!$A$10:$A$40,'SI - Payload'!$B$10:$B$40,"",0), "")</f>
        <v/>
      </c>
      <c r="M72" s="6" t="str">
        <f>IF(Table111[[#This Row],[Category]]="Transportation", "ton", "")</f>
        <v/>
      </c>
      <c r="N72" s="6"/>
      <c r="O72" s="6"/>
      <c r="P72" s="6" t="str">
        <f>IF(OR(Table111[[#This Row],[Type]]="Main Product", Table111[[#This Row],[Type]]="Co-Product"), Table111[[#This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IF(Table111[[#This Row],[Type]]="Co-product", "No", "")</f>
        <v/>
      </c>
      <c r="J73" s="25"/>
      <c r="K73" s="6"/>
      <c r="L73" s="6" t="str">
        <f>IF(Table111[[#This Row],[Category]]="Transportation", _xlfn.XLOOKUP(Table111[[#This Row],[Resource]], 'SI - Payload'!$A$10:$A$40,'SI - Payload'!$B$10:$B$40,"",0), "")</f>
        <v/>
      </c>
      <c r="M73" s="6" t="str">
        <f>IF(Table111[[#This Row],[Category]]="Transportation", "ton", "")</f>
        <v/>
      </c>
      <c r="N73" s="6"/>
      <c r="O73" s="6"/>
      <c r="P73" s="6" t="str">
        <f>IF(OR(Table111[[#This Row],[Type]]="Main Product", Table111[[#This Row],[Type]]="Co-Product"), Table111[[#This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IF(Table111[[#This Row],[Type]]="Co-product", "No", "")</f>
        <v/>
      </c>
      <c r="J74" s="25"/>
      <c r="K74" s="6"/>
      <c r="L74" s="6" t="str">
        <f>IF(Table111[[#This Row],[Category]]="Transportation", _xlfn.XLOOKUP(Table111[[#This Row],[Resource]], 'SI - Payload'!$A$10:$A$40,'SI - Payload'!$B$10:$B$40,"",0), "")</f>
        <v/>
      </c>
      <c r="M74" s="6" t="str">
        <f>IF(Table111[[#This Row],[Category]]="Transportation", "ton", "")</f>
        <v/>
      </c>
      <c r="N74" s="6"/>
      <c r="O74" s="6"/>
      <c r="P74" s="6" t="str">
        <f>IF(OR(Table111[[#This Row],[Type]]="Main Product", Table111[[#This Row],[Type]]="Co-Product"), Table111[[#This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IF(Table111[[#This Row],[Type]]="Co-product", "No", "")</f>
        <v/>
      </c>
      <c r="J75" s="25"/>
      <c r="K75" s="6"/>
      <c r="L75" s="6" t="str">
        <f>IF(Table111[[#This Row],[Category]]="Transportation", _xlfn.XLOOKUP(Table111[[#This Row],[Resource]], 'SI - Payload'!$A$10:$A$40,'SI - Payload'!$B$10:$B$40,"",0), "")</f>
        <v/>
      </c>
      <c r="M75" s="6" t="str">
        <f>IF(Table111[[#This Row],[Category]]="Transportation", "ton", "")</f>
        <v/>
      </c>
      <c r="N75" s="6"/>
      <c r="O75" s="6"/>
      <c r="P75" s="6" t="str">
        <f>IF(OR(Table111[[#This Row],[Type]]="Main Product", Table111[[#This Row],[Type]]="Co-Product"), Table111[[#This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IF(Table111[[#This Row],[Type]]="Co-product", "No", "")</f>
        <v/>
      </c>
      <c r="J76" s="25"/>
      <c r="K76" s="6"/>
      <c r="L76" s="6" t="str">
        <f>IF(Table111[[#This Row],[Category]]="Transportation", _xlfn.XLOOKUP(Table111[[#This Row],[Resource]], 'SI - Payload'!$A$10:$A$40,'SI - Payload'!$B$10:$B$40,"",0), "")</f>
        <v/>
      </c>
      <c r="M76" s="6" t="str">
        <f>IF(Table111[[#This Row],[Category]]="Transportation", "ton", "")</f>
        <v/>
      </c>
      <c r="N76" s="6"/>
      <c r="O76" s="6"/>
      <c r="P76" s="6" t="str">
        <f>IF(OR(Table111[[#This Row],[Type]]="Main Product", Table111[[#This Row],[Type]]="Co-Product"), Table111[[#This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IF(Table111[[#This Row],[Type]]="Co-product", "No", "")</f>
        <v/>
      </c>
      <c r="J77" s="25"/>
      <c r="K77" s="6"/>
      <c r="L77" s="6" t="str">
        <f>IF(Table111[[#This Row],[Category]]="Transportation", _xlfn.XLOOKUP(Table111[[#This Row],[Resource]], 'SI - Payload'!$A$10:$A$40,'SI - Payload'!$B$10:$B$40,"",0), "")</f>
        <v/>
      </c>
      <c r="M77" s="6" t="str">
        <f>IF(Table111[[#This Row],[Category]]="Transportation", "ton", "")</f>
        <v/>
      </c>
      <c r="N77" s="6"/>
      <c r="O77" s="6"/>
      <c r="P77" s="6" t="str">
        <f>IF(OR(Table111[[#This Row],[Type]]="Main Product", Table111[[#This Row],[Type]]="Co-Product"), Table111[[#This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IF(Table111[[#This Row],[Type]]="Co-product", "No", "")</f>
        <v/>
      </c>
      <c r="J78" s="25"/>
      <c r="K78" s="6"/>
      <c r="L78" s="6" t="str">
        <f>IF(Table111[[#This Row],[Category]]="Transportation", _xlfn.XLOOKUP(Table111[[#This Row],[Resource]], 'SI - Payload'!$A$10:$A$40,'SI - Payload'!$B$10:$B$40,"",0), "")</f>
        <v/>
      </c>
      <c r="M78" s="6" t="str">
        <f>IF(Table111[[#This Row],[Category]]="Transportation", "ton", "")</f>
        <v/>
      </c>
      <c r="N78" s="6"/>
      <c r="O78" s="6"/>
      <c r="P78" s="6" t="str">
        <f>IF(OR(Table111[[#This Row],[Type]]="Main Product", Table111[[#This Row],[Type]]="Co-Product"), Table111[[#This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IF(Table111[[#This Row],[Type]]="Co-product", "No", "")</f>
        <v/>
      </c>
      <c r="J79" s="25"/>
      <c r="K79" s="6"/>
      <c r="L79" s="6" t="str">
        <f>IF(Table111[[#This Row],[Category]]="Transportation", _xlfn.XLOOKUP(Table111[[#This Row],[Resource]], 'SI - Payload'!$A$10:$A$40,'SI - Payload'!$B$10:$B$40,"",0), "")</f>
        <v/>
      </c>
      <c r="M79" s="6" t="str">
        <f>IF(Table111[[#This Row],[Category]]="Transportation", "ton", "")</f>
        <v/>
      </c>
      <c r="N79" s="6"/>
      <c r="O79" s="6"/>
      <c r="P79" s="6" t="str">
        <f>IF(OR(Table111[[#This Row],[Type]]="Main Product", Table111[[#This Row],[Type]]="Co-Product"), Table111[[#This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IF(Table111[[#This Row],[Type]]="Co-product", "No", "")</f>
        <v/>
      </c>
      <c r="J80" s="25"/>
      <c r="K80" s="6"/>
      <c r="L80" s="6" t="str">
        <f>IF(Table111[[#This Row],[Category]]="Transportation", _xlfn.XLOOKUP(Table111[[#This Row],[Resource]], 'SI - Payload'!$A$10:$A$40,'SI - Payload'!$B$10:$B$40,"",0), "")</f>
        <v/>
      </c>
      <c r="M80" s="6" t="str">
        <f>IF(Table111[[#This Row],[Category]]="Transportation", "ton", "")</f>
        <v/>
      </c>
      <c r="N80" s="6"/>
      <c r="O80" s="6"/>
      <c r="P80" s="6" t="str">
        <f>IF(OR(Table111[[#This Row],[Type]]="Main Product", Table111[[#This Row],[Type]]="Co-Product"), Table111[[#This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IF(Table111[[#This Row],[Type]]="Co-product", "No", "")</f>
        <v/>
      </c>
      <c r="J81" s="25"/>
      <c r="K81" s="6"/>
      <c r="L81" s="6" t="str">
        <f>IF(Table111[[#This Row],[Category]]="Transportation", _xlfn.XLOOKUP(Table111[[#This Row],[Resource]], 'SI - Payload'!$A$10:$A$40,'SI - Payload'!$B$10:$B$40,"",0), "")</f>
        <v/>
      </c>
      <c r="M81" s="6" t="str">
        <f>IF(Table111[[#This Row],[Category]]="Transportation", "ton", "")</f>
        <v/>
      </c>
      <c r="N81" s="6"/>
      <c r="O81" s="6"/>
      <c r="P81" s="6" t="str">
        <f>IF(OR(Table111[[#This Row],[Type]]="Main Product", Table111[[#This Row],[Type]]="Co-Product"), Table111[[#This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IF(Table111[[#This Row],[Type]]="Co-product", "No", "")</f>
        <v/>
      </c>
      <c r="J82" s="25"/>
      <c r="K82" s="6"/>
      <c r="L82" s="6" t="str">
        <f>IF(Table111[[#This Row],[Category]]="Transportation", _xlfn.XLOOKUP(Table111[[#This Row],[Resource]], 'SI - Payload'!$A$10:$A$40,'SI - Payload'!$B$10:$B$40,"",0), "")</f>
        <v/>
      </c>
      <c r="M82" s="6" t="str">
        <f>IF(Table111[[#This Row],[Category]]="Transportation", "ton", "")</f>
        <v/>
      </c>
      <c r="N82" s="6"/>
      <c r="O82" s="6"/>
      <c r="P82" s="6" t="str">
        <f>IF(OR(Table111[[#This Row],[Type]]="Main Product", Table111[[#This Row],[Type]]="Co-Product"), Table111[[#This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IF(Table111[[#This Row],[Type]]="Co-product", "No", "")</f>
        <v/>
      </c>
      <c r="J83" s="25"/>
      <c r="K83" s="6"/>
      <c r="L83" s="6" t="str">
        <f>IF(Table111[[#This Row],[Category]]="Transportation", _xlfn.XLOOKUP(Table111[[#This Row],[Resource]], 'SI - Payload'!$A$10:$A$40,'SI - Payload'!$B$10:$B$40,"",0), "")</f>
        <v/>
      </c>
      <c r="M83" s="6" t="str">
        <f>IF(Table111[[#This Row],[Category]]="Transportation", "ton", "")</f>
        <v/>
      </c>
      <c r="N83" s="6"/>
      <c r="O83" s="6"/>
      <c r="P83" s="6" t="str">
        <f>IF(OR(Table111[[#This Row],[Type]]="Main Product", Table111[[#This Row],[Type]]="Co-Product"), Table111[[#This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IF(Table111[[#This Row],[Type]]="Co-product", "No", "")</f>
        <v/>
      </c>
      <c r="J84" s="25"/>
      <c r="K84" s="6"/>
      <c r="L84" s="6" t="str">
        <f>IF(Table111[[#This Row],[Category]]="Transportation", _xlfn.XLOOKUP(Table111[[#This Row],[Resource]], 'SI - Payload'!$A$10:$A$40,'SI - Payload'!$B$10:$B$40,"",0), "")</f>
        <v/>
      </c>
      <c r="M84" s="6" t="str">
        <f>IF(Table111[[#This Row],[Category]]="Transportation", "ton", "")</f>
        <v/>
      </c>
      <c r="N84" s="6"/>
      <c r="O84" s="6"/>
      <c r="P84" s="6" t="str">
        <f>IF(OR(Table111[[#This Row],[Type]]="Main Product", Table111[[#This Row],[Type]]="Co-Product"), Table111[[#This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IF(Table111[[#This Row],[Type]]="Co-product", "No", "")</f>
        <v/>
      </c>
      <c r="J85" s="25"/>
      <c r="K85" s="6"/>
      <c r="L85" s="6" t="str">
        <f>IF(Table111[[#This Row],[Category]]="Transportation", _xlfn.XLOOKUP(Table111[[#This Row],[Resource]], 'SI - Payload'!$A$10:$A$40,'SI - Payload'!$B$10:$B$40,"",0), "")</f>
        <v/>
      </c>
      <c r="M85" s="6" t="str">
        <f>IF(Table111[[#This Row],[Category]]="Transportation", "ton", "")</f>
        <v/>
      </c>
      <c r="N85" s="6"/>
      <c r="O85" s="6"/>
      <c r="P85" s="6" t="str">
        <f>IF(OR(Table111[[#This Row],[Type]]="Main Product", Table111[[#This Row],[Type]]="Co-Product"), Table111[[#This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IF(Table111[[#This Row],[Type]]="Co-product", "No", "")</f>
        <v/>
      </c>
      <c r="J86" s="25"/>
      <c r="K86" s="6"/>
      <c r="L86" s="6" t="str">
        <f>IF(Table111[[#This Row],[Category]]="Transportation", _xlfn.XLOOKUP(Table111[[#This Row],[Resource]], 'SI - Payload'!$A$10:$A$40,'SI - Payload'!$B$10:$B$40,"",0), "")</f>
        <v/>
      </c>
      <c r="M86" s="6" t="str">
        <f>IF(Table111[[#This Row],[Category]]="Transportation", "ton", "")</f>
        <v/>
      </c>
      <c r="N86" s="6"/>
      <c r="O86" s="6"/>
      <c r="P86" s="6" t="str">
        <f>IF(OR(Table111[[#This Row],[Type]]="Main Product", Table111[[#This Row],[Type]]="Co-Product"), Table111[[#This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IF(Table111[[#This Row],[Type]]="Co-product", "No", "")</f>
        <v/>
      </c>
      <c r="J87" s="25"/>
      <c r="K87" s="6"/>
      <c r="L87" s="6" t="str">
        <f>IF(Table111[[#This Row],[Category]]="Transportation", _xlfn.XLOOKUP(Table111[[#This Row],[Resource]], 'SI - Payload'!$A$10:$A$40,'SI - Payload'!$B$10:$B$40,"",0), "")</f>
        <v/>
      </c>
      <c r="M87" s="6" t="str">
        <f>IF(Table111[[#This Row],[Category]]="Transportation", "ton", "")</f>
        <v/>
      </c>
      <c r="N87" s="6"/>
      <c r="O87" s="6"/>
      <c r="P87" s="6" t="str">
        <f>IF(OR(Table111[[#This Row],[Type]]="Main Product", Table111[[#This Row],[Type]]="Co-Product"), Table111[[#This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IF(Table111[[#This Row],[Type]]="Co-product", "No", "")</f>
        <v/>
      </c>
      <c r="J88" s="25"/>
      <c r="K88" s="6"/>
      <c r="L88" s="6" t="str">
        <f>IF(Table111[[#This Row],[Category]]="Transportation", _xlfn.XLOOKUP(Table111[[#This Row],[Resource]], 'SI - Payload'!$A$10:$A$40,'SI - Payload'!$B$10:$B$40,"",0), "")</f>
        <v/>
      </c>
      <c r="M88" s="6" t="str">
        <f>IF(Table111[[#This Row],[Category]]="Transportation", "ton", "")</f>
        <v/>
      </c>
      <c r="N88" s="6"/>
      <c r="O88" s="6"/>
      <c r="P88" s="6" t="str">
        <f>IF(OR(Table111[[#This Row],[Type]]="Main Product", Table111[[#This Row],[Type]]="Co-Product"), Table111[[#This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IF(Table111[[#This Row],[Type]]="Co-product", "No", "")</f>
        <v/>
      </c>
      <c r="J89" s="25"/>
      <c r="K89" s="6"/>
      <c r="L89" s="6" t="str">
        <f>IF(Table111[[#This Row],[Category]]="Transportation", _xlfn.XLOOKUP(Table111[[#This Row],[Resource]], 'SI - Payload'!$A$10:$A$40,'SI - Payload'!$B$10:$B$40,"",0), "")</f>
        <v/>
      </c>
      <c r="M89" s="6" t="str">
        <f>IF(Table111[[#This Row],[Category]]="Transportation", "ton", "")</f>
        <v/>
      </c>
      <c r="N89" s="6"/>
      <c r="O89" s="6"/>
      <c r="P89" s="6" t="str">
        <f>IF(OR(Table111[[#This Row],[Type]]="Main Product", Table111[[#This Row],[Type]]="Co-Product"), Table111[[#This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IF(Table111[[#This Row],[Type]]="Co-product", "No", "")</f>
        <v/>
      </c>
      <c r="J90" s="25"/>
      <c r="K90" s="6"/>
      <c r="L90" s="6" t="str">
        <f>IF(Table111[[#This Row],[Category]]="Transportation", _xlfn.XLOOKUP(Table111[[#This Row],[Resource]], 'SI - Payload'!$A$10:$A$40,'SI - Payload'!$B$10:$B$40,"",0), "")</f>
        <v/>
      </c>
      <c r="M90" s="6" t="str">
        <f>IF(Table111[[#This Row],[Category]]="Transportation", "ton", "")</f>
        <v/>
      </c>
      <c r="N90" s="6"/>
      <c r="O90" s="6"/>
      <c r="P90" s="6" t="str">
        <f>IF(OR(Table111[[#This Row],[Type]]="Main Product", Table111[[#This Row],[Type]]="Co-Product"), Table111[[#This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IF(Table111[[#This Row],[Type]]="Co-product", "No", "")</f>
        <v/>
      </c>
      <c r="J91" s="25"/>
      <c r="K91" s="6"/>
      <c r="L91" s="6" t="str">
        <f>IF(Table111[[#This Row],[Category]]="Transportation", _xlfn.XLOOKUP(Table111[[#This Row],[Resource]], 'SI - Payload'!$A$10:$A$40,'SI - Payload'!$B$10:$B$40,"",0), "")</f>
        <v/>
      </c>
      <c r="M91" s="6" t="str">
        <f>IF(Table111[[#This Row],[Category]]="Transportation", "ton", "")</f>
        <v/>
      </c>
      <c r="N91" s="6"/>
      <c r="O91" s="6"/>
      <c r="P91" s="6" t="str">
        <f>IF(OR(Table111[[#This Row],[Type]]="Main Product", Table111[[#This Row],[Type]]="Co-Product"), Table111[[#This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IF(Table111[[#This Row],[Type]]="Co-product", "No", "")</f>
        <v/>
      </c>
      <c r="J92" s="25"/>
      <c r="K92" s="6"/>
      <c r="L92" s="6" t="str">
        <f>IF(Table111[[#This Row],[Category]]="Transportation", _xlfn.XLOOKUP(Table111[[#This Row],[Resource]], 'SI - Payload'!$A$10:$A$40,'SI - Payload'!$B$10:$B$40,"",0), "")</f>
        <v/>
      </c>
      <c r="M92" s="6" t="str">
        <f>IF(Table111[[#This Row],[Category]]="Transportation", "ton", "")</f>
        <v/>
      </c>
      <c r="N92" s="6"/>
      <c r="O92" s="6"/>
      <c r="P92" s="6" t="str">
        <f>IF(OR(Table111[[#This Row],[Type]]="Main Product", Table111[[#This Row],[Type]]="Co-Product"), Table111[[#This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IF(Table111[[#This Row],[Type]]="Co-product", "No", "")</f>
        <v/>
      </c>
      <c r="J93" s="25"/>
      <c r="K93" s="6"/>
      <c r="L93" s="6" t="str">
        <f>IF(Table111[[#This Row],[Category]]="Transportation", _xlfn.XLOOKUP(Table111[[#This Row],[Resource]], 'SI - Payload'!$A$10:$A$40,'SI - Payload'!$B$10:$B$40,"",0), "")</f>
        <v/>
      </c>
      <c r="M93" s="6" t="str">
        <f>IF(Table111[[#This Row],[Category]]="Transportation", "ton", "")</f>
        <v/>
      </c>
      <c r="N93" s="6"/>
      <c r="O93" s="6"/>
      <c r="P93" s="6" t="str">
        <f>IF(OR(Table111[[#This Row],[Type]]="Main Product", Table111[[#This Row],[Type]]="Co-Product"), Table111[[#This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IF(Table111[[#This Row],[Type]]="Co-product", "No", "")</f>
        <v/>
      </c>
      <c r="J94" s="25"/>
      <c r="K94" s="6"/>
      <c r="L94" s="6" t="str">
        <f>IF(Table111[[#This Row],[Category]]="Transportation", _xlfn.XLOOKUP(Table111[[#This Row],[Resource]], 'SI - Payload'!$A$10:$A$40,'SI - Payload'!$B$10:$B$40,"",0), "")</f>
        <v/>
      </c>
      <c r="M94" s="6" t="str">
        <f>IF(Table111[[#This Row],[Category]]="Transportation", "ton", "")</f>
        <v/>
      </c>
      <c r="N94" s="6"/>
      <c r="O94" s="6"/>
      <c r="P94" s="6" t="str">
        <f>IF(OR(Table111[[#This Row],[Type]]="Main Product", Table111[[#This Row],[Type]]="Co-Product"), Table111[[#This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IF(Table111[[#This Row],[Type]]="Co-product", "No", "")</f>
        <v/>
      </c>
      <c r="J95" s="25"/>
      <c r="K95" s="6"/>
      <c r="L95" s="6" t="str">
        <f>IF(Table111[[#This Row],[Category]]="Transportation", _xlfn.XLOOKUP(Table111[[#This Row],[Resource]], 'SI - Payload'!$A$10:$A$40,'SI - Payload'!$B$10:$B$40,"",0), "")</f>
        <v/>
      </c>
      <c r="M95" s="6" t="str">
        <f>IF(Table111[[#This Row],[Category]]="Transportation", "ton", "")</f>
        <v/>
      </c>
      <c r="N95" s="6"/>
      <c r="O95" s="6"/>
      <c r="P95" s="6" t="str">
        <f>IF(OR(Table111[[#This Row],[Type]]="Main Product", Table111[[#This Row],[Type]]="Co-Product"), Table111[[#This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IF(Table111[[#This Row],[Type]]="Co-product", "No", "")</f>
        <v/>
      </c>
      <c r="J96" s="25"/>
      <c r="K96" s="6"/>
      <c r="L96" s="6" t="str">
        <f>IF(Table111[[#This Row],[Category]]="Transportation", _xlfn.XLOOKUP(Table111[[#This Row],[Resource]], 'SI - Payload'!$A$10:$A$40,'SI - Payload'!$B$10:$B$40,"",0), "")</f>
        <v/>
      </c>
      <c r="M96" s="6" t="str">
        <f>IF(Table111[[#This Row],[Category]]="Transportation", "ton", "")</f>
        <v/>
      </c>
      <c r="N96" s="6"/>
      <c r="O96" s="6"/>
      <c r="P96" s="6" t="str">
        <f>IF(OR(Table111[[#This Row],[Type]]="Main Product", Table111[[#This Row],[Type]]="Co-Product"), Table111[[#This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IF(Table111[[#This Row],[Type]]="Co-product", "No", "")</f>
        <v/>
      </c>
      <c r="J97" s="25"/>
      <c r="K97" s="6"/>
      <c r="L97" s="6" t="str">
        <f>IF(Table111[[#This Row],[Category]]="Transportation", _xlfn.XLOOKUP(Table111[[#This Row],[Resource]], 'SI - Payload'!$A$10:$A$40,'SI - Payload'!$B$10:$B$40,"",0), "")</f>
        <v/>
      </c>
      <c r="M97" s="6" t="str">
        <f>IF(Table111[[#This Row],[Category]]="Transportation", "ton", "")</f>
        <v/>
      </c>
      <c r="N97" s="6"/>
      <c r="O97" s="6"/>
      <c r="P97" s="6" t="str">
        <f>IF(OR(Table111[[#This Row],[Type]]="Main Product", Table111[[#This Row],[Type]]="Co-Product"), Table111[[#This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IF(Table111[[#This Row],[Type]]="Co-product", "No", "")</f>
        <v/>
      </c>
      <c r="J98" s="25"/>
      <c r="K98" s="6"/>
      <c r="L98" s="6" t="str">
        <f>IF(Table111[[#This Row],[Category]]="Transportation", _xlfn.XLOOKUP(Table111[[#This Row],[Resource]], 'SI - Payload'!$A$10:$A$40,'SI - Payload'!$B$10:$B$40,"",0), "")</f>
        <v/>
      </c>
      <c r="M98" s="6" t="str">
        <f>IF(Table111[[#This Row],[Category]]="Transportation", "ton", "")</f>
        <v/>
      </c>
      <c r="N98" s="6"/>
      <c r="O98" s="6"/>
      <c r="P98" s="6" t="str">
        <f>IF(OR(Table111[[#This Row],[Type]]="Main Product", Table111[[#This Row],[Type]]="Co-Product"), Table111[[#This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IF(Table111[[#This Row],[Type]]="Co-product", "No", "")</f>
        <v/>
      </c>
      <c r="J99" s="25"/>
      <c r="K99" s="6"/>
      <c r="L99" s="6" t="str">
        <f>IF(Table111[[#This Row],[Category]]="Transportation", _xlfn.XLOOKUP(Table111[[#This Row],[Resource]], 'SI - Payload'!$A$10:$A$40,'SI - Payload'!$B$10:$B$40,"",0), "")</f>
        <v/>
      </c>
      <c r="M99" s="6" t="str">
        <f>IF(Table111[[#This Row],[Category]]="Transportation", "ton", "")</f>
        <v/>
      </c>
      <c r="N99" s="6"/>
      <c r="O99" s="6"/>
      <c r="P99" s="6" t="str">
        <f>IF(OR(Table111[[#This Row],[Type]]="Main Product", Table111[[#This Row],[Type]]="Co-Product"), Table111[[#This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IF(Table111[[#This Row],[Type]]="Co-product", "No", "")</f>
        <v/>
      </c>
      <c r="J100" s="25"/>
      <c r="K100" s="6"/>
      <c r="L100" s="6" t="str">
        <f>IF(Table111[[#This Row],[Category]]="Transportation", _xlfn.XLOOKUP(Table111[[#This Row],[Resource]], 'SI - Payload'!$A$10:$A$40,'SI - Payload'!$B$10:$B$40,"",0), "")</f>
        <v/>
      </c>
      <c r="M100" s="6" t="str">
        <f>IF(Table111[[#This Row],[Category]]="Transportation", "ton", "")</f>
        <v/>
      </c>
      <c r="N100" s="6"/>
      <c r="O100" s="6"/>
      <c r="P100" s="6" t="str">
        <f>IF(OR(Table111[[#This Row],[Type]]="Main Product", Table111[[#This Row],[Type]]="Co-Product"), Table111[[#This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1400C71D-879A-4E71-8A3F-102E21771510}">
      <formula1>0</formula1>
      <formula2>1</formula2>
    </dataValidation>
    <dataValidation type="list" allowBlank="1" showInputMessage="1" showErrorMessage="1" sqref="M6:M100" xr:uid="{59A08E43-3D6B-4878-8219-665BCC4C0930}">
      <formula1>payload_units</formula1>
    </dataValidation>
    <dataValidation type="decimal" operator="greaterThan" allowBlank="1" showInputMessage="1" showErrorMessage="1" error="Please type a positive number." sqref="L6:L100" xr:uid="{450D3F7C-46F5-44F2-8C5E-C7F26FFD8DF4}">
      <formula1>0</formula1>
    </dataValidation>
    <dataValidation type="decimal" operator="greaterThan" allowBlank="1" showInputMessage="1" showErrorMessage="1" error="Please type a positive price." sqref="N6:N100" xr:uid="{192CDB74-2316-4ADB-AD0D-58003EC2BCFA}">
      <formula1>0</formula1>
    </dataValidation>
    <dataValidation type="decimal" allowBlank="1" showInputMessage="1" showErrorMessage="1" error="Please type a number between 0 and 1." sqref="G6:G100" xr:uid="{5FDFDB46-76FC-4F8E-AF7B-564663C313CD}">
      <formula1>0</formula1>
      <formula2>1</formula2>
    </dataValidation>
    <dataValidation type="custom" allowBlank="1" showInputMessage="1" showErrorMessage="1" sqref="E6:E100" xr:uid="{5052C54E-02E1-4510-ABEF-4D48A2C08860}">
      <formula1>ISNUMBER(E6)</formula1>
    </dataValidation>
    <dataValidation type="list" allowBlank="1" showInputMessage="1" showErrorMessage="1" sqref="C2" xr:uid="{123E16B1-0629-4FF1-A17C-918C969DE9D1}">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11BB23F0-4A09-4FC4-9BA9-64A020AA1F03}">
          <x14:formula1>
            <xm:f>IF($B6="Transportation",  transport_units, INDIRECT(_xlfn.XLOOKUP($C6, 'SI - Units'!$F$26:$F$36,'SI - Units'!$G$26:$G$36,"mass",0)))</xm:f>
          </x14:formula1>
          <xm:sqref>F6:F100</xm:sqref>
        </x14:dataValidation>
        <x14:dataValidation type="list" allowBlank="1" showInputMessage="1" showErrorMessage="1" xr:uid="{DAD473CC-49F4-42F8-9895-7803A8023C0C}">
          <x14:formula1>
            <xm:f>INDIRECT("p_"&amp;_xlfn.XLOOKUP($C6,'SI - Units'!$F$26:$F$36,'SI - Units'!$G$26:$G$36,"mass",0))</xm:f>
          </x14:formula1>
          <xm:sqref>O6:O100</xm:sqref>
        </x14:dataValidation>
        <x14:dataValidation type="list" allowBlank="1" showInputMessage="1" showErrorMessage="1" xr:uid="{EFD3FB89-FAAD-46F1-8469-EF4E428718B5}">
          <x14:formula1>
            <xm:f>INDIRECT(_xlfn.XLOOKUP($P6,'SI - End Use'!$A$11:$A$18,'SI - End Use'!$B$11:$B$18,"other_end_use",0))</xm:f>
          </x14:formula1>
          <xm:sqref>Q6:R100</xm:sqref>
        </x14:dataValidation>
        <x14:dataValidation type="list" allowBlank="1" showInputMessage="1" xr:uid="{2C67901F-E1C7-44AF-900D-A9B5C1CC6D15}">
          <x14:formula1>
            <xm:f>INDIRECT(_xlfn.XLOOKUP($C6,'SI - End Use'!$A$11:$A$18,'SI - End Use'!$B$11:$B$18,"other_end_use",0))</xm:f>
          </x14:formula1>
          <xm:sqref>D6:D100</xm:sqref>
        </x14:dataValidation>
        <x14:dataValidation type="list" allowBlank="1" showInputMessage="1" showErrorMessage="1" xr:uid="{F0518C06-F8CB-4D6D-82EB-F863E2744E53}">
          <x14:formula1>
            <xm:f>INDIRECT(_xlfn.XLOOKUP($B6, 'SI - Resources'!$R$1:$R$10,'SI - Resources'!$S$1:$S$10, "placeholder_resource", 0))</xm:f>
          </x14:formula1>
          <xm:sqref>P6:P100 C6:C100</xm:sqref>
        </x14:dataValidation>
        <x14:dataValidation type="list" allowBlank="1" showInputMessage="1" showErrorMessage="1" xr:uid="{2BFAC880-C387-4195-9F39-0EE19808A10C}">
          <x14:formula1>
            <xm:f>'SI - Co-products'!$B$2:$B$6</xm:f>
          </x14:formula1>
          <xm:sqref>A6:A100</xm:sqref>
        </x14:dataValidation>
        <x14:dataValidation type="list" allowBlank="1" showInputMessage="1" showErrorMessage="1" xr:uid="{E57D30C7-8349-47A1-BFEC-3A61FA844188}">
          <x14:formula1>
            <xm:f>'SI - Resources'!$A$1:$J$1</xm:f>
          </x14:formula1>
          <xm:sqref>B6:B100</xm:sqref>
        </x14:dataValidation>
        <x14:dataValidation type="list" allowBlank="1" showInputMessage="1" showErrorMessage="1" xr:uid="{D56384FE-889C-49E9-9849-89C8A09CBC61}">
          <x14:formula1>
            <xm:f>'SI - Co-products'!$C$2:$C$4</xm:f>
          </x14:formula1>
          <xm:sqref>I6:I100</xm:sqref>
        </x14:dataValidation>
        <x14:dataValidation type="list" allowBlank="1" showInputMessage="1" showErrorMessage="1" xr:uid="{C22169AF-FCA2-4FF7-B713-BB4070485065}">
          <x14:formula1>
            <xm:f>'SI - Co-products'!$A$2:$A$5</xm:f>
          </x14:formula1>
          <xm:sqref>K6:K100</xm:sqref>
        </x14:dataValidation>
        <x14:dataValidation type="list" allowBlank="1" showInputMessage="1" showErrorMessage="1" xr:uid="{60268FB4-112E-4B25-8A91-56B54C5768FA}">
          <x14:formula1>
            <xm:f>_xlfn.XLOOKUP(_xlfn.XLOOKUP(#REF!,'SI - Units'!$B$24:$B$109,'SI - Units'!$C$24:$C$109),'SI - Units'!$A$2:$A$8,'SI - Units'!$B$2:$R$8)</xm:f>
          </x14:formula1>
          <xm:sqref>F5</xm:sqref>
        </x14:dataValidation>
        <x14:dataValidation type="list" allowBlank="1" showInputMessage="1" showErrorMessage="1" xr:uid="{672D8DD9-2566-4E64-8711-901627E7F821}">
          <x14:formula1>
            <xm:f>'SI - Co-products'!$D$2:$D$8</xm:f>
          </x14:formula1>
          <xm:sqref>C1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9A240-6AF5-4DF4-A547-34B22C762525}">
  <sheetPr codeName="Sheet12"/>
  <dimension ref="A1:T100"/>
  <sheetViews>
    <sheetView workbookViewId="0">
      <pane ySplit="5" topLeftCell="A6" activePane="bottomLeft" state="frozen"/>
      <selection activeCell="C19" sqref="C19"/>
      <selection pane="bottomLeft" activeCell="C4" sqref="C4"/>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0.05</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38</v>
      </c>
      <c r="C6" s="6" t="s">
        <v>32</v>
      </c>
      <c r="D6" s="6" t="s">
        <v>336</v>
      </c>
      <c r="E6" s="72">
        <v>1</v>
      </c>
      <c r="F6" s="6" t="s">
        <v>11</v>
      </c>
      <c r="G6" s="25"/>
      <c r="H6" s="25" t="s">
        <v>355</v>
      </c>
      <c r="I6" s="26" t="str">
        <f>IF(Table112[[#This Row],[Type]]="Co-product", "No", "")</f>
        <v/>
      </c>
      <c r="J6" s="25"/>
      <c r="K6" s="6"/>
      <c r="L6" s="6" t="str">
        <f>IF(Table112[[#This Row],[Category]]="Transportation", _xlfn.XLOOKUP(Table112[[#This Row],[Resource]], 'SI - Payload'!$A$10:$A$40,'SI - Payload'!$B$10:$B$40,"",0), "")</f>
        <v/>
      </c>
      <c r="M6" s="6" t="str">
        <f>IF(Table112[[#This Row],[Category]]="Transportation", "ton", "")</f>
        <v/>
      </c>
      <c r="N6" s="6"/>
      <c r="O6" s="6"/>
      <c r="P6" s="6" t="str">
        <f>IF(OR(Table112[[#This Row],[Type]]="Main Product", Table112[[#This Row],[Type]]="Co-Product"), Table112[[#This Row],[Resource]], "")</f>
        <v/>
      </c>
      <c r="Q6" s="6" t="str">
        <f>IF(_xlfn.XLOOKUP($P6,'SI - End Use'!$B$2:$B$6,'SI - End Use'!$C$2:$C$6, "")="", "", _xlfn.XLOOKUP($C6,'SI - End Use'!$B$2:$B$6,'SI - End Use'!$C$2:$C$6, ""))</f>
        <v/>
      </c>
      <c r="R6" s="6"/>
      <c r="S6" s="6"/>
      <c r="T6" s="6"/>
    </row>
    <row r="7" spans="1:20" x14ac:dyDescent="0.35">
      <c r="A7" s="6" t="s">
        <v>0</v>
      </c>
      <c r="B7" s="6" t="s">
        <v>33</v>
      </c>
      <c r="C7" s="6" t="s">
        <v>32</v>
      </c>
      <c r="D7" s="6" t="s">
        <v>336</v>
      </c>
      <c r="E7" s="12">
        <f>'INL Data'!B6</f>
        <v>37.729999999999997</v>
      </c>
      <c r="F7" s="6" t="s">
        <v>34</v>
      </c>
      <c r="G7" s="25">
        <v>0.2</v>
      </c>
      <c r="H7" s="25"/>
      <c r="I7" s="26" t="str">
        <f>IF(Table112[[#This Row],[Type]]="Co-product", "No", "")</f>
        <v/>
      </c>
      <c r="J7" s="25"/>
      <c r="K7" s="6"/>
      <c r="L7" s="6">
        <f>'INL Data'!C6</f>
        <v>17.684999999999999</v>
      </c>
      <c r="M7" s="6" t="str">
        <f>IF(Table112[[#This Row],[Category]]="Transportation", "ton", "")</f>
        <v>ton</v>
      </c>
      <c r="N7" s="6"/>
      <c r="O7" s="6"/>
      <c r="P7" s="6" t="str">
        <f>IF(OR(Table112[[#This Row],[Type]]="Main Product", Table112[[#This Row],[Type]]="Co-Product"), Table112[[#This Row],[Resource]], "")</f>
        <v/>
      </c>
      <c r="Q7" s="6" t="str">
        <f>IF(_xlfn.XLOOKUP($P7,'SI - End Use'!$B$2:$B$6,'SI - End Use'!$C$2:$C$6, "")="", "", _xlfn.XLOOKUP($C7,'SI - End Use'!$B$2:$B$6,'SI - End Use'!$C$2:$C$6, ""))</f>
        <v/>
      </c>
      <c r="R7" s="6"/>
      <c r="S7" s="6"/>
      <c r="T7" s="6"/>
    </row>
    <row r="8" spans="1:20" x14ac:dyDescent="0.35">
      <c r="A8" s="6" t="s">
        <v>113</v>
      </c>
      <c r="B8" s="6" t="s">
        <v>38</v>
      </c>
      <c r="C8" s="6" t="s">
        <v>32</v>
      </c>
      <c r="D8" s="6" t="s">
        <v>336</v>
      </c>
      <c r="E8" s="12">
        <f>1-'INL Data'!H6</f>
        <v>1</v>
      </c>
      <c r="F8" s="6" t="s">
        <v>11</v>
      </c>
      <c r="G8" s="25"/>
      <c r="H8" s="25"/>
      <c r="I8" s="26" t="str">
        <f>IF(Table112[[#This Row],[Type]]="Co-product", "No", "")</f>
        <v/>
      </c>
      <c r="J8" s="25"/>
      <c r="K8" s="6"/>
      <c r="L8" s="6" t="str">
        <f>IF(Table112[[#This Row],[Category]]="Transportation", _xlfn.XLOOKUP(Table112[[#This Row],[Resource]], 'SI - Payload'!$A$10:$A$40,'SI - Payload'!$B$10:$B$40,"",0), "")</f>
        <v/>
      </c>
      <c r="M8" s="6" t="str">
        <f>IF(Table112[[#This Row],[Category]]="Transportation", "ton", "")</f>
        <v/>
      </c>
      <c r="N8" s="6"/>
      <c r="O8" s="6"/>
      <c r="P8" s="6" t="str">
        <f>IF(OR(Table112[[#This Row],[Type]]="Main Product", Table112[[#This Row],[Type]]="Co-Product"), Table112[[#This Row],[Resource]], "")</f>
        <v>Corn Stover</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IF(Table112[[#This Row],[Type]]="Co-product", "No", "")</f>
        <v/>
      </c>
      <c r="J9" s="25"/>
      <c r="K9" s="6"/>
      <c r="L9" s="6" t="str">
        <f>IF(Table112[[#This Row],[Category]]="Transportation", _xlfn.XLOOKUP(Table112[[#This Row],[Resource]], 'SI - Payload'!$A$10:$A$40,'SI - Payload'!$B$10:$B$40,"",0), "")</f>
        <v/>
      </c>
      <c r="M9" s="6" t="str">
        <f>IF(Table112[[#This Row],[Category]]="Transportation", "ton", "")</f>
        <v/>
      </c>
      <c r="N9" s="6"/>
      <c r="O9" s="6"/>
      <c r="P9" s="6" t="str">
        <f>IF(OR(Table112[[#This Row],[Type]]="Main Product", Table112[[#This Row],[Type]]="Co-Product"), Table112[[#This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IF(Table112[[#This Row],[Type]]="Co-product", "No", "")</f>
        <v/>
      </c>
      <c r="J10" s="25"/>
      <c r="K10" s="6"/>
      <c r="L10" s="6" t="str">
        <f>IF(Table112[[#This Row],[Category]]="Transportation", _xlfn.XLOOKUP(Table112[[#This Row],[Resource]], 'SI - Payload'!$A$10:$A$40,'SI - Payload'!$B$10:$B$40,"",0), "")</f>
        <v/>
      </c>
      <c r="M10" s="6" t="str">
        <f>IF(Table112[[#This Row],[Category]]="Transportation", "ton", "")</f>
        <v/>
      </c>
      <c r="N10" s="6"/>
      <c r="O10" s="6"/>
      <c r="P10" s="6" t="str">
        <f>IF(OR(Table112[[#This Row],[Type]]="Main Product", Table112[[#This Row],[Type]]="Co-Product"), Table112[[#This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IF(Table112[[#This Row],[Type]]="Co-product", "No", "")</f>
        <v/>
      </c>
      <c r="J11" s="25"/>
      <c r="K11" s="6"/>
      <c r="L11" s="6" t="str">
        <f>IF(Table112[[#This Row],[Category]]="Transportation", _xlfn.XLOOKUP(Table112[[#This Row],[Resource]], 'SI - Payload'!$A$10:$A$40,'SI - Payload'!$B$10:$B$40,"",0), "")</f>
        <v/>
      </c>
      <c r="M11" s="6" t="str">
        <f>IF(Table112[[#This Row],[Category]]="Transportation", "ton", "")</f>
        <v/>
      </c>
      <c r="N11" s="6"/>
      <c r="O11" s="6"/>
      <c r="P11" s="6" t="str">
        <f>IF(OR(Table112[[#This Row],[Type]]="Main Product", Table112[[#This Row],[Type]]="Co-Product"), Table112[[#This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IF(Table112[[#This Row],[Type]]="Co-product", "No", "")</f>
        <v/>
      </c>
      <c r="J12" s="25"/>
      <c r="K12" s="6"/>
      <c r="L12" s="6" t="str">
        <f>IF(Table112[[#This Row],[Category]]="Transportation", _xlfn.XLOOKUP(Table112[[#This Row],[Resource]], 'SI - Payload'!$A$10:$A$40,'SI - Payload'!$B$10:$B$40,"",0), "")</f>
        <v/>
      </c>
      <c r="M12" s="6" t="str">
        <f>IF(Table112[[#This Row],[Category]]="Transportation", "ton", "")</f>
        <v/>
      </c>
      <c r="N12" s="6"/>
      <c r="O12" s="6"/>
      <c r="P12" s="6" t="str">
        <f>IF(OR(Table112[[#This Row],[Type]]="Main Product", Table112[[#This Row],[Type]]="Co-Product"), Table112[[#This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IF(Table112[[#This Row],[Type]]="Co-product", "No", "")</f>
        <v/>
      </c>
      <c r="J13" s="25"/>
      <c r="K13" s="6"/>
      <c r="L13" s="6" t="str">
        <f>IF(Table112[[#This Row],[Category]]="Transportation", _xlfn.XLOOKUP(Table112[[#This Row],[Resource]], 'SI - Payload'!$A$10:$A$40,'SI - Payload'!$B$10:$B$40,"",0), "")</f>
        <v/>
      </c>
      <c r="M13" s="6" t="str">
        <f>IF(Table112[[#This Row],[Category]]="Transportation", "ton", "")</f>
        <v/>
      </c>
      <c r="N13" s="6"/>
      <c r="O13" s="6"/>
      <c r="P13" s="6" t="str">
        <f>IF(OR(Table112[[#This Row],[Type]]="Main Product", Table112[[#This Row],[Type]]="Co-Product"), Table112[[#This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IF(Table112[[#This Row],[Type]]="Co-product", "No", "")</f>
        <v/>
      </c>
      <c r="J14" s="25"/>
      <c r="K14" s="6"/>
      <c r="L14" s="6" t="str">
        <f>IF(Table112[[#This Row],[Category]]="Transportation", _xlfn.XLOOKUP(Table112[[#This Row],[Resource]], 'SI - Payload'!$A$10:$A$40,'SI - Payload'!$B$10:$B$40,"",0), "")</f>
        <v/>
      </c>
      <c r="M14" s="6" t="str">
        <f>IF(Table112[[#This Row],[Category]]="Transportation", "ton", "")</f>
        <v/>
      </c>
      <c r="N14" s="6"/>
      <c r="O14" s="6"/>
      <c r="P14" s="6" t="str">
        <f>IF(OR(Table112[[#This Row],[Type]]="Main Product", Table112[[#This Row],[Type]]="Co-Product"), Table112[[#This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IF(Table112[[#This Row],[Type]]="Co-product", "No", "")</f>
        <v/>
      </c>
      <c r="J15" s="25"/>
      <c r="K15" s="6"/>
      <c r="L15" s="6" t="str">
        <f>IF(Table112[[#This Row],[Category]]="Transportation", _xlfn.XLOOKUP(Table112[[#This Row],[Resource]], 'SI - Payload'!$A$10:$A$40,'SI - Payload'!$B$10:$B$40,"",0), "")</f>
        <v/>
      </c>
      <c r="M15" s="6" t="str">
        <f>IF(Table112[[#This Row],[Category]]="Transportation", "ton", "")</f>
        <v/>
      </c>
      <c r="N15" s="6"/>
      <c r="O15" s="6"/>
      <c r="P15" s="6" t="str">
        <f>IF(OR(Table112[[#This Row],[Type]]="Main Product", Table112[[#This Row],[Type]]="Co-Product"), Table112[[#This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IF(Table112[[#This Row],[Type]]="Co-product", "No", "")</f>
        <v/>
      </c>
      <c r="J16" s="25"/>
      <c r="K16" s="6"/>
      <c r="L16" s="6" t="str">
        <f>IF(Table112[[#This Row],[Category]]="Transportation", _xlfn.XLOOKUP(Table112[[#This Row],[Resource]], 'SI - Payload'!$A$10:$A$40,'SI - Payload'!$B$10:$B$40,"",0), "")</f>
        <v/>
      </c>
      <c r="M16" s="6" t="str">
        <f>IF(Table112[[#This Row],[Category]]="Transportation", "ton", "")</f>
        <v/>
      </c>
      <c r="N16" s="6"/>
      <c r="O16" s="6"/>
      <c r="P16" s="6" t="str">
        <f>IF(OR(Table112[[#This Row],[Type]]="Main Product", Table112[[#This Row],[Type]]="Co-Product"), Table112[[#This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IF(Table112[[#This Row],[Type]]="Co-product", "No", "")</f>
        <v/>
      </c>
      <c r="J17" s="25"/>
      <c r="K17" s="6"/>
      <c r="L17" s="6" t="str">
        <f>IF(Table112[[#This Row],[Category]]="Transportation", _xlfn.XLOOKUP(Table112[[#This Row],[Resource]], 'SI - Payload'!$A$10:$A$40,'SI - Payload'!$B$10:$B$40,"",0), "")</f>
        <v/>
      </c>
      <c r="M17" s="6" t="str">
        <f>IF(Table112[[#This Row],[Category]]="Transportation", "ton", "")</f>
        <v/>
      </c>
      <c r="N17" s="6"/>
      <c r="O17" s="6"/>
      <c r="P17" s="6" t="str">
        <f>IF(OR(Table112[[#This Row],[Type]]="Main Product", Table112[[#This Row],[Type]]="Co-Product"), Table112[[#This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IF(Table112[[#This Row],[Type]]="Co-product", "No", "")</f>
        <v/>
      </c>
      <c r="J18" s="25"/>
      <c r="K18" s="6"/>
      <c r="L18" s="6" t="str">
        <f>IF(Table112[[#This Row],[Category]]="Transportation", _xlfn.XLOOKUP(Table112[[#This Row],[Resource]], 'SI - Payload'!$A$10:$A$40,'SI - Payload'!$B$10:$B$40,"",0), "")</f>
        <v/>
      </c>
      <c r="M18" s="6" t="str">
        <f>IF(Table112[[#This Row],[Category]]="Transportation", "ton", "")</f>
        <v/>
      </c>
      <c r="N18" s="6"/>
      <c r="O18" s="6"/>
      <c r="P18" s="6" t="str">
        <f>IF(OR(Table112[[#This Row],[Type]]="Main Product", Table112[[#This Row],[Type]]="Co-Product"), Table112[[#This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IF(Table112[[#This Row],[Type]]="Co-product", "No", "")</f>
        <v/>
      </c>
      <c r="J19" s="25"/>
      <c r="K19" s="6"/>
      <c r="L19" s="6" t="str">
        <f>IF(Table112[[#This Row],[Category]]="Transportation", _xlfn.XLOOKUP(Table112[[#This Row],[Resource]], 'SI - Payload'!$A$10:$A$40,'SI - Payload'!$B$10:$B$40,"",0), "")</f>
        <v/>
      </c>
      <c r="M19" s="6" t="str">
        <f>IF(Table112[[#This Row],[Category]]="Transportation", "ton", "")</f>
        <v/>
      </c>
      <c r="N19" s="6"/>
      <c r="O19" s="6"/>
      <c r="P19" s="6" t="str">
        <f>IF(OR(Table112[[#This Row],[Type]]="Main Product", Table112[[#This Row],[Type]]="Co-Product"), Table112[[#This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IF(Table112[[#This Row],[Type]]="Co-product", "No", "")</f>
        <v/>
      </c>
      <c r="J20" s="25"/>
      <c r="K20" s="6"/>
      <c r="L20" s="6" t="str">
        <f>IF(Table112[[#This Row],[Category]]="Transportation", _xlfn.XLOOKUP(Table112[[#This Row],[Resource]], 'SI - Payload'!$A$10:$A$40,'SI - Payload'!$B$10:$B$40,"",0), "")</f>
        <v/>
      </c>
      <c r="M20" s="6" t="str">
        <f>IF(Table112[[#This Row],[Category]]="Transportation", "ton", "")</f>
        <v/>
      </c>
      <c r="N20" s="6"/>
      <c r="O20" s="6"/>
      <c r="P20" s="6" t="str">
        <f>IF(OR(Table112[[#This Row],[Type]]="Main Product", Table112[[#This Row],[Type]]="Co-Product"), Table112[[#This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IF(Table112[[#This Row],[Type]]="Co-product", "No", "")</f>
        <v/>
      </c>
      <c r="J21" s="25"/>
      <c r="K21" s="6"/>
      <c r="L21" s="6" t="str">
        <f>IF(Table112[[#This Row],[Category]]="Transportation", _xlfn.XLOOKUP(Table112[[#This Row],[Resource]], 'SI - Payload'!$A$10:$A$40,'SI - Payload'!$B$10:$B$40,"",0), "")</f>
        <v/>
      </c>
      <c r="M21" s="6" t="str">
        <f>IF(Table112[[#This Row],[Category]]="Transportation", "ton", "")</f>
        <v/>
      </c>
      <c r="N21" s="6"/>
      <c r="O21" s="6"/>
      <c r="P21" s="6" t="str">
        <f>IF(OR(Table112[[#This Row],[Type]]="Main Product", Table112[[#This Row],[Type]]="Co-Product"), Table112[[#This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IF(Table112[[#This Row],[Type]]="Co-product", "No", "")</f>
        <v/>
      </c>
      <c r="J22" s="25"/>
      <c r="K22" s="6"/>
      <c r="L22" s="6" t="str">
        <f>IF(Table112[[#This Row],[Category]]="Transportation", _xlfn.XLOOKUP(Table112[[#This Row],[Resource]], 'SI - Payload'!$A$10:$A$40,'SI - Payload'!$B$10:$B$40,"",0), "")</f>
        <v/>
      </c>
      <c r="M22" s="6" t="str">
        <f>IF(Table112[[#This Row],[Category]]="Transportation", "ton", "")</f>
        <v/>
      </c>
      <c r="N22" s="6"/>
      <c r="O22" s="6"/>
      <c r="P22" s="6" t="str">
        <f>IF(OR(Table112[[#This Row],[Type]]="Main Product", Table112[[#This Row],[Type]]="Co-Product"), Table112[[#This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IF(Table112[[#This Row],[Type]]="Co-product", "No", "")</f>
        <v/>
      </c>
      <c r="J23" s="25"/>
      <c r="K23" s="6"/>
      <c r="L23" s="6" t="str">
        <f>IF(Table112[[#This Row],[Category]]="Transportation", _xlfn.XLOOKUP(Table112[[#This Row],[Resource]], 'SI - Payload'!$A$10:$A$40,'SI - Payload'!$B$10:$B$40,"",0), "")</f>
        <v/>
      </c>
      <c r="M23" s="6" t="str">
        <f>IF(Table112[[#This Row],[Category]]="Transportation", "ton", "")</f>
        <v/>
      </c>
      <c r="N23" s="6"/>
      <c r="O23" s="6"/>
      <c r="P23" s="6" t="str">
        <f>IF(OR(Table112[[#This Row],[Type]]="Main Product", Table112[[#This Row],[Type]]="Co-Product"), Table112[[#This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IF(Table112[[#This Row],[Type]]="Co-product", "No", "")</f>
        <v/>
      </c>
      <c r="J24" s="25"/>
      <c r="K24" s="6"/>
      <c r="L24" s="6" t="str">
        <f>IF(Table112[[#This Row],[Category]]="Transportation", _xlfn.XLOOKUP(Table112[[#This Row],[Resource]], 'SI - Payload'!$A$10:$A$40,'SI - Payload'!$B$10:$B$40,"",0), "")</f>
        <v/>
      </c>
      <c r="M24" s="6" t="str">
        <f>IF(Table112[[#This Row],[Category]]="Transportation", "ton", "")</f>
        <v/>
      </c>
      <c r="N24" s="6"/>
      <c r="O24" s="6"/>
      <c r="P24" s="6" t="str">
        <f>IF(OR(Table112[[#This Row],[Type]]="Main Product", Table112[[#This Row],[Type]]="Co-Product"), Table112[[#This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IF(Table112[[#This Row],[Type]]="Co-product", "No", "")</f>
        <v/>
      </c>
      <c r="J25" s="25"/>
      <c r="K25" s="6"/>
      <c r="L25" s="6" t="str">
        <f>IF(Table112[[#This Row],[Category]]="Transportation", _xlfn.XLOOKUP(Table112[[#This Row],[Resource]], 'SI - Payload'!$A$10:$A$40,'SI - Payload'!$B$10:$B$40,"",0), "")</f>
        <v/>
      </c>
      <c r="M25" s="6" t="str">
        <f>IF(Table112[[#This Row],[Category]]="Transportation", "ton", "")</f>
        <v/>
      </c>
      <c r="N25" s="6"/>
      <c r="O25" s="6"/>
      <c r="P25" s="6" t="str">
        <f>IF(OR(Table112[[#This Row],[Type]]="Main Product", Table112[[#This Row],[Type]]="Co-Product"), Table112[[#This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IF(Table112[[#This Row],[Type]]="Co-product", "No", "")</f>
        <v/>
      </c>
      <c r="J26" s="25"/>
      <c r="K26" s="6"/>
      <c r="L26" s="6" t="str">
        <f>IF(Table112[[#This Row],[Category]]="Transportation", _xlfn.XLOOKUP(Table112[[#This Row],[Resource]], 'SI - Payload'!$A$10:$A$40,'SI - Payload'!$B$10:$B$40,"",0), "")</f>
        <v/>
      </c>
      <c r="M26" s="6" t="str">
        <f>IF(Table112[[#This Row],[Category]]="Transportation", "ton", "")</f>
        <v/>
      </c>
      <c r="N26" s="6"/>
      <c r="O26" s="6"/>
      <c r="P26" s="6" t="str">
        <f>IF(OR(Table112[[#This Row],[Type]]="Main Product", Table112[[#This Row],[Type]]="Co-Product"), Table112[[#This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IF(Table112[[#This Row],[Type]]="Co-product", "No", "")</f>
        <v/>
      </c>
      <c r="J27" s="25"/>
      <c r="K27" s="6"/>
      <c r="L27" s="6" t="str">
        <f>IF(Table112[[#This Row],[Category]]="Transportation", _xlfn.XLOOKUP(Table112[[#This Row],[Resource]], 'SI - Payload'!$A$10:$A$40,'SI - Payload'!$B$10:$B$40,"",0), "")</f>
        <v/>
      </c>
      <c r="M27" s="6" t="str">
        <f>IF(Table112[[#This Row],[Category]]="Transportation", "ton", "")</f>
        <v/>
      </c>
      <c r="N27" s="6"/>
      <c r="O27" s="6"/>
      <c r="P27" s="6" t="str">
        <f>IF(OR(Table112[[#This Row],[Type]]="Main Product", Table112[[#This Row],[Type]]="Co-Product"), Table112[[#This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IF(Table112[[#This Row],[Type]]="Co-product", "No", "")</f>
        <v/>
      </c>
      <c r="J28" s="25"/>
      <c r="K28" s="6"/>
      <c r="L28" s="6" t="str">
        <f>IF(Table112[[#This Row],[Category]]="Transportation", _xlfn.XLOOKUP(Table112[[#This Row],[Resource]], 'SI - Payload'!$A$10:$A$40,'SI - Payload'!$B$10:$B$40,"",0), "")</f>
        <v/>
      </c>
      <c r="M28" s="6" t="str">
        <f>IF(Table112[[#This Row],[Category]]="Transportation", "ton", "")</f>
        <v/>
      </c>
      <c r="N28" s="6"/>
      <c r="O28" s="6"/>
      <c r="P28" s="6" t="str">
        <f>IF(OR(Table112[[#This Row],[Type]]="Main Product", Table112[[#This Row],[Type]]="Co-Product"), Table112[[#This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IF(Table112[[#This Row],[Type]]="Co-product", "No", "")</f>
        <v/>
      </c>
      <c r="J29" s="25"/>
      <c r="K29" s="6"/>
      <c r="L29" s="6" t="str">
        <f>IF(Table112[[#This Row],[Category]]="Transportation", _xlfn.XLOOKUP(Table112[[#This Row],[Resource]], 'SI - Payload'!$A$10:$A$40,'SI - Payload'!$B$10:$B$40,"",0), "")</f>
        <v/>
      </c>
      <c r="M29" s="6" t="str">
        <f>IF(Table112[[#This Row],[Category]]="Transportation", "ton", "")</f>
        <v/>
      </c>
      <c r="N29" s="6"/>
      <c r="O29" s="6"/>
      <c r="P29" s="6" t="str">
        <f>IF(OR(Table112[[#This Row],[Type]]="Main Product", Table112[[#This Row],[Type]]="Co-Product"), Table112[[#This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IF(Table112[[#This Row],[Type]]="Co-product", "No", "")</f>
        <v/>
      </c>
      <c r="J30" s="25"/>
      <c r="K30" s="6"/>
      <c r="L30" s="6" t="str">
        <f>IF(Table112[[#This Row],[Category]]="Transportation", _xlfn.XLOOKUP(Table112[[#This Row],[Resource]], 'SI - Payload'!$A$10:$A$40,'SI - Payload'!$B$10:$B$40,"",0), "")</f>
        <v/>
      </c>
      <c r="M30" s="6" t="str">
        <f>IF(Table112[[#This Row],[Category]]="Transportation", "ton", "")</f>
        <v/>
      </c>
      <c r="N30" s="6"/>
      <c r="O30" s="6"/>
      <c r="P30" s="6" t="str">
        <f>IF(OR(Table112[[#This Row],[Type]]="Main Product", Table112[[#This Row],[Type]]="Co-Product"), Table112[[#This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IF(Table112[[#This Row],[Type]]="Co-product", "No", "")</f>
        <v/>
      </c>
      <c r="J31" s="25"/>
      <c r="K31" s="6"/>
      <c r="L31" s="6" t="str">
        <f>IF(Table112[[#This Row],[Category]]="Transportation", _xlfn.XLOOKUP(Table112[[#This Row],[Resource]], 'SI - Payload'!$A$10:$A$40,'SI - Payload'!$B$10:$B$40,"",0), "")</f>
        <v/>
      </c>
      <c r="M31" s="6" t="str">
        <f>IF(Table112[[#This Row],[Category]]="Transportation", "ton", "")</f>
        <v/>
      </c>
      <c r="N31" s="6"/>
      <c r="O31" s="6"/>
      <c r="P31" s="6" t="str">
        <f>IF(OR(Table112[[#This Row],[Type]]="Main Product", Table112[[#This Row],[Type]]="Co-Product"), Table112[[#This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IF(Table112[[#This Row],[Type]]="Co-product", "No", "")</f>
        <v/>
      </c>
      <c r="J32" s="25"/>
      <c r="K32" s="6"/>
      <c r="L32" s="6" t="str">
        <f>IF(Table112[[#This Row],[Category]]="Transportation", _xlfn.XLOOKUP(Table112[[#This Row],[Resource]], 'SI - Payload'!$A$10:$A$40,'SI - Payload'!$B$10:$B$40,"",0), "")</f>
        <v/>
      </c>
      <c r="M32" s="6" t="str">
        <f>IF(Table112[[#This Row],[Category]]="Transportation", "ton", "")</f>
        <v/>
      </c>
      <c r="N32" s="6"/>
      <c r="O32" s="6"/>
      <c r="P32" s="6" t="str">
        <f>IF(OR(Table112[[#This Row],[Type]]="Main Product", Table112[[#This Row],[Type]]="Co-Product"), Table112[[#This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IF(Table112[[#This Row],[Type]]="Co-product", "No", "")</f>
        <v/>
      </c>
      <c r="J33" s="25"/>
      <c r="K33" s="6"/>
      <c r="L33" s="6" t="str">
        <f>IF(Table112[[#This Row],[Category]]="Transportation", _xlfn.XLOOKUP(Table112[[#This Row],[Resource]], 'SI - Payload'!$A$10:$A$40,'SI - Payload'!$B$10:$B$40,"",0), "")</f>
        <v/>
      </c>
      <c r="M33" s="6" t="str">
        <f>IF(Table112[[#This Row],[Category]]="Transportation", "ton", "")</f>
        <v/>
      </c>
      <c r="N33" s="6"/>
      <c r="O33" s="6"/>
      <c r="P33" s="6" t="str">
        <f>IF(OR(Table112[[#This Row],[Type]]="Main Product", Table112[[#This Row],[Type]]="Co-Product"), Table112[[#This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IF(Table112[[#This Row],[Type]]="Co-product", "No", "")</f>
        <v/>
      </c>
      <c r="J34" s="25"/>
      <c r="K34" s="6"/>
      <c r="L34" s="6" t="str">
        <f>IF(Table112[[#This Row],[Category]]="Transportation", _xlfn.XLOOKUP(Table112[[#This Row],[Resource]], 'SI - Payload'!$A$10:$A$40,'SI - Payload'!$B$10:$B$40,"",0), "")</f>
        <v/>
      </c>
      <c r="M34" s="6" t="str">
        <f>IF(Table112[[#This Row],[Category]]="Transportation", "ton", "")</f>
        <v/>
      </c>
      <c r="N34" s="6"/>
      <c r="O34" s="6"/>
      <c r="P34" s="6" t="str">
        <f>IF(OR(Table112[[#This Row],[Type]]="Main Product", Table112[[#This Row],[Type]]="Co-Product"), Table112[[#This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IF(Table112[[#This Row],[Type]]="Co-product", "No", "")</f>
        <v/>
      </c>
      <c r="J35" s="25"/>
      <c r="K35" s="6"/>
      <c r="L35" s="6" t="str">
        <f>IF(Table112[[#This Row],[Category]]="Transportation", _xlfn.XLOOKUP(Table112[[#This Row],[Resource]], 'SI - Payload'!$A$10:$A$40,'SI - Payload'!$B$10:$B$40,"",0), "")</f>
        <v/>
      </c>
      <c r="M35" s="6" t="str">
        <f>IF(Table112[[#This Row],[Category]]="Transportation", "ton", "")</f>
        <v/>
      </c>
      <c r="N35" s="6"/>
      <c r="O35" s="6"/>
      <c r="P35" s="6" t="str">
        <f>IF(OR(Table112[[#This Row],[Type]]="Main Product", Table112[[#This Row],[Type]]="Co-Product"), Table112[[#This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IF(Table112[[#This Row],[Type]]="Co-product", "No", "")</f>
        <v/>
      </c>
      <c r="J36" s="25"/>
      <c r="K36" s="6"/>
      <c r="L36" s="6" t="str">
        <f>IF(Table112[[#This Row],[Category]]="Transportation", _xlfn.XLOOKUP(Table112[[#This Row],[Resource]], 'SI - Payload'!$A$10:$A$40,'SI - Payload'!$B$10:$B$40,"",0), "")</f>
        <v/>
      </c>
      <c r="M36" s="6" t="str">
        <f>IF(Table112[[#This Row],[Category]]="Transportation", "ton", "")</f>
        <v/>
      </c>
      <c r="N36" s="6"/>
      <c r="O36" s="6"/>
      <c r="P36" s="6" t="str">
        <f>IF(OR(Table112[[#This Row],[Type]]="Main Product", Table112[[#This Row],[Type]]="Co-Product"), Table112[[#This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IF(Table112[[#This Row],[Type]]="Co-product", "No", "")</f>
        <v/>
      </c>
      <c r="J37" s="25"/>
      <c r="K37" s="6"/>
      <c r="L37" s="6" t="str">
        <f>IF(Table112[[#This Row],[Category]]="Transportation", _xlfn.XLOOKUP(Table112[[#This Row],[Resource]], 'SI - Payload'!$A$10:$A$40,'SI - Payload'!$B$10:$B$40,"",0), "")</f>
        <v/>
      </c>
      <c r="M37" s="6" t="str">
        <f>IF(Table112[[#This Row],[Category]]="Transportation", "ton", "")</f>
        <v/>
      </c>
      <c r="N37" s="6"/>
      <c r="O37" s="6"/>
      <c r="P37" s="6" t="str">
        <f>IF(OR(Table112[[#This Row],[Type]]="Main Product", Table112[[#This Row],[Type]]="Co-Product"), Table112[[#This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IF(Table112[[#This Row],[Type]]="Co-product", "No", "")</f>
        <v/>
      </c>
      <c r="J38" s="25"/>
      <c r="K38" s="6"/>
      <c r="L38" s="6" t="str">
        <f>IF(Table112[[#This Row],[Category]]="Transportation", _xlfn.XLOOKUP(Table112[[#This Row],[Resource]], 'SI - Payload'!$A$10:$A$40,'SI - Payload'!$B$10:$B$40,"",0), "")</f>
        <v/>
      </c>
      <c r="M38" s="6" t="str">
        <f>IF(Table112[[#This Row],[Category]]="Transportation", "ton", "")</f>
        <v/>
      </c>
      <c r="N38" s="6"/>
      <c r="O38" s="6"/>
      <c r="P38" s="6" t="str">
        <f>IF(OR(Table112[[#This Row],[Type]]="Main Product", Table112[[#This Row],[Type]]="Co-Product"), Table112[[#This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IF(Table112[[#This Row],[Type]]="Co-product", "No", "")</f>
        <v/>
      </c>
      <c r="J39" s="25"/>
      <c r="K39" s="6"/>
      <c r="L39" s="6" t="str">
        <f>IF(Table112[[#This Row],[Category]]="Transportation", _xlfn.XLOOKUP(Table112[[#This Row],[Resource]], 'SI - Payload'!$A$10:$A$40,'SI - Payload'!$B$10:$B$40,"",0), "")</f>
        <v/>
      </c>
      <c r="M39" s="6" t="str">
        <f>IF(Table112[[#This Row],[Category]]="Transportation", "ton", "")</f>
        <v/>
      </c>
      <c r="N39" s="6"/>
      <c r="O39" s="6"/>
      <c r="P39" s="6" t="str">
        <f>IF(OR(Table112[[#This Row],[Type]]="Main Product", Table112[[#This Row],[Type]]="Co-Product"), Table112[[#This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IF(Table112[[#This Row],[Type]]="Co-product", "No", "")</f>
        <v/>
      </c>
      <c r="J40" s="25"/>
      <c r="K40" s="6"/>
      <c r="L40" s="6" t="str">
        <f>IF(Table112[[#This Row],[Category]]="Transportation", _xlfn.XLOOKUP(Table112[[#This Row],[Resource]], 'SI - Payload'!$A$10:$A$40,'SI - Payload'!$B$10:$B$40,"",0), "")</f>
        <v/>
      </c>
      <c r="M40" s="6" t="str">
        <f>IF(Table112[[#This Row],[Category]]="Transportation", "ton", "")</f>
        <v/>
      </c>
      <c r="N40" s="6"/>
      <c r="O40" s="6"/>
      <c r="P40" s="6" t="str">
        <f>IF(OR(Table112[[#This Row],[Type]]="Main Product", Table112[[#This Row],[Type]]="Co-Product"), Table112[[#This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IF(Table112[[#This Row],[Type]]="Co-product", "No", "")</f>
        <v/>
      </c>
      <c r="J41" s="25"/>
      <c r="K41" s="6"/>
      <c r="L41" s="6" t="str">
        <f>IF(Table112[[#This Row],[Category]]="Transportation", _xlfn.XLOOKUP(Table112[[#This Row],[Resource]], 'SI - Payload'!$A$10:$A$40,'SI - Payload'!$B$10:$B$40,"",0), "")</f>
        <v/>
      </c>
      <c r="M41" s="6" t="str">
        <f>IF(Table112[[#This Row],[Category]]="Transportation", "ton", "")</f>
        <v/>
      </c>
      <c r="N41" s="6"/>
      <c r="O41" s="6"/>
      <c r="P41" s="6" t="str">
        <f>IF(OR(Table112[[#This Row],[Type]]="Main Product", Table112[[#This Row],[Type]]="Co-Product"), Table112[[#This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IF(Table112[[#This Row],[Type]]="Co-product", "No", "")</f>
        <v/>
      </c>
      <c r="J42" s="25"/>
      <c r="K42" s="6"/>
      <c r="L42" s="6" t="str">
        <f>IF(Table112[[#This Row],[Category]]="Transportation", _xlfn.XLOOKUP(Table112[[#This Row],[Resource]], 'SI - Payload'!$A$10:$A$40,'SI - Payload'!$B$10:$B$40,"",0), "")</f>
        <v/>
      </c>
      <c r="M42" s="6" t="str">
        <f>IF(Table112[[#This Row],[Category]]="Transportation", "ton", "")</f>
        <v/>
      </c>
      <c r="N42" s="6"/>
      <c r="O42" s="6"/>
      <c r="P42" s="6" t="str">
        <f>IF(OR(Table112[[#This Row],[Type]]="Main Product", Table112[[#This Row],[Type]]="Co-Product"), Table112[[#This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IF(Table112[[#This Row],[Type]]="Co-product", "No", "")</f>
        <v/>
      </c>
      <c r="J43" s="25"/>
      <c r="K43" s="6"/>
      <c r="L43" s="6" t="str">
        <f>IF(Table112[[#This Row],[Category]]="Transportation", _xlfn.XLOOKUP(Table112[[#This Row],[Resource]], 'SI - Payload'!$A$10:$A$40,'SI - Payload'!$B$10:$B$40,"",0), "")</f>
        <v/>
      </c>
      <c r="M43" s="6" t="str">
        <f>IF(Table112[[#This Row],[Category]]="Transportation", "ton", "")</f>
        <v/>
      </c>
      <c r="N43" s="6"/>
      <c r="O43" s="6"/>
      <c r="P43" s="6" t="str">
        <f>IF(OR(Table112[[#This Row],[Type]]="Main Product", Table112[[#This Row],[Type]]="Co-Product"), Table112[[#This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IF(Table112[[#This Row],[Type]]="Co-product", "No", "")</f>
        <v/>
      </c>
      <c r="J44" s="25"/>
      <c r="K44" s="6"/>
      <c r="L44" s="6" t="str">
        <f>IF(Table112[[#This Row],[Category]]="Transportation", _xlfn.XLOOKUP(Table112[[#This Row],[Resource]], 'SI - Payload'!$A$10:$A$40,'SI - Payload'!$B$10:$B$40,"",0), "")</f>
        <v/>
      </c>
      <c r="M44" s="6" t="str">
        <f>IF(Table112[[#This Row],[Category]]="Transportation", "ton", "")</f>
        <v/>
      </c>
      <c r="N44" s="6"/>
      <c r="O44" s="6"/>
      <c r="P44" s="6" t="str">
        <f>IF(OR(Table112[[#This Row],[Type]]="Main Product", Table112[[#This Row],[Type]]="Co-Product"), Table112[[#This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IF(Table112[[#This Row],[Type]]="Co-product", "No", "")</f>
        <v/>
      </c>
      <c r="J45" s="25"/>
      <c r="K45" s="6"/>
      <c r="L45" s="6" t="str">
        <f>IF(Table112[[#This Row],[Category]]="Transportation", _xlfn.XLOOKUP(Table112[[#This Row],[Resource]], 'SI - Payload'!$A$10:$A$40,'SI - Payload'!$B$10:$B$40,"",0), "")</f>
        <v/>
      </c>
      <c r="M45" s="6" t="str">
        <f>IF(Table112[[#This Row],[Category]]="Transportation", "ton", "")</f>
        <v/>
      </c>
      <c r="N45" s="6"/>
      <c r="O45" s="6"/>
      <c r="P45" s="6" t="str">
        <f>IF(OR(Table112[[#This Row],[Type]]="Main Product", Table112[[#This Row],[Type]]="Co-Product"), Table112[[#This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IF(Table112[[#This Row],[Type]]="Co-product", "No", "")</f>
        <v/>
      </c>
      <c r="J46" s="25"/>
      <c r="K46" s="6"/>
      <c r="L46" s="6" t="str">
        <f>IF(Table112[[#This Row],[Category]]="Transportation", _xlfn.XLOOKUP(Table112[[#This Row],[Resource]], 'SI - Payload'!$A$10:$A$40,'SI - Payload'!$B$10:$B$40,"",0), "")</f>
        <v/>
      </c>
      <c r="M46" s="6" t="str">
        <f>IF(Table112[[#This Row],[Category]]="Transportation", "ton", "")</f>
        <v/>
      </c>
      <c r="N46" s="6"/>
      <c r="O46" s="6"/>
      <c r="P46" s="6" t="str">
        <f>IF(OR(Table112[[#This Row],[Type]]="Main Product", Table112[[#This Row],[Type]]="Co-Product"), Table112[[#This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IF(Table112[[#This Row],[Type]]="Co-product", "No", "")</f>
        <v/>
      </c>
      <c r="J47" s="25"/>
      <c r="K47" s="6"/>
      <c r="L47" s="6" t="str">
        <f>IF(Table112[[#This Row],[Category]]="Transportation", _xlfn.XLOOKUP(Table112[[#This Row],[Resource]], 'SI - Payload'!$A$10:$A$40,'SI - Payload'!$B$10:$B$40,"",0), "")</f>
        <v/>
      </c>
      <c r="M47" s="6" t="str">
        <f>IF(Table112[[#This Row],[Category]]="Transportation", "ton", "")</f>
        <v/>
      </c>
      <c r="N47" s="6"/>
      <c r="O47" s="6"/>
      <c r="P47" s="6" t="str">
        <f>IF(OR(Table112[[#This Row],[Type]]="Main Product", Table112[[#This Row],[Type]]="Co-Product"), Table112[[#This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IF(Table112[[#This Row],[Type]]="Co-product", "No", "")</f>
        <v/>
      </c>
      <c r="J48" s="25"/>
      <c r="K48" s="6"/>
      <c r="L48" s="6" t="str">
        <f>IF(Table112[[#This Row],[Category]]="Transportation", _xlfn.XLOOKUP(Table112[[#This Row],[Resource]], 'SI - Payload'!$A$10:$A$40,'SI - Payload'!$B$10:$B$40,"",0), "")</f>
        <v/>
      </c>
      <c r="M48" s="6" t="str">
        <f>IF(Table112[[#This Row],[Category]]="Transportation", "ton", "")</f>
        <v/>
      </c>
      <c r="N48" s="6"/>
      <c r="O48" s="6"/>
      <c r="P48" s="6" t="str">
        <f>IF(OR(Table112[[#This Row],[Type]]="Main Product", Table112[[#This Row],[Type]]="Co-Product"), Table112[[#This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IF(Table112[[#This Row],[Type]]="Co-product", "No", "")</f>
        <v/>
      </c>
      <c r="J49" s="25"/>
      <c r="K49" s="6"/>
      <c r="L49" s="6" t="str">
        <f>IF(Table112[[#This Row],[Category]]="Transportation", _xlfn.XLOOKUP(Table112[[#This Row],[Resource]], 'SI - Payload'!$A$10:$A$40,'SI - Payload'!$B$10:$B$40,"",0), "")</f>
        <v/>
      </c>
      <c r="M49" s="6" t="str">
        <f>IF(Table112[[#This Row],[Category]]="Transportation", "ton", "")</f>
        <v/>
      </c>
      <c r="N49" s="6"/>
      <c r="O49" s="6"/>
      <c r="P49" s="6" t="str">
        <f>IF(OR(Table112[[#This Row],[Type]]="Main Product", Table112[[#This Row],[Type]]="Co-Product"), Table112[[#This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IF(Table112[[#This Row],[Type]]="Co-product", "No", "")</f>
        <v/>
      </c>
      <c r="J50" s="25"/>
      <c r="K50" s="6"/>
      <c r="L50" s="6" t="str">
        <f>IF(Table112[[#This Row],[Category]]="Transportation", _xlfn.XLOOKUP(Table112[[#This Row],[Resource]], 'SI - Payload'!$A$10:$A$40,'SI - Payload'!$B$10:$B$40,"",0), "")</f>
        <v/>
      </c>
      <c r="M50" s="6" t="str">
        <f>IF(Table112[[#This Row],[Category]]="Transportation", "ton", "")</f>
        <v/>
      </c>
      <c r="N50" s="6"/>
      <c r="O50" s="6"/>
      <c r="P50" s="6" t="str">
        <f>IF(OR(Table112[[#This Row],[Type]]="Main Product", Table112[[#This Row],[Type]]="Co-Product"), Table112[[#This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IF(Table112[[#This Row],[Type]]="Co-product", "No", "")</f>
        <v/>
      </c>
      <c r="J51" s="25"/>
      <c r="K51" s="6"/>
      <c r="L51" s="6" t="str">
        <f>IF(Table112[[#This Row],[Category]]="Transportation", _xlfn.XLOOKUP(Table112[[#This Row],[Resource]], 'SI - Payload'!$A$10:$A$40,'SI - Payload'!$B$10:$B$40,"",0), "")</f>
        <v/>
      </c>
      <c r="M51" s="6" t="str">
        <f>IF(Table112[[#This Row],[Category]]="Transportation", "ton", "")</f>
        <v/>
      </c>
      <c r="N51" s="6"/>
      <c r="O51" s="6"/>
      <c r="P51" s="6" t="str">
        <f>IF(OR(Table112[[#This Row],[Type]]="Main Product", Table112[[#This Row],[Type]]="Co-Product"), Table112[[#This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IF(Table112[[#This Row],[Type]]="Co-product", "No", "")</f>
        <v/>
      </c>
      <c r="J52" s="25"/>
      <c r="K52" s="6"/>
      <c r="L52" s="6" t="str">
        <f>IF(Table112[[#This Row],[Category]]="Transportation", _xlfn.XLOOKUP(Table112[[#This Row],[Resource]], 'SI - Payload'!$A$10:$A$40,'SI - Payload'!$B$10:$B$40,"",0), "")</f>
        <v/>
      </c>
      <c r="M52" s="6" t="str">
        <f>IF(Table112[[#This Row],[Category]]="Transportation", "ton", "")</f>
        <v/>
      </c>
      <c r="N52" s="6"/>
      <c r="O52" s="6"/>
      <c r="P52" s="6" t="str">
        <f>IF(OR(Table112[[#This Row],[Type]]="Main Product", Table112[[#This Row],[Type]]="Co-Product"), Table112[[#This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IF(Table112[[#This Row],[Type]]="Co-product", "No", "")</f>
        <v/>
      </c>
      <c r="J53" s="25"/>
      <c r="K53" s="6"/>
      <c r="L53" s="6" t="str">
        <f>IF(Table112[[#This Row],[Category]]="Transportation", _xlfn.XLOOKUP(Table112[[#This Row],[Resource]], 'SI - Payload'!$A$10:$A$40,'SI - Payload'!$B$10:$B$40,"",0), "")</f>
        <v/>
      </c>
      <c r="M53" s="6" t="str">
        <f>IF(Table112[[#This Row],[Category]]="Transportation", "ton", "")</f>
        <v/>
      </c>
      <c r="N53" s="6"/>
      <c r="O53" s="6"/>
      <c r="P53" s="6" t="str">
        <f>IF(OR(Table112[[#This Row],[Type]]="Main Product", Table112[[#This Row],[Type]]="Co-Product"), Table112[[#This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IF(Table112[[#This Row],[Type]]="Co-product", "No", "")</f>
        <v/>
      </c>
      <c r="J54" s="25"/>
      <c r="K54" s="6"/>
      <c r="L54" s="6" t="str">
        <f>IF(Table112[[#This Row],[Category]]="Transportation", _xlfn.XLOOKUP(Table112[[#This Row],[Resource]], 'SI - Payload'!$A$10:$A$40,'SI - Payload'!$B$10:$B$40,"",0), "")</f>
        <v/>
      </c>
      <c r="M54" s="6" t="str">
        <f>IF(Table112[[#This Row],[Category]]="Transportation", "ton", "")</f>
        <v/>
      </c>
      <c r="N54" s="6"/>
      <c r="O54" s="6"/>
      <c r="P54" s="6" t="str">
        <f>IF(OR(Table112[[#This Row],[Type]]="Main Product", Table112[[#This Row],[Type]]="Co-Product"), Table112[[#This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IF(Table112[[#This Row],[Type]]="Co-product", "No", "")</f>
        <v/>
      </c>
      <c r="J55" s="25"/>
      <c r="K55" s="6"/>
      <c r="L55" s="6" t="str">
        <f>IF(Table112[[#This Row],[Category]]="Transportation", _xlfn.XLOOKUP(Table112[[#This Row],[Resource]], 'SI - Payload'!$A$10:$A$40,'SI - Payload'!$B$10:$B$40,"",0), "")</f>
        <v/>
      </c>
      <c r="M55" s="6" t="str">
        <f>IF(Table112[[#This Row],[Category]]="Transportation", "ton", "")</f>
        <v/>
      </c>
      <c r="N55" s="6"/>
      <c r="O55" s="6"/>
      <c r="P55" s="6" t="str">
        <f>IF(OR(Table112[[#This Row],[Type]]="Main Product", Table112[[#This Row],[Type]]="Co-Product"), Table112[[#This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IF(Table112[[#This Row],[Type]]="Co-product", "No", "")</f>
        <v/>
      </c>
      <c r="J56" s="25"/>
      <c r="K56" s="6"/>
      <c r="L56" s="6" t="str">
        <f>IF(Table112[[#This Row],[Category]]="Transportation", _xlfn.XLOOKUP(Table112[[#This Row],[Resource]], 'SI - Payload'!$A$10:$A$40,'SI - Payload'!$B$10:$B$40,"",0), "")</f>
        <v/>
      </c>
      <c r="M56" s="6" t="str">
        <f>IF(Table112[[#This Row],[Category]]="Transportation", "ton", "")</f>
        <v/>
      </c>
      <c r="N56" s="6"/>
      <c r="O56" s="6"/>
      <c r="P56" s="6" t="str">
        <f>IF(OR(Table112[[#This Row],[Type]]="Main Product", Table112[[#This Row],[Type]]="Co-Product"), Table112[[#This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IF(Table112[[#This Row],[Type]]="Co-product", "No", "")</f>
        <v/>
      </c>
      <c r="J57" s="25"/>
      <c r="K57" s="6"/>
      <c r="L57" s="6" t="str">
        <f>IF(Table112[[#This Row],[Category]]="Transportation", _xlfn.XLOOKUP(Table112[[#This Row],[Resource]], 'SI - Payload'!$A$10:$A$40,'SI - Payload'!$B$10:$B$40,"",0), "")</f>
        <v/>
      </c>
      <c r="M57" s="6" t="str">
        <f>IF(Table112[[#This Row],[Category]]="Transportation", "ton", "")</f>
        <v/>
      </c>
      <c r="N57" s="6"/>
      <c r="O57" s="6"/>
      <c r="P57" s="6" t="str">
        <f>IF(OR(Table112[[#This Row],[Type]]="Main Product", Table112[[#This Row],[Type]]="Co-Product"), Table112[[#This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IF(Table112[[#This Row],[Type]]="Co-product", "No", "")</f>
        <v/>
      </c>
      <c r="J58" s="25"/>
      <c r="K58" s="6"/>
      <c r="L58" s="6" t="str">
        <f>IF(Table112[[#This Row],[Category]]="Transportation", _xlfn.XLOOKUP(Table112[[#This Row],[Resource]], 'SI - Payload'!$A$10:$A$40,'SI - Payload'!$B$10:$B$40,"",0), "")</f>
        <v/>
      </c>
      <c r="M58" s="6" t="str">
        <f>IF(Table112[[#This Row],[Category]]="Transportation", "ton", "")</f>
        <v/>
      </c>
      <c r="N58" s="6"/>
      <c r="O58" s="6"/>
      <c r="P58" s="6" t="str">
        <f>IF(OR(Table112[[#This Row],[Type]]="Main Product", Table112[[#This Row],[Type]]="Co-Product"), Table112[[#This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IF(Table112[[#This Row],[Type]]="Co-product", "No", "")</f>
        <v/>
      </c>
      <c r="J59" s="25"/>
      <c r="K59" s="6"/>
      <c r="L59" s="6" t="str">
        <f>IF(Table112[[#This Row],[Category]]="Transportation", _xlfn.XLOOKUP(Table112[[#This Row],[Resource]], 'SI - Payload'!$A$10:$A$40,'SI - Payload'!$B$10:$B$40,"",0), "")</f>
        <v/>
      </c>
      <c r="M59" s="6" t="str">
        <f>IF(Table112[[#This Row],[Category]]="Transportation", "ton", "")</f>
        <v/>
      </c>
      <c r="N59" s="6"/>
      <c r="O59" s="6"/>
      <c r="P59" s="6" t="str">
        <f>IF(OR(Table112[[#This Row],[Type]]="Main Product", Table112[[#This Row],[Type]]="Co-Product"), Table112[[#This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IF(Table112[[#This Row],[Type]]="Co-product", "No", "")</f>
        <v/>
      </c>
      <c r="J60" s="25"/>
      <c r="K60" s="6"/>
      <c r="L60" s="6" t="str">
        <f>IF(Table112[[#This Row],[Category]]="Transportation", _xlfn.XLOOKUP(Table112[[#This Row],[Resource]], 'SI - Payload'!$A$10:$A$40,'SI - Payload'!$B$10:$B$40,"",0), "")</f>
        <v/>
      </c>
      <c r="M60" s="6" t="str">
        <f>IF(Table112[[#This Row],[Category]]="Transportation", "ton", "")</f>
        <v/>
      </c>
      <c r="N60" s="6"/>
      <c r="O60" s="6"/>
      <c r="P60" s="6" t="str">
        <f>IF(OR(Table112[[#This Row],[Type]]="Main Product", Table112[[#This Row],[Type]]="Co-Product"), Table112[[#This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IF(Table112[[#This Row],[Type]]="Co-product", "No", "")</f>
        <v/>
      </c>
      <c r="J61" s="25"/>
      <c r="K61" s="6"/>
      <c r="L61" s="6" t="str">
        <f>IF(Table112[[#This Row],[Category]]="Transportation", _xlfn.XLOOKUP(Table112[[#This Row],[Resource]], 'SI - Payload'!$A$10:$A$40,'SI - Payload'!$B$10:$B$40,"",0), "")</f>
        <v/>
      </c>
      <c r="M61" s="6" t="str">
        <f>IF(Table112[[#This Row],[Category]]="Transportation", "ton", "")</f>
        <v/>
      </c>
      <c r="N61" s="6"/>
      <c r="O61" s="6"/>
      <c r="P61" s="6" t="str">
        <f>IF(OR(Table112[[#This Row],[Type]]="Main Product", Table112[[#This Row],[Type]]="Co-Product"), Table112[[#This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IF(Table112[[#This Row],[Type]]="Co-product", "No", "")</f>
        <v/>
      </c>
      <c r="J62" s="25"/>
      <c r="K62" s="6"/>
      <c r="L62" s="6" t="str">
        <f>IF(Table112[[#This Row],[Category]]="Transportation", _xlfn.XLOOKUP(Table112[[#This Row],[Resource]], 'SI - Payload'!$A$10:$A$40,'SI - Payload'!$B$10:$B$40,"",0), "")</f>
        <v/>
      </c>
      <c r="M62" s="6" t="str">
        <f>IF(Table112[[#This Row],[Category]]="Transportation", "ton", "")</f>
        <v/>
      </c>
      <c r="N62" s="6"/>
      <c r="O62" s="6"/>
      <c r="P62" s="6" t="str">
        <f>IF(OR(Table112[[#This Row],[Type]]="Main Product", Table112[[#This Row],[Type]]="Co-Product"), Table112[[#This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IF(Table112[[#This Row],[Type]]="Co-product", "No", "")</f>
        <v/>
      </c>
      <c r="J63" s="25"/>
      <c r="K63" s="6"/>
      <c r="L63" s="6" t="str">
        <f>IF(Table112[[#This Row],[Category]]="Transportation", _xlfn.XLOOKUP(Table112[[#This Row],[Resource]], 'SI - Payload'!$A$10:$A$40,'SI - Payload'!$B$10:$B$40,"",0), "")</f>
        <v/>
      </c>
      <c r="M63" s="6" t="str">
        <f>IF(Table112[[#This Row],[Category]]="Transportation", "ton", "")</f>
        <v/>
      </c>
      <c r="N63" s="6"/>
      <c r="O63" s="6"/>
      <c r="P63" s="6" t="str">
        <f>IF(OR(Table112[[#This Row],[Type]]="Main Product", Table112[[#This Row],[Type]]="Co-Product"), Table112[[#This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IF(Table112[[#This Row],[Type]]="Co-product", "No", "")</f>
        <v/>
      </c>
      <c r="J64" s="25"/>
      <c r="K64" s="6"/>
      <c r="L64" s="6" t="str">
        <f>IF(Table112[[#This Row],[Category]]="Transportation", _xlfn.XLOOKUP(Table112[[#This Row],[Resource]], 'SI - Payload'!$A$10:$A$40,'SI - Payload'!$B$10:$B$40,"",0), "")</f>
        <v/>
      </c>
      <c r="M64" s="6" t="str">
        <f>IF(Table112[[#This Row],[Category]]="Transportation", "ton", "")</f>
        <v/>
      </c>
      <c r="N64" s="6"/>
      <c r="O64" s="6"/>
      <c r="P64" s="6" t="str">
        <f>IF(OR(Table112[[#This Row],[Type]]="Main Product", Table112[[#This Row],[Type]]="Co-Product"), Table112[[#This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IF(Table112[[#This Row],[Type]]="Co-product", "No", "")</f>
        <v/>
      </c>
      <c r="J65" s="25"/>
      <c r="K65" s="6"/>
      <c r="L65" s="6" t="str">
        <f>IF(Table112[[#This Row],[Category]]="Transportation", _xlfn.XLOOKUP(Table112[[#This Row],[Resource]], 'SI - Payload'!$A$10:$A$40,'SI - Payload'!$B$10:$B$40,"",0), "")</f>
        <v/>
      </c>
      <c r="M65" s="6" t="str">
        <f>IF(Table112[[#This Row],[Category]]="Transportation", "ton", "")</f>
        <v/>
      </c>
      <c r="N65" s="6"/>
      <c r="O65" s="6"/>
      <c r="P65" s="6" t="str">
        <f>IF(OR(Table112[[#This Row],[Type]]="Main Product", Table112[[#This Row],[Type]]="Co-Product"), Table112[[#This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IF(Table112[[#This Row],[Type]]="Co-product", "No", "")</f>
        <v/>
      </c>
      <c r="J66" s="25"/>
      <c r="K66" s="6"/>
      <c r="L66" s="6" t="str">
        <f>IF(Table112[[#This Row],[Category]]="Transportation", _xlfn.XLOOKUP(Table112[[#This Row],[Resource]], 'SI - Payload'!$A$10:$A$40,'SI - Payload'!$B$10:$B$40,"",0), "")</f>
        <v/>
      </c>
      <c r="M66" s="6" t="str">
        <f>IF(Table112[[#This Row],[Category]]="Transportation", "ton", "")</f>
        <v/>
      </c>
      <c r="N66" s="6"/>
      <c r="O66" s="6"/>
      <c r="P66" s="6" t="str">
        <f>IF(OR(Table112[[#This Row],[Type]]="Main Product", Table112[[#This Row],[Type]]="Co-Product"), Table112[[#This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IF(Table112[[#This Row],[Type]]="Co-product", "No", "")</f>
        <v/>
      </c>
      <c r="J67" s="25"/>
      <c r="K67" s="6"/>
      <c r="L67" s="6" t="str">
        <f>IF(Table112[[#This Row],[Category]]="Transportation", _xlfn.XLOOKUP(Table112[[#This Row],[Resource]], 'SI - Payload'!$A$10:$A$40,'SI - Payload'!$B$10:$B$40,"",0), "")</f>
        <v/>
      </c>
      <c r="M67" s="6" t="str">
        <f>IF(Table112[[#This Row],[Category]]="Transportation", "ton", "")</f>
        <v/>
      </c>
      <c r="N67" s="6"/>
      <c r="O67" s="6"/>
      <c r="P67" s="6" t="str">
        <f>IF(OR(Table112[[#This Row],[Type]]="Main Product", Table112[[#This Row],[Type]]="Co-Product"), Table112[[#This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IF(Table112[[#This Row],[Type]]="Co-product", "No", "")</f>
        <v/>
      </c>
      <c r="J68" s="25"/>
      <c r="K68" s="6"/>
      <c r="L68" s="6" t="str">
        <f>IF(Table112[[#This Row],[Category]]="Transportation", _xlfn.XLOOKUP(Table112[[#This Row],[Resource]], 'SI - Payload'!$A$10:$A$40,'SI - Payload'!$B$10:$B$40,"",0), "")</f>
        <v/>
      </c>
      <c r="M68" s="6" t="str">
        <f>IF(Table112[[#This Row],[Category]]="Transportation", "ton", "")</f>
        <v/>
      </c>
      <c r="N68" s="6"/>
      <c r="O68" s="6"/>
      <c r="P68" s="6" t="str">
        <f>IF(OR(Table112[[#This Row],[Type]]="Main Product", Table112[[#This Row],[Type]]="Co-Product"), Table112[[#This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IF(Table112[[#This Row],[Type]]="Co-product", "No", "")</f>
        <v/>
      </c>
      <c r="J69" s="25"/>
      <c r="K69" s="6"/>
      <c r="L69" s="6" t="str">
        <f>IF(Table112[[#This Row],[Category]]="Transportation", _xlfn.XLOOKUP(Table112[[#This Row],[Resource]], 'SI - Payload'!$A$10:$A$40,'SI - Payload'!$B$10:$B$40,"",0), "")</f>
        <v/>
      </c>
      <c r="M69" s="6" t="str">
        <f>IF(Table112[[#This Row],[Category]]="Transportation", "ton", "")</f>
        <v/>
      </c>
      <c r="N69" s="6"/>
      <c r="O69" s="6"/>
      <c r="P69" s="6" t="str">
        <f>IF(OR(Table112[[#This Row],[Type]]="Main Product", Table112[[#This Row],[Type]]="Co-Product"), Table112[[#This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IF(Table112[[#This Row],[Type]]="Co-product", "No", "")</f>
        <v/>
      </c>
      <c r="J70" s="25"/>
      <c r="K70" s="6"/>
      <c r="L70" s="6" t="str">
        <f>IF(Table112[[#This Row],[Category]]="Transportation", _xlfn.XLOOKUP(Table112[[#This Row],[Resource]], 'SI - Payload'!$A$10:$A$40,'SI - Payload'!$B$10:$B$40,"",0), "")</f>
        <v/>
      </c>
      <c r="M70" s="6" t="str">
        <f>IF(Table112[[#This Row],[Category]]="Transportation", "ton", "")</f>
        <v/>
      </c>
      <c r="N70" s="6"/>
      <c r="O70" s="6"/>
      <c r="P70" s="6" t="str">
        <f>IF(OR(Table112[[#This Row],[Type]]="Main Product", Table112[[#This Row],[Type]]="Co-Product"), Table112[[#This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IF(Table112[[#This Row],[Type]]="Co-product", "No", "")</f>
        <v/>
      </c>
      <c r="J71" s="25"/>
      <c r="K71" s="6"/>
      <c r="L71" s="6" t="str">
        <f>IF(Table112[[#This Row],[Category]]="Transportation", _xlfn.XLOOKUP(Table112[[#This Row],[Resource]], 'SI - Payload'!$A$10:$A$40,'SI - Payload'!$B$10:$B$40,"",0), "")</f>
        <v/>
      </c>
      <c r="M71" s="6" t="str">
        <f>IF(Table112[[#This Row],[Category]]="Transportation", "ton", "")</f>
        <v/>
      </c>
      <c r="N71" s="6"/>
      <c r="O71" s="6"/>
      <c r="P71" s="6" t="str">
        <f>IF(OR(Table112[[#This Row],[Type]]="Main Product", Table112[[#This Row],[Type]]="Co-Product"), Table112[[#This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IF(Table112[[#This Row],[Type]]="Co-product", "No", "")</f>
        <v/>
      </c>
      <c r="J72" s="25"/>
      <c r="K72" s="6"/>
      <c r="L72" s="6" t="str">
        <f>IF(Table112[[#This Row],[Category]]="Transportation", _xlfn.XLOOKUP(Table112[[#This Row],[Resource]], 'SI - Payload'!$A$10:$A$40,'SI - Payload'!$B$10:$B$40,"",0), "")</f>
        <v/>
      </c>
      <c r="M72" s="6" t="str">
        <f>IF(Table112[[#This Row],[Category]]="Transportation", "ton", "")</f>
        <v/>
      </c>
      <c r="N72" s="6"/>
      <c r="O72" s="6"/>
      <c r="P72" s="6" t="str">
        <f>IF(OR(Table112[[#This Row],[Type]]="Main Product", Table112[[#This Row],[Type]]="Co-Product"), Table112[[#This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IF(Table112[[#This Row],[Type]]="Co-product", "No", "")</f>
        <v/>
      </c>
      <c r="J73" s="25"/>
      <c r="K73" s="6"/>
      <c r="L73" s="6" t="str">
        <f>IF(Table112[[#This Row],[Category]]="Transportation", _xlfn.XLOOKUP(Table112[[#This Row],[Resource]], 'SI - Payload'!$A$10:$A$40,'SI - Payload'!$B$10:$B$40,"",0), "")</f>
        <v/>
      </c>
      <c r="M73" s="6" t="str">
        <f>IF(Table112[[#This Row],[Category]]="Transportation", "ton", "")</f>
        <v/>
      </c>
      <c r="N73" s="6"/>
      <c r="O73" s="6"/>
      <c r="P73" s="6" t="str">
        <f>IF(OR(Table112[[#This Row],[Type]]="Main Product", Table112[[#This Row],[Type]]="Co-Product"), Table112[[#This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IF(Table112[[#This Row],[Type]]="Co-product", "No", "")</f>
        <v/>
      </c>
      <c r="J74" s="25"/>
      <c r="K74" s="6"/>
      <c r="L74" s="6" t="str">
        <f>IF(Table112[[#This Row],[Category]]="Transportation", _xlfn.XLOOKUP(Table112[[#This Row],[Resource]], 'SI - Payload'!$A$10:$A$40,'SI - Payload'!$B$10:$B$40,"",0), "")</f>
        <v/>
      </c>
      <c r="M74" s="6" t="str">
        <f>IF(Table112[[#This Row],[Category]]="Transportation", "ton", "")</f>
        <v/>
      </c>
      <c r="N74" s="6"/>
      <c r="O74" s="6"/>
      <c r="P74" s="6" t="str">
        <f>IF(OR(Table112[[#This Row],[Type]]="Main Product", Table112[[#This Row],[Type]]="Co-Product"), Table112[[#This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IF(Table112[[#This Row],[Type]]="Co-product", "No", "")</f>
        <v/>
      </c>
      <c r="J75" s="25"/>
      <c r="K75" s="6"/>
      <c r="L75" s="6" t="str">
        <f>IF(Table112[[#This Row],[Category]]="Transportation", _xlfn.XLOOKUP(Table112[[#This Row],[Resource]], 'SI - Payload'!$A$10:$A$40,'SI - Payload'!$B$10:$B$40,"",0), "")</f>
        <v/>
      </c>
      <c r="M75" s="6" t="str">
        <f>IF(Table112[[#This Row],[Category]]="Transportation", "ton", "")</f>
        <v/>
      </c>
      <c r="N75" s="6"/>
      <c r="O75" s="6"/>
      <c r="P75" s="6" t="str">
        <f>IF(OR(Table112[[#This Row],[Type]]="Main Product", Table112[[#This Row],[Type]]="Co-Product"), Table112[[#This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IF(Table112[[#This Row],[Type]]="Co-product", "No", "")</f>
        <v/>
      </c>
      <c r="J76" s="25"/>
      <c r="K76" s="6"/>
      <c r="L76" s="6" t="str">
        <f>IF(Table112[[#This Row],[Category]]="Transportation", _xlfn.XLOOKUP(Table112[[#This Row],[Resource]], 'SI - Payload'!$A$10:$A$40,'SI - Payload'!$B$10:$B$40,"",0), "")</f>
        <v/>
      </c>
      <c r="M76" s="6" t="str">
        <f>IF(Table112[[#This Row],[Category]]="Transportation", "ton", "")</f>
        <v/>
      </c>
      <c r="N76" s="6"/>
      <c r="O76" s="6"/>
      <c r="P76" s="6" t="str">
        <f>IF(OR(Table112[[#This Row],[Type]]="Main Product", Table112[[#This Row],[Type]]="Co-Product"), Table112[[#This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IF(Table112[[#This Row],[Type]]="Co-product", "No", "")</f>
        <v/>
      </c>
      <c r="J77" s="25"/>
      <c r="K77" s="6"/>
      <c r="L77" s="6" t="str">
        <f>IF(Table112[[#This Row],[Category]]="Transportation", _xlfn.XLOOKUP(Table112[[#This Row],[Resource]], 'SI - Payload'!$A$10:$A$40,'SI - Payload'!$B$10:$B$40,"",0), "")</f>
        <v/>
      </c>
      <c r="M77" s="6" t="str">
        <f>IF(Table112[[#This Row],[Category]]="Transportation", "ton", "")</f>
        <v/>
      </c>
      <c r="N77" s="6"/>
      <c r="O77" s="6"/>
      <c r="P77" s="6" t="str">
        <f>IF(OR(Table112[[#This Row],[Type]]="Main Product", Table112[[#This Row],[Type]]="Co-Product"), Table112[[#This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IF(Table112[[#This Row],[Type]]="Co-product", "No", "")</f>
        <v/>
      </c>
      <c r="J78" s="25"/>
      <c r="K78" s="6"/>
      <c r="L78" s="6" t="str">
        <f>IF(Table112[[#This Row],[Category]]="Transportation", _xlfn.XLOOKUP(Table112[[#This Row],[Resource]], 'SI - Payload'!$A$10:$A$40,'SI - Payload'!$B$10:$B$40,"",0), "")</f>
        <v/>
      </c>
      <c r="M78" s="6" t="str">
        <f>IF(Table112[[#This Row],[Category]]="Transportation", "ton", "")</f>
        <v/>
      </c>
      <c r="N78" s="6"/>
      <c r="O78" s="6"/>
      <c r="P78" s="6" t="str">
        <f>IF(OR(Table112[[#This Row],[Type]]="Main Product", Table112[[#This Row],[Type]]="Co-Product"), Table112[[#This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IF(Table112[[#This Row],[Type]]="Co-product", "No", "")</f>
        <v/>
      </c>
      <c r="J79" s="25"/>
      <c r="K79" s="6"/>
      <c r="L79" s="6" t="str">
        <f>IF(Table112[[#This Row],[Category]]="Transportation", _xlfn.XLOOKUP(Table112[[#This Row],[Resource]], 'SI - Payload'!$A$10:$A$40,'SI - Payload'!$B$10:$B$40,"",0), "")</f>
        <v/>
      </c>
      <c r="M79" s="6" t="str">
        <f>IF(Table112[[#This Row],[Category]]="Transportation", "ton", "")</f>
        <v/>
      </c>
      <c r="N79" s="6"/>
      <c r="O79" s="6"/>
      <c r="P79" s="6" t="str">
        <f>IF(OR(Table112[[#This Row],[Type]]="Main Product", Table112[[#This Row],[Type]]="Co-Product"), Table112[[#This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IF(Table112[[#This Row],[Type]]="Co-product", "No", "")</f>
        <v/>
      </c>
      <c r="J80" s="25"/>
      <c r="K80" s="6"/>
      <c r="L80" s="6" t="str">
        <f>IF(Table112[[#This Row],[Category]]="Transportation", _xlfn.XLOOKUP(Table112[[#This Row],[Resource]], 'SI - Payload'!$A$10:$A$40,'SI - Payload'!$B$10:$B$40,"",0), "")</f>
        <v/>
      </c>
      <c r="M80" s="6" t="str">
        <f>IF(Table112[[#This Row],[Category]]="Transportation", "ton", "")</f>
        <v/>
      </c>
      <c r="N80" s="6"/>
      <c r="O80" s="6"/>
      <c r="P80" s="6" t="str">
        <f>IF(OR(Table112[[#This Row],[Type]]="Main Product", Table112[[#This Row],[Type]]="Co-Product"), Table112[[#This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IF(Table112[[#This Row],[Type]]="Co-product", "No", "")</f>
        <v/>
      </c>
      <c r="J81" s="25"/>
      <c r="K81" s="6"/>
      <c r="L81" s="6" t="str">
        <f>IF(Table112[[#This Row],[Category]]="Transportation", _xlfn.XLOOKUP(Table112[[#This Row],[Resource]], 'SI - Payload'!$A$10:$A$40,'SI - Payload'!$B$10:$B$40,"",0), "")</f>
        <v/>
      </c>
      <c r="M81" s="6" t="str">
        <f>IF(Table112[[#This Row],[Category]]="Transportation", "ton", "")</f>
        <v/>
      </c>
      <c r="N81" s="6"/>
      <c r="O81" s="6"/>
      <c r="P81" s="6" t="str">
        <f>IF(OR(Table112[[#This Row],[Type]]="Main Product", Table112[[#This Row],[Type]]="Co-Product"), Table112[[#This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IF(Table112[[#This Row],[Type]]="Co-product", "No", "")</f>
        <v/>
      </c>
      <c r="J82" s="25"/>
      <c r="K82" s="6"/>
      <c r="L82" s="6" t="str">
        <f>IF(Table112[[#This Row],[Category]]="Transportation", _xlfn.XLOOKUP(Table112[[#This Row],[Resource]], 'SI - Payload'!$A$10:$A$40,'SI - Payload'!$B$10:$B$40,"",0), "")</f>
        <v/>
      </c>
      <c r="M82" s="6" t="str">
        <f>IF(Table112[[#This Row],[Category]]="Transportation", "ton", "")</f>
        <v/>
      </c>
      <c r="N82" s="6"/>
      <c r="O82" s="6"/>
      <c r="P82" s="6" t="str">
        <f>IF(OR(Table112[[#This Row],[Type]]="Main Product", Table112[[#This Row],[Type]]="Co-Product"), Table112[[#This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IF(Table112[[#This Row],[Type]]="Co-product", "No", "")</f>
        <v/>
      </c>
      <c r="J83" s="25"/>
      <c r="K83" s="6"/>
      <c r="L83" s="6" t="str">
        <f>IF(Table112[[#This Row],[Category]]="Transportation", _xlfn.XLOOKUP(Table112[[#This Row],[Resource]], 'SI - Payload'!$A$10:$A$40,'SI - Payload'!$B$10:$B$40,"",0), "")</f>
        <v/>
      </c>
      <c r="M83" s="6" t="str">
        <f>IF(Table112[[#This Row],[Category]]="Transportation", "ton", "")</f>
        <v/>
      </c>
      <c r="N83" s="6"/>
      <c r="O83" s="6"/>
      <c r="P83" s="6" t="str">
        <f>IF(OR(Table112[[#This Row],[Type]]="Main Product", Table112[[#This Row],[Type]]="Co-Product"), Table112[[#This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IF(Table112[[#This Row],[Type]]="Co-product", "No", "")</f>
        <v/>
      </c>
      <c r="J84" s="25"/>
      <c r="K84" s="6"/>
      <c r="L84" s="6" t="str">
        <f>IF(Table112[[#This Row],[Category]]="Transportation", _xlfn.XLOOKUP(Table112[[#This Row],[Resource]], 'SI - Payload'!$A$10:$A$40,'SI - Payload'!$B$10:$B$40,"",0), "")</f>
        <v/>
      </c>
      <c r="M84" s="6" t="str">
        <f>IF(Table112[[#This Row],[Category]]="Transportation", "ton", "")</f>
        <v/>
      </c>
      <c r="N84" s="6"/>
      <c r="O84" s="6"/>
      <c r="P84" s="6" t="str">
        <f>IF(OR(Table112[[#This Row],[Type]]="Main Product", Table112[[#This Row],[Type]]="Co-Product"), Table112[[#This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IF(Table112[[#This Row],[Type]]="Co-product", "No", "")</f>
        <v/>
      </c>
      <c r="J85" s="25"/>
      <c r="K85" s="6"/>
      <c r="L85" s="6" t="str">
        <f>IF(Table112[[#This Row],[Category]]="Transportation", _xlfn.XLOOKUP(Table112[[#This Row],[Resource]], 'SI - Payload'!$A$10:$A$40,'SI - Payload'!$B$10:$B$40,"",0), "")</f>
        <v/>
      </c>
      <c r="M85" s="6" t="str">
        <f>IF(Table112[[#This Row],[Category]]="Transportation", "ton", "")</f>
        <v/>
      </c>
      <c r="N85" s="6"/>
      <c r="O85" s="6"/>
      <c r="P85" s="6" t="str">
        <f>IF(OR(Table112[[#This Row],[Type]]="Main Product", Table112[[#This Row],[Type]]="Co-Product"), Table112[[#This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IF(Table112[[#This Row],[Type]]="Co-product", "No", "")</f>
        <v/>
      </c>
      <c r="J86" s="25"/>
      <c r="K86" s="6"/>
      <c r="L86" s="6" t="str">
        <f>IF(Table112[[#This Row],[Category]]="Transportation", _xlfn.XLOOKUP(Table112[[#This Row],[Resource]], 'SI - Payload'!$A$10:$A$40,'SI - Payload'!$B$10:$B$40,"",0), "")</f>
        <v/>
      </c>
      <c r="M86" s="6" t="str">
        <f>IF(Table112[[#This Row],[Category]]="Transportation", "ton", "")</f>
        <v/>
      </c>
      <c r="N86" s="6"/>
      <c r="O86" s="6"/>
      <c r="P86" s="6" t="str">
        <f>IF(OR(Table112[[#This Row],[Type]]="Main Product", Table112[[#This Row],[Type]]="Co-Product"), Table112[[#This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IF(Table112[[#This Row],[Type]]="Co-product", "No", "")</f>
        <v/>
      </c>
      <c r="J87" s="25"/>
      <c r="K87" s="6"/>
      <c r="L87" s="6" t="str">
        <f>IF(Table112[[#This Row],[Category]]="Transportation", _xlfn.XLOOKUP(Table112[[#This Row],[Resource]], 'SI - Payload'!$A$10:$A$40,'SI - Payload'!$B$10:$B$40,"",0), "")</f>
        <v/>
      </c>
      <c r="M87" s="6" t="str">
        <f>IF(Table112[[#This Row],[Category]]="Transportation", "ton", "")</f>
        <v/>
      </c>
      <c r="N87" s="6"/>
      <c r="O87" s="6"/>
      <c r="P87" s="6" t="str">
        <f>IF(OR(Table112[[#This Row],[Type]]="Main Product", Table112[[#This Row],[Type]]="Co-Product"), Table112[[#This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IF(Table112[[#This Row],[Type]]="Co-product", "No", "")</f>
        <v/>
      </c>
      <c r="J88" s="25"/>
      <c r="K88" s="6"/>
      <c r="L88" s="6" t="str">
        <f>IF(Table112[[#This Row],[Category]]="Transportation", _xlfn.XLOOKUP(Table112[[#This Row],[Resource]], 'SI - Payload'!$A$10:$A$40,'SI - Payload'!$B$10:$B$40,"",0), "")</f>
        <v/>
      </c>
      <c r="M88" s="6" t="str">
        <f>IF(Table112[[#This Row],[Category]]="Transportation", "ton", "")</f>
        <v/>
      </c>
      <c r="N88" s="6"/>
      <c r="O88" s="6"/>
      <c r="P88" s="6" t="str">
        <f>IF(OR(Table112[[#This Row],[Type]]="Main Product", Table112[[#This Row],[Type]]="Co-Product"), Table112[[#This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IF(Table112[[#This Row],[Type]]="Co-product", "No", "")</f>
        <v/>
      </c>
      <c r="J89" s="25"/>
      <c r="K89" s="6"/>
      <c r="L89" s="6" t="str">
        <f>IF(Table112[[#This Row],[Category]]="Transportation", _xlfn.XLOOKUP(Table112[[#This Row],[Resource]], 'SI - Payload'!$A$10:$A$40,'SI - Payload'!$B$10:$B$40,"",0), "")</f>
        <v/>
      </c>
      <c r="M89" s="6" t="str">
        <f>IF(Table112[[#This Row],[Category]]="Transportation", "ton", "")</f>
        <v/>
      </c>
      <c r="N89" s="6"/>
      <c r="O89" s="6"/>
      <c r="P89" s="6" t="str">
        <f>IF(OR(Table112[[#This Row],[Type]]="Main Product", Table112[[#This Row],[Type]]="Co-Product"), Table112[[#This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IF(Table112[[#This Row],[Type]]="Co-product", "No", "")</f>
        <v/>
      </c>
      <c r="J90" s="25"/>
      <c r="K90" s="6"/>
      <c r="L90" s="6" t="str">
        <f>IF(Table112[[#This Row],[Category]]="Transportation", _xlfn.XLOOKUP(Table112[[#This Row],[Resource]], 'SI - Payload'!$A$10:$A$40,'SI - Payload'!$B$10:$B$40,"",0), "")</f>
        <v/>
      </c>
      <c r="M90" s="6" t="str">
        <f>IF(Table112[[#This Row],[Category]]="Transportation", "ton", "")</f>
        <v/>
      </c>
      <c r="N90" s="6"/>
      <c r="O90" s="6"/>
      <c r="P90" s="6" t="str">
        <f>IF(OR(Table112[[#This Row],[Type]]="Main Product", Table112[[#This Row],[Type]]="Co-Product"), Table112[[#This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IF(Table112[[#This Row],[Type]]="Co-product", "No", "")</f>
        <v/>
      </c>
      <c r="J91" s="25"/>
      <c r="K91" s="6"/>
      <c r="L91" s="6" t="str">
        <f>IF(Table112[[#This Row],[Category]]="Transportation", _xlfn.XLOOKUP(Table112[[#This Row],[Resource]], 'SI - Payload'!$A$10:$A$40,'SI - Payload'!$B$10:$B$40,"",0), "")</f>
        <v/>
      </c>
      <c r="M91" s="6" t="str">
        <f>IF(Table112[[#This Row],[Category]]="Transportation", "ton", "")</f>
        <v/>
      </c>
      <c r="N91" s="6"/>
      <c r="O91" s="6"/>
      <c r="P91" s="6" t="str">
        <f>IF(OR(Table112[[#This Row],[Type]]="Main Product", Table112[[#This Row],[Type]]="Co-Product"), Table112[[#This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IF(Table112[[#This Row],[Type]]="Co-product", "No", "")</f>
        <v/>
      </c>
      <c r="J92" s="25"/>
      <c r="K92" s="6"/>
      <c r="L92" s="6" t="str">
        <f>IF(Table112[[#This Row],[Category]]="Transportation", _xlfn.XLOOKUP(Table112[[#This Row],[Resource]], 'SI - Payload'!$A$10:$A$40,'SI - Payload'!$B$10:$B$40,"",0), "")</f>
        <v/>
      </c>
      <c r="M92" s="6" t="str">
        <f>IF(Table112[[#This Row],[Category]]="Transportation", "ton", "")</f>
        <v/>
      </c>
      <c r="N92" s="6"/>
      <c r="O92" s="6"/>
      <c r="P92" s="6" t="str">
        <f>IF(OR(Table112[[#This Row],[Type]]="Main Product", Table112[[#This Row],[Type]]="Co-Product"), Table112[[#This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IF(Table112[[#This Row],[Type]]="Co-product", "No", "")</f>
        <v/>
      </c>
      <c r="J93" s="25"/>
      <c r="K93" s="6"/>
      <c r="L93" s="6" t="str">
        <f>IF(Table112[[#This Row],[Category]]="Transportation", _xlfn.XLOOKUP(Table112[[#This Row],[Resource]], 'SI - Payload'!$A$10:$A$40,'SI - Payload'!$B$10:$B$40,"",0), "")</f>
        <v/>
      </c>
      <c r="M93" s="6" t="str">
        <f>IF(Table112[[#This Row],[Category]]="Transportation", "ton", "")</f>
        <v/>
      </c>
      <c r="N93" s="6"/>
      <c r="O93" s="6"/>
      <c r="P93" s="6" t="str">
        <f>IF(OR(Table112[[#This Row],[Type]]="Main Product", Table112[[#This Row],[Type]]="Co-Product"), Table112[[#This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IF(Table112[[#This Row],[Type]]="Co-product", "No", "")</f>
        <v/>
      </c>
      <c r="J94" s="25"/>
      <c r="K94" s="6"/>
      <c r="L94" s="6" t="str">
        <f>IF(Table112[[#This Row],[Category]]="Transportation", _xlfn.XLOOKUP(Table112[[#This Row],[Resource]], 'SI - Payload'!$A$10:$A$40,'SI - Payload'!$B$10:$B$40,"",0), "")</f>
        <v/>
      </c>
      <c r="M94" s="6" t="str">
        <f>IF(Table112[[#This Row],[Category]]="Transportation", "ton", "")</f>
        <v/>
      </c>
      <c r="N94" s="6"/>
      <c r="O94" s="6"/>
      <c r="P94" s="6" t="str">
        <f>IF(OR(Table112[[#This Row],[Type]]="Main Product", Table112[[#This Row],[Type]]="Co-Product"), Table112[[#This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IF(Table112[[#This Row],[Type]]="Co-product", "No", "")</f>
        <v/>
      </c>
      <c r="J95" s="25"/>
      <c r="K95" s="6"/>
      <c r="L95" s="6" t="str">
        <f>IF(Table112[[#This Row],[Category]]="Transportation", _xlfn.XLOOKUP(Table112[[#This Row],[Resource]], 'SI - Payload'!$A$10:$A$40,'SI - Payload'!$B$10:$B$40,"",0), "")</f>
        <v/>
      </c>
      <c r="M95" s="6" t="str">
        <f>IF(Table112[[#This Row],[Category]]="Transportation", "ton", "")</f>
        <v/>
      </c>
      <c r="N95" s="6"/>
      <c r="O95" s="6"/>
      <c r="P95" s="6" t="str">
        <f>IF(OR(Table112[[#This Row],[Type]]="Main Product", Table112[[#This Row],[Type]]="Co-Product"), Table112[[#This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IF(Table112[[#This Row],[Type]]="Co-product", "No", "")</f>
        <v/>
      </c>
      <c r="J96" s="25"/>
      <c r="K96" s="6"/>
      <c r="L96" s="6" t="str">
        <f>IF(Table112[[#This Row],[Category]]="Transportation", _xlfn.XLOOKUP(Table112[[#This Row],[Resource]], 'SI - Payload'!$A$10:$A$40,'SI - Payload'!$B$10:$B$40,"",0), "")</f>
        <v/>
      </c>
      <c r="M96" s="6" t="str">
        <f>IF(Table112[[#This Row],[Category]]="Transportation", "ton", "")</f>
        <v/>
      </c>
      <c r="N96" s="6"/>
      <c r="O96" s="6"/>
      <c r="P96" s="6" t="str">
        <f>IF(OR(Table112[[#This Row],[Type]]="Main Product", Table112[[#This Row],[Type]]="Co-Product"), Table112[[#This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IF(Table112[[#This Row],[Type]]="Co-product", "No", "")</f>
        <v/>
      </c>
      <c r="J97" s="25"/>
      <c r="K97" s="6"/>
      <c r="L97" s="6" t="str">
        <f>IF(Table112[[#This Row],[Category]]="Transportation", _xlfn.XLOOKUP(Table112[[#This Row],[Resource]], 'SI - Payload'!$A$10:$A$40,'SI - Payload'!$B$10:$B$40,"",0), "")</f>
        <v/>
      </c>
      <c r="M97" s="6" t="str">
        <f>IF(Table112[[#This Row],[Category]]="Transportation", "ton", "")</f>
        <v/>
      </c>
      <c r="N97" s="6"/>
      <c r="O97" s="6"/>
      <c r="P97" s="6" t="str">
        <f>IF(OR(Table112[[#This Row],[Type]]="Main Product", Table112[[#This Row],[Type]]="Co-Product"), Table112[[#This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IF(Table112[[#This Row],[Type]]="Co-product", "No", "")</f>
        <v/>
      </c>
      <c r="J98" s="25"/>
      <c r="K98" s="6"/>
      <c r="L98" s="6" t="str">
        <f>IF(Table112[[#This Row],[Category]]="Transportation", _xlfn.XLOOKUP(Table112[[#This Row],[Resource]], 'SI - Payload'!$A$10:$A$40,'SI - Payload'!$B$10:$B$40,"",0), "")</f>
        <v/>
      </c>
      <c r="M98" s="6" t="str">
        <f>IF(Table112[[#This Row],[Category]]="Transportation", "ton", "")</f>
        <v/>
      </c>
      <c r="N98" s="6"/>
      <c r="O98" s="6"/>
      <c r="P98" s="6" t="str">
        <f>IF(OR(Table112[[#This Row],[Type]]="Main Product", Table112[[#This Row],[Type]]="Co-Product"), Table112[[#This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IF(Table112[[#This Row],[Type]]="Co-product", "No", "")</f>
        <v/>
      </c>
      <c r="J99" s="25"/>
      <c r="K99" s="6"/>
      <c r="L99" s="6" t="str">
        <f>IF(Table112[[#This Row],[Category]]="Transportation", _xlfn.XLOOKUP(Table112[[#This Row],[Resource]], 'SI - Payload'!$A$10:$A$40,'SI - Payload'!$B$10:$B$40,"",0), "")</f>
        <v/>
      </c>
      <c r="M99" s="6" t="str">
        <f>IF(Table112[[#This Row],[Category]]="Transportation", "ton", "")</f>
        <v/>
      </c>
      <c r="N99" s="6"/>
      <c r="O99" s="6"/>
      <c r="P99" s="6" t="str">
        <f>IF(OR(Table112[[#This Row],[Type]]="Main Product", Table112[[#This Row],[Type]]="Co-Product"), Table112[[#This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IF(Table112[[#This Row],[Type]]="Co-product", "No", "")</f>
        <v/>
      </c>
      <c r="J100" s="25"/>
      <c r="K100" s="6"/>
      <c r="L100" s="6" t="str">
        <f>IF(Table112[[#This Row],[Category]]="Transportation", _xlfn.XLOOKUP(Table112[[#This Row],[Resource]], 'SI - Payload'!$A$10:$A$40,'SI - Payload'!$B$10:$B$40,"",0), "")</f>
        <v/>
      </c>
      <c r="M100" s="6" t="str">
        <f>IF(Table112[[#This Row],[Category]]="Transportation", "ton", "")</f>
        <v/>
      </c>
      <c r="N100" s="6"/>
      <c r="O100" s="6"/>
      <c r="P100" s="6" t="str">
        <f>IF(OR(Table112[[#This Row],[Type]]="Main Product", Table112[[#This Row],[Type]]="Co-Product"), Table112[[#This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557351A5-0159-4321-8F19-803411503177}">
      <formula1>0</formula1>
      <formula2>1</formula2>
    </dataValidation>
    <dataValidation type="list" allowBlank="1" showInputMessage="1" showErrorMessage="1" sqref="M6:M100" xr:uid="{E017E0D0-E7C5-4386-8043-B21F463D1173}">
      <formula1>payload_units</formula1>
    </dataValidation>
    <dataValidation type="decimal" operator="greaterThan" allowBlank="1" showInputMessage="1" showErrorMessage="1" error="Please type a positive number." sqref="L6:L100" xr:uid="{7A2894DA-8280-40AC-AE51-4C639B92812D}">
      <formula1>0</formula1>
    </dataValidation>
    <dataValidation type="decimal" operator="greaterThan" allowBlank="1" showInputMessage="1" showErrorMessage="1" error="Please type a positive price." sqref="N6:N100" xr:uid="{F8B8AE25-A2FC-496E-BD80-653D5A229B72}">
      <formula1>0</formula1>
    </dataValidation>
    <dataValidation type="decimal" allowBlank="1" showInputMessage="1" showErrorMessage="1" error="Please type a number between 0 and 1." sqref="G6:G100" xr:uid="{CA5AEE23-A712-4629-AF8F-ADD746E03236}">
      <formula1>0</formula1>
      <formula2>1</formula2>
    </dataValidation>
    <dataValidation type="custom" allowBlank="1" showInputMessage="1" showErrorMessage="1" sqref="E6:E100" xr:uid="{DDA67876-C3C3-41E0-A640-3B6774A2CD62}">
      <formula1>ISNUMBER(E6)</formula1>
    </dataValidation>
    <dataValidation type="list" allowBlank="1" showInputMessage="1" showErrorMessage="1" sqref="C2" xr:uid="{08FF90FE-A145-4A38-8E56-268721B2F016}">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E2BF2E0D-A9FE-45C0-A58E-B99270714A5F}">
          <x14:formula1>
            <xm:f>IF($B6="Transportation",  transport_units, INDIRECT(_xlfn.XLOOKUP($C6, 'SI - Units'!$F$26:$F$36,'SI - Units'!$G$26:$G$36,"mass",0)))</xm:f>
          </x14:formula1>
          <xm:sqref>F6:F100</xm:sqref>
        </x14:dataValidation>
        <x14:dataValidation type="list" allowBlank="1" showInputMessage="1" showErrorMessage="1" xr:uid="{81DD9461-C27D-44AB-871C-1DBE879D8DB8}">
          <x14:formula1>
            <xm:f>INDIRECT("p_"&amp;_xlfn.XLOOKUP($C6,'SI - Units'!$F$26:$F$36,'SI - Units'!$G$26:$G$36,"mass",0))</xm:f>
          </x14:formula1>
          <xm:sqref>O6:O100</xm:sqref>
        </x14:dataValidation>
        <x14:dataValidation type="list" allowBlank="1" showInputMessage="1" showErrorMessage="1" xr:uid="{6AA3267C-96F3-4389-B7B1-B9A0D369A40E}">
          <x14:formula1>
            <xm:f>INDIRECT(_xlfn.XLOOKUP($P6,'SI - End Use'!$A$11:$A$18,'SI - End Use'!$B$11:$B$18,"other_end_use",0))</xm:f>
          </x14:formula1>
          <xm:sqref>Q6:R100</xm:sqref>
        </x14:dataValidation>
        <x14:dataValidation type="list" allowBlank="1" showInputMessage="1" xr:uid="{5467B903-C468-4F67-BC52-812FC06FED4E}">
          <x14:formula1>
            <xm:f>INDIRECT(_xlfn.XLOOKUP($C6,'SI - End Use'!$A$11:$A$18,'SI - End Use'!$B$11:$B$18,"other_end_use",0))</xm:f>
          </x14:formula1>
          <xm:sqref>D6:D100</xm:sqref>
        </x14:dataValidation>
        <x14:dataValidation type="list" allowBlank="1" showInputMessage="1" showErrorMessage="1" xr:uid="{AC555EE0-4BB2-4E6D-BC9C-350C51B619C9}">
          <x14:formula1>
            <xm:f>INDIRECT(_xlfn.XLOOKUP($B6, 'SI - Resources'!$R$1:$R$10,'SI - Resources'!$S$1:$S$10, "placeholder_resource", 0))</xm:f>
          </x14:formula1>
          <xm:sqref>P6:P100 C6:C100</xm:sqref>
        </x14:dataValidation>
        <x14:dataValidation type="list" allowBlank="1" showInputMessage="1" showErrorMessage="1" xr:uid="{9D40BB63-A892-420F-814E-946ACEBC2BD9}">
          <x14:formula1>
            <xm:f>'SI - Co-products'!$B$2:$B$6</xm:f>
          </x14:formula1>
          <xm:sqref>A6:A100</xm:sqref>
        </x14:dataValidation>
        <x14:dataValidation type="list" allowBlank="1" showInputMessage="1" showErrorMessage="1" xr:uid="{9C955A8E-4EA3-4F20-92E9-90F0CB362298}">
          <x14:formula1>
            <xm:f>'SI - Resources'!$A$1:$J$1</xm:f>
          </x14:formula1>
          <xm:sqref>B6:B100</xm:sqref>
        </x14:dataValidation>
        <x14:dataValidation type="list" allowBlank="1" showInputMessage="1" showErrorMessage="1" xr:uid="{60886326-597A-4E12-96C2-E65C2DDD4C01}">
          <x14:formula1>
            <xm:f>'SI - Co-products'!$C$2:$C$4</xm:f>
          </x14:formula1>
          <xm:sqref>I6:I100</xm:sqref>
        </x14:dataValidation>
        <x14:dataValidation type="list" allowBlank="1" showInputMessage="1" showErrorMessage="1" xr:uid="{E111783C-4E0F-47ED-9041-6F628C7C9E2C}">
          <x14:formula1>
            <xm:f>'SI - Co-products'!$A$2:$A$5</xm:f>
          </x14:formula1>
          <xm:sqref>K6:K100</xm:sqref>
        </x14:dataValidation>
        <x14:dataValidation type="list" allowBlank="1" showInputMessage="1" showErrorMessage="1" xr:uid="{3FAF5FE6-6FC3-44EB-917B-A78505F1DE70}">
          <x14:formula1>
            <xm:f>_xlfn.XLOOKUP(_xlfn.XLOOKUP(#REF!,'SI - Units'!$B$24:$B$109,'SI - Units'!$C$24:$C$109),'SI - Units'!$A$2:$A$8,'SI - Units'!$B$2:$R$8)</xm:f>
          </x14:formula1>
          <xm:sqref>F5</xm:sqref>
        </x14:dataValidation>
        <x14:dataValidation type="list" allowBlank="1" showInputMessage="1" showErrorMessage="1" xr:uid="{DC231202-FED2-4EAC-BD1B-716DAAD7911B}">
          <x14:formula1>
            <xm:f>'SI - Co-products'!$D$2:$D$8</xm:f>
          </x14:formula1>
          <xm:sqref>C1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6FB7C-5C29-46B8-B22F-A5F5A9711B31}">
  <sheetPr codeName="Sheet13"/>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38</v>
      </c>
      <c r="C6" s="6" t="s">
        <v>32</v>
      </c>
      <c r="D6" s="6" t="s">
        <v>336</v>
      </c>
      <c r="E6" s="60">
        <v>1</v>
      </c>
      <c r="F6" s="6" t="s">
        <v>11</v>
      </c>
      <c r="G6" s="25"/>
      <c r="H6" s="25" t="s">
        <v>356</v>
      </c>
      <c r="I6" s="26" t="str">
        <f>IF(Table113[[#This Row],[Type]]="Co-product", "No", "")</f>
        <v/>
      </c>
      <c r="J6" s="25"/>
      <c r="K6" s="6"/>
      <c r="L6" s="6" t="str">
        <f>IF(Table113[[#This Row],[Category]]="Transportation", _xlfn.XLOOKUP(Table113[[#This Row],[Resource]], 'SI - Payload'!$A$10:$A$40,'SI - Payload'!$B$10:$B$40,"",0), "")</f>
        <v/>
      </c>
      <c r="M6" s="6" t="str">
        <f>IF(Table113[[#This Row],[Category]]="Transportation", "ton", "")</f>
        <v/>
      </c>
      <c r="N6" s="6"/>
      <c r="O6" s="6"/>
      <c r="P6" s="6" t="str">
        <f>IF(OR(Table113[[#This Row],[Type]]="Main Product", Table113[[#This Row],[Type]]="Co-Product"), Table113[[#This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Data'!B9*1000*'INL Data'!E9</f>
        <v>11413</v>
      </c>
      <c r="F7" s="6" t="s">
        <v>69</v>
      </c>
      <c r="G7" s="25"/>
      <c r="H7" s="25"/>
      <c r="I7" s="26" t="str">
        <f>IF(Table113[[#This Row],[Type]]="Co-product", "No", "")</f>
        <v/>
      </c>
      <c r="J7" s="25"/>
      <c r="K7" s="6"/>
      <c r="L7" s="6" t="str">
        <f>IF(Table113[[#This Row],[Category]]="Transportation", _xlfn.XLOOKUP(Table113[[#This Row],[Resource]], 'SI - Payload'!$A$10:$A$40,'SI - Payload'!$B$10:$B$40,"",0), "")</f>
        <v/>
      </c>
      <c r="M7" s="6" t="str">
        <f>IF(Table113[[#This Row],[Category]]="Transportation", "ton", "")</f>
        <v/>
      </c>
      <c r="N7" s="6"/>
      <c r="O7" s="6"/>
      <c r="P7" s="6" t="str">
        <f>IF(OR(Table113[[#This Row],[Type]]="Main Product", Table113[[#This Row],[Type]]="Co-Product"), Table113[[#This Row],[Resource]], "")</f>
        <v/>
      </c>
      <c r="Q7" s="6" t="str">
        <f>IF(_xlfn.XLOOKUP($P7,'SI - End Use'!$B$2:$B$6,'SI - End Use'!$C$2:$C$6, "")="", "", _xlfn.XLOOKUP($C7,'SI - End Use'!$B$2:$B$6,'SI - End Use'!$C$2:$C$6, ""))</f>
        <v/>
      </c>
      <c r="R7" s="6"/>
      <c r="S7" s="6"/>
      <c r="T7" s="6"/>
    </row>
    <row r="8" spans="1:20" x14ac:dyDescent="0.35">
      <c r="A8" s="6" t="s">
        <v>0</v>
      </c>
      <c r="B8" s="6" t="s">
        <v>244</v>
      </c>
      <c r="C8" s="6" t="s">
        <v>2</v>
      </c>
      <c r="D8" s="6" t="s">
        <v>39</v>
      </c>
      <c r="E8" s="60">
        <f>'INL Data'!B9*1000*'INL Data'!D9</f>
        <v>0</v>
      </c>
      <c r="F8" s="6" t="s">
        <v>69</v>
      </c>
      <c r="G8" s="25"/>
      <c r="H8" s="25"/>
      <c r="I8" s="26" t="str">
        <f>IF(Table113[[#This Row],[Type]]="Co-product", "No", "")</f>
        <v/>
      </c>
      <c r="J8" s="25"/>
      <c r="K8" s="6"/>
      <c r="L8" s="6" t="str">
        <f>IF(Table113[[#This Row],[Category]]="Transportation", _xlfn.XLOOKUP(Table113[[#This Row],[Resource]], 'SI - Payload'!$A$10:$A$40,'SI - Payload'!$B$10:$B$40,"",0), "")</f>
        <v/>
      </c>
      <c r="M8" s="6" t="str">
        <f>IF(Table113[[#This Row],[Category]]="Transportation", "ton", "")</f>
        <v/>
      </c>
      <c r="N8" s="6"/>
      <c r="O8" s="6"/>
      <c r="P8" s="6" t="str">
        <f>IF(OR(Table113[[#This Row],[Type]]="Main Product", Table113[[#This Row],[Type]]="Co-Product"), Table113[[#This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Data'!B9*1000*'INL Data'!F9</f>
        <v>0</v>
      </c>
      <c r="F9" s="6" t="s">
        <v>69</v>
      </c>
      <c r="G9" s="25"/>
      <c r="H9" s="25"/>
      <c r="I9" s="26" t="str">
        <f>IF(Table113[[#This Row],[Type]]="Co-product", "No", "")</f>
        <v/>
      </c>
      <c r="J9" s="25"/>
      <c r="K9" s="6"/>
      <c r="L9" s="6" t="str">
        <f>IF(Table113[[#This Row],[Category]]="Transportation", _xlfn.XLOOKUP(Table113[[#This Row],[Resource]], 'SI - Payload'!$A$10:$A$40,'SI - Payload'!$B$10:$B$40,"",0), "")</f>
        <v/>
      </c>
      <c r="M9" s="6" t="str">
        <f>IF(Table113[[#This Row],[Category]]="Transportation", "ton", "")</f>
        <v/>
      </c>
      <c r="N9" s="6"/>
      <c r="O9" s="6"/>
      <c r="P9" s="6" t="str">
        <f>IF(OR(Table113[[#This Row],[Type]]="Main Product", Table113[[#This Row],[Type]]="Co-Product"), Table113[[#This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336</v>
      </c>
      <c r="E10" s="60">
        <f>1-'INL Data'!H9</f>
        <v>0.91844232182218954</v>
      </c>
      <c r="F10" s="6" t="s">
        <v>11</v>
      </c>
      <c r="G10" s="25"/>
      <c r="H10" s="25"/>
      <c r="I10" s="26" t="str">
        <f>IF(Table113[[#This Row],[Type]]="Co-product", "No", "")</f>
        <v/>
      </c>
      <c r="J10" s="25"/>
      <c r="K10" s="6"/>
      <c r="L10" s="6" t="str">
        <f>IF(Table113[[#This Row],[Category]]="Transportation", _xlfn.XLOOKUP(Table113[[#This Row],[Resource]], 'SI - Payload'!$A$10:$A$40,'SI - Payload'!$B$10:$B$40,"",0), "")</f>
        <v/>
      </c>
      <c r="M10" s="6" t="str">
        <f>IF(Table113[[#This Row],[Category]]="Transportation", "ton", "")</f>
        <v/>
      </c>
      <c r="N10" s="6"/>
      <c r="O10" s="6"/>
      <c r="P10" s="6" t="str">
        <f>IF(OR(Table113[[#This Row],[Type]]="Main Product", Table113[[#This Row],[Type]]="Co-Product"), Table113[[#This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IF(Table113[[#This Row],[Type]]="Co-product", "No", "")</f>
        <v/>
      </c>
      <c r="J11" s="25"/>
      <c r="K11" s="6"/>
      <c r="L11" s="6" t="str">
        <f>IF(Table113[[#This Row],[Category]]="Transportation", _xlfn.XLOOKUP(Table113[[#This Row],[Resource]], 'SI - Payload'!$A$10:$A$40,'SI - Payload'!$B$10:$B$40,"",0), "")</f>
        <v/>
      </c>
      <c r="M11" s="6" t="str">
        <f>IF(Table113[[#This Row],[Category]]="Transportation", "ton", "")</f>
        <v/>
      </c>
      <c r="N11" s="6"/>
      <c r="O11" s="6"/>
      <c r="P11" s="6" t="str">
        <f>IF(OR(Table113[[#This Row],[Type]]="Main Product", Table113[[#This Row],[Type]]="Co-Product"), Table113[[#This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IF(Table113[[#This Row],[Type]]="Co-product", "No", "")</f>
        <v/>
      </c>
      <c r="J12" s="25"/>
      <c r="K12" s="6"/>
      <c r="L12" s="6" t="str">
        <f>IF(Table113[[#This Row],[Category]]="Transportation", _xlfn.XLOOKUP(Table113[[#This Row],[Resource]], 'SI - Payload'!$A$10:$A$40,'SI - Payload'!$B$10:$B$40,"",0), "")</f>
        <v/>
      </c>
      <c r="M12" s="6" t="str">
        <f>IF(Table113[[#This Row],[Category]]="Transportation", "ton", "")</f>
        <v/>
      </c>
      <c r="N12" s="6"/>
      <c r="O12" s="6"/>
      <c r="P12" s="6" t="str">
        <f>IF(OR(Table113[[#This Row],[Type]]="Main Product", Table113[[#This Row],[Type]]="Co-Product"), Table113[[#This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IF(Table113[[#This Row],[Type]]="Co-product", "No", "")</f>
        <v/>
      </c>
      <c r="J13" s="25"/>
      <c r="K13" s="6"/>
      <c r="L13" s="6" t="str">
        <f>IF(Table113[[#This Row],[Category]]="Transportation", _xlfn.XLOOKUP(Table113[[#This Row],[Resource]], 'SI - Payload'!$A$10:$A$40,'SI - Payload'!$B$10:$B$40,"",0), "")</f>
        <v/>
      </c>
      <c r="M13" s="6" t="str">
        <f>IF(Table113[[#This Row],[Category]]="Transportation", "ton", "")</f>
        <v/>
      </c>
      <c r="N13" s="6"/>
      <c r="O13" s="6"/>
      <c r="P13" s="6" t="str">
        <f>IF(OR(Table113[[#This Row],[Type]]="Main Product", Table113[[#This Row],[Type]]="Co-Product"), Table113[[#This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IF(Table113[[#This Row],[Type]]="Co-product", "No", "")</f>
        <v/>
      </c>
      <c r="J14" s="25"/>
      <c r="K14" s="6"/>
      <c r="L14" s="6" t="str">
        <f>IF(Table113[[#This Row],[Category]]="Transportation", _xlfn.XLOOKUP(Table113[[#This Row],[Resource]], 'SI - Payload'!$A$10:$A$40,'SI - Payload'!$B$10:$B$40,"",0), "")</f>
        <v/>
      </c>
      <c r="M14" s="6" t="str">
        <f>IF(Table113[[#This Row],[Category]]="Transportation", "ton", "")</f>
        <v/>
      </c>
      <c r="N14" s="6"/>
      <c r="O14" s="6"/>
      <c r="P14" s="6" t="str">
        <f>IF(OR(Table113[[#This Row],[Type]]="Main Product", Table113[[#This Row],[Type]]="Co-Product"), Table113[[#This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IF(Table113[[#This Row],[Type]]="Co-product", "No", "")</f>
        <v/>
      </c>
      <c r="J15" s="25"/>
      <c r="K15" s="6"/>
      <c r="L15" s="6" t="str">
        <f>IF(Table113[[#This Row],[Category]]="Transportation", _xlfn.XLOOKUP(Table113[[#This Row],[Resource]], 'SI - Payload'!$A$10:$A$40,'SI - Payload'!$B$10:$B$40,"",0), "")</f>
        <v/>
      </c>
      <c r="M15" s="6" t="str">
        <f>IF(Table113[[#This Row],[Category]]="Transportation", "ton", "")</f>
        <v/>
      </c>
      <c r="N15" s="6"/>
      <c r="O15" s="6"/>
      <c r="P15" s="6" t="str">
        <f>IF(OR(Table113[[#This Row],[Type]]="Main Product", Table113[[#This Row],[Type]]="Co-Product"), Table113[[#This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IF(Table113[[#This Row],[Type]]="Co-product", "No", "")</f>
        <v/>
      </c>
      <c r="J16" s="25"/>
      <c r="K16" s="6"/>
      <c r="L16" s="6" t="str">
        <f>IF(Table113[[#This Row],[Category]]="Transportation", _xlfn.XLOOKUP(Table113[[#This Row],[Resource]], 'SI - Payload'!$A$10:$A$40,'SI - Payload'!$B$10:$B$40,"",0), "")</f>
        <v/>
      </c>
      <c r="M16" s="6" t="str">
        <f>IF(Table113[[#This Row],[Category]]="Transportation", "ton", "")</f>
        <v/>
      </c>
      <c r="N16" s="6"/>
      <c r="O16" s="6"/>
      <c r="P16" s="6" t="str">
        <f>IF(OR(Table113[[#This Row],[Type]]="Main Product", Table113[[#This Row],[Type]]="Co-Product"), Table113[[#This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IF(Table113[[#This Row],[Type]]="Co-product", "No", "")</f>
        <v/>
      </c>
      <c r="J17" s="25"/>
      <c r="K17" s="6"/>
      <c r="L17" s="6" t="str">
        <f>IF(Table113[[#This Row],[Category]]="Transportation", _xlfn.XLOOKUP(Table113[[#This Row],[Resource]], 'SI - Payload'!$A$10:$A$40,'SI - Payload'!$B$10:$B$40,"",0), "")</f>
        <v/>
      </c>
      <c r="M17" s="6" t="str">
        <f>IF(Table113[[#This Row],[Category]]="Transportation", "ton", "")</f>
        <v/>
      </c>
      <c r="N17" s="6"/>
      <c r="O17" s="6"/>
      <c r="P17" s="6" t="str">
        <f>IF(OR(Table113[[#This Row],[Type]]="Main Product", Table113[[#This Row],[Type]]="Co-Product"), Table113[[#This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IF(Table113[[#This Row],[Type]]="Co-product", "No", "")</f>
        <v/>
      </c>
      <c r="J18" s="25"/>
      <c r="K18" s="6"/>
      <c r="L18" s="6" t="str">
        <f>IF(Table113[[#This Row],[Category]]="Transportation", _xlfn.XLOOKUP(Table113[[#This Row],[Resource]], 'SI - Payload'!$A$10:$A$40,'SI - Payload'!$B$10:$B$40,"",0), "")</f>
        <v/>
      </c>
      <c r="M18" s="6" t="str">
        <f>IF(Table113[[#This Row],[Category]]="Transportation", "ton", "")</f>
        <v/>
      </c>
      <c r="N18" s="6"/>
      <c r="O18" s="6"/>
      <c r="P18" s="6" t="str">
        <f>IF(OR(Table113[[#This Row],[Type]]="Main Product", Table113[[#This Row],[Type]]="Co-Product"), Table113[[#This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IF(Table113[[#This Row],[Type]]="Co-product", "No", "")</f>
        <v/>
      </c>
      <c r="J19" s="25"/>
      <c r="K19" s="6"/>
      <c r="L19" s="6" t="str">
        <f>IF(Table113[[#This Row],[Category]]="Transportation", _xlfn.XLOOKUP(Table113[[#This Row],[Resource]], 'SI - Payload'!$A$10:$A$40,'SI - Payload'!$B$10:$B$40,"",0), "")</f>
        <v/>
      </c>
      <c r="M19" s="6" t="str">
        <f>IF(Table113[[#This Row],[Category]]="Transportation", "ton", "")</f>
        <v/>
      </c>
      <c r="N19" s="6"/>
      <c r="O19" s="6"/>
      <c r="P19" s="6" t="str">
        <f>IF(OR(Table113[[#This Row],[Type]]="Main Product", Table113[[#This Row],[Type]]="Co-Product"), Table113[[#This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IF(Table113[[#This Row],[Type]]="Co-product", "No", "")</f>
        <v/>
      </c>
      <c r="J20" s="25"/>
      <c r="K20" s="6"/>
      <c r="L20" s="6" t="str">
        <f>IF(Table113[[#This Row],[Category]]="Transportation", _xlfn.XLOOKUP(Table113[[#This Row],[Resource]], 'SI - Payload'!$A$10:$A$40,'SI - Payload'!$B$10:$B$40,"",0), "")</f>
        <v/>
      </c>
      <c r="M20" s="6" t="str">
        <f>IF(Table113[[#This Row],[Category]]="Transportation", "ton", "")</f>
        <v/>
      </c>
      <c r="N20" s="6"/>
      <c r="O20" s="6"/>
      <c r="P20" s="6" t="str">
        <f>IF(OR(Table113[[#This Row],[Type]]="Main Product", Table113[[#This Row],[Type]]="Co-Product"), Table113[[#This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IF(Table113[[#This Row],[Type]]="Co-product", "No", "")</f>
        <v/>
      </c>
      <c r="J21" s="25"/>
      <c r="K21" s="6"/>
      <c r="L21" s="6" t="str">
        <f>IF(Table113[[#This Row],[Category]]="Transportation", _xlfn.XLOOKUP(Table113[[#This Row],[Resource]], 'SI - Payload'!$A$10:$A$40,'SI - Payload'!$B$10:$B$40,"",0), "")</f>
        <v/>
      </c>
      <c r="M21" s="6" t="str">
        <f>IF(Table113[[#This Row],[Category]]="Transportation", "ton", "")</f>
        <v/>
      </c>
      <c r="N21" s="6"/>
      <c r="O21" s="6"/>
      <c r="P21" s="6" t="str">
        <f>IF(OR(Table113[[#This Row],[Type]]="Main Product", Table113[[#This Row],[Type]]="Co-Product"), Table113[[#This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IF(Table113[[#This Row],[Type]]="Co-product", "No", "")</f>
        <v/>
      </c>
      <c r="J22" s="25"/>
      <c r="K22" s="6"/>
      <c r="L22" s="6" t="str">
        <f>IF(Table113[[#This Row],[Category]]="Transportation", _xlfn.XLOOKUP(Table113[[#This Row],[Resource]], 'SI - Payload'!$A$10:$A$40,'SI - Payload'!$B$10:$B$40,"",0), "")</f>
        <v/>
      </c>
      <c r="M22" s="6" t="str">
        <f>IF(Table113[[#This Row],[Category]]="Transportation", "ton", "")</f>
        <v/>
      </c>
      <c r="N22" s="6"/>
      <c r="O22" s="6"/>
      <c r="P22" s="6" t="str">
        <f>IF(OR(Table113[[#This Row],[Type]]="Main Product", Table113[[#This Row],[Type]]="Co-Product"), Table113[[#This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IF(Table113[[#This Row],[Type]]="Co-product", "No", "")</f>
        <v/>
      </c>
      <c r="J23" s="25"/>
      <c r="K23" s="6"/>
      <c r="L23" s="6" t="str">
        <f>IF(Table113[[#This Row],[Category]]="Transportation", _xlfn.XLOOKUP(Table113[[#This Row],[Resource]], 'SI - Payload'!$A$10:$A$40,'SI - Payload'!$B$10:$B$40,"",0), "")</f>
        <v/>
      </c>
      <c r="M23" s="6" t="str">
        <f>IF(Table113[[#This Row],[Category]]="Transportation", "ton", "")</f>
        <v/>
      </c>
      <c r="N23" s="6"/>
      <c r="O23" s="6"/>
      <c r="P23" s="6" t="str">
        <f>IF(OR(Table113[[#This Row],[Type]]="Main Product", Table113[[#This Row],[Type]]="Co-Product"), Table113[[#This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IF(Table113[[#This Row],[Type]]="Co-product", "No", "")</f>
        <v/>
      </c>
      <c r="J24" s="25"/>
      <c r="K24" s="6"/>
      <c r="L24" s="6" t="str">
        <f>IF(Table113[[#This Row],[Category]]="Transportation", _xlfn.XLOOKUP(Table113[[#This Row],[Resource]], 'SI - Payload'!$A$10:$A$40,'SI - Payload'!$B$10:$B$40,"",0), "")</f>
        <v/>
      </c>
      <c r="M24" s="6" t="str">
        <f>IF(Table113[[#This Row],[Category]]="Transportation", "ton", "")</f>
        <v/>
      </c>
      <c r="N24" s="6"/>
      <c r="O24" s="6"/>
      <c r="P24" s="6" t="str">
        <f>IF(OR(Table113[[#This Row],[Type]]="Main Product", Table113[[#This Row],[Type]]="Co-Product"), Table113[[#This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IF(Table113[[#This Row],[Type]]="Co-product", "No", "")</f>
        <v/>
      </c>
      <c r="J25" s="25"/>
      <c r="K25" s="6"/>
      <c r="L25" s="6" t="str">
        <f>IF(Table113[[#This Row],[Category]]="Transportation", _xlfn.XLOOKUP(Table113[[#This Row],[Resource]], 'SI - Payload'!$A$10:$A$40,'SI - Payload'!$B$10:$B$40,"",0), "")</f>
        <v/>
      </c>
      <c r="M25" s="6" t="str">
        <f>IF(Table113[[#This Row],[Category]]="Transportation", "ton", "")</f>
        <v/>
      </c>
      <c r="N25" s="6"/>
      <c r="O25" s="6"/>
      <c r="P25" s="6" t="str">
        <f>IF(OR(Table113[[#This Row],[Type]]="Main Product", Table113[[#This Row],[Type]]="Co-Product"), Table113[[#This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IF(Table113[[#This Row],[Type]]="Co-product", "No", "")</f>
        <v/>
      </c>
      <c r="J26" s="25"/>
      <c r="K26" s="6"/>
      <c r="L26" s="6" t="str">
        <f>IF(Table113[[#This Row],[Category]]="Transportation", _xlfn.XLOOKUP(Table113[[#This Row],[Resource]], 'SI - Payload'!$A$10:$A$40,'SI - Payload'!$B$10:$B$40,"",0), "")</f>
        <v/>
      </c>
      <c r="M26" s="6" t="str">
        <f>IF(Table113[[#This Row],[Category]]="Transportation", "ton", "")</f>
        <v/>
      </c>
      <c r="N26" s="6"/>
      <c r="O26" s="6"/>
      <c r="P26" s="6" t="str">
        <f>IF(OR(Table113[[#This Row],[Type]]="Main Product", Table113[[#This Row],[Type]]="Co-Product"), Table113[[#This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IF(Table113[[#This Row],[Type]]="Co-product", "No", "")</f>
        <v/>
      </c>
      <c r="J27" s="25"/>
      <c r="K27" s="6"/>
      <c r="L27" s="6" t="str">
        <f>IF(Table113[[#This Row],[Category]]="Transportation", _xlfn.XLOOKUP(Table113[[#This Row],[Resource]], 'SI - Payload'!$A$10:$A$40,'SI - Payload'!$B$10:$B$40,"",0), "")</f>
        <v/>
      </c>
      <c r="M27" s="6" t="str">
        <f>IF(Table113[[#This Row],[Category]]="Transportation", "ton", "")</f>
        <v/>
      </c>
      <c r="N27" s="6"/>
      <c r="O27" s="6"/>
      <c r="P27" s="6" t="str">
        <f>IF(OR(Table113[[#This Row],[Type]]="Main Product", Table113[[#This Row],[Type]]="Co-Product"), Table113[[#This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IF(Table113[[#This Row],[Type]]="Co-product", "No", "")</f>
        <v/>
      </c>
      <c r="J28" s="25"/>
      <c r="K28" s="6"/>
      <c r="L28" s="6" t="str">
        <f>IF(Table113[[#This Row],[Category]]="Transportation", _xlfn.XLOOKUP(Table113[[#This Row],[Resource]], 'SI - Payload'!$A$10:$A$40,'SI - Payload'!$B$10:$B$40,"",0), "")</f>
        <v/>
      </c>
      <c r="M28" s="6" t="str">
        <f>IF(Table113[[#This Row],[Category]]="Transportation", "ton", "")</f>
        <v/>
      </c>
      <c r="N28" s="6"/>
      <c r="O28" s="6"/>
      <c r="P28" s="6" t="str">
        <f>IF(OR(Table113[[#This Row],[Type]]="Main Product", Table113[[#This Row],[Type]]="Co-Product"), Table113[[#This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IF(Table113[[#This Row],[Type]]="Co-product", "No", "")</f>
        <v/>
      </c>
      <c r="J29" s="25"/>
      <c r="K29" s="6"/>
      <c r="L29" s="6" t="str">
        <f>IF(Table113[[#This Row],[Category]]="Transportation", _xlfn.XLOOKUP(Table113[[#This Row],[Resource]], 'SI - Payload'!$A$10:$A$40,'SI - Payload'!$B$10:$B$40,"",0), "")</f>
        <v/>
      </c>
      <c r="M29" s="6" t="str">
        <f>IF(Table113[[#This Row],[Category]]="Transportation", "ton", "")</f>
        <v/>
      </c>
      <c r="N29" s="6"/>
      <c r="O29" s="6"/>
      <c r="P29" s="6" t="str">
        <f>IF(OR(Table113[[#This Row],[Type]]="Main Product", Table113[[#This Row],[Type]]="Co-Product"), Table113[[#This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IF(Table113[[#This Row],[Type]]="Co-product", "No", "")</f>
        <v/>
      </c>
      <c r="J30" s="25"/>
      <c r="K30" s="6"/>
      <c r="L30" s="6" t="str">
        <f>IF(Table113[[#This Row],[Category]]="Transportation", _xlfn.XLOOKUP(Table113[[#This Row],[Resource]], 'SI - Payload'!$A$10:$A$40,'SI - Payload'!$B$10:$B$40,"",0), "")</f>
        <v/>
      </c>
      <c r="M30" s="6" t="str">
        <f>IF(Table113[[#This Row],[Category]]="Transportation", "ton", "")</f>
        <v/>
      </c>
      <c r="N30" s="6"/>
      <c r="O30" s="6"/>
      <c r="P30" s="6" t="str">
        <f>IF(OR(Table113[[#This Row],[Type]]="Main Product", Table113[[#This Row],[Type]]="Co-Product"), Table113[[#This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IF(Table113[[#This Row],[Type]]="Co-product", "No", "")</f>
        <v/>
      </c>
      <c r="J31" s="25"/>
      <c r="K31" s="6"/>
      <c r="L31" s="6" t="str">
        <f>IF(Table113[[#This Row],[Category]]="Transportation", _xlfn.XLOOKUP(Table113[[#This Row],[Resource]], 'SI - Payload'!$A$10:$A$40,'SI - Payload'!$B$10:$B$40,"",0), "")</f>
        <v/>
      </c>
      <c r="M31" s="6" t="str">
        <f>IF(Table113[[#This Row],[Category]]="Transportation", "ton", "")</f>
        <v/>
      </c>
      <c r="N31" s="6"/>
      <c r="O31" s="6"/>
      <c r="P31" s="6" t="str">
        <f>IF(OR(Table113[[#This Row],[Type]]="Main Product", Table113[[#This Row],[Type]]="Co-Product"), Table113[[#This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IF(Table113[[#This Row],[Type]]="Co-product", "No", "")</f>
        <v/>
      </c>
      <c r="J32" s="25"/>
      <c r="K32" s="6"/>
      <c r="L32" s="6" t="str">
        <f>IF(Table113[[#This Row],[Category]]="Transportation", _xlfn.XLOOKUP(Table113[[#This Row],[Resource]], 'SI - Payload'!$A$10:$A$40,'SI - Payload'!$B$10:$B$40,"",0), "")</f>
        <v/>
      </c>
      <c r="M32" s="6" t="str">
        <f>IF(Table113[[#This Row],[Category]]="Transportation", "ton", "")</f>
        <v/>
      </c>
      <c r="N32" s="6"/>
      <c r="O32" s="6"/>
      <c r="P32" s="6" t="str">
        <f>IF(OR(Table113[[#This Row],[Type]]="Main Product", Table113[[#This Row],[Type]]="Co-Product"), Table113[[#This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IF(Table113[[#This Row],[Type]]="Co-product", "No", "")</f>
        <v/>
      </c>
      <c r="J33" s="25"/>
      <c r="K33" s="6"/>
      <c r="L33" s="6" t="str">
        <f>IF(Table113[[#This Row],[Category]]="Transportation", _xlfn.XLOOKUP(Table113[[#This Row],[Resource]], 'SI - Payload'!$A$10:$A$40,'SI - Payload'!$B$10:$B$40,"",0), "")</f>
        <v/>
      </c>
      <c r="M33" s="6" t="str">
        <f>IF(Table113[[#This Row],[Category]]="Transportation", "ton", "")</f>
        <v/>
      </c>
      <c r="N33" s="6"/>
      <c r="O33" s="6"/>
      <c r="P33" s="6" t="str">
        <f>IF(OR(Table113[[#This Row],[Type]]="Main Product", Table113[[#This Row],[Type]]="Co-Product"), Table113[[#This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IF(Table113[[#This Row],[Type]]="Co-product", "No", "")</f>
        <v/>
      </c>
      <c r="J34" s="25"/>
      <c r="K34" s="6"/>
      <c r="L34" s="6" t="str">
        <f>IF(Table113[[#This Row],[Category]]="Transportation", _xlfn.XLOOKUP(Table113[[#This Row],[Resource]], 'SI - Payload'!$A$10:$A$40,'SI - Payload'!$B$10:$B$40,"",0), "")</f>
        <v/>
      </c>
      <c r="M34" s="6" t="str">
        <f>IF(Table113[[#This Row],[Category]]="Transportation", "ton", "")</f>
        <v/>
      </c>
      <c r="N34" s="6"/>
      <c r="O34" s="6"/>
      <c r="P34" s="6" t="str">
        <f>IF(OR(Table113[[#This Row],[Type]]="Main Product", Table113[[#This Row],[Type]]="Co-Product"), Table113[[#This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IF(Table113[[#This Row],[Type]]="Co-product", "No", "")</f>
        <v/>
      </c>
      <c r="J35" s="25"/>
      <c r="K35" s="6"/>
      <c r="L35" s="6" t="str">
        <f>IF(Table113[[#This Row],[Category]]="Transportation", _xlfn.XLOOKUP(Table113[[#This Row],[Resource]], 'SI - Payload'!$A$10:$A$40,'SI - Payload'!$B$10:$B$40,"",0), "")</f>
        <v/>
      </c>
      <c r="M35" s="6" t="str">
        <f>IF(Table113[[#This Row],[Category]]="Transportation", "ton", "")</f>
        <v/>
      </c>
      <c r="N35" s="6"/>
      <c r="O35" s="6"/>
      <c r="P35" s="6" t="str">
        <f>IF(OR(Table113[[#This Row],[Type]]="Main Product", Table113[[#This Row],[Type]]="Co-Product"), Table113[[#This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IF(Table113[[#This Row],[Type]]="Co-product", "No", "")</f>
        <v/>
      </c>
      <c r="J36" s="25"/>
      <c r="K36" s="6"/>
      <c r="L36" s="6" t="str">
        <f>IF(Table113[[#This Row],[Category]]="Transportation", _xlfn.XLOOKUP(Table113[[#This Row],[Resource]], 'SI - Payload'!$A$10:$A$40,'SI - Payload'!$B$10:$B$40,"",0), "")</f>
        <v/>
      </c>
      <c r="M36" s="6" t="str">
        <f>IF(Table113[[#This Row],[Category]]="Transportation", "ton", "")</f>
        <v/>
      </c>
      <c r="N36" s="6"/>
      <c r="O36" s="6"/>
      <c r="P36" s="6" t="str">
        <f>IF(OR(Table113[[#This Row],[Type]]="Main Product", Table113[[#This Row],[Type]]="Co-Product"), Table113[[#This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IF(Table113[[#This Row],[Type]]="Co-product", "No", "")</f>
        <v/>
      </c>
      <c r="J37" s="25"/>
      <c r="K37" s="6"/>
      <c r="L37" s="6" t="str">
        <f>IF(Table113[[#This Row],[Category]]="Transportation", _xlfn.XLOOKUP(Table113[[#This Row],[Resource]], 'SI - Payload'!$A$10:$A$40,'SI - Payload'!$B$10:$B$40,"",0), "")</f>
        <v/>
      </c>
      <c r="M37" s="6" t="str">
        <f>IF(Table113[[#This Row],[Category]]="Transportation", "ton", "")</f>
        <v/>
      </c>
      <c r="N37" s="6"/>
      <c r="O37" s="6"/>
      <c r="P37" s="6" t="str">
        <f>IF(OR(Table113[[#This Row],[Type]]="Main Product", Table113[[#This Row],[Type]]="Co-Product"), Table113[[#This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IF(Table113[[#This Row],[Type]]="Co-product", "No", "")</f>
        <v/>
      </c>
      <c r="J38" s="25"/>
      <c r="K38" s="6"/>
      <c r="L38" s="6" t="str">
        <f>IF(Table113[[#This Row],[Category]]="Transportation", _xlfn.XLOOKUP(Table113[[#This Row],[Resource]], 'SI - Payload'!$A$10:$A$40,'SI - Payload'!$B$10:$B$40,"",0), "")</f>
        <v/>
      </c>
      <c r="M38" s="6" t="str">
        <f>IF(Table113[[#This Row],[Category]]="Transportation", "ton", "")</f>
        <v/>
      </c>
      <c r="N38" s="6"/>
      <c r="O38" s="6"/>
      <c r="P38" s="6" t="str">
        <f>IF(OR(Table113[[#This Row],[Type]]="Main Product", Table113[[#This Row],[Type]]="Co-Product"), Table113[[#This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IF(Table113[[#This Row],[Type]]="Co-product", "No", "")</f>
        <v/>
      </c>
      <c r="J39" s="25"/>
      <c r="K39" s="6"/>
      <c r="L39" s="6" t="str">
        <f>IF(Table113[[#This Row],[Category]]="Transportation", _xlfn.XLOOKUP(Table113[[#This Row],[Resource]], 'SI - Payload'!$A$10:$A$40,'SI - Payload'!$B$10:$B$40,"",0), "")</f>
        <v/>
      </c>
      <c r="M39" s="6" t="str">
        <f>IF(Table113[[#This Row],[Category]]="Transportation", "ton", "")</f>
        <v/>
      </c>
      <c r="N39" s="6"/>
      <c r="O39" s="6"/>
      <c r="P39" s="6" t="str">
        <f>IF(OR(Table113[[#This Row],[Type]]="Main Product", Table113[[#This Row],[Type]]="Co-Product"), Table113[[#This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IF(Table113[[#This Row],[Type]]="Co-product", "No", "")</f>
        <v/>
      </c>
      <c r="J40" s="25"/>
      <c r="K40" s="6"/>
      <c r="L40" s="6" t="str">
        <f>IF(Table113[[#This Row],[Category]]="Transportation", _xlfn.XLOOKUP(Table113[[#This Row],[Resource]], 'SI - Payload'!$A$10:$A$40,'SI - Payload'!$B$10:$B$40,"",0), "")</f>
        <v/>
      </c>
      <c r="M40" s="6" t="str">
        <f>IF(Table113[[#This Row],[Category]]="Transportation", "ton", "")</f>
        <v/>
      </c>
      <c r="N40" s="6"/>
      <c r="O40" s="6"/>
      <c r="P40" s="6" t="str">
        <f>IF(OR(Table113[[#This Row],[Type]]="Main Product", Table113[[#This Row],[Type]]="Co-Product"), Table113[[#This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IF(Table113[[#This Row],[Type]]="Co-product", "No", "")</f>
        <v/>
      </c>
      <c r="J41" s="25"/>
      <c r="K41" s="6"/>
      <c r="L41" s="6" t="str">
        <f>IF(Table113[[#This Row],[Category]]="Transportation", _xlfn.XLOOKUP(Table113[[#This Row],[Resource]], 'SI - Payload'!$A$10:$A$40,'SI - Payload'!$B$10:$B$40,"",0), "")</f>
        <v/>
      </c>
      <c r="M41" s="6" t="str">
        <f>IF(Table113[[#This Row],[Category]]="Transportation", "ton", "")</f>
        <v/>
      </c>
      <c r="N41" s="6"/>
      <c r="O41" s="6"/>
      <c r="P41" s="6" t="str">
        <f>IF(OR(Table113[[#This Row],[Type]]="Main Product", Table113[[#This Row],[Type]]="Co-Product"), Table113[[#This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IF(Table113[[#This Row],[Type]]="Co-product", "No", "")</f>
        <v/>
      </c>
      <c r="J42" s="25"/>
      <c r="K42" s="6"/>
      <c r="L42" s="6" t="str">
        <f>IF(Table113[[#This Row],[Category]]="Transportation", _xlfn.XLOOKUP(Table113[[#This Row],[Resource]], 'SI - Payload'!$A$10:$A$40,'SI - Payload'!$B$10:$B$40,"",0), "")</f>
        <v/>
      </c>
      <c r="M42" s="6" t="str">
        <f>IF(Table113[[#This Row],[Category]]="Transportation", "ton", "")</f>
        <v/>
      </c>
      <c r="N42" s="6"/>
      <c r="O42" s="6"/>
      <c r="P42" s="6" t="str">
        <f>IF(OR(Table113[[#This Row],[Type]]="Main Product", Table113[[#This Row],[Type]]="Co-Product"), Table113[[#This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IF(Table113[[#This Row],[Type]]="Co-product", "No", "")</f>
        <v/>
      </c>
      <c r="J43" s="25"/>
      <c r="K43" s="6"/>
      <c r="L43" s="6" t="str">
        <f>IF(Table113[[#This Row],[Category]]="Transportation", _xlfn.XLOOKUP(Table113[[#This Row],[Resource]], 'SI - Payload'!$A$10:$A$40,'SI - Payload'!$B$10:$B$40,"",0), "")</f>
        <v/>
      </c>
      <c r="M43" s="6" t="str">
        <f>IF(Table113[[#This Row],[Category]]="Transportation", "ton", "")</f>
        <v/>
      </c>
      <c r="N43" s="6"/>
      <c r="O43" s="6"/>
      <c r="P43" s="6" t="str">
        <f>IF(OR(Table113[[#This Row],[Type]]="Main Product", Table113[[#This Row],[Type]]="Co-Product"), Table113[[#This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IF(Table113[[#This Row],[Type]]="Co-product", "No", "")</f>
        <v/>
      </c>
      <c r="J44" s="25"/>
      <c r="K44" s="6"/>
      <c r="L44" s="6" t="str">
        <f>IF(Table113[[#This Row],[Category]]="Transportation", _xlfn.XLOOKUP(Table113[[#This Row],[Resource]], 'SI - Payload'!$A$10:$A$40,'SI - Payload'!$B$10:$B$40,"",0), "")</f>
        <v/>
      </c>
      <c r="M44" s="6" t="str">
        <f>IF(Table113[[#This Row],[Category]]="Transportation", "ton", "")</f>
        <v/>
      </c>
      <c r="N44" s="6"/>
      <c r="O44" s="6"/>
      <c r="P44" s="6" t="str">
        <f>IF(OR(Table113[[#This Row],[Type]]="Main Product", Table113[[#This Row],[Type]]="Co-Product"), Table113[[#This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IF(Table113[[#This Row],[Type]]="Co-product", "No", "")</f>
        <v/>
      </c>
      <c r="J45" s="25"/>
      <c r="K45" s="6"/>
      <c r="L45" s="6" t="str">
        <f>IF(Table113[[#This Row],[Category]]="Transportation", _xlfn.XLOOKUP(Table113[[#This Row],[Resource]], 'SI - Payload'!$A$10:$A$40,'SI - Payload'!$B$10:$B$40,"",0), "")</f>
        <v/>
      </c>
      <c r="M45" s="6" t="str">
        <f>IF(Table113[[#This Row],[Category]]="Transportation", "ton", "")</f>
        <v/>
      </c>
      <c r="N45" s="6"/>
      <c r="O45" s="6"/>
      <c r="P45" s="6" t="str">
        <f>IF(OR(Table113[[#This Row],[Type]]="Main Product", Table113[[#This Row],[Type]]="Co-Product"), Table113[[#This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IF(Table113[[#This Row],[Type]]="Co-product", "No", "")</f>
        <v/>
      </c>
      <c r="J46" s="25"/>
      <c r="K46" s="6"/>
      <c r="L46" s="6" t="str">
        <f>IF(Table113[[#This Row],[Category]]="Transportation", _xlfn.XLOOKUP(Table113[[#This Row],[Resource]], 'SI - Payload'!$A$10:$A$40,'SI - Payload'!$B$10:$B$40,"",0), "")</f>
        <v/>
      </c>
      <c r="M46" s="6" t="str">
        <f>IF(Table113[[#This Row],[Category]]="Transportation", "ton", "")</f>
        <v/>
      </c>
      <c r="N46" s="6"/>
      <c r="O46" s="6"/>
      <c r="P46" s="6" t="str">
        <f>IF(OR(Table113[[#This Row],[Type]]="Main Product", Table113[[#This Row],[Type]]="Co-Product"), Table113[[#This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IF(Table113[[#This Row],[Type]]="Co-product", "No", "")</f>
        <v/>
      </c>
      <c r="J47" s="25"/>
      <c r="K47" s="6"/>
      <c r="L47" s="6" t="str">
        <f>IF(Table113[[#This Row],[Category]]="Transportation", _xlfn.XLOOKUP(Table113[[#This Row],[Resource]], 'SI - Payload'!$A$10:$A$40,'SI - Payload'!$B$10:$B$40,"",0), "")</f>
        <v/>
      </c>
      <c r="M47" s="6" t="str">
        <f>IF(Table113[[#This Row],[Category]]="Transportation", "ton", "")</f>
        <v/>
      </c>
      <c r="N47" s="6"/>
      <c r="O47" s="6"/>
      <c r="P47" s="6" t="str">
        <f>IF(OR(Table113[[#This Row],[Type]]="Main Product", Table113[[#This Row],[Type]]="Co-Product"), Table113[[#This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IF(Table113[[#This Row],[Type]]="Co-product", "No", "")</f>
        <v/>
      </c>
      <c r="J48" s="25"/>
      <c r="K48" s="6"/>
      <c r="L48" s="6" t="str">
        <f>IF(Table113[[#This Row],[Category]]="Transportation", _xlfn.XLOOKUP(Table113[[#This Row],[Resource]], 'SI - Payload'!$A$10:$A$40,'SI - Payload'!$B$10:$B$40,"",0), "")</f>
        <v/>
      </c>
      <c r="M48" s="6" t="str">
        <f>IF(Table113[[#This Row],[Category]]="Transportation", "ton", "")</f>
        <v/>
      </c>
      <c r="N48" s="6"/>
      <c r="O48" s="6"/>
      <c r="P48" s="6" t="str">
        <f>IF(OR(Table113[[#This Row],[Type]]="Main Product", Table113[[#This Row],[Type]]="Co-Product"), Table113[[#This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IF(Table113[[#This Row],[Type]]="Co-product", "No", "")</f>
        <v/>
      </c>
      <c r="J49" s="25"/>
      <c r="K49" s="6"/>
      <c r="L49" s="6" t="str">
        <f>IF(Table113[[#This Row],[Category]]="Transportation", _xlfn.XLOOKUP(Table113[[#This Row],[Resource]], 'SI - Payload'!$A$10:$A$40,'SI - Payload'!$B$10:$B$40,"",0), "")</f>
        <v/>
      </c>
      <c r="M49" s="6" t="str">
        <f>IF(Table113[[#This Row],[Category]]="Transportation", "ton", "")</f>
        <v/>
      </c>
      <c r="N49" s="6"/>
      <c r="O49" s="6"/>
      <c r="P49" s="6" t="str">
        <f>IF(OR(Table113[[#This Row],[Type]]="Main Product", Table113[[#This Row],[Type]]="Co-Product"), Table113[[#This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IF(Table113[[#This Row],[Type]]="Co-product", "No", "")</f>
        <v/>
      </c>
      <c r="J50" s="25"/>
      <c r="K50" s="6"/>
      <c r="L50" s="6" t="str">
        <f>IF(Table113[[#This Row],[Category]]="Transportation", _xlfn.XLOOKUP(Table113[[#This Row],[Resource]], 'SI - Payload'!$A$10:$A$40,'SI - Payload'!$B$10:$B$40,"",0), "")</f>
        <v/>
      </c>
      <c r="M50" s="6" t="str">
        <f>IF(Table113[[#This Row],[Category]]="Transportation", "ton", "")</f>
        <v/>
      </c>
      <c r="N50" s="6"/>
      <c r="O50" s="6"/>
      <c r="P50" s="6" t="str">
        <f>IF(OR(Table113[[#This Row],[Type]]="Main Product", Table113[[#This Row],[Type]]="Co-Product"), Table113[[#This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IF(Table113[[#This Row],[Type]]="Co-product", "No", "")</f>
        <v/>
      </c>
      <c r="J51" s="25"/>
      <c r="K51" s="6"/>
      <c r="L51" s="6" t="str">
        <f>IF(Table113[[#This Row],[Category]]="Transportation", _xlfn.XLOOKUP(Table113[[#This Row],[Resource]], 'SI - Payload'!$A$10:$A$40,'SI - Payload'!$B$10:$B$40,"",0), "")</f>
        <v/>
      </c>
      <c r="M51" s="6" t="str">
        <f>IF(Table113[[#This Row],[Category]]="Transportation", "ton", "")</f>
        <v/>
      </c>
      <c r="N51" s="6"/>
      <c r="O51" s="6"/>
      <c r="P51" s="6" t="str">
        <f>IF(OR(Table113[[#This Row],[Type]]="Main Product", Table113[[#This Row],[Type]]="Co-Product"), Table113[[#This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IF(Table113[[#This Row],[Type]]="Co-product", "No", "")</f>
        <v/>
      </c>
      <c r="J52" s="25"/>
      <c r="K52" s="6"/>
      <c r="L52" s="6" t="str">
        <f>IF(Table113[[#This Row],[Category]]="Transportation", _xlfn.XLOOKUP(Table113[[#This Row],[Resource]], 'SI - Payload'!$A$10:$A$40,'SI - Payload'!$B$10:$B$40,"",0), "")</f>
        <v/>
      </c>
      <c r="M52" s="6" t="str">
        <f>IF(Table113[[#This Row],[Category]]="Transportation", "ton", "")</f>
        <v/>
      </c>
      <c r="N52" s="6"/>
      <c r="O52" s="6"/>
      <c r="P52" s="6" t="str">
        <f>IF(OR(Table113[[#This Row],[Type]]="Main Product", Table113[[#This Row],[Type]]="Co-Product"), Table113[[#This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IF(Table113[[#This Row],[Type]]="Co-product", "No", "")</f>
        <v/>
      </c>
      <c r="J53" s="25"/>
      <c r="K53" s="6"/>
      <c r="L53" s="6" t="str">
        <f>IF(Table113[[#This Row],[Category]]="Transportation", _xlfn.XLOOKUP(Table113[[#This Row],[Resource]], 'SI - Payload'!$A$10:$A$40,'SI - Payload'!$B$10:$B$40,"",0), "")</f>
        <v/>
      </c>
      <c r="M53" s="6" t="str">
        <f>IF(Table113[[#This Row],[Category]]="Transportation", "ton", "")</f>
        <v/>
      </c>
      <c r="N53" s="6"/>
      <c r="O53" s="6"/>
      <c r="P53" s="6" t="str">
        <f>IF(OR(Table113[[#This Row],[Type]]="Main Product", Table113[[#This Row],[Type]]="Co-Product"), Table113[[#This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IF(Table113[[#This Row],[Type]]="Co-product", "No", "")</f>
        <v/>
      </c>
      <c r="J54" s="25"/>
      <c r="K54" s="6"/>
      <c r="L54" s="6" t="str">
        <f>IF(Table113[[#This Row],[Category]]="Transportation", _xlfn.XLOOKUP(Table113[[#This Row],[Resource]], 'SI - Payload'!$A$10:$A$40,'SI - Payload'!$B$10:$B$40,"",0), "")</f>
        <v/>
      </c>
      <c r="M54" s="6" t="str">
        <f>IF(Table113[[#This Row],[Category]]="Transportation", "ton", "")</f>
        <v/>
      </c>
      <c r="N54" s="6"/>
      <c r="O54" s="6"/>
      <c r="P54" s="6" t="str">
        <f>IF(OR(Table113[[#This Row],[Type]]="Main Product", Table113[[#This Row],[Type]]="Co-Product"), Table113[[#This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IF(Table113[[#This Row],[Type]]="Co-product", "No", "")</f>
        <v/>
      </c>
      <c r="J55" s="25"/>
      <c r="K55" s="6"/>
      <c r="L55" s="6" t="str">
        <f>IF(Table113[[#This Row],[Category]]="Transportation", _xlfn.XLOOKUP(Table113[[#This Row],[Resource]], 'SI - Payload'!$A$10:$A$40,'SI - Payload'!$B$10:$B$40,"",0), "")</f>
        <v/>
      </c>
      <c r="M55" s="6" t="str">
        <f>IF(Table113[[#This Row],[Category]]="Transportation", "ton", "")</f>
        <v/>
      </c>
      <c r="N55" s="6"/>
      <c r="O55" s="6"/>
      <c r="P55" s="6" t="str">
        <f>IF(OR(Table113[[#This Row],[Type]]="Main Product", Table113[[#This Row],[Type]]="Co-Product"), Table113[[#This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IF(Table113[[#This Row],[Type]]="Co-product", "No", "")</f>
        <v/>
      </c>
      <c r="J56" s="25"/>
      <c r="K56" s="6"/>
      <c r="L56" s="6" t="str">
        <f>IF(Table113[[#This Row],[Category]]="Transportation", _xlfn.XLOOKUP(Table113[[#This Row],[Resource]], 'SI - Payload'!$A$10:$A$40,'SI - Payload'!$B$10:$B$40,"",0), "")</f>
        <v/>
      </c>
      <c r="M56" s="6" t="str">
        <f>IF(Table113[[#This Row],[Category]]="Transportation", "ton", "")</f>
        <v/>
      </c>
      <c r="N56" s="6"/>
      <c r="O56" s="6"/>
      <c r="P56" s="6" t="str">
        <f>IF(OR(Table113[[#This Row],[Type]]="Main Product", Table113[[#This Row],[Type]]="Co-Product"), Table113[[#This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IF(Table113[[#This Row],[Type]]="Co-product", "No", "")</f>
        <v/>
      </c>
      <c r="J57" s="25"/>
      <c r="K57" s="6"/>
      <c r="L57" s="6" t="str">
        <f>IF(Table113[[#This Row],[Category]]="Transportation", _xlfn.XLOOKUP(Table113[[#This Row],[Resource]], 'SI - Payload'!$A$10:$A$40,'SI - Payload'!$B$10:$B$40,"",0), "")</f>
        <v/>
      </c>
      <c r="M57" s="6" t="str">
        <f>IF(Table113[[#This Row],[Category]]="Transportation", "ton", "")</f>
        <v/>
      </c>
      <c r="N57" s="6"/>
      <c r="O57" s="6"/>
      <c r="P57" s="6" t="str">
        <f>IF(OR(Table113[[#This Row],[Type]]="Main Product", Table113[[#This Row],[Type]]="Co-Product"), Table113[[#This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IF(Table113[[#This Row],[Type]]="Co-product", "No", "")</f>
        <v/>
      </c>
      <c r="J58" s="25"/>
      <c r="K58" s="6"/>
      <c r="L58" s="6" t="str">
        <f>IF(Table113[[#This Row],[Category]]="Transportation", _xlfn.XLOOKUP(Table113[[#This Row],[Resource]], 'SI - Payload'!$A$10:$A$40,'SI - Payload'!$B$10:$B$40,"",0), "")</f>
        <v/>
      </c>
      <c r="M58" s="6" t="str">
        <f>IF(Table113[[#This Row],[Category]]="Transportation", "ton", "")</f>
        <v/>
      </c>
      <c r="N58" s="6"/>
      <c r="O58" s="6"/>
      <c r="P58" s="6" t="str">
        <f>IF(OR(Table113[[#This Row],[Type]]="Main Product", Table113[[#This Row],[Type]]="Co-Product"), Table113[[#This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IF(Table113[[#This Row],[Type]]="Co-product", "No", "")</f>
        <v/>
      </c>
      <c r="J59" s="25"/>
      <c r="K59" s="6"/>
      <c r="L59" s="6" t="str">
        <f>IF(Table113[[#This Row],[Category]]="Transportation", _xlfn.XLOOKUP(Table113[[#This Row],[Resource]], 'SI - Payload'!$A$10:$A$40,'SI - Payload'!$B$10:$B$40,"",0), "")</f>
        <v/>
      </c>
      <c r="M59" s="6" t="str">
        <f>IF(Table113[[#This Row],[Category]]="Transportation", "ton", "")</f>
        <v/>
      </c>
      <c r="N59" s="6"/>
      <c r="O59" s="6"/>
      <c r="P59" s="6" t="str">
        <f>IF(OR(Table113[[#This Row],[Type]]="Main Product", Table113[[#This Row],[Type]]="Co-Product"), Table113[[#This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IF(Table113[[#This Row],[Type]]="Co-product", "No", "")</f>
        <v/>
      </c>
      <c r="J60" s="25"/>
      <c r="K60" s="6"/>
      <c r="L60" s="6" t="str">
        <f>IF(Table113[[#This Row],[Category]]="Transportation", _xlfn.XLOOKUP(Table113[[#This Row],[Resource]], 'SI - Payload'!$A$10:$A$40,'SI - Payload'!$B$10:$B$40,"",0), "")</f>
        <v/>
      </c>
      <c r="M60" s="6" t="str">
        <f>IF(Table113[[#This Row],[Category]]="Transportation", "ton", "")</f>
        <v/>
      </c>
      <c r="N60" s="6"/>
      <c r="O60" s="6"/>
      <c r="P60" s="6" t="str">
        <f>IF(OR(Table113[[#This Row],[Type]]="Main Product", Table113[[#This Row],[Type]]="Co-Product"), Table113[[#This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IF(Table113[[#This Row],[Type]]="Co-product", "No", "")</f>
        <v/>
      </c>
      <c r="J61" s="25"/>
      <c r="K61" s="6"/>
      <c r="L61" s="6" t="str">
        <f>IF(Table113[[#This Row],[Category]]="Transportation", _xlfn.XLOOKUP(Table113[[#This Row],[Resource]], 'SI - Payload'!$A$10:$A$40,'SI - Payload'!$B$10:$B$40,"",0), "")</f>
        <v/>
      </c>
      <c r="M61" s="6" t="str">
        <f>IF(Table113[[#This Row],[Category]]="Transportation", "ton", "")</f>
        <v/>
      </c>
      <c r="N61" s="6"/>
      <c r="O61" s="6"/>
      <c r="P61" s="6" t="str">
        <f>IF(OR(Table113[[#This Row],[Type]]="Main Product", Table113[[#This Row],[Type]]="Co-Product"), Table113[[#This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IF(Table113[[#This Row],[Type]]="Co-product", "No", "")</f>
        <v/>
      </c>
      <c r="J62" s="25"/>
      <c r="K62" s="6"/>
      <c r="L62" s="6" t="str">
        <f>IF(Table113[[#This Row],[Category]]="Transportation", _xlfn.XLOOKUP(Table113[[#This Row],[Resource]], 'SI - Payload'!$A$10:$A$40,'SI - Payload'!$B$10:$B$40,"",0), "")</f>
        <v/>
      </c>
      <c r="M62" s="6" t="str">
        <f>IF(Table113[[#This Row],[Category]]="Transportation", "ton", "")</f>
        <v/>
      </c>
      <c r="N62" s="6"/>
      <c r="O62" s="6"/>
      <c r="P62" s="6" t="str">
        <f>IF(OR(Table113[[#This Row],[Type]]="Main Product", Table113[[#This Row],[Type]]="Co-Product"), Table113[[#This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IF(Table113[[#This Row],[Type]]="Co-product", "No", "")</f>
        <v/>
      </c>
      <c r="J63" s="25"/>
      <c r="K63" s="6"/>
      <c r="L63" s="6" t="str">
        <f>IF(Table113[[#This Row],[Category]]="Transportation", _xlfn.XLOOKUP(Table113[[#This Row],[Resource]], 'SI - Payload'!$A$10:$A$40,'SI - Payload'!$B$10:$B$40,"",0), "")</f>
        <v/>
      </c>
      <c r="M63" s="6" t="str">
        <f>IF(Table113[[#This Row],[Category]]="Transportation", "ton", "")</f>
        <v/>
      </c>
      <c r="N63" s="6"/>
      <c r="O63" s="6"/>
      <c r="P63" s="6" t="str">
        <f>IF(OR(Table113[[#This Row],[Type]]="Main Product", Table113[[#This Row],[Type]]="Co-Product"), Table113[[#This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IF(Table113[[#This Row],[Type]]="Co-product", "No", "")</f>
        <v/>
      </c>
      <c r="J64" s="25"/>
      <c r="K64" s="6"/>
      <c r="L64" s="6" t="str">
        <f>IF(Table113[[#This Row],[Category]]="Transportation", _xlfn.XLOOKUP(Table113[[#This Row],[Resource]], 'SI - Payload'!$A$10:$A$40,'SI - Payload'!$B$10:$B$40,"",0), "")</f>
        <v/>
      </c>
      <c r="M64" s="6" t="str">
        <f>IF(Table113[[#This Row],[Category]]="Transportation", "ton", "")</f>
        <v/>
      </c>
      <c r="N64" s="6"/>
      <c r="O64" s="6"/>
      <c r="P64" s="6" t="str">
        <f>IF(OR(Table113[[#This Row],[Type]]="Main Product", Table113[[#This Row],[Type]]="Co-Product"), Table113[[#This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IF(Table113[[#This Row],[Type]]="Co-product", "No", "")</f>
        <v/>
      </c>
      <c r="J65" s="25"/>
      <c r="K65" s="6"/>
      <c r="L65" s="6" t="str">
        <f>IF(Table113[[#This Row],[Category]]="Transportation", _xlfn.XLOOKUP(Table113[[#This Row],[Resource]], 'SI - Payload'!$A$10:$A$40,'SI - Payload'!$B$10:$B$40,"",0), "")</f>
        <v/>
      </c>
      <c r="M65" s="6" t="str">
        <f>IF(Table113[[#This Row],[Category]]="Transportation", "ton", "")</f>
        <v/>
      </c>
      <c r="N65" s="6"/>
      <c r="O65" s="6"/>
      <c r="P65" s="6" t="str">
        <f>IF(OR(Table113[[#This Row],[Type]]="Main Product", Table113[[#This Row],[Type]]="Co-Product"), Table113[[#This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IF(Table113[[#This Row],[Type]]="Co-product", "No", "")</f>
        <v/>
      </c>
      <c r="J66" s="25"/>
      <c r="K66" s="6"/>
      <c r="L66" s="6" t="str">
        <f>IF(Table113[[#This Row],[Category]]="Transportation", _xlfn.XLOOKUP(Table113[[#This Row],[Resource]], 'SI - Payload'!$A$10:$A$40,'SI - Payload'!$B$10:$B$40,"",0), "")</f>
        <v/>
      </c>
      <c r="M66" s="6" t="str">
        <f>IF(Table113[[#This Row],[Category]]="Transportation", "ton", "")</f>
        <v/>
      </c>
      <c r="N66" s="6"/>
      <c r="O66" s="6"/>
      <c r="P66" s="6" t="str">
        <f>IF(OR(Table113[[#This Row],[Type]]="Main Product", Table113[[#This Row],[Type]]="Co-Product"), Table113[[#This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IF(Table113[[#This Row],[Type]]="Co-product", "No", "")</f>
        <v/>
      </c>
      <c r="J67" s="25"/>
      <c r="K67" s="6"/>
      <c r="L67" s="6" t="str">
        <f>IF(Table113[[#This Row],[Category]]="Transportation", _xlfn.XLOOKUP(Table113[[#This Row],[Resource]], 'SI - Payload'!$A$10:$A$40,'SI - Payload'!$B$10:$B$40,"",0), "")</f>
        <v/>
      </c>
      <c r="M67" s="6" t="str">
        <f>IF(Table113[[#This Row],[Category]]="Transportation", "ton", "")</f>
        <v/>
      </c>
      <c r="N67" s="6"/>
      <c r="O67" s="6"/>
      <c r="P67" s="6" t="str">
        <f>IF(OR(Table113[[#This Row],[Type]]="Main Product", Table113[[#This Row],[Type]]="Co-Product"), Table113[[#This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IF(Table113[[#This Row],[Type]]="Co-product", "No", "")</f>
        <v/>
      </c>
      <c r="J68" s="25"/>
      <c r="K68" s="6"/>
      <c r="L68" s="6" t="str">
        <f>IF(Table113[[#This Row],[Category]]="Transportation", _xlfn.XLOOKUP(Table113[[#This Row],[Resource]], 'SI - Payload'!$A$10:$A$40,'SI - Payload'!$B$10:$B$40,"",0), "")</f>
        <v/>
      </c>
      <c r="M68" s="6" t="str">
        <f>IF(Table113[[#This Row],[Category]]="Transportation", "ton", "")</f>
        <v/>
      </c>
      <c r="N68" s="6"/>
      <c r="O68" s="6"/>
      <c r="P68" s="6" t="str">
        <f>IF(OR(Table113[[#This Row],[Type]]="Main Product", Table113[[#This Row],[Type]]="Co-Product"), Table113[[#This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IF(Table113[[#This Row],[Type]]="Co-product", "No", "")</f>
        <v/>
      </c>
      <c r="J69" s="25"/>
      <c r="K69" s="6"/>
      <c r="L69" s="6" t="str">
        <f>IF(Table113[[#This Row],[Category]]="Transportation", _xlfn.XLOOKUP(Table113[[#This Row],[Resource]], 'SI - Payload'!$A$10:$A$40,'SI - Payload'!$B$10:$B$40,"",0), "")</f>
        <v/>
      </c>
      <c r="M69" s="6" t="str">
        <f>IF(Table113[[#This Row],[Category]]="Transportation", "ton", "")</f>
        <v/>
      </c>
      <c r="N69" s="6"/>
      <c r="O69" s="6"/>
      <c r="P69" s="6" t="str">
        <f>IF(OR(Table113[[#This Row],[Type]]="Main Product", Table113[[#This Row],[Type]]="Co-Product"), Table113[[#This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IF(Table113[[#This Row],[Type]]="Co-product", "No", "")</f>
        <v/>
      </c>
      <c r="J70" s="25"/>
      <c r="K70" s="6"/>
      <c r="L70" s="6" t="str">
        <f>IF(Table113[[#This Row],[Category]]="Transportation", _xlfn.XLOOKUP(Table113[[#This Row],[Resource]], 'SI - Payload'!$A$10:$A$40,'SI - Payload'!$B$10:$B$40,"",0), "")</f>
        <v/>
      </c>
      <c r="M70" s="6" t="str">
        <f>IF(Table113[[#This Row],[Category]]="Transportation", "ton", "")</f>
        <v/>
      </c>
      <c r="N70" s="6"/>
      <c r="O70" s="6"/>
      <c r="P70" s="6" t="str">
        <f>IF(OR(Table113[[#This Row],[Type]]="Main Product", Table113[[#This Row],[Type]]="Co-Product"), Table113[[#This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IF(Table113[[#This Row],[Type]]="Co-product", "No", "")</f>
        <v/>
      </c>
      <c r="J71" s="25"/>
      <c r="K71" s="6"/>
      <c r="L71" s="6" t="str">
        <f>IF(Table113[[#This Row],[Category]]="Transportation", _xlfn.XLOOKUP(Table113[[#This Row],[Resource]], 'SI - Payload'!$A$10:$A$40,'SI - Payload'!$B$10:$B$40,"",0), "")</f>
        <v/>
      </c>
      <c r="M71" s="6" t="str">
        <f>IF(Table113[[#This Row],[Category]]="Transportation", "ton", "")</f>
        <v/>
      </c>
      <c r="N71" s="6"/>
      <c r="O71" s="6"/>
      <c r="P71" s="6" t="str">
        <f>IF(OR(Table113[[#This Row],[Type]]="Main Product", Table113[[#This Row],[Type]]="Co-Product"), Table113[[#This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IF(Table113[[#This Row],[Type]]="Co-product", "No", "")</f>
        <v/>
      </c>
      <c r="J72" s="25"/>
      <c r="K72" s="6"/>
      <c r="L72" s="6" t="str">
        <f>IF(Table113[[#This Row],[Category]]="Transportation", _xlfn.XLOOKUP(Table113[[#This Row],[Resource]], 'SI - Payload'!$A$10:$A$40,'SI - Payload'!$B$10:$B$40,"",0), "")</f>
        <v/>
      </c>
      <c r="M72" s="6" t="str">
        <f>IF(Table113[[#This Row],[Category]]="Transportation", "ton", "")</f>
        <v/>
      </c>
      <c r="N72" s="6"/>
      <c r="O72" s="6"/>
      <c r="P72" s="6" t="str">
        <f>IF(OR(Table113[[#This Row],[Type]]="Main Product", Table113[[#This Row],[Type]]="Co-Product"), Table113[[#This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IF(Table113[[#This Row],[Type]]="Co-product", "No", "")</f>
        <v/>
      </c>
      <c r="J73" s="25"/>
      <c r="K73" s="6"/>
      <c r="L73" s="6" t="str">
        <f>IF(Table113[[#This Row],[Category]]="Transportation", _xlfn.XLOOKUP(Table113[[#This Row],[Resource]], 'SI - Payload'!$A$10:$A$40,'SI - Payload'!$B$10:$B$40,"",0), "")</f>
        <v/>
      </c>
      <c r="M73" s="6" t="str">
        <f>IF(Table113[[#This Row],[Category]]="Transportation", "ton", "")</f>
        <v/>
      </c>
      <c r="N73" s="6"/>
      <c r="O73" s="6"/>
      <c r="P73" s="6" t="str">
        <f>IF(OR(Table113[[#This Row],[Type]]="Main Product", Table113[[#This Row],[Type]]="Co-Product"), Table113[[#This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IF(Table113[[#This Row],[Type]]="Co-product", "No", "")</f>
        <v/>
      </c>
      <c r="J74" s="25"/>
      <c r="K74" s="6"/>
      <c r="L74" s="6" t="str">
        <f>IF(Table113[[#This Row],[Category]]="Transportation", _xlfn.XLOOKUP(Table113[[#This Row],[Resource]], 'SI - Payload'!$A$10:$A$40,'SI - Payload'!$B$10:$B$40,"",0), "")</f>
        <v/>
      </c>
      <c r="M74" s="6" t="str">
        <f>IF(Table113[[#This Row],[Category]]="Transportation", "ton", "")</f>
        <v/>
      </c>
      <c r="N74" s="6"/>
      <c r="O74" s="6"/>
      <c r="P74" s="6" t="str">
        <f>IF(OR(Table113[[#This Row],[Type]]="Main Product", Table113[[#This Row],[Type]]="Co-Product"), Table113[[#This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IF(Table113[[#This Row],[Type]]="Co-product", "No", "")</f>
        <v/>
      </c>
      <c r="J75" s="25"/>
      <c r="K75" s="6"/>
      <c r="L75" s="6" t="str">
        <f>IF(Table113[[#This Row],[Category]]="Transportation", _xlfn.XLOOKUP(Table113[[#This Row],[Resource]], 'SI - Payload'!$A$10:$A$40,'SI - Payload'!$B$10:$B$40,"",0), "")</f>
        <v/>
      </c>
      <c r="M75" s="6" t="str">
        <f>IF(Table113[[#This Row],[Category]]="Transportation", "ton", "")</f>
        <v/>
      </c>
      <c r="N75" s="6"/>
      <c r="O75" s="6"/>
      <c r="P75" s="6" t="str">
        <f>IF(OR(Table113[[#This Row],[Type]]="Main Product", Table113[[#This Row],[Type]]="Co-Product"), Table113[[#This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IF(Table113[[#This Row],[Type]]="Co-product", "No", "")</f>
        <v/>
      </c>
      <c r="J76" s="25"/>
      <c r="K76" s="6"/>
      <c r="L76" s="6" t="str">
        <f>IF(Table113[[#This Row],[Category]]="Transportation", _xlfn.XLOOKUP(Table113[[#This Row],[Resource]], 'SI - Payload'!$A$10:$A$40,'SI - Payload'!$B$10:$B$40,"",0), "")</f>
        <v/>
      </c>
      <c r="M76" s="6" t="str">
        <f>IF(Table113[[#This Row],[Category]]="Transportation", "ton", "")</f>
        <v/>
      </c>
      <c r="N76" s="6"/>
      <c r="O76" s="6"/>
      <c r="P76" s="6" t="str">
        <f>IF(OR(Table113[[#This Row],[Type]]="Main Product", Table113[[#This Row],[Type]]="Co-Product"), Table113[[#This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IF(Table113[[#This Row],[Type]]="Co-product", "No", "")</f>
        <v/>
      </c>
      <c r="J77" s="25"/>
      <c r="K77" s="6"/>
      <c r="L77" s="6" t="str">
        <f>IF(Table113[[#This Row],[Category]]="Transportation", _xlfn.XLOOKUP(Table113[[#This Row],[Resource]], 'SI - Payload'!$A$10:$A$40,'SI - Payload'!$B$10:$B$40,"",0), "")</f>
        <v/>
      </c>
      <c r="M77" s="6" t="str">
        <f>IF(Table113[[#This Row],[Category]]="Transportation", "ton", "")</f>
        <v/>
      </c>
      <c r="N77" s="6"/>
      <c r="O77" s="6"/>
      <c r="P77" s="6" t="str">
        <f>IF(OR(Table113[[#This Row],[Type]]="Main Product", Table113[[#This Row],[Type]]="Co-Product"), Table113[[#This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IF(Table113[[#This Row],[Type]]="Co-product", "No", "")</f>
        <v/>
      </c>
      <c r="J78" s="25"/>
      <c r="K78" s="6"/>
      <c r="L78" s="6" t="str">
        <f>IF(Table113[[#This Row],[Category]]="Transportation", _xlfn.XLOOKUP(Table113[[#This Row],[Resource]], 'SI - Payload'!$A$10:$A$40,'SI - Payload'!$B$10:$B$40,"",0), "")</f>
        <v/>
      </c>
      <c r="M78" s="6" t="str">
        <f>IF(Table113[[#This Row],[Category]]="Transportation", "ton", "")</f>
        <v/>
      </c>
      <c r="N78" s="6"/>
      <c r="O78" s="6"/>
      <c r="P78" s="6" t="str">
        <f>IF(OR(Table113[[#This Row],[Type]]="Main Product", Table113[[#This Row],[Type]]="Co-Product"), Table113[[#This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IF(Table113[[#This Row],[Type]]="Co-product", "No", "")</f>
        <v/>
      </c>
      <c r="J79" s="25"/>
      <c r="K79" s="6"/>
      <c r="L79" s="6" t="str">
        <f>IF(Table113[[#This Row],[Category]]="Transportation", _xlfn.XLOOKUP(Table113[[#This Row],[Resource]], 'SI - Payload'!$A$10:$A$40,'SI - Payload'!$B$10:$B$40,"",0), "")</f>
        <v/>
      </c>
      <c r="M79" s="6" t="str">
        <f>IF(Table113[[#This Row],[Category]]="Transportation", "ton", "")</f>
        <v/>
      </c>
      <c r="N79" s="6"/>
      <c r="O79" s="6"/>
      <c r="P79" s="6" t="str">
        <f>IF(OR(Table113[[#This Row],[Type]]="Main Product", Table113[[#This Row],[Type]]="Co-Product"), Table113[[#This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IF(Table113[[#This Row],[Type]]="Co-product", "No", "")</f>
        <v/>
      </c>
      <c r="J80" s="25"/>
      <c r="K80" s="6"/>
      <c r="L80" s="6" t="str">
        <f>IF(Table113[[#This Row],[Category]]="Transportation", _xlfn.XLOOKUP(Table113[[#This Row],[Resource]], 'SI - Payload'!$A$10:$A$40,'SI - Payload'!$B$10:$B$40,"",0), "")</f>
        <v/>
      </c>
      <c r="M80" s="6" t="str">
        <f>IF(Table113[[#This Row],[Category]]="Transportation", "ton", "")</f>
        <v/>
      </c>
      <c r="N80" s="6"/>
      <c r="O80" s="6"/>
      <c r="P80" s="6" t="str">
        <f>IF(OR(Table113[[#This Row],[Type]]="Main Product", Table113[[#This Row],[Type]]="Co-Product"), Table113[[#This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IF(Table113[[#This Row],[Type]]="Co-product", "No", "")</f>
        <v/>
      </c>
      <c r="J81" s="25"/>
      <c r="K81" s="6"/>
      <c r="L81" s="6" t="str">
        <f>IF(Table113[[#This Row],[Category]]="Transportation", _xlfn.XLOOKUP(Table113[[#This Row],[Resource]], 'SI - Payload'!$A$10:$A$40,'SI - Payload'!$B$10:$B$40,"",0), "")</f>
        <v/>
      </c>
      <c r="M81" s="6" t="str">
        <f>IF(Table113[[#This Row],[Category]]="Transportation", "ton", "")</f>
        <v/>
      </c>
      <c r="N81" s="6"/>
      <c r="O81" s="6"/>
      <c r="P81" s="6" t="str">
        <f>IF(OR(Table113[[#This Row],[Type]]="Main Product", Table113[[#This Row],[Type]]="Co-Product"), Table113[[#This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IF(Table113[[#This Row],[Type]]="Co-product", "No", "")</f>
        <v/>
      </c>
      <c r="J82" s="25"/>
      <c r="K82" s="6"/>
      <c r="L82" s="6" t="str">
        <f>IF(Table113[[#This Row],[Category]]="Transportation", _xlfn.XLOOKUP(Table113[[#This Row],[Resource]], 'SI - Payload'!$A$10:$A$40,'SI - Payload'!$B$10:$B$40,"",0), "")</f>
        <v/>
      </c>
      <c r="M82" s="6" t="str">
        <f>IF(Table113[[#This Row],[Category]]="Transportation", "ton", "")</f>
        <v/>
      </c>
      <c r="N82" s="6"/>
      <c r="O82" s="6"/>
      <c r="P82" s="6" t="str">
        <f>IF(OR(Table113[[#This Row],[Type]]="Main Product", Table113[[#This Row],[Type]]="Co-Product"), Table113[[#This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IF(Table113[[#This Row],[Type]]="Co-product", "No", "")</f>
        <v/>
      </c>
      <c r="J83" s="25"/>
      <c r="K83" s="6"/>
      <c r="L83" s="6" t="str">
        <f>IF(Table113[[#This Row],[Category]]="Transportation", _xlfn.XLOOKUP(Table113[[#This Row],[Resource]], 'SI - Payload'!$A$10:$A$40,'SI - Payload'!$B$10:$B$40,"",0), "")</f>
        <v/>
      </c>
      <c r="M83" s="6" t="str">
        <f>IF(Table113[[#This Row],[Category]]="Transportation", "ton", "")</f>
        <v/>
      </c>
      <c r="N83" s="6"/>
      <c r="O83" s="6"/>
      <c r="P83" s="6" t="str">
        <f>IF(OR(Table113[[#This Row],[Type]]="Main Product", Table113[[#This Row],[Type]]="Co-Product"), Table113[[#This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IF(Table113[[#This Row],[Type]]="Co-product", "No", "")</f>
        <v/>
      </c>
      <c r="J84" s="25"/>
      <c r="K84" s="6"/>
      <c r="L84" s="6" t="str">
        <f>IF(Table113[[#This Row],[Category]]="Transportation", _xlfn.XLOOKUP(Table113[[#This Row],[Resource]], 'SI - Payload'!$A$10:$A$40,'SI - Payload'!$B$10:$B$40,"",0), "")</f>
        <v/>
      </c>
      <c r="M84" s="6" t="str">
        <f>IF(Table113[[#This Row],[Category]]="Transportation", "ton", "")</f>
        <v/>
      </c>
      <c r="N84" s="6"/>
      <c r="O84" s="6"/>
      <c r="P84" s="6" t="str">
        <f>IF(OR(Table113[[#This Row],[Type]]="Main Product", Table113[[#This Row],[Type]]="Co-Product"), Table113[[#This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IF(Table113[[#This Row],[Type]]="Co-product", "No", "")</f>
        <v/>
      </c>
      <c r="J85" s="25"/>
      <c r="K85" s="6"/>
      <c r="L85" s="6" t="str">
        <f>IF(Table113[[#This Row],[Category]]="Transportation", _xlfn.XLOOKUP(Table113[[#This Row],[Resource]], 'SI - Payload'!$A$10:$A$40,'SI - Payload'!$B$10:$B$40,"",0), "")</f>
        <v/>
      </c>
      <c r="M85" s="6" t="str">
        <f>IF(Table113[[#This Row],[Category]]="Transportation", "ton", "")</f>
        <v/>
      </c>
      <c r="N85" s="6"/>
      <c r="O85" s="6"/>
      <c r="P85" s="6" t="str">
        <f>IF(OR(Table113[[#This Row],[Type]]="Main Product", Table113[[#This Row],[Type]]="Co-Product"), Table113[[#This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IF(Table113[[#This Row],[Type]]="Co-product", "No", "")</f>
        <v/>
      </c>
      <c r="J86" s="25"/>
      <c r="K86" s="6"/>
      <c r="L86" s="6" t="str">
        <f>IF(Table113[[#This Row],[Category]]="Transportation", _xlfn.XLOOKUP(Table113[[#This Row],[Resource]], 'SI - Payload'!$A$10:$A$40,'SI - Payload'!$B$10:$B$40,"",0), "")</f>
        <v/>
      </c>
      <c r="M86" s="6" t="str">
        <f>IF(Table113[[#This Row],[Category]]="Transportation", "ton", "")</f>
        <v/>
      </c>
      <c r="N86" s="6"/>
      <c r="O86" s="6"/>
      <c r="P86" s="6" t="str">
        <f>IF(OR(Table113[[#This Row],[Type]]="Main Product", Table113[[#This Row],[Type]]="Co-Product"), Table113[[#This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IF(Table113[[#This Row],[Type]]="Co-product", "No", "")</f>
        <v/>
      </c>
      <c r="J87" s="25"/>
      <c r="K87" s="6"/>
      <c r="L87" s="6" t="str">
        <f>IF(Table113[[#This Row],[Category]]="Transportation", _xlfn.XLOOKUP(Table113[[#This Row],[Resource]], 'SI - Payload'!$A$10:$A$40,'SI - Payload'!$B$10:$B$40,"",0), "")</f>
        <v/>
      </c>
      <c r="M87" s="6" t="str">
        <f>IF(Table113[[#This Row],[Category]]="Transportation", "ton", "")</f>
        <v/>
      </c>
      <c r="N87" s="6"/>
      <c r="O87" s="6"/>
      <c r="P87" s="6" t="str">
        <f>IF(OR(Table113[[#This Row],[Type]]="Main Product", Table113[[#This Row],[Type]]="Co-Product"), Table113[[#This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IF(Table113[[#This Row],[Type]]="Co-product", "No", "")</f>
        <v/>
      </c>
      <c r="J88" s="25"/>
      <c r="K88" s="6"/>
      <c r="L88" s="6" t="str">
        <f>IF(Table113[[#This Row],[Category]]="Transportation", _xlfn.XLOOKUP(Table113[[#This Row],[Resource]], 'SI - Payload'!$A$10:$A$40,'SI - Payload'!$B$10:$B$40,"",0), "")</f>
        <v/>
      </c>
      <c r="M88" s="6" t="str">
        <f>IF(Table113[[#This Row],[Category]]="Transportation", "ton", "")</f>
        <v/>
      </c>
      <c r="N88" s="6"/>
      <c r="O88" s="6"/>
      <c r="P88" s="6" t="str">
        <f>IF(OR(Table113[[#This Row],[Type]]="Main Product", Table113[[#This Row],[Type]]="Co-Product"), Table113[[#This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IF(Table113[[#This Row],[Type]]="Co-product", "No", "")</f>
        <v/>
      </c>
      <c r="J89" s="25"/>
      <c r="K89" s="6"/>
      <c r="L89" s="6" t="str">
        <f>IF(Table113[[#This Row],[Category]]="Transportation", _xlfn.XLOOKUP(Table113[[#This Row],[Resource]], 'SI - Payload'!$A$10:$A$40,'SI - Payload'!$B$10:$B$40,"",0), "")</f>
        <v/>
      </c>
      <c r="M89" s="6" t="str">
        <f>IF(Table113[[#This Row],[Category]]="Transportation", "ton", "")</f>
        <v/>
      </c>
      <c r="N89" s="6"/>
      <c r="O89" s="6"/>
      <c r="P89" s="6" t="str">
        <f>IF(OR(Table113[[#This Row],[Type]]="Main Product", Table113[[#This Row],[Type]]="Co-Product"), Table113[[#This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IF(Table113[[#This Row],[Type]]="Co-product", "No", "")</f>
        <v/>
      </c>
      <c r="J90" s="25"/>
      <c r="K90" s="6"/>
      <c r="L90" s="6" t="str">
        <f>IF(Table113[[#This Row],[Category]]="Transportation", _xlfn.XLOOKUP(Table113[[#This Row],[Resource]], 'SI - Payload'!$A$10:$A$40,'SI - Payload'!$B$10:$B$40,"",0), "")</f>
        <v/>
      </c>
      <c r="M90" s="6" t="str">
        <f>IF(Table113[[#This Row],[Category]]="Transportation", "ton", "")</f>
        <v/>
      </c>
      <c r="N90" s="6"/>
      <c r="O90" s="6"/>
      <c r="P90" s="6" t="str">
        <f>IF(OR(Table113[[#This Row],[Type]]="Main Product", Table113[[#This Row],[Type]]="Co-Product"), Table113[[#This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IF(Table113[[#This Row],[Type]]="Co-product", "No", "")</f>
        <v/>
      </c>
      <c r="J91" s="25"/>
      <c r="K91" s="6"/>
      <c r="L91" s="6" t="str">
        <f>IF(Table113[[#This Row],[Category]]="Transportation", _xlfn.XLOOKUP(Table113[[#This Row],[Resource]], 'SI - Payload'!$A$10:$A$40,'SI - Payload'!$B$10:$B$40,"",0), "")</f>
        <v/>
      </c>
      <c r="M91" s="6" t="str">
        <f>IF(Table113[[#This Row],[Category]]="Transportation", "ton", "")</f>
        <v/>
      </c>
      <c r="N91" s="6"/>
      <c r="O91" s="6"/>
      <c r="P91" s="6" t="str">
        <f>IF(OR(Table113[[#This Row],[Type]]="Main Product", Table113[[#This Row],[Type]]="Co-Product"), Table113[[#This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IF(Table113[[#This Row],[Type]]="Co-product", "No", "")</f>
        <v/>
      </c>
      <c r="J92" s="25"/>
      <c r="K92" s="6"/>
      <c r="L92" s="6" t="str">
        <f>IF(Table113[[#This Row],[Category]]="Transportation", _xlfn.XLOOKUP(Table113[[#This Row],[Resource]], 'SI - Payload'!$A$10:$A$40,'SI - Payload'!$B$10:$B$40,"",0), "")</f>
        <v/>
      </c>
      <c r="M92" s="6" t="str">
        <f>IF(Table113[[#This Row],[Category]]="Transportation", "ton", "")</f>
        <v/>
      </c>
      <c r="N92" s="6"/>
      <c r="O92" s="6"/>
      <c r="P92" s="6" t="str">
        <f>IF(OR(Table113[[#This Row],[Type]]="Main Product", Table113[[#This Row],[Type]]="Co-Product"), Table113[[#This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IF(Table113[[#This Row],[Type]]="Co-product", "No", "")</f>
        <v/>
      </c>
      <c r="J93" s="25"/>
      <c r="K93" s="6"/>
      <c r="L93" s="6" t="str">
        <f>IF(Table113[[#This Row],[Category]]="Transportation", _xlfn.XLOOKUP(Table113[[#This Row],[Resource]], 'SI - Payload'!$A$10:$A$40,'SI - Payload'!$B$10:$B$40,"",0), "")</f>
        <v/>
      </c>
      <c r="M93" s="6" t="str">
        <f>IF(Table113[[#This Row],[Category]]="Transportation", "ton", "")</f>
        <v/>
      </c>
      <c r="N93" s="6"/>
      <c r="O93" s="6"/>
      <c r="P93" s="6" t="str">
        <f>IF(OR(Table113[[#This Row],[Type]]="Main Product", Table113[[#This Row],[Type]]="Co-Product"), Table113[[#This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IF(Table113[[#This Row],[Type]]="Co-product", "No", "")</f>
        <v/>
      </c>
      <c r="J94" s="25"/>
      <c r="K94" s="6"/>
      <c r="L94" s="6" t="str">
        <f>IF(Table113[[#This Row],[Category]]="Transportation", _xlfn.XLOOKUP(Table113[[#This Row],[Resource]], 'SI - Payload'!$A$10:$A$40,'SI - Payload'!$B$10:$B$40,"",0), "")</f>
        <v/>
      </c>
      <c r="M94" s="6" t="str">
        <f>IF(Table113[[#This Row],[Category]]="Transportation", "ton", "")</f>
        <v/>
      </c>
      <c r="N94" s="6"/>
      <c r="O94" s="6"/>
      <c r="P94" s="6" t="str">
        <f>IF(OR(Table113[[#This Row],[Type]]="Main Product", Table113[[#This Row],[Type]]="Co-Product"), Table113[[#This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IF(Table113[[#This Row],[Type]]="Co-product", "No", "")</f>
        <v/>
      </c>
      <c r="J95" s="25"/>
      <c r="K95" s="6"/>
      <c r="L95" s="6" t="str">
        <f>IF(Table113[[#This Row],[Category]]="Transportation", _xlfn.XLOOKUP(Table113[[#This Row],[Resource]], 'SI - Payload'!$A$10:$A$40,'SI - Payload'!$B$10:$B$40,"",0), "")</f>
        <v/>
      </c>
      <c r="M95" s="6" t="str">
        <f>IF(Table113[[#This Row],[Category]]="Transportation", "ton", "")</f>
        <v/>
      </c>
      <c r="N95" s="6"/>
      <c r="O95" s="6"/>
      <c r="P95" s="6" t="str">
        <f>IF(OR(Table113[[#This Row],[Type]]="Main Product", Table113[[#This Row],[Type]]="Co-Product"), Table113[[#This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IF(Table113[[#This Row],[Type]]="Co-product", "No", "")</f>
        <v/>
      </c>
      <c r="J96" s="25"/>
      <c r="K96" s="6"/>
      <c r="L96" s="6" t="str">
        <f>IF(Table113[[#This Row],[Category]]="Transportation", _xlfn.XLOOKUP(Table113[[#This Row],[Resource]], 'SI - Payload'!$A$10:$A$40,'SI - Payload'!$B$10:$B$40,"",0), "")</f>
        <v/>
      </c>
      <c r="M96" s="6" t="str">
        <f>IF(Table113[[#This Row],[Category]]="Transportation", "ton", "")</f>
        <v/>
      </c>
      <c r="N96" s="6"/>
      <c r="O96" s="6"/>
      <c r="P96" s="6" t="str">
        <f>IF(OR(Table113[[#This Row],[Type]]="Main Product", Table113[[#This Row],[Type]]="Co-Product"), Table113[[#This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IF(Table113[[#This Row],[Type]]="Co-product", "No", "")</f>
        <v/>
      </c>
      <c r="J97" s="25"/>
      <c r="K97" s="6"/>
      <c r="L97" s="6" t="str">
        <f>IF(Table113[[#This Row],[Category]]="Transportation", _xlfn.XLOOKUP(Table113[[#This Row],[Resource]], 'SI - Payload'!$A$10:$A$40,'SI - Payload'!$B$10:$B$40,"",0), "")</f>
        <v/>
      </c>
      <c r="M97" s="6" t="str">
        <f>IF(Table113[[#This Row],[Category]]="Transportation", "ton", "")</f>
        <v/>
      </c>
      <c r="N97" s="6"/>
      <c r="O97" s="6"/>
      <c r="P97" s="6" t="str">
        <f>IF(OR(Table113[[#This Row],[Type]]="Main Product", Table113[[#This Row],[Type]]="Co-Product"), Table113[[#This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IF(Table113[[#This Row],[Type]]="Co-product", "No", "")</f>
        <v/>
      </c>
      <c r="J98" s="25"/>
      <c r="K98" s="6"/>
      <c r="L98" s="6" t="str">
        <f>IF(Table113[[#This Row],[Category]]="Transportation", _xlfn.XLOOKUP(Table113[[#This Row],[Resource]], 'SI - Payload'!$A$10:$A$40,'SI - Payload'!$B$10:$B$40,"",0), "")</f>
        <v/>
      </c>
      <c r="M98" s="6" t="str">
        <f>IF(Table113[[#This Row],[Category]]="Transportation", "ton", "")</f>
        <v/>
      </c>
      <c r="N98" s="6"/>
      <c r="O98" s="6"/>
      <c r="P98" s="6" t="str">
        <f>IF(OR(Table113[[#This Row],[Type]]="Main Product", Table113[[#This Row],[Type]]="Co-Product"), Table113[[#This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IF(Table113[[#This Row],[Type]]="Co-product", "No", "")</f>
        <v/>
      </c>
      <c r="J99" s="25"/>
      <c r="K99" s="6"/>
      <c r="L99" s="6" t="str">
        <f>IF(Table113[[#This Row],[Category]]="Transportation", _xlfn.XLOOKUP(Table113[[#This Row],[Resource]], 'SI - Payload'!$A$10:$A$40,'SI - Payload'!$B$10:$B$40,"",0), "")</f>
        <v/>
      </c>
      <c r="M99" s="6" t="str">
        <f>IF(Table113[[#This Row],[Category]]="Transportation", "ton", "")</f>
        <v/>
      </c>
      <c r="N99" s="6"/>
      <c r="O99" s="6"/>
      <c r="P99" s="6" t="str">
        <f>IF(OR(Table113[[#This Row],[Type]]="Main Product", Table113[[#This Row],[Type]]="Co-Product"), Table113[[#This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IF(Table113[[#This Row],[Type]]="Co-product", "No", "")</f>
        <v/>
      </c>
      <c r="J100" s="25"/>
      <c r="K100" s="6"/>
      <c r="L100" s="6" t="str">
        <f>IF(Table113[[#This Row],[Category]]="Transportation", _xlfn.XLOOKUP(Table113[[#This Row],[Resource]], 'SI - Payload'!$A$10:$A$40,'SI - Payload'!$B$10:$B$40,"",0), "")</f>
        <v/>
      </c>
      <c r="M100" s="6" t="str">
        <f>IF(Table113[[#This Row],[Category]]="Transportation", "ton", "")</f>
        <v/>
      </c>
      <c r="N100" s="6"/>
      <c r="O100" s="6"/>
      <c r="P100" s="6" t="str">
        <f>IF(OR(Table113[[#This Row],[Type]]="Main Product", Table113[[#This Row],[Type]]="Co-Product"), Table113[[#This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3A8441AF-17D6-49AA-A491-25CEE68936BC}">
      <formula1>0</formula1>
      <formula2>1</formula2>
    </dataValidation>
    <dataValidation type="list" allowBlank="1" showInputMessage="1" showErrorMessage="1" sqref="M6:M100" xr:uid="{33BE9D0A-C97C-48CE-99EA-3E8ECE9B3BD2}">
      <formula1>payload_units</formula1>
    </dataValidation>
    <dataValidation type="decimal" operator="greaterThan" allowBlank="1" showInputMessage="1" showErrorMessage="1" error="Please type a positive number." sqref="L6:L100" xr:uid="{FC8062F7-54F1-4E5D-8509-AC3F410909D1}">
      <formula1>0</formula1>
    </dataValidation>
    <dataValidation type="decimal" operator="greaterThan" allowBlank="1" showInputMessage="1" showErrorMessage="1" error="Please type a positive price." sqref="N6:N100" xr:uid="{0573551C-117D-4134-A5DC-DD95512F9CE6}">
      <formula1>0</formula1>
    </dataValidation>
    <dataValidation type="decimal" allowBlank="1" showInputMessage="1" showErrorMessage="1" error="Please type a number between 0 and 1." sqref="G6:G100" xr:uid="{20535C24-021C-4041-B959-1A13991E33DC}">
      <formula1>0</formula1>
      <formula2>1</formula2>
    </dataValidation>
    <dataValidation type="custom" allowBlank="1" showInputMessage="1" showErrorMessage="1" sqref="E6:E100" xr:uid="{C8CF92E6-F25B-4347-ACA1-0B0007A0C120}">
      <formula1>ISNUMBER(E6)</formula1>
    </dataValidation>
    <dataValidation type="list" allowBlank="1" showInputMessage="1" showErrorMessage="1" sqref="C2" xr:uid="{E03C5DBB-A120-4396-9FCD-9A9E6DDBBBF2}">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993A71AB-28FB-42BC-AD81-3B45FCE49DE3}">
          <x14:formula1>
            <xm:f>IF($B6="Transportation",  transport_units, INDIRECT(_xlfn.XLOOKUP($C6, 'SI - Units'!$F$26:$F$36,'SI - Units'!$G$26:$G$36,"mass",0)))</xm:f>
          </x14:formula1>
          <xm:sqref>F6:F100</xm:sqref>
        </x14:dataValidation>
        <x14:dataValidation type="list" allowBlank="1" showInputMessage="1" showErrorMessage="1" xr:uid="{F3F03F28-679F-4E3E-95B0-E53C4FE29986}">
          <x14:formula1>
            <xm:f>INDIRECT("p_"&amp;_xlfn.XLOOKUP($C6,'SI - Units'!$F$26:$F$36,'SI - Units'!$G$26:$G$36,"mass",0))</xm:f>
          </x14:formula1>
          <xm:sqref>O6:O100</xm:sqref>
        </x14:dataValidation>
        <x14:dataValidation type="list" allowBlank="1" showInputMessage="1" showErrorMessage="1" xr:uid="{21174B40-544E-4CF6-8DBA-A66906FD9DB5}">
          <x14:formula1>
            <xm:f>INDIRECT(_xlfn.XLOOKUP($P6,'SI - End Use'!$A$11:$A$18,'SI - End Use'!$B$11:$B$18,"other_end_use",0))</xm:f>
          </x14:formula1>
          <xm:sqref>Q6:R100</xm:sqref>
        </x14:dataValidation>
        <x14:dataValidation type="list" allowBlank="1" showInputMessage="1" xr:uid="{FB8CB106-AB75-46FD-AB37-AA3542238F7D}">
          <x14:formula1>
            <xm:f>INDIRECT(_xlfn.XLOOKUP($C6,'SI - End Use'!$A$11:$A$18,'SI - End Use'!$B$11:$B$18,"other_end_use",0))</xm:f>
          </x14:formula1>
          <xm:sqref>D6:D100</xm:sqref>
        </x14:dataValidation>
        <x14:dataValidation type="list" allowBlank="1" showInputMessage="1" showErrorMessage="1" xr:uid="{892E3644-511B-4338-B8B5-B9AF419FE887}">
          <x14:formula1>
            <xm:f>INDIRECT(_xlfn.XLOOKUP($B6, 'SI - Resources'!$R$1:$R$10,'SI - Resources'!$S$1:$S$10, "placeholder_resource", 0))</xm:f>
          </x14:formula1>
          <xm:sqref>P6:P100 C6:C100</xm:sqref>
        </x14:dataValidation>
        <x14:dataValidation type="list" allowBlank="1" showInputMessage="1" showErrorMessage="1" xr:uid="{8E305ADD-0607-42B5-A2DE-22E687F942E0}">
          <x14:formula1>
            <xm:f>'SI - Co-products'!$B$2:$B$6</xm:f>
          </x14:formula1>
          <xm:sqref>A6:A100</xm:sqref>
        </x14:dataValidation>
        <x14:dataValidation type="list" allowBlank="1" showInputMessage="1" showErrorMessage="1" xr:uid="{5F17D679-D6AE-4475-849C-6004F8F9EE46}">
          <x14:formula1>
            <xm:f>'SI - Resources'!$A$1:$J$1</xm:f>
          </x14:formula1>
          <xm:sqref>B6:B100</xm:sqref>
        </x14:dataValidation>
        <x14:dataValidation type="list" allowBlank="1" showInputMessage="1" showErrorMessage="1" xr:uid="{966E50C8-FA46-4E41-96A4-A72E221C40F8}">
          <x14:formula1>
            <xm:f>'SI - Co-products'!$C$2:$C$4</xm:f>
          </x14:formula1>
          <xm:sqref>I6:I100</xm:sqref>
        </x14:dataValidation>
        <x14:dataValidation type="list" allowBlank="1" showInputMessage="1" showErrorMessage="1" xr:uid="{D135BFB6-1350-4DA1-AC46-7453EA8CD89E}">
          <x14:formula1>
            <xm:f>'SI - Co-products'!$A$2:$A$5</xm:f>
          </x14:formula1>
          <xm:sqref>K6:K100</xm:sqref>
        </x14:dataValidation>
        <x14:dataValidation type="list" allowBlank="1" showInputMessage="1" showErrorMessage="1" xr:uid="{5688066C-8D7E-43DE-8710-0E3BCFEC8130}">
          <x14:formula1>
            <xm:f>_xlfn.XLOOKUP(_xlfn.XLOOKUP(#REF!,'SI - Units'!$B$24:$B$109,'SI - Units'!$C$24:$C$109),'SI - Units'!$A$2:$A$8,'SI - Units'!$B$2:$R$8)</xm:f>
          </x14:formula1>
          <xm:sqref>F5</xm:sqref>
        </x14:dataValidation>
        <x14:dataValidation type="list" allowBlank="1" showInputMessage="1" showErrorMessage="1" xr:uid="{5ED67796-07B4-45D6-9187-1E8ABAF964EE}">
          <x14:formula1>
            <xm:f>'SI - Co-products'!$D$2:$D$8</xm:f>
          </x14:formula1>
          <xm:sqref>C1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F5C81-6936-440B-924F-5E2DF0B2638D}">
  <sheetPr codeName="Sheet14"/>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38</v>
      </c>
      <c r="C6" s="6" t="s">
        <v>32</v>
      </c>
      <c r="D6" s="6" t="s">
        <v>336</v>
      </c>
      <c r="E6" s="60">
        <v>1</v>
      </c>
      <c r="F6" s="6" t="s">
        <v>11</v>
      </c>
      <c r="G6" s="25"/>
      <c r="H6" s="25" t="s">
        <v>357</v>
      </c>
      <c r="I6" s="26" t="str">
        <f>IF(Table114[[#This Row],[Type]]="Co-product", "No", "")</f>
        <v/>
      </c>
      <c r="J6" s="25"/>
      <c r="K6" s="6"/>
      <c r="L6" s="6" t="str">
        <f>IF(Table114[[#This Row],[Category]]="Transportation", _xlfn.XLOOKUP(Table114[[#This Row],[Resource]], 'SI - Payload'!$A$10:$A$40,'SI - Payload'!$B$10:$B$40,"",0), "")</f>
        <v/>
      </c>
      <c r="M6" s="6" t="str">
        <f>IF(Table114[[#This Row],[Category]]="Transportation", "ton", "")</f>
        <v/>
      </c>
      <c r="N6" s="6"/>
      <c r="O6" s="6"/>
      <c r="P6" s="6" t="str">
        <f>IF(OR(Table114[[#This Row],[Type]]="Main Product", Table114[[#This Row],[Type]]="Co-Product"), Table114[[#This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Data'!B10*1000*'INL Data'!E10</f>
        <v>417732</v>
      </c>
      <c r="F7" s="6" t="s">
        <v>69</v>
      </c>
      <c r="G7" s="25"/>
      <c r="H7" s="25"/>
      <c r="I7" s="26" t="str">
        <f>IF(Table114[[#This Row],[Type]]="Co-product", "No", "")</f>
        <v/>
      </c>
      <c r="J7" s="25"/>
      <c r="K7" s="6"/>
      <c r="L7" s="6" t="str">
        <f>IF(Table114[[#This Row],[Category]]="Transportation", _xlfn.XLOOKUP(Table114[[#This Row],[Resource]], 'SI - Payload'!$A$10:$A$40,'SI - Payload'!$B$10:$B$40,"",0), "")</f>
        <v/>
      </c>
      <c r="M7" s="6" t="str">
        <f>IF(Table114[[#This Row],[Category]]="Transportation", "ton", "")</f>
        <v/>
      </c>
      <c r="N7" s="6"/>
      <c r="O7" s="6"/>
      <c r="P7" s="6" t="str">
        <f>IF(OR(Table114[[#This Row],[Type]]="Main Product", Table114[[#This Row],[Type]]="Co-Product"), Table114[[#This Row],[Resource]], "")</f>
        <v/>
      </c>
      <c r="Q7" s="6" t="str">
        <f>IF(_xlfn.XLOOKUP($P7,'SI - End Use'!$B$2:$B$6,'SI - End Use'!$C$2:$C$6, "")="", "", _xlfn.XLOOKUP($C7,'SI - End Use'!$B$2:$B$6,'SI - End Use'!$C$2:$C$6, ""))</f>
        <v/>
      </c>
      <c r="R7" s="6"/>
      <c r="S7" s="6"/>
      <c r="T7" s="6"/>
    </row>
    <row r="8" spans="1:20" x14ac:dyDescent="0.35">
      <c r="A8" s="6" t="s">
        <v>0</v>
      </c>
      <c r="B8" s="6" t="s">
        <v>244</v>
      </c>
      <c r="C8" s="6" t="s">
        <v>2</v>
      </c>
      <c r="D8" s="6" t="s">
        <v>39</v>
      </c>
      <c r="E8" s="60">
        <f>'INL Data'!B10*1000*'INL Data'!D10</f>
        <v>0</v>
      </c>
      <c r="F8" s="6" t="s">
        <v>69</v>
      </c>
      <c r="G8" s="25"/>
      <c r="H8" s="25"/>
      <c r="I8" s="26" t="str">
        <f>IF(Table114[[#This Row],[Type]]="Co-product", "No", "")</f>
        <v/>
      </c>
      <c r="J8" s="25"/>
      <c r="K8" s="6"/>
      <c r="L8" s="6" t="str">
        <f>IF(Table114[[#This Row],[Category]]="Transportation", _xlfn.XLOOKUP(Table114[[#This Row],[Resource]], 'SI - Payload'!$A$10:$A$40,'SI - Payload'!$B$10:$B$40,"",0), "")</f>
        <v/>
      </c>
      <c r="M8" s="6" t="str">
        <f>IF(Table114[[#This Row],[Category]]="Transportation", "ton", "")</f>
        <v/>
      </c>
      <c r="N8" s="6"/>
      <c r="O8" s="6"/>
      <c r="P8" s="6" t="str">
        <f>IF(OR(Table114[[#This Row],[Type]]="Main Product", Table114[[#This Row],[Type]]="Co-Product"), Table114[[#This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Data'!B10*1000*'INL Data'!F10</f>
        <v>0</v>
      </c>
      <c r="F9" s="6" t="s">
        <v>69</v>
      </c>
      <c r="G9" s="25"/>
      <c r="H9" s="25"/>
      <c r="I9" s="26" t="str">
        <f>IF(Table114[[#This Row],[Type]]="Co-product", "No", "")</f>
        <v/>
      </c>
      <c r="J9" s="25"/>
      <c r="K9" s="6"/>
      <c r="L9" s="6" t="str">
        <f>IF(Table114[[#This Row],[Category]]="Transportation", _xlfn.XLOOKUP(Table114[[#This Row],[Resource]], 'SI - Payload'!$A$10:$A$40,'SI - Payload'!$B$10:$B$40,"",0), "")</f>
        <v/>
      </c>
      <c r="M9" s="6" t="str">
        <f>IF(Table114[[#This Row],[Category]]="Transportation", "ton", "")</f>
        <v/>
      </c>
      <c r="N9" s="6"/>
      <c r="O9" s="6"/>
      <c r="P9" s="6" t="str">
        <f>IF(OR(Table114[[#This Row],[Type]]="Main Product", Table114[[#This Row],[Type]]="Co-Product"), Table114[[#This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336</v>
      </c>
      <c r="E10" s="60">
        <f>1-'INL Data'!H10</f>
        <v>0.98</v>
      </c>
      <c r="F10" s="6" t="s">
        <v>11</v>
      </c>
      <c r="G10" s="25"/>
      <c r="H10" s="25"/>
      <c r="I10" s="26" t="str">
        <f>IF(Table114[[#This Row],[Type]]="Co-product", "No", "")</f>
        <v/>
      </c>
      <c r="J10" s="25"/>
      <c r="K10" s="6"/>
      <c r="L10" s="6" t="str">
        <f>IF(Table114[[#This Row],[Category]]="Transportation", _xlfn.XLOOKUP(Table114[[#This Row],[Resource]], 'SI - Payload'!$A$10:$A$40,'SI - Payload'!$B$10:$B$40,"",0), "")</f>
        <v/>
      </c>
      <c r="M10" s="6" t="str">
        <f>IF(Table114[[#This Row],[Category]]="Transportation", "ton", "")</f>
        <v/>
      </c>
      <c r="N10" s="6"/>
      <c r="O10" s="6"/>
      <c r="P10" s="6" t="str">
        <f>IF(OR(Table114[[#This Row],[Type]]="Main Product", Table114[[#This Row],[Type]]="Co-Product"), Table114[[#This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IF(Table114[[#This Row],[Type]]="Co-product", "No", "")</f>
        <v/>
      </c>
      <c r="J11" s="25"/>
      <c r="K11" s="6"/>
      <c r="L11" s="6" t="str">
        <f>IF(Table114[[#This Row],[Category]]="Transportation", _xlfn.XLOOKUP(Table114[[#This Row],[Resource]], 'SI - Payload'!$A$10:$A$40,'SI - Payload'!$B$10:$B$40,"",0), "")</f>
        <v/>
      </c>
      <c r="M11" s="6" t="str">
        <f>IF(Table114[[#This Row],[Category]]="Transportation", "ton", "")</f>
        <v/>
      </c>
      <c r="N11" s="6"/>
      <c r="O11" s="6"/>
      <c r="P11" s="6" t="str">
        <f>IF(OR(Table114[[#This Row],[Type]]="Main Product", Table114[[#This Row],[Type]]="Co-Product"), Table114[[#This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IF(Table114[[#This Row],[Type]]="Co-product", "No", "")</f>
        <v/>
      </c>
      <c r="J12" s="25"/>
      <c r="K12" s="6"/>
      <c r="L12" s="6" t="str">
        <f>IF(Table114[[#This Row],[Category]]="Transportation", _xlfn.XLOOKUP(Table114[[#This Row],[Resource]], 'SI - Payload'!$A$10:$A$40,'SI - Payload'!$B$10:$B$40,"",0), "")</f>
        <v/>
      </c>
      <c r="M12" s="6" t="str">
        <f>IF(Table114[[#This Row],[Category]]="Transportation", "ton", "")</f>
        <v/>
      </c>
      <c r="N12" s="6"/>
      <c r="O12" s="6"/>
      <c r="P12" s="6" t="str">
        <f>IF(OR(Table114[[#This Row],[Type]]="Main Product", Table114[[#This Row],[Type]]="Co-Product"), Table114[[#This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IF(Table114[[#This Row],[Type]]="Co-product", "No", "")</f>
        <v/>
      </c>
      <c r="J13" s="25"/>
      <c r="K13" s="6"/>
      <c r="L13" s="6" t="str">
        <f>IF(Table114[[#This Row],[Category]]="Transportation", _xlfn.XLOOKUP(Table114[[#This Row],[Resource]], 'SI - Payload'!$A$10:$A$40,'SI - Payload'!$B$10:$B$40,"",0), "")</f>
        <v/>
      </c>
      <c r="M13" s="6" t="str">
        <f>IF(Table114[[#This Row],[Category]]="Transportation", "ton", "")</f>
        <v/>
      </c>
      <c r="N13" s="6"/>
      <c r="O13" s="6"/>
      <c r="P13" s="6" t="str">
        <f>IF(OR(Table114[[#This Row],[Type]]="Main Product", Table114[[#This Row],[Type]]="Co-Product"), Table114[[#This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IF(Table114[[#This Row],[Type]]="Co-product", "No", "")</f>
        <v/>
      </c>
      <c r="J14" s="25"/>
      <c r="K14" s="6"/>
      <c r="L14" s="6" t="str">
        <f>IF(Table114[[#This Row],[Category]]="Transportation", _xlfn.XLOOKUP(Table114[[#This Row],[Resource]], 'SI - Payload'!$A$10:$A$40,'SI - Payload'!$B$10:$B$40,"",0), "")</f>
        <v/>
      </c>
      <c r="M14" s="6" t="str">
        <f>IF(Table114[[#This Row],[Category]]="Transportation", "ton", "")</f>
        <v/>
      </c>
      <c r="N14" s="6"/>
      <c r="O14" s="6"/>
      <c r="P14" s="6" t="str">
        <f>IF(OR(Table114[[#This Row],[Type]]="Main Product", Table114[[#This Row],[Type]]="Co-Product"), Table114[[#This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IF(Table114[[#This Row],[Type]]="Co-product", "No", "")</f>
        <v/>
      </c>
      <c r="J15" s="25"/>
      <c r="K15" s="6"/>
      <c r="L15" s="6" t="str">
        <f>IF(Table114[[#This Row],[Category]]="Transportation", _xlfn.XLOOKUP(Table114[[#This Row],[Resource]], 'SI - Payload'!$A$10:$A$40,'SI - Payload'!$B$10:$B$40,"",0), "")</f>
        <v/>
      </c>
      <c r="M15" s="6" t="str">
        <f>IF(Table114[[#This Row],[Category]]="Transportation", "ton", "")</f>
        <v/>
      </c>
      <c r="N15" s="6"/>
      <c r="O15" s="6"/>
      <c r="P15" s="6" t="str">
        <f>IF(OR(Table114[[#This Row],[Type]]="Main Product", Table114[[#This Row],[Type]]="Co-Product"), Table114[[#This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IF(Table114[[#This Row],[Type]]="Co-product", "No", "")</f>
        <v/>
      </c>
      <c r="J16" s="25"/>
      <c r="K16" s="6"/>
      <c r="L16" s="6" t="str">
        <f>IF(Table114[[#This Row],[Category]]="Transportation", _xlfn.XLOOKUP(Table114[[#This Row],[Resource]], 'SI - Payload'!$A$10:$A$40,'SI - Payload'!$B$10:$B$40,"",0), "")</f>
        <v/>
      </c>
      <c r="M16" s="6" t="str">
        <f>IF(Table114[[#This Row],[Category]]="Transportation", "ton", "")</f>
        <v/>
      </c>
      <c r="N16" s="6"/>
      <c r="O16" s="6"/>
      <c r="P16" s="6" t="str">
        <f>IF(OR(Table114[[#This Row],[Type]]="Main Product", Table114[[#This Row],[Type]]="Co-Product"), Table114[[#This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IF(Table114[[#This Row],[Type]]="Co-product", "No", "")</f>
        <v/>
      </c>
      <c r="J17" s="25"/>
      <c r="K17" s="6"/>
      <c r="L17" s="6" t="str">
        <f>IF(Table114[[#This Row],[Category]]="Transportation", _xlfn.XLOOKUP(Table114[[#This Row],[Resource]], 'SI - Payload'!$A$10:$A$40,'SI - Payload'!$B$10:$B$40,"",0), "")</f>
        <v/>
      </c>
      <c r="M17" s="6" t="str">
        <f>IF(Table114[[#This Row],[Category]]="Transportation", "ton", "")</f>
        <v/>
      </c>
      <c r="N17" s="6"/>
      <c r="O17" s="6"/>
      <c r="P17" s="6" t="str">
        <f>IF(OR(Table114[[#This Row],[Type]]="Main Product", Table114[[#This Row],[Type]]="Co-Product"), Table114[[#This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IF(Table114[[#This Row],[Type]]="Co-product", "No", "")</f>
        <v/>
      </c>
      <c r="J18" s="25"/>
      <c r="K18" s="6"/>
      <c r="L18" s="6" t="str">
        <f>IF(Table114[[#This Row],[Category]]="Transportation", _xlfn.XLOOKUP(Table114[[#This Row],[Resource]], 'SI - Payload'!$A$10:$A$40,'SI - Payload'!$B$10:$B$40,"",0), "")</f>
        <v/>
      </c>
      <c r="M18" s="6" t="str">
        <f>IF(Table114[[#This Row],[Category]]="Transportation", "ton", "")</f>
        <v/>
      </c>
      <c r="N18" s="6"/>
      <c r="O18" s="6"/>
      <c r="P18" s="6" t="str">
        <f>IF(OR(Table114[[#This Row],[Type]]="Main Product", Table114[[#This Row],[Type]]="Co-Product"), Table114[[#This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IF(Table114[[#This Row],[Type]]="Co-product", "No", "")</f>
        <v/>
      </c>
      <c r="J19" s="25"/>
      <c r="K19" s="6"/>
      <c r="L19" s="6" t="str">
        <f>IF(Table114[[#This Row],[Category]]="Transportation", _xlfn.XLOOKUP(Table114[[#This Row],[Resource]], 'SI - Payload'!$A$10:$A$40,'SI - Payload'!$B$10:$B$40,"",0), "")</f>
        <v/>
      </c>
      <c r="M19" s="6" t="str">
        <f>IF(Table114[[#This Row],[Category]]="Transportation", "ton", "")</f>
        <v/>
      </c>
      <c r="N19" s="6"/>
      <c r="O19" s="6"/>
      <c r="P19" s="6" t="str">
        <f>IF(OR(Table114[[#This Row],[Type]]="Main Product", Table114[[#This Row],[Type]]="Co-Product"), Table114[[#This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IF(Table114[[#This Row],[Type]]="Co-product", "No", "")</f>
        <v/>
      </c>
      <c r="J20" s="25"/>
      <c r="K20" s="6"/>
      <c r="L20" s="6" t="str">
        <f>IF(Table114[[#This Row],[Category]]="Transportation", _xlfn.XLOOKUP(Table114[[#This Row],[Resource]], 'SI - Payload'!$A$10:$A$40,'SI - Payload'!$B$10:$B$40,"",0), "")</f>
        <v/>
      </c>
      <c r="M20" s="6" t="str">
        <f>IF(Table114[[#This Row],[Category]]="Transportation", "ton", "")</f>
        <v/>
      </c>
      <c r="N20" s="6"/>
      <c r="O20" s="6"/>
      <c r="P20" s="6" t="str">
        <f>IF(OR(Table114[[#This Row],[Type]]="Main Product", Table114[[#This Row],[Type]]="Co-Product"), Table114[[#This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IF(Table114[[#This Row],[Type]]="Co-product", "No", "")</f>
        <v/>
      </c>
      <c r="J21" s="25"/>
      <c r="K21" s="6"/>
      <c r="L21" s="6" t="str">
        <f>IF(Table114[[#This Row],[Category]]="Transportation", _xlfn.XLOOKUP(Table114[[#This Row],[Resource]], 'SI - Payload'!$A$10:$A$40,'SI - Payload'!$B$10:$B$40,"",0), "")</f>
        <v/>
      </c>
      <c r="M21" s="6" t="str">
        <f>IF(Table114[[#This Row],[Category]]="Transportation", "ton", "")</f>
        <v/>
      </c>
      <c r="N21" s="6"/>
      <c r="O21" s="6"/>
      <c r="P21" s="6" t="str">
        <f>IF(OR(Table114[[#This Row],[Type]]="Main Product", Table114[[#This Row],[Type]]="Co-Product"), Table114[[#This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IF(Table114[[#This Row],[Type]]="Co-product", "No", "")</f>
        <v/>
      </c>
      <c r="J22" s="25"/>
      <c r="K22" s="6"/>
      <c r="L22" s="6" t="str">
        <f>IF(Table114[[#This Row],[Category]]="Transportation", _xlfn.XLOOKUP(Table114[[#This Row],[Resource]], 'SI - Payload'!$A$10:$A$40,'SI - Payload'!$B$10:$B$40,"",0), "")</f>
        <v/>
      </c>
      <c r="M22" s="6" t="str">
        <f>IF(Table114[[#This Row],[Category]]="Transportation", "ton", "")</f>
        <v/>
      </c>
      <c r="N22" s="6"/>
      <c r="O22" s="6"/>
      <c r="P22" s="6" t="str">
        <f>IF(OR(Table114[[#This Row],[Type]]="Main Product", Table114[[#This Row],[Type]]="Co-Product"), Table114[[#This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IF(Table114[[#This Row],[Type]]="Co-product", "No", "")</f>
        <v/>
      </c>
      <c r="J23" s="25"/>
      <c r="K23" s="6"/>
      <c r="L23" s="6" t="str">
        <f>IF(Table114[[#This Row],[Category]]="Transportation", _xlfn.XLOOKUP(Table114[[#This Row],[Resource]], 'SI - Payload'!$A$10:$A$40,'SI - Payload'!$B$10:$B$40,"",0), "")</f>
        <v/>
      </c>
      <c r="M23" s="6" t="str">
        <f>IF(Table114[[#This Row],[Category]]="Transportation", "ton", "")</f>
        <v/>
      </c>
      <c r="N23" s="6"/>
      <c r="O23" s="6"/>
      <c r="P23" s="6" t="str">
        <f>IF(OR(Table114[[#This Row],[Type]]="Main Product", Table114[[#This Row],[Type]]="Co-Product"), Table114[[#This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IF(Table114[[#This Row],[Type]]="Co-product", "No", "")</f>
        <v/>
      </c>
      <c r="J24" s="25"/>
      <c r="K24" s="6"/>
      <c r="L24" s="6" t="str">
        <f>IF(Table114[[#This Row],[Category]]="Transportation", _xlfn.XLOOKUP(Table114[[#This Row],[Resource]], 'SI - Payload'!$A$10:$A$40,'SI - Payload'!$B$10:$B$40,"",0), "")</f>
        <v/>
      </c>
      <c r="M24" s="6" t="str">
        <f>IF(Table114[[#This Row],[Category]]="Transportation", "ton", "")</f>
        <v/>
      </c>
      <c r="N24" s="6"/>
      <c r="O24" s="6"/>
      <c r="P24" s="6" t="str">
        <f>IF(OR(Table114[[#This Row],[Type]]="Main Product", Table114[[#This Row],[Type]]="Co-Product"), Table114[[#This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IF(Table114[[#This Row],[Type]]="Co-product", "No", "")</f>
        <v/>
      </c>
      <c r="J25" s="25"/>
      <c r="K25" s="6"/>
      <c r="L25" s="6" t="str">
        <f>IF(Table114[[#This Row],[Category]]="Transportation", _xlfn.XLOOKUP(Table114[[#This Row],[Resource]], 'SI - Payload'!$A$10:$A$40,'SI - Payload'!$B$10:$B$40,"",0), "")</f>
        <v/>
      </c>
      <c r="M25" s="6" t="str">
        <f>IF(Table114[[#This Row],[Category]]="Transportation", "ton", "")</f>
        <v/>
      </c>
      <c r="N25" s="6"/>
      <c r="O25" s="6"/>
      <c r="P25" s="6" t="str">
        <f>IF(OR(Table114[[#This Row],[Type]]="Main Product", Table114[[#This Row],[Type]]="Co-Product"), Table114[[#This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IF(Table114[[#This Row],[Type]]="Co-product", "No", "")</f>
        <v/>
      </c>
      <c r="J26" s="25"/>
      <c r="K26" s="6"/>
      <c r="L26" s="6" t="str">
        <f>IF(Table114[[#This Row],[Category]]="Transportation", _xlfn.XLOOKUP(Table114[[#This Row],[Resource]], 'SI - Payload'!$A$10:$A$40,'SI - Payload'!$B$10:$B$40,"",0), "")</f>
        <v/>
      </c>
      <c r="M26" s="6" t="str">
        <f>IF(Table114[[#This Row],[Category]]="Transportation", "ton", "")</f>
        <v/>
      </c>
      <c r="N26" s="6"/>
      <c r="O26" s="6"/>
      <c r="P26" s="6" t="str">
        <f>IF(OR(Table114[[#This Row],[Type]]="Main Product", Table114[[#This Row],[Type]]="Co-Product"), Table114[[#This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IF(Table114[[#This Row],[Type]]="Co-product", "No", "")</f>
        <v/>
      </c>
      <c r="J27" s="25"/>
      <c r="K27" s="6"/>
      <c r="L27" s="6" t="str">
        <f>IF(Table114[[#This Row],[Category]]="Transportation", _xlfn.XLOOKUP(Table114[[#This Row],[Resource]], 'SI - Payload'!$A$10:$A$40,'SI - Payload'!$B$10:$B$40,"",0), "")</f>
        <v/>
      </c>
      <c r="M27" s="6" t="str">
        <f>IF(Table114[[#This Row],[Category]]="Transportation", "ton", "")</f>
        <v/>
      </c>
      <c r="N27" s="6"/>
      <c r="O27" s="6"/>
      <c r="P27" s="6" t="str">
        <f>IF(OR(Table114[[#This Row],[Type]]="Main Product", Table114[[#This Row],[Type]]="Co-Product"), Table114[[#This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IF(Table114[[#This Row],[Type]]="Co-product", "No", "")</f>
        <v/>
      </c>
      <c r="J28" s="25"/>
      <c r="K28" s="6"/>
      <c r="L28" s="6" t="str">
        <f>IF(Table114[[#This Row],[Category]]="Transportation", _xlfn.XLOOKUP(Table114[[#This Row],[Resource]], 'SI - Payload'!$A$10:$A$40,'SI - Payload'!$B$10:$B$40,"",0), "")</f>
        <v/>
      </c>
      <c r="M28" s="6" t="str">
        <f>IF(Table114[[#This Row],[Category]]="Transportation", "ton", "")</f>
        <v/>
      </c>
      <c r="N28" s="6"/>
      <c r="O28" s="6"/>
      <c r="P28" s="6" t="str">
        <f>IF(OR(Table114[[#This Row],[Type]]="Main Product", Table114[[#This Row],[Type]]="Co-Product"), Table114[[#This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IF(Table114[[#This Row],[Type]]="Co-product", "No", "")</f>
        <v/>
      </c>
      <c r="J29" s="25"/>
      <c r="K29" s="6"/>
      <c r="L29" s="6" t="str">
        <f>IF(Table114[[#This Row],[Category]]="Transportation", _xlfn.XLOOKUP(Table114[[#This Row],[Resource]], 'SI - Payload'!$A$10:$A$40,'SI - Payload'!$B$10:$B$40,"",0), "")</f>
        <v/>
      </c>
      <c r="M29" s="6" t="str">
        <f>IF(Table114[[#This Row],[Category]]="Transportation", "ton", "")</f>
        <v/>
      </c>
      <c r="N29" s="6"/>
      <c r="O29" s="6"/>
      <c r="P29" s="6" t="str">
        <f>IF(OR(Table114[[#This Row],[Type]]="Main Product", Table114[[#This Row],[Type]]="Co-Product"), Table114[[#This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IF(Table114[[#This Row],[Type]]="Co-product", "No", "")</f>
        <v/>
      </c>
      <c r="J30" s="25"/>
      <c r="K30" s="6"/>
      <c r="L30" s="6" t="str">
        <f>IF(Table114[[#This Row],[Category]]="Transportation", _xlfn.XLOOKUP(Table114[[#This Row],[Resource]], 'SI - Payload'!$A$10:$A$40,'SI - Payload'!$B$10:$B$40,"",0), "")</f>
        <v/>
      </c>
      <c r="M30" s="6" t="str">
        <f>IF(Table114[[#This Row],[Category]]="Transportation", "ton", "")</f>
        <v/>
      </c>
      <c r="N30" s="6"/>
      <c r="O30" s="6"/>
      <c r="P30" s="6" t="str">
        <f>IF(OR(Table114[[#This Row],[Type]]="Main Product", Table114[[#This Row],[Type]]="Co-Product"), Table114[[#This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IF(Table114[[#This Row],[Type]]="Co-product", "No", "")</f>
        <v/>
      </c>
      <c r="J31" s="25"/>
      <c r="K31" s="6"/>
      <c r="L31" s="6" t="str">
        <f>IF(Table114[[#This Row],[Category]]="Transportation", _xlfn.XLOOKUP(Table114[[#This Row],[Resource]], 'SI - Payload'!$A$10:$A$40,'SI - Payload'!$B$10:$B$40,"",0), "")</f>
        <v/>
      </c>
      <c r="M31" s="6" t="str">
        <f>IF(Table114[[#This Row],[Category]]="Transportation", "ton", "")</f>
        <v/>
      </c>
      <c r="N31" s="6"/>
      <c r="O31" s="6"/>
      <c r="P31" s="6" t="str">
        <f>IF(OR(Table114[[#This Row],[Type]]="Main Product", Table114[[#This Row],[Type]]="Co-Product"), Table114[[#This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IF(Table114[[#This Row],[Type]]="Co-product", "No", "")</f>
        <v/>
      </c>
      <c r="J32" s="25"/>
      <c r="K32" s="6"/>
      <c r="L32" s="6" t="str">
        <f>IF(Table114[[#This Row],[Category]]="Transportation", _xlfn.XLOOKUP(Table114[[#This Row],[Resource]], 'SI - Payload'!$A$10:$A$40,'SI - Payload'!$B$10:$B$40,"",0), "")</f>
        <v/>
      </c>
      <c r="M32" s="6" t="str">
        <f>IF(Table114[[#This Row],[Category]]="Transportation", "ton", "")</f>
        <v/>
      </c>
      <c r="N32" s="6"/>
      <c r="O32" s="6"/>
      <c r="P32" s="6" t="str">
        <f>IF(OR(Table114[[#This Row],[Type]]="Main Product", Table114[[#This Row],[Type]]="Co-Product"), Table114[[#This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IF(Table114[[#This Row],[Type]]="Co-product", "No", "")</f>
        <v/>
      </c>
      <c r="J33" s="25"/>
      <c r="K33" s="6"/>
      <c r="L33" s="6" t="str">
        <f>IF(Table114[[#This Row],[Category]]="Transportation", _xlfn.XLOOKUP(Table114[[#This Row],[Resource]], 'SI - Payload'!$A$10:$A$40,'SI - Payload'!$B$10:$B$40,"",0), "")</f>
        <v/>
      </c>
      <c r="M33" s="6" t="str">
        <f>IF(Table114[[#This Row],[Category]]="Transportation", "ton", "")</f>
        <v/>
      </c>
      <c r="N33" s="6"/>
      <c r="O33" s="6"/>
      <c r="P33" s="6" t="str">
        <f>IF(OR(Table114[[#This Row],[Type]]="Main Product", Table114[[#This Row],[Type]]="Co-Product"), Table114[[#This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IF(Table114[[#This Row],[Type]]="Co-product", "No", "")</f>
        <v/>
      </c>
      <c r="J34" s="25"/>
      <c r="K34" s="6"/>
      <c r="L34" s="6" t="str">
        <f>IF(Table114[[#This Row],[Category]]="Transportation", _xlfn.XLOOKUP(Table114[[#This Row],[Resource]], 'SI - Payload'!$A$10:$A$40,'SI - Payload'!$B$10:$B$40,"",0), "")</f>
        <v/>
      </c>
      <c r="M34" s="6" t="str">
        <f>IF(Table114[[#This Row],[Category]]="Transportation", "ton", "")</f>
        <v/>
      </c>
      <c r="N34" s="6"/>
      <c r="O34" s="6"/>
      <c r="P34" s="6" t="str">
        <f>IF(OR(Table114[[#This Row],[Type]]="Main Product", Table114[[#This Row],[Type]]="Co-Product"), Table114[[#This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IF(Table114[[#This Row],[Type]]="Co-product", "No", "")</f>
        <v/>
      </c>
      <c r="J35" s="25"/>
      <c r="K35" s="6"/>
      <c r="L35" s="6" t="str">
        <f>IF(Table114[[#This Row],[Category]]="Transportation", _xlfn.XLOOKUP(Table114[[#This Row],[Resource]], 'SI - Payload'!$A$10:$A$40,'SI - Payload'!$B$10:$B$40,"",0), "")</f>
        <v/>
      </c>
      <c r="M35" s="6" t="str">
        <f>IF(Table114[[#This Row],[Category]]="Transportation", "ton", "")</f>
        <v/>
      </c>
      <c r="N35" s="6"/>
      <c r="O35" s="6"/>
      <c r="P35" s="6" t="str">
        <f>IF(OR(Table114[[#This Row],[Type]]="Main Product", Table114[[#This Row],[Type]]="Co-Product"), Table114[[#This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IF(Table114[[#This Row],[Type]]="Co-product", "No", "")</f>
        <v/>
      </c>
      <c r="J36" s="25"/>
      <c r="K36" s="6"/>
      <c r="L36" s="6" t="str">
        <f>IF(Table114[[#This Row],[Category]]="Transportation", _xlfn.XLOOKUP(Table114[[#This Row],[Resource]], 'SI - Payload'!$A$10:$A$40,'SI - Payload'!$B$10:$B$40,"",0), "")</f>
        <v/>
      </c>
      <c r="M36" s="6" t="str">
        <f>IF(Table114[[#This Row],[Category]]="Transportation", "ton", "")</f>
        <v/>
      </c>
      <c r="N36" s="6"/>
      <c r="O36" s="6"/>
      <c r="P36" s="6" t="str">
        <f>IF(OR(Table114[[#This Row],[Type]]="Main Product", Table114[[#This Row],[Type]]="Co-Product"), Table114[[#This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IF(Table114[[#This Row],[Type]]="Co-product", "No", "")</f>
        <v/>
      </c>
      <c r="J37" s="25"/>
      <c r="K37" s="6"/>
      <c r="L37" s="6" t="str">
        <f>IF(Table114[[#This Row],[Category]]="Transportation", _xlfn.XLOOKUP(Table114[[#This Row],[Resource]], 'SI - Payload'!$A$10:$A$40,'SI - Payload'!$B$10:$B$40,"",0), "")</f>
        <v/>
      </c>
      <c r="M37" s="6" t="str">
        <f>IF(Table114[[#This Row],[Category]]="Transportation", "ton", "")</f>
        <v/>
      </c>
      <c r="N37" s="6"/>
      <c r="O37" s="6"/>
      <c r="P37" s="6" t="str">
        <f>IF(OR(Table114[[#This Row],[Type]]="Main Product", Table114[[#This Row],[Type]]="Co-Product"), Table114[[#This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IF(Table114[[#This Row],[Type]]="Co-product", "No", "")</f>
        <v/>
      </c>
      <c r="J38" s="25"/>
      <c r="K38" s="6"/>
      <c r="L38" s="6" t="str">
        <f>IF(Table114[[#This Row],[Category]]="Transportation", _xlfn.XLOOKUP(Table114[[#This Row],[Resource]], 'SI - Payload'!$A$10:$A$40,'SI - Payload'!$B$10:$B$40,"",0), "")</f>
        <v/>
      </c>
      <c r="M38" s="6" t="str">
        <f>IF(Table114[[#This Row],[Category]]="Transportation", "ton", "")</f>
        <v/>
      </c>
      <c r="N38" s="6"/>
      <c r="O38" s="6"/>
      <c r="P38" s="6" t="str">
        <f>IF(OR(Table114[[#This Row],[Type]]="Main Product", Table114[[#This Row],[Type]]="Co-Product"), Table114[[#This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IF(Table114[[#This Row],[Type]]="Co-product", "No", "")</f>
        <v/>
      </c>
      <c r="J39" s="25"/>
      <c r="K39" s="6"/>
      <c r="L39" s="6" t="str">
        <f>IF(Table114[[#This Row],[Category]]="Transportation", _xlfn.XLOOKUP(Table114[[#This Row],[Resource]], 'SI - Payload'!$A$10:$A$40,'SI - Payload'!$B$10:$B$40,"",0), "")</f>
        <v/>
      </c>
      <c r="M39" s="6" t="str">
        <f>IF(Table114[[#This Row],[Category]]="Transportation", "ton", "")</f>
        <v/>
      </c>
      <c r="N39" s="6"/>
      <c r="O39" s="6"/>
      <c r="P39" s="6" t="str">
        <f>IF(OR(Table114[[#This Row],[Type]]="Main Product", Table114[[#This Row],[Type]]="Co-Product"), Table114[[#This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IF(Table114[[#This Row],[Type]]="Co-product", "No", "")</f>
        <v/>
      </c>
      <c r="J40" s="25"/>
      <c r="K40" s="6"/>
      <c r="L40" s="6" t="str">
        <f>IF(Table114[[#This Row],[Category]]="Transportation", _xlfn.XLOOKUP(Table114[[#This Row],[Resource]], 'SI - Payload'!$A$10:$A$40,'SI - Payload'!$B$10:$B$40,"",0), "")</f>
        <v/>
      </c>
      <c r="M40" s="6" t="str">
        <f>IF(Table114[[#This Row],[Category]]="Transportation", "ton", "")</f>
        <v/>
      </c>
      <c r="N40" s="6"/>
      <c r="O40" s="6"/>
      <c r="P40" s="6" t="str">
        <f>IF(OR(Table114[[#This Row],[Type]]="Main Product", Table114[[#This Row],[Type]]="Co-Product"), Table114[[#This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IF(Table114[[#This Row],[Type]]="Co-product", "No", "")</f>
        <v/>
      </c>
      <c r="J41" s="25"/>
      <c r="K41" s="6"/>
      <c r="L41" s="6" t="str">
        <f>IF(Table114[[#This Row],[Category]]="Transportation", _xlfn.XLOOKUP(Table114[[#This Row],[Resource]], 'SI - Payload'!$A$10:$A$40,'SI - Payload'!$B$10:$B$40,"",0), "")</f>
        <v/>
      </c>
      <c r="M41" s="6" t="str">
        <f>IF(Table114[[#This Row],[Category]]="Transportation", "ton", "")</f>
        <v/>
      </c>
      <c r="N41" s="6"/>
      <c r="O41" s="6"/>
      <c r="P41" s="6" t="str">
        <f>IF(OR(Table114[[#This Row],[Type]]="Main Product", Table114[[#This Row],[Type]]="Co-Product"), Table114[[#This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IF(Table114[[#This Row],[Type]]="Co-product", "No", "")</f>
        <v/>
      </c>
      <c r="J42" s="25"/>
      <c r="K42" s="6"/>
      <c r="L42" s="6" t="str">
        <f>IF(Table114[[#This Row],[Category]]="Transportation", _xlfn.XLOOKUP(Table114[[#This Row],[Resource]], 'SI - Payload'!$A$10:$A$40,'SI - Payload'!$B$10:$B$40,"",0), "")</f>
        <v/>
      </c>
      <c r="M42" s="6" t="str">
        <f>IF(Table114[[#This Row],[Category]]="Transportation", "ton", "")</f>
        <v/>
      </c>
      <c r="N42" s="6"/>
      <c r="O42" s="6"/>
      <c r="P42" s="6" t="str">
        <f>IF(OR(Table114[[#This Row],[Type]]="Main Product", Table114[[#This Row],[Type]]="Co-Product"), Table114[[#This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IF(Table114[[#This Row],[Type]]="Co-product", "No", "")</f>
        <v/>
      </c>
      <c r="J43" s="25"/>
      <c r="K43" s="6"/>
      <c r="L43" s="6" t="str">
        <f>IF(Table114[[#This Row],[Category]]="Transportation", _xlfn.XLOOKUP(Table114[[#This Row],[Resource]], 'SI - Payload'!$A$10:$A$40,'SI - Payload'!$B$10:$B$40,"",0), "")</f>
        <v/>
      </c>
      <c r="M43" s="6" t="str">
        <f>IF(Table114[[#This Row],[Category]]="Transportation", "ton", "")</f>
        <v/>
      </c>
      <c r="N43" s="6"/>
      <c r="O43" s="6"/>
      <c r="P43" s="6" t="str">
        <f>IF(OR(Table114[[#This Row],[Type]]="Main Product", Table114[[#This Row],[Type]]="Co-Product"), Table114[[#This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IF(Table114[[#This Row],[Type]]="Co-product", "No", "")</f>
        <v/>
      </c>
      <c r="J44" s="25"/>
      <c r="K44" s="6"/>
      <c r="L44" s="6" t="str">
        <f>IF(Table114[[#This Row],[Category]]="Transportation", _xlfn.XLOOKUP(Table114[[#This Row],[Resource]], 'SI - Payload'!$A$10:$A$40,'SI - Payload'!$B$10:$B$40,"",0), "")</f>
        <v/>
      </c>
      <c r="M44" s="6" t="str">
        <f>IF(Table114[[#This Row],[Category]]="Transportation", "ton", "")</f>
        <v/>
      </c>
      <c r="N44" s="6"/>
      <c r="O44" s="6"/>
      <c r="P44" s="6" t="str">
        <f>IF(OR(Table114[[#This Row],[Type]]="Main Product", Table114[[#This Row],[Type]]="Co-Product"), Table114[[#This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IF(Table114[[#This Row],[Type]]="Co-product", "No", "")</f>
        <v/>
      </c>
      <c r="J45" s="25"/>
      <c r="K45" s="6"/>
      <c r="L45" s="6" t="str">
        <f>IF(Table114[[#This Row],[Category]]="Transportation", _xlfn.XLOOKUP(Table114[[#This Row],[Resource]], 'SI - Payload'!$A$10:$A$40,'SI - Payload'!$B$10:$B$40,"",0), "")</f>
        <v/>
      </c>
      <c r="M45" s="6" t="str">
        <f>IF(Table114[[#This Row],[Category]]="Transportation", "ton", "")</f>
        <v/>
      </c>
      <c r="N45" s="6"/>
      <c r="O45" s="6"/>
      <c r="P45" s="6" t="str">
        <f>IF(OR(Table114[[#This Row],[Type]]="Main Product", Table114[[#This Row],[Type]]="Co-Product"), Table114[[#This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IF(Table114[[#This Row],[Type]]="Co-product", "No", "")</f>
        <v/>
      </c>
      <c r="J46" s="25"/>
      <c r="K46" s="6"/>
      <c r="L46" s="6" t="str">
        <f>IF(Table114[[#This Row],[Category]]="Transportation", _xlfn.XLOOKUP(Table114[[#This Row],[Resource]], 'SI - Payload'!$A$10:$A$40,'SI - Payload'!$B$10:$B$40,"",0), "")</f>
        <v/>
      </c>
      <c r="M46" s="6" t="str">
        <f>IF(Table114[[#This Row],[Category]]="Transportation", "ton", "")</f>
        <v/>
      </c>
      <c r="N46" s="6"/>
      <c r="O46" s="6"/>
      <c r="P46" s="6" t="str">
        <f>IF(OR(Table114[[#This Row],[Type]]="Main Product", Table114[[#This Row],[Type]]="Co-Product"), Table114[[#This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IF(Table114[[#This Row],[Type]]="Co-product", "No", "")</f>
        <v/>
      </c>
      <c r="J47" s="25"/>
      <c r="K47" s="6"/>
      <c r="L47" s="6" t="str">
        <f>IF(Table114[[#This Row],[Category]]="Transportation", _xlfn.XLOOKUP(Table114[[#This Row],[Resource]], 'SI - Payload'!$A$10:$A$40,'SI - Payload'!$B$10:$B$40,"",0), "")</f>
        <v/>
      </c>
      <c r="M47" s="6" t="str">
        <f>IF(Table114[[#This Row],[Category]]="Transportation", "ton", "")</f>
        <v/>
      </c>
      <c r="N47" s="6"/>
      <c r="O47" s="6"/>
      <c r="P47" s="6" t="str">
        <f>IF(OR(Table114[[#This Row],[Type]]="Main Product", Table114[[#This Row],[Type]]="Co-Product"), Table114[[#This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IF(Table114[[#This Row],[Type]]="Co-product", "No", "")</f>
        <v/>
      </c>
      <c r="J48" s="25"/>
      <c r="K48" s="6"/>
      <c r="L48" s="6" t="str">
        <f>IF(Table114[[#This Row],[Category]]="Transportation", _xlfn.XLOOKUP(Table114[[#This Row],[Resource]], 'SI - Payload'!$A$10:$A$40,'SI - Payload'!$B$10:$B$40,"",0), "")</f>
        <v/>
      </c>
      <c r="M48" s="6" t="str">
        <f>IF(Table114[[#This Row],[Category]]="Transportation", "ton", "")</f>
        <v/>
      </c>
      <c r="N48" s="6"/>
      <c r="O48" s="6"/>
      <c r="P48" s="6" t="str">
        <f>IF(OR(Table114[[#This Row],[Type]]="Main Product", Table114[[#This Row],[Type]]="Co-Product"), Table114[[#This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IF(Table114[[#This Row],[Type]]="Co-product", "No", "")</f>
        <v/>
      </c>
      <c r="J49" s="25"/>
      <c r="K49" s="6"/>
      <c r="L49" s="6" t="str">
        <f>IF(Table114[[#This Row],[Category]]="Transportation", _xlfn.XLOOKUP(Table114[[#This Row],[Resource]], 'SI - Payload'!$A$10:$A$40,'SI - Payload'!$B$10:$B$40,"",0), "")</f>
        <v/>
      </c>
      <c r="M49" s="6" t="str">
        <f>IF(Table114[[#This Row],[Category]]="Transportation", "ton", "")</f>
        <v/>
      </c>
      <c r="N49" s="6"/>
      <c r="O49" s="6"/>
      <c r="P49" s="6" t="str">
        <f>IF(OR(Table114[[#This Row],[Type]]="Main Product", Table114[[#This Row],[Type]]="Co-Product"), Table114[[#This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IF(Table114[[#This Row],[Type]]="Co-product", "No", "")</f>
        <v/>
      </c>
      <c r="J50" s="25"/>
      <c r="K50" s="6"/>
      <c r="L50" s="6" t="str">
        <f>IF(Table114[[#This Row],[Category]]="Transportation", _xlfn.XLOOKUP(Table114[[#This Row],[Resource]], 'SI - Payload'!$A$10:$A$40,'SI - Payload'!$B$10:$B$40,"",0), "")</f>
        <v/>
      </c>
      <c r="M50" s="6" t="str">
        <f>IF(Table114[[#This Row],[Category]]="Transportation", "ton", "")</f>
        <v/>
      </c>
      <c r="N50" s="6"/>
      <c r="O50" s="6"/>
      <c r="P50" s="6" t="str">
        <f>IF(OR(Table114[[#This Row],[Type]]="Main Product", Table114[[#This Row],[Type]]="Co-Product"), Table114[[#This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IF(Table114[[#This Row],[Type]]="Co-product", "No", "")</f>
        <v/>
      </c>
      <c r="J51" s="25"/>
      <c r="K51" s="6"/>
      <c r="L51" s="6" t="str">
        <f>IF(Table114[[#This Row],[Category]]="Transportation", _xlfn.XLOOKUP(Table114[[#This Row],[Resource]], 'SI - Payload'!$A$10:$A$40,'SI - Payload'!$B$10:$B$40,"",0), "")</f>
        <v/>
      </c>
      <c r="M51" s="6" t="str">
        <f>IF(Table114[[#This Row],[Category]]="Transportation", "ton", "")</f>
        <v/>
      </c>
      <c r="N51" s="6"/>
      <c r="O51" s="6"/>
      <c r="P51" s="6" t="str">
        <f>IF(OR(Table114[[#This Row],[Type]]="Main Product", Table114[[#This Row],[Type]]="Co-Product"), Table114[[#This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IF(Table114[[#This Row],[Type]]="Co-product", "No", "")</f>
        <v/>
      </c>
      <c r="J52" s="25"/>
      <c r="K52" s="6"/>
      <c r="L52" s="6" t="str">
        <f>IF(Table114[[#This Row],[Category]]="Transportation", _xlfn.XLOOKUP(Table114[[#This Row],[Resource]], 'SI - Payload'!$A$10:$A$40,'SI - Payload'!$B$10:$B$40,"",0), "")</f>
        <v/>
      </c>
      <c r="M52" s="6" t="str">
        <f>IF(Table114[[#This Row],[Category]]="Transportation", "ton", "")</f>
        <v/>
      </c>
      <c r="N52" s="6"/>
      <c r="O52" s="6"/>
      <c r="P52" s="6" t="str">
        <f>IF(OR(Table114[[#This Row],[Type]]="Main Product", Table114[[#This Row],[Type]]="Co-Product"), Table114[[#This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IF(Table114[[#This Row],[Type]]="Co-product", "No", "")</f>
        <v/>
      </c>
      <c r="J53" s="25"/>
      <c r="K53" s="6"/>
      <c r="L53" s="6" t="str">
        <f>IF(Table114[[#This Row],[Category]]="Transportation", _xlfn.XLOOKUP(Table114[[#This Row],[Resource]], 'SI - Payload'!$A$10:$A$40,'SI - Payload'!$B$10:$B$40,"",0), "")</f>
        <v/>
      </c>
      <c r="M53" s="6" t="str">
        <f>IF(Table114[[#This Row],[Category]]="Transportation", "ton", "")</f>
        <v/>
      </c>
      <c r="N53" s="6"/>
      <c r="O53" s="6"/>
      <c r="P53" s="6" t="str">
        <f>IF(OR(Table114[[#This Row],[Type]]="Main Product", Table114[[#This Row],[Type]]="Co-Product"), Table114[[#This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IF(Table114[[#This Row],[Type]]="Co-product", "No", "")</f>
        <v/>
      </c>
      <c r="J54" s="25"/>
      <c r="K54" s="6"/>
      <c r="L54" s="6" t="str">
        <f>IF(Table114[[#This Row],[Category]]="Transportation", _xlfn.XLOOKUP(Table114[[#This Row],[Resource]], 'SI - Payload'!$A$10:$A$40,'SI - Payload'!$B$10:$B$40,"",0), "")</f>
        <v/>
      </c>
      <c r="M54" s="6" t="str">
        <f>IF(Table114[[#This Row],[Category]]="Transportation", "ton", "")</f>
        <v/>
      </c>
      <c r="N54" s="6"/>
      <c r="O54" s="6"/>
      <c r="P54" s="6" t="str">
        <f>IF(OR(Table114[[#This Row],[Type]]="Main Product", Table114[[#This Row],[Type]]="Co-Product"), Table114[[#This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IF(Table114[[#This Row],[Type]]="Co-product", "No", "")</f>
        <v/>
      </c>
      <c r="J55" s="25"/>
      <c r="K55" s="6"/>
      <c r="L55" s="6" t="str">
        <f>IF(Table114[[#This Row],[Category]]="Transportation", _xlfn.XLOOKUP(Table114[[#This Row],[Resource]], 'SI - Payload'!$A$10:$A$40,'SI - Payload'!$B$10:$B$40,"",0), "")</f>
        <v/>
      </c>
      <c r="M55" s="6" t="str">
        <f>IF(Table114[[#This Row],[Category]]="Transportation", "ton", "")</f>
        <v/>
      </c>
      <c r="N55" s="6"/>
      <c r="O55" s="6"/>
      <c r="P55" s="6" t="str">
        <f>IF(OR(Table114[[#This Row],[Type]]="Main Product", Table114[[#This Row],[Type]]="Co-Product"), Table114[[#This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IF(Table114[[#This Row],[Type]]="Co-product", "No", "")</f>
        <v/>
      </c>
      <c r="J56" s="25"/>
      <c r="K56" s="6"/>
      <c r="L56" s="6" t="str">
        <f>IF(Table114[[#This Row],[Category]]="Transportation", _xlfn.XLOOKUP(Table114[[#This Row],[Resource]], 'SI - Payload'!$A$10:$A$40,'SI - Payload'!$B$10:$B$40,"",0), "")</f>
        <v/>
      </c>
      <c r="M56" s="6" t="str">
        <f>IF(Table114[[#This Row],[Category]]="Transportation", "ton", "")</f>
        <v/>
      </c>
      <c r="N56" s="6"/>
      <c r="O56" s="6"/>
      <c r="P56" s="6" t="str">
        <f>IF(OR(Table114[[#This Row],[Type]]="Main Product", Table114[[#This Row],[Type]]="Co-Product"), Table114[[#This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IF(Table114[[#This Row],[Type]]="Co-product", "No", "")</f>
        <v/>
      </c>
      <c r="J57" s="25"/>
      <c r="K57" s="6"/>
      <c r="L57" s="6" t="str">
        <f>IF(Table114[[#This Row],[Category]]="Transportation", _xlfn.XLOOKUP(Table114[[#This Row],[Resource]], 'SI - Payload'!$A$10:$A$40,'SI - Payload'!$B$10:$B$40,"",0), "")</f>
        <v/>
      </c>
      <c r="M57" s="6" t="str">
        <f>IF(Table114[[#This Row],[Category]]="Transportation", "ton", "")</f>
        <v/>
      </c>
      <c r="N57" s="6"/>
      <c r="O57" s="6"/>
      <c r="P57" s="6" t="str">
        <f>IF(OR(Table114[[#This Row],[Type]]="Main Product", Table114[[#This Row],[Type]]="Co-Product"), Table114[[#This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IF(Table114[[#This Row],[Type]]="Co-product", "No", "")</f>
        <v/>
      </c>
      <c r="J58" s="25"/>
      <c r="K58" s="6"/>
      <c r="L58" s="6" t="str">
        <f>IF(Table114[[#This Row],[Category]]="Transportation", _xlfn.XLOOKUP(Table114[[#This Row],[Resource]], 'SI - Payload'!$A$10:$A$40,'SI - Payload'!$B$10:$B$40,"",0), "")</f>
        <v/>
      </c>
      <c r="M58" s="6" t="str">
        <f>IF(Table114[[#This Row],[Category]]="Transportation", "ton", "")</f>
        <v/>
      </c>
      <c r="N58" s="6"/>
      <c r="O58" s="6"/>
      <c r="P58" s="6" t="str">
        <f>IF(OR(Table114[[#This Row],[Type]]="Main Product", Table114[[#This Row],[Type]]="Co-Product"), Table114[[#This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IF(Table114[[#This Row],[Type]]="Co-product", "No", "")</f>
        <v/>
      </c>
      <c r="J59" s="25"/>
      <c r="K59" s="6"/>
      <c r="L59" s="6" t="str">
        <f>IF(Table114[[#This Row],[Category]]="Transportation", _xlfn.XLOOKUP(Table114[[#This Row],[Resource]], 'SI - Payload'!$A$10:$A$40,'SI - Payload'!$B$10:$B$40,"",0), "")</f>
        <v/>
      </c>
      <c r="M59" s="6" t="str">
        <f>IF(Table114[[#This Row],[Category]]="Transportation", "ton", "")</f>
        <v/>
      </c>
      <c r="N59" s="6"/>
      <c r="O59" s="6"/>
      <c r="P59" s="6" t="str">
        <f>IF(OR(Table114[[#This Row],[Type]]="Main Product", Table114[[#This Row],[Type]]="Co-Product"), Table114[[#This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IF(Table114[[#This Row],[Type]]="Co-product", "No", "")</f>
        <v/>
      </c>
      <c r="J60" s="25"/>
      <c r="K60" s="6"/>
      <c r="L60" s="6" t="str">
        <f>IF(Table114[[#This Row],[Category]]="Transportation", _xlfn.XLOOKUP(Table114[[#This Row],[Resource]], 'SI - Payload'!$A$10:$A$40,'SI - Payload'!$B$10:$B$40,"",0), "")</f>
        <v/>
      </c>
      <c r="M60" s="6" t="str">
        <f>IF(Table114[[#This Row],[Category]]="Transportation", "ton", "")</f>
        <v/>
      </c>
      <c r="N60" s="6"/>
      <c r="O60" s="6"/>
      <c r="P60" s="6" t="str">
        <f>IF(OR(Table114[[#This Row],[Type]]="Main Product", Table114[[#This Row],[Type]]="Co-Product"), Table114[[#This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IF(Table114[[#This Row],[Type]]="Co-product", "No", "")</f>
        <v/>
      </c>
      <c r="J61" s="25"/>
      <c r="K61" s="6"/>
      <c r="L61" s="6" t="str">
        <f>IF(Table114[[#This Row],[Category]]="Transportation", _xlfn.XLOOKUP(Table114[[#This Row],[Resource]], 'SI - Payload'!$A$10:$A$40,'SI - Payload'!$B$10:$B$40,"",0), "")</f>
        <v/>
      </c>
      <c r="M61" s="6" t="str">
        <f>IF(Table114[[#This Row],[Category]]="Transportation", "ton", "")</f>
        <v/>
      </c>
      <c r="N61" s="6"/>
      <c r="O61" s="6"/>
      <c r="P61" s="6" t="str">
        <f>IF(OR(Table114[[#This Row],[Type]]="Main Product", Table114[[#This Row],[Type]]="Co-Product"), Table114[[#This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IF(Table114[[#This Row],[Type]]="Co-product", "No", "")</f>
        <v/>
      </c>
      <c r="J62" s="25"/>
      <c r="K62" s="6"/>
      <c r="L62" s="6" t="str">
        <f>IF(Table114[[#This Row],[Category]]="Transportation", _xlfn.XLOOKUP(Table114[[#This Row],[Resource]], 'SI - Payload'!$A$10:$A$40,'SI - Payload'!$B$10:$B$40,"",0), "")</f>
        <v/>
      </c>
      <c r="M62" s="6" t="str">
        <f>IF(Table114[[#This Row],[Category]]="Transportation", "ton", "")</f>
        <v/>
      </c>
      <c r="N62" s="6"/>
      <c r="O62" s="6"/>
      <c r="P62" s="6" t="str">
        <f>IF(OR(Table114[[#This Row],[Type]]="Main Product", Table114[[#This Row],[Type]]="Co-Product"), Table114[[#This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IF(Table114[[#This Row],[Type]]="Co-product", "No", "")</f>
        <v/>
      </c>
      <c r="J63" s="25"/>
      <c r="K63" s="6"/>
      <c r="L63" s="6" t="str">
        <f>IF(Table114[[#This Row],[Category]]="Transportation", _xlfn.XLOOKUP(Table114[[#This Row],[Resource]], 'SI - Payload'!$A$10:$A$40,'SI - Payload'!$B$10:$B$40,"",0), "")</f>
        <v/>
      </c>
      <c r="M63" s="6" t="str">
        <f>IF(Table114[[#This Row],[Category]]="Transportation", "ton", "")</f>
        <v/>
      </c>
      <c r="N63" s="6"/>
      <c r="O63" s="6"/>
      <c r="P63" s="6" t="str">
        <f>IF(OR(Table114[[#This Row],[Type]]="Main Product", Table114[[#This Row],[Type]]="Co-Product"), Table114[[#This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IF(Table114[[#This Row],[Type]]="Co-product", "No", "")</f>
        <v/>
      </c>
      <c r="J64" s="25"/>
      <c r="K64" s="6"/>
      <c r="L64" s="6" t="str">
        <f>IF(Table114[[#This Row],[Category]]="Transportation", _xlfn.XLOOKUP(Table114[[#This Row],[Resource]], 'SI - Payload'!$A$10:$A$40,'SI - Payload'!$B$10:$B$40,"",0), "")</f>
        <v/>
      </c>
      <c r="M64" s="6" t="str">
        <f>IF(Table114[[#This Row],[Category]]="Transportation", "ton", "")</f>
        <v/>
      </c>
      <c r="N64" s="6"/>
      <c r="O64" s="6"/>
      <c r="P64" s="6" t="str">
        <f>IF(OR(Table114[[#This Row],[Type]]="Main Product", Table114[[#This Row],[Type]]="Co-Product"), Table114[[#This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IF(Table114[[#This Row],[Type]]="Co-product", "No", "")</f>
        <v/>
      </c>
      <c r="J65" s="25"/>
      <c r="K65" s="6"/>
      <c r="L65" s="6" t="str">
        <f>IF(Table114[[#This Row],[Category]]="Transportation", _xlfn.XLOOKUP(Table114[[#This Row],[Resource]], 'SI - Payload'!$A$10:$A$40,'SI - Payload'!$B$10:$B$40,"",0), "")</f>
        <v/>
      </c>
      <c r="M65" s="6" t="str">
        <f>IF(Table114[[#This Row],[Category]]="Transportation", "ton", "")</f>
        <v/>
      </c>
      <c r="N65" s="6"/>
      <c r="O65" s="6"/>
      <c r="P65" s="6" t="str">
        <f>IF(OR(Table114[[#This Row],[Type]]="Main Product", Table114[[#This Row],[Type]]="Co-Product"), Table114[[#This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IF(Table114[[#This Row],[Type]]="Co-product", "No", "")</f>
        <v/>
      </c>
      <c r="J66" s="25"/>
      <c r="K66" s="6"/>
      <c r="L66" s="6" t="str">
        <f>IF(Table114[[#This Row],[Category]]="Transportation", _xlfn.XLOOKUP(Table114[[#This Row],[Resource]], 'SI - Payload'!$A$10:$A$40,'SI - Payload'!$B$10:$B$40,"",0), "")</f>
        <v/>
      </c>
      <c r="M66" s="6" t="str">
        <f>IF(Table114[[#This Row],[Category]]="Transportation", "ton", "")</f>
        <v/>
      </c>
      <c r="N66" s="6"/>
      <c r="O66" s="6"/>
      <c r="P66" s="6" t="str">
        <f>IF(OR(Table114[[#This Row],[Type]]="Main Product", Table114[[#This Row],[Type]]="Co-Product"), Table114[[#This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IF(Table114[[#This Row],[Type]]="Co-product", "No", "")</f>
        <v/>
      </c>
      <c r="J67" s="25"/>
      <c r="K67" s="6"/>
      <c r="L67" s="6" t="str">
        <f>IF(Table114[[#This Row],[Category]]="Transportation", _xlfn.XLOOKUP(Table114[[#This Row],[Resource]], 'SI - Payload'!$A$10:$A$40,'SI - Payload'!$B$10:$B$40,"",0), "")</f>
        <v/>
      </c>
      <c r="M67" s="6" t="str">
        <f>IF(Table114[[#This Row],[Category]]="Transportation", "ton", "")</f>
        <v/>
      </c>
      <c r="N67" s="6"/>
      <c r="O67" s="6"/>
      <c r="P67" s="6" t="str">
        <f>IF(OR(Table114[[#This Row],[Type]]="Main Product", Table114[[#This Row],[Type]]="Co-Product"), Table114[[#This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IF(Table114[[#This Row],[Type]]="Co-product", "No", "")</f>
        <v/>
      </c>
      <c r="J68" s="25"/>
      <c r="K68" s="6"/>
      <c r="L68" s="6" t="str">
        <f>IF(Table114[[#This Row],[Category]]="Transportation", _xlfn.XLOOKUP(Table114[[#This Row],[Resource]], 'SI - Payload'!$A$10:$A$40,'SI - Payload'!$B$10:$B$40,"",0), "")</f>
        <v/>
      </c>
      <c r="M68" s="6" t="str">
        <f>IF(Table114[[#This Row],[Category]]="Transportation", "ton", "")</f>
        <v/>
      </c>
      <c r="N68" s="6"/>
      <c r="O68" s="6"/>
      <c r="P68" s="6" t="str">
        <f>IF(OR(Table114[[#This Row],[Type]]="Main Product", Table114[[#This Row],[Type]]="Co-Product"), Table114[[#This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IF(Table114[[#This Row],[Type]]="Co-product", "No", "")</f>
        <v/>
      </c>
      <c r="J69" s="25"/>
      <c r="K69" s="6"/>
      <c r="L69" s="6" t="str">
        <f>IF(Table114[[#This Row],[Category]]="Transportation", _xlfn.XLOOKUP(Table114[[#This Row],[Resource]], 'SI - Payload'!$A$10:$A$40,'SI - Payload'!$B$10:$B$40,"",0), "")</f>
        <v/>
      </c>
      <c r="M69" s="6" t="str">
        <f>IF(Table114[[#This Row],[Category]]="Transportation", "ton", "")</f>
        <v/>
      </c>
      <c r="N69" s="6"/>
      <c r="O69" s="6"/>
      <c r="P69" s="6" t="str">
        <f>IF(OR(Table114[[#This Row],[Type]]="Main Product", Table114[[#This Row],[Type]]="Co-Product"), Table114[[#This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IF(Table114[[#This Row],[Type]]="Co-product", "No", "")</f>
        <v/>
      </c>
      <c r="J70" s="25"/>
      <c r="K70" s="6"/>
      <c r="L70" s="6" t="str">
        <f>IF(Table114[[#This Row],[Category]]="Transportation", _xlfn.XLOOKUP(Table114[[#This Row],[Resource]], 'SI - Payload'!$A$10:$A$40,'SI - Payload'!$B$10:$B$40,"",0), "")</f>
        <v/>
      </c>
      <c r="M70" s="6" t="str">
        <f>IF(Table114[[#This Row],[Category]]="Transportation", "ton", "")</f>
        <v/>
      </c>
      <c r="N70" s="6"/>
      <c r="O70" s="6"/>
      <c r="P70" s="6" t="str">
        <f>IF(OR(Table114[[#This Row],[Type]]="Main Product", Table114[[#This Row],[Type]]="Co-Product"), Table114[[#This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IF(Table114[[#This Row],[Type]]="Co-product", "No", "")</f>
        <v/>
      </c>
      <c r="J71" s="25"/>
      <c r="K71" s="6"/>
      <c r="L71" s="6" t="str">
        <f>IF(Table114[[#This Row],[Category]]="Transportation", _xlfn.XLOOKUP(Table114[[#This Row],[Resource]], 'SI - Payload'!$A$10:$A$40,'SI - Payload'!$B$10:$B$40,"",0), "")</f>
        <v/>
      </c>
      <c r="M71" s="6" t="str">
        <f>IF(Table114[[#This Row],[Category]]="Transportation", "ton", "")</f>
        <v/>
      </c>
      <c r="N71" s="6"/>
      <c r="O71" s="6"/>
      <c r="P71" s="6" t="str">
        <f>IF(OR(Table114[[#This Row],[Type]]="Main Product", Table114[[#This Row],[Type]]="Co-Product"), Table114[[#This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IF(Table114[[#This Row],[Type]]="Co-product", "No", "")</f>
        <v/>
      </c>
      <c r="J72" s="25"/>
      <c r="K72" s="6"/>
      <c r="L72" s="6" t="str">
        <f>IF(Table114[[#This Row],[Category]]="Transportation", _xlfn.XLOOKUP(Table114[[#This Row],[Resource]], 'SI - Payload'!$A$10:$A$40,'SI - Payload'!$B$10:$B$40,"",0), "")</f>
        <v/>
      </c>
      <c r="M72" s="6" t="str">
        <f>IF(Table114[[#This Row],[Category]]="Transportation", "ton", "")</f>
        <v/>
      </c>
      <c r="N72" s="6"/>
      <c r="O72" s="6"/>
      <c r="P72" s="6" t="str">
        <f>IF(OR(Table114[[#This Row],[Type]]="Main Product", Table114[[#This Row],[Type]]="Co-Product"), Table114[[#This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IF(Table114[[#This Row],[Type]]="Co-product", "No", "")</f>
        <v/>
      </c>
      <c r="J73" s="25"/>
      <c r="K73" s="6"/>
      <c r="L73" s="6" t="str">
        <f>IF(Table114[[#This Row],[Category]]="Transportation", _xlfn.XLOOKUP(Table114[[#This Row],[Resource]], 'SI - Payload'!$A$10:$A$40,'SI - Payload'!$B$10:$B$40,"",0), "")</f>
        <v/>
      </c>
      <c r="M73" s="6" t="str">
        <f>IF(Table114[[#This Row],[Category]]="Transportation", "ton", "")</f>
        <v/>
      </c>
      <c r="N73" s="6"/>
      <c r="O73" s="6"/>
      <c r="P73" s="6" t="str">
        <f>IF(OR(Table114[[#This Row],[Type]]="Main Product", Table114[[#This Row],[Type]]="Co-Product"), Table114[[#This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IF(Table114[[#This Row],[Type]]="Co-product", "No", "")</f>
        <v/>
      </c>
      <c r="J74" s="25"/>
      <c r="K74" s="6"/>
      <c r="L74" s="6" t="str">
        <f>IF(Table114[[#This Row],[Category]]="Transportation", _xlfn.XLOOKUP(Table114[[#This Row],[Resource]], 'SI - Payload'!$A$10:$A$40,'SI - Payload'!$B$10:$B$40,"",0), "")</f>
        <v/>
      </c>
      <c r="M74" s="6" t="str">
        <f>IF(Table114[[#This Row],[Category]]="Transportation", "ton", "")</f>
        <v/>
      </c>
      <c r="N74" s="6"/>
      <c r="O74" s="6"/>
      <c r="P74" s="6" t="str">
        <f>IF(OR(Table114[[#This Row],[Type]]="Main Product", Table114[[#This Row],[Type]]="Co-Product"), Table114[[#This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IF(Table114[[#This Row],[Type]]="Co-product", "No", "")</f>
        <v/>
      </c>
      <c r="J75" s="25"/>
      <c r="K75" s="6"/>
      <c r="L75" s="6" t="str">
        <f>IF(Table114[[#This Row],[Category]]="Transportation", _xlfn.XLOOKUP(Table114[[#This Row],[Resource]], 'SI - Payload'!$A$10:$A$40,'SI - Payload'!$B$10:$B$40,"",0), "")</f>
        <v/>
      </c>
      <c r="M75" s="6" t="str">
        <f>IF(Table114[[#This Row],[Category]]="Transportation", "ton", "")</f>
        <v/>
      </c>
      <c r="N75" s="6"/>
      <c r="O75" s="6"/>
      <c r="P75" s="6" t="str">
        <f>IF(OR(Table114[[#This Row],[Type]]="Main Product", Table114[[#This Row],[Type]]="Co-Product"), Table114[[#This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IF(Table114[[#This Row],[Type]]="Co-product", "No", "")</f>
        <v/>
      </c>
      <c r="J76" s="25"/>
      <c r="K76" s="6"/>
      <c r="L76" s="6" t="str">
        <f>IF(Table114[[#This Row],[Category]]="Transportation", _xlfn.XLOOKUP(Table114[[#This Row],[Resource]], 'SI - Payload'!$A$10:$A$40,'SI - Payload'!$B$10:$B$40,"",0), "")</f>
        <v/>
      </c>
      <c r="M76" s="6" t="str">
        <f>IF(Table114[[#This Row],[Category]]="Transportation", "ton", "")</f>
        <v/>
      </c>
      <c r="N76" s="6"/>
      <c r="O76" s="6"/>
      <c r="P76" s="6" t="str">
        <f>IF(OR(Table114[[#This Row],[Type]]="Main Product", Table114[[#This Row],[Type]]="Co-Product"), Table114[[#This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IF(Table114[[#This Row],[Type]]="Co-product", "No", "")</f>
        <v/>
      </c>
      <c r="J77" s="25"/>
      <c r="K77" s="6"/>
      <c r="L77" s="6" t="str">
        <f>IF(Table114[[#This Row],[Category]]="Transportation", _xlfn.XLOOKUP(Table114[[#This Row],[Resource]], 'SI - Payload'!$A$10:$A$40,'SI - Payload'!$B$10:$B$40,"",0), "")</f>
        <v/>
      </c>
      <c r="M77" s="6" t="str">
        <f>IF(Table114[[#This Row],[Category]]="Transportation", "ton", "")</f>
        <v/>
      </c>
      <c r="N77" s="6"/>
      <c r="O77" s="6"/>
      <c r="P77" s="6" t="str">
        <f>IF(OR(Table114[[#This Row],[Type]]="Main Product", Table114[[#This Row],[Type]]="Co-Product"), Table114[[#This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IF(Table114[[#This Row],[Type]]="Co-product", "No", "")</f>
        <v/>
      </c>
      <c r="J78" s="25"/>
      <c r="K78" s="6"/>
      <c r="L78" s="6" t="str">
        <f>IF(Table114[[#This Row],[Category]]="Transportation", _xlfn.XLOOKUP(Table114[[#This Row],[Resource]], 'SI - Payload'!$A$10:$A$40,'SI - Payload'!$B$10:$B$40,"",0), "")</f>
        <v/>
      </c>
      <c r="M78" s="6" t="str">
        <f>IF(Table114[[#This Row],[Category]]="Transportation", "ton", "")</f>
        <v/>
      </c>
      <c r="N78" s="6"/>
      <c r="O78" s="6"/>
      <c r="P78" s="6" t="str">
        <f>IF(OR(Table114[[#This Row],[Type]]="Main Product", Table114[[#This Row],[Type]]="Co-Product"), Table114[[#This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IF(Table114[[#This Row],[Type]]="Co-product", "No", "")</f>
        <v/>
      </c>
      <c r="J79" s="25"/>
      <c r="K79" s="6"/>
      <c r="L79" s="6" t="str">
        <f>IF(Table114[[#This Row],[Category]]="Transportation", _xlfn.XLOOKUP(Table114[[#This Row],[Resource]], 'SI - Payload'!$A$10:$A$40,'SI - Payload'!$B$10:$B$40,"",0), "")</f>
        <v/>
      </c>
      <c r="M79" s="6" t="str">
        <f>IF(Table114[[#This Row],[Category]]="Transportation", "ton", "")</f>
        <v/>
      </c>
      <c r="N79" s="6"/>
      <c r="O79" s="6"/>
      <c r="P79" s="6" t="str">
        <f>IF(OR(Table114[[#This Row],[Type]]="Main Product", Table114[[#This Row],[Type]]="Co-Product"), Table114[[#This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IF(Table114[[#This Row],[Type]]="Co-product", "No", "")</f>
        <v/>
      </c>
      <c r="J80" s="25"/>
      <c r="K80" s="6"/>
      <c r="L80" s="6" t="str">
        <f>IF(Table114[[#This Row],[Category]]="Transportation", _xlfn.XLOOKUP(Table114[[#This Row],[Resource]], 'SI - Payload'!$A$10:$A$40,'SI - Payload'!$B$10:$B$40,"",0), "")</f>
        <v/>
      </c>
      <c r="M80" s="6" t="str">
        <f>IF(Table114[[#This Row],[Category]]="Transportation", "ton", "")</f>
        <v/>
      </c>
      <c r="N80" s="6"/>
      <c r="O80" s="6"/>
      <c r="P80" s="6" t="str">
        <f>IF(OR(Table114[[#This Row],[Type]]="Main Product", Table114[[#This Row],[Type]]="Co-Product"), Table114[[#This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IF(Table114[[#This Row],[Type]]="Co-product", "No", "")</f>
        <v/>
      </c>
      <c r="J81" s="25"/>
      <c r="K81" s="6"/>
      <c r="L81" s="6" t="str">
        <f>IF(Table114[[#This Row],[Category]]="Transportation", _xlfn.XLOOKUP(Table114[[#This Row],[Resource]], 'SI - Payload'!$A$10:$A$40,'SI - Payload'!$B$10:$B$40,"",0), "")</f>
        <v/>
      </c>
      <c r="M81" s="6" t="str">
        <f>IF(Table114[[#This Row],[Category]]="Transportation", "ton", "")</f>
        <v/>
      </c>
      <c r="N81" s="6"/>
      <c r="O81" s="6"/>
      <c r="P81" s="6" t="str">
        <f>IF(OR(Table114[[#This Row],[Type]]="Main Product", Table114[[#This Row],[Type]]="Co-Product"), Table114[[#This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IF(Table114[[#This Row],[Type]]="Co-product", "No", "")</f>
        <v/>
      </c>
      <c r="J82" s="25"/>
      <c r="K82" s="6"/>
      <c r="L82" s="6" t="str">
        <f>IF(Table114[[#This Row],[Category]]="Transportation", _xlfn.XLOOKUP(Table114[[#This Row],[Resource]], 'SI - Payload'!$A$10:$A$40,'SI - Payload'!$B$10:$B$40,"",0), "")</f>
        <v/>
      </c>
      <c r="M82" s="6" t="str">
        <f>IF(Table114[[#This Row],[Category]]="Transportation", "ton", "")</f>
        <v/>
      </c>
      <c r="N82" s="6"/>
      <c r="O82" s="6"/>
      <c r="P82" s="6" t="str">
        <f>IF(OR(Table114[[#This Row],[Type]]="Main Product", Table114[[#This Row],[Type]]="Co-Product"), Table114[[#This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IF(Table114[[#This Row],[Type]]="Co-product", "No", "")</f>
        <v/>
      </c>
      <c r="J83" s="25"/>
      <c r="K83" s="6"/>
      <c r="L83" s="6" t="str">
        <f>IF(Table114[[#This Row],[Category]]="Transportation", _xlfn.XLOOKUP(Table114[[#This Row],[Resource]], 'SI - Payload'!$A$10:$A$40,'SI - Payload'!$B$10:$B$40,"",0), "")</f>
        <v/>
      </c>
      <c r="M83" s="6" t="str">
        <f>IF(Table114[[#This Row],[Category]]="Transportation", "ton", "")</f>
        <v/>
      </c>
      <c r="N83" s="6"/>
      <c r="O83" s="6"/>
      <c r="P83" s="6" t="str">
        <f>IF(OR(Table114[[#This Row],[Type]]="Main Product", Table114[[#This Row],[Type]]="Co-Product"), Table114[[#This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IF(Table114[[#This Row],[Type]]="Co-product", "No", "")</f>
        <v/>
      </c>
      <c r="J84" s="25"/>
      <c r="K84" s="6"/>
      <c r="L84" s="6" t="str">
        <f>IF(Table114[[#This Row],[Category]]="Transportation", _xlfn.XLOOKUP(Table114[[#This Row],[Resource]], 'SI - Payload'!$A$10:$A$40,'SI - Payload'!$B$10:$B$40,"",0), "")</f>
        <v/>
      </c>
      <c r="M84" s="6" t="str">
        <f>IF(Table114[[#This Row],[Category]]="Transportation", "ton", "")</f>
        <v/>
      </c>
      <c r="N84" s="6"/>
      <c r="O84" s="6"/>
      <c r="P84" s="6" t="str">
        <f>IF(OR(Table114[[#This Row],[Type]]="Main Product", Table114[[#This Row],[Type]]="Co-Product"), Table114[[#This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IF(Table114[[#This Row],[Type]]="Co-product", "No", "")</f>
        <v/>
      </c>
      <c r="J85" s="25"/>
      <c r="K85" s="6"/>
      <c r="L85" s="6" t="str">
        <f>IF(Table114[[#This Row],[Category]]="Transportation", _xlfn.XLOOKUP(Table114[[#This Row],[Resource]], 'SI - Payload'!$A$10:$A$40,'SI - Payload'!$B$10:$B$40,"",0), "")</f>
        <v/>
      </c>
      <c r="M85" s="6" t="str">
        <f>IF(Table114[[#This Row],[Category]]="Transportation", "ton", "")</f>
        <v/>
      </c>
      <c r="N85" s="6"/>
      <c r="O85" s="6"/>
      <c r="P85" s="6" t="str">
        <f>IF(OR(Table114[[#This Row],[Type]]="Main Product", Table114[[#This Row],[Type]]="Co-Product"), Table114[[#This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IF(Table114[[#This Row],[Type]]="Co-product", "No", "")</f>
        <v/>
      </c>
      <c r="J86" s="25"/>
      <c r="K86" s="6"/>
      <c r="L86" s="6" t="str">
        <f>IF(Table114[[#This Row],[Category]]="Transportation", _xlfn.XLOOKUP(Table114[[#This Row],[Resource]], 'SI - Payload'!$A$10:$A$40,'SI - Payload'!$B$10:$B$40,"",0), "")</f>
        <v/>
      </c>
      <c r="M86" s="6" t="str">
        <f>IF(Table114[[#This Row],[Category]]="Transportation", "ton", "")</f>
        <v/>
      </c>
      <c r="N86" s="6"/>
      <c r="O86" s="6"/>
      <c r="P86" s="6" t="str">
        <f>IF(OR(Table114[[#This Row],[Type]]="Main Product", Table114[[#This Row],[Type]]="Co-Product"), Table114[[#This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IF(Table114[[#This Row],[Type]]="Co-product", "No", "")</f>
        <v/>
      </c>
      <c r="J87" s="25"/>
      <c r="K87" s="6"/>
      <c r="L87" s="6" t="str">
        <f>IF(Table114[[#This Row],[Category]]="Transportation", _xlfn.XLOOKUP(Table114[[#This Row],[Resource]], 'SI - Payload'!$A$10:$A$40,'SI - Payload'!$B$10:$B$40,"",0), "")</f>
        <v/>
      </c>
      <c r="M87" s="6" t="str">
        <f>IF(Table114[[#This Row],[Category]]="Transportation", "ton", "")</f>
        <v/>
      </c>
      <c r="N87" s="6"/>
      <c r="O87" s="6"/>
      <c r="P87" s="6" t="str">
        <f>IF(OR(Table114[[#This Row],[Type]]="Main Product", Table114[[#This Row],[Type]]="Co-Product"), Table114[[#This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IF(Table114[[#This Row],[Type]]="Co-product", "No", "")</f>
        <v/>
      </c>
      <c r="J88" s="25"/>
      <c r="K88" s="6"/>
      <c r="L88" s="6" t="str">
        <f>IF(Table114[[#This Row],[Category]]="Transportation", _xlfn.XLOOKUP(Table114[[#This Row],[Resource]], 'SI - Payload'!$A$10:$A$40,'SI - Payload'!$B$10:$B$40,"",0), "")</f>
        <v/>
      </c>
      <c r="M88" s="6" t="str">
        <f>IF(Table114[[#This Row],[Category]]="Transportation", "ton", "")</f>
        <v/>
      </c>
      <c r="N88" s="6"/>
      <c r="O88" s="6"/>
      <c r="P88" s="6" t="str">
        <f>IF(OR(Table114[[#This Row],[Type]]="Main Product", Table114[[#This Row],[Type]]="Co-Product"), Table114[[#This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IF(Table114[[#This Row],[Type]]="Co-product", "No", "")</f>
        <v/>
      </c>
      <c r="J89" s="25"/>
      <c r="K89" s="6"/>
      <c r="L89" s="6" t="str">
        <f>IF(Table114[[#This Row],[Category]]="Transportation", _xlfn.XLOOKUP(Table114[[#This Row],[Resource]], 'SI - Payload'!$A$10:$A$40,'SI - Payload'!$B$10:$B$40,"",0), "")</f>
        <v/>
      </c>
      <c r="M89" s="6" t="str">
        <f>IF(Table114[[#This Row],[Category]]="Transportation", "ton", "")</f>
        <v/>
      </c>
      <c r="N89" s="6"/>
      <c r="O89" s="6"/>
      <c r="P89" s="6" t="str">
        <f>IF(OR(Table114[[#This Row],[Type]]="Main Product", Table114[[#This Row],[Type]]="Co-Product"), Table114[[#This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IF(Table114[[#This Row],[Type]]="Co-product", "No", "")</f>
        <v/>
      </c>
      <c r="J90" s="25"/>
      <c r="K90" s="6"/>
      <c r="L90" s="6" t="str">
        <f>IF(Table114[[#This Row],[Category]]="Transportation", _xlfn.XLOOKUP(Table114[[#This Row],[Resource]], 'SI - Payload'!$A$10:$A$40,'SI - Payload'!$B$10:$B$40,"",0), "")</f>
        <v/>
      </c>
      <c r="M90" s="6" t="str">
        <f>IF(Table114[[#This Row],[Category]]="Transportation", "ton", "")</f>
        <v/>
      </c>
      <c r="N90" s="6"/>
      <c r="O90" s="6"/>
      <c r="P90" s="6" t="str">
        <f>IF(OR(Table114[[#This Row],[Type]]="Main Product", Table114[[#This Row],[Type]]="Co-Product"), Table114[[#This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IF(Table114[[#This Row],[Type]]="Co-product", "No", "")</f>
        <v/>
      </c>
      <c r="J91" s="25"/>
      <c r="K91" s="6"/>
      <c r="L91" s="6" t="str">
        <f>IF(Table114[[#This Row],[Category]]="Transportation", _xlfn.XLOOKUP(Table114[[#This Row],[Resource]], 'SI - Payload'!$A$10:$A$40,'SI - Payload'!$B$10:$B$40,"",0), "")</f>
        <v/>
      </c>
      <c r="M91" s="6" t="str">
        <f>IF(Table114[[#This Row],[Category]]="Transportation", "ton", "")</f>
        <v/>
      </c>
      <c r="N91" s="6"/>
      <c r="O91" s="6"/>
      <c r="P91" s="6" t="str">
        <f>IF(OR(Table114[[#This Row],[Type]]="Main Product", Table114[[#This Row],[Type]]="Co-Product"), Table114[[#This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IF(Table114[[#This Row],[Type]]="Co-product", "No", "")</f>
        <v/>
      </c>
      <c r="J92" s="25"/>
      <c r="K92" s="6"/>
      <c r="L92" s="6" t="str">
        <f>IF(Table114[[#This Row],[Category]]="Transportation", _xlfn.XLOOKUP(Table114[[#This Row],[Resource]], 'SI - Payload'!$A$10:$A$40,'SI - Payload'!$B$10:$B$40,"",0), "")</f>
        <v/>
      </c>
      <c r="M92" s="6" t="str">
        <f>IF(Table114[[#This Row],[Category]]="Transportation", "ton", "")</f>
        <v/>
      </c>
      <c r="N92" s="6"/>
      <c r="O92" s="6"/>
      <c r="P92" s="6" t="str">
        <f>IF(OR(Table114[[#This Row],[Type]]="Main Product", Table114[[#This Row],[Type]]="Co-Product"), Table114[[#This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IF(Table114[[#This Row],[Type]]="Co-product", "No", "")</f>
        <v/>
      </c>
      <c r="J93" s="25"/>
      <c r="K93" s="6"/>
      <c r="L93" s="6" t="str">
        <f>IF(Table114[[#This Row],[Category]]="Transportation", _xlfn.XLOOKUP(Table114[[#This Row],[Resource]], 'SI - Payload'!$A$10:$A$40,'SI - Payload'!$B$10:$B$40,"",0), "")</f>
        <v/>
      </c>
      <c r="M93" s="6" t="str">
        <f>IF(Table114[[#This Row],[Category]]="Transportation", "ton", "")</f>
        <v/>
      </c>
      <c r="N93" s="6"/>
      <c r="O93" s="6"/>
      <c r="P93" s="6" t="str">
        <f>IF(OR(Table114[[#This Row],[Type]]="Main Product", Table114[[#This Row],[Type]]="Co-Product"), Table114[[#This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IF(Table114[[#This Row],[Type]]="Co-product", "No", "")</f>
        <v/>
      </c>
      <c r="J94" s="25"/>
      <c r="K94" s="6"/>
      <c r="L94" s="6" t="str">
        <f>IF(Table114[[#This Row],[Category]]="Transportation", _xlfn.XLOOKUP(Table114[[#This Row],[Resource]], 'SI - Payload'!$A$10:$A$40,'SI - Payload'!$B$10:$B$40,"",0), "")</f>
        <v/>
      </c>
      <c r="M94" s="6" t="str">
        <f>IF(Table114[[#This Row],[Category]]="Transportation", "ton", "")</f>
        <v/>
      </c>
      <c r="N94" s="6"/>
      <c r="O94" s="6"/>
      <c r="P94" s="6" t="str">
        <f>IF(OR(Table114[[#This Row],[Type]]="Main Product", Table114[[#This Row],[Type]]="Co-Product"), Table114[[#This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IF(Table114[[#This Row],[Type]]="Co-product", "No", "")</f>
        <v/>
      </c>
      <c r="J95" s="25"/>
      <c r="K95" s="6"/>
      <c r="L95" s="6" t="str">
        <f>IF(Table114[[#This Row],[Category]]="Transportation", _xlfn.XLOOKUP(Table114[[#This Row],[Resource]], 'SI - Payload'!$A$10:$A$40,'SI - Payload'!$B$10:$B$40,"",0), "")</f>
        <v/>
      </c>
      <c r="M95" s="6" t="str">
        <f>IF(Table114[[#This Row],[Category]]="Transportation", "ton", "")</f>
        <v/>
      </c>
      <c r="N95" s="6"/>
      <c r="O95" s="6"/>
      <c r="P95" s="6" t="str">
        <f>IF(OR(Table114[[#This Row],[Type]]="Main Product", Table114[[#This Row],[Type]]="Co-Product"), Table114[[#This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IF(Table114[[#This Row],[Type]]="Co-product", "No", "")</f>
        <v/>
      </c>
      <c r="J96" s="25"/>
      <c r="K96" s="6"/>
      <c r="L96" s="6" t="str">
        <f>IF(Table114[[#This Row],[Category]]="Transportation", _xlfn.XLOOKUP(Table114[[#This Row],[Resource]], 'SI - Payload'!$A$10:$A$40,'SI - Payload'!$B$10:$B$40,"",0), "")</f>
        <v/>
      </c>
      <c r="M96" s="6" t="str">
        <f>IF(Table114[[#This Row],[Category]]="Transportation", "ton", "")</f>
        <v/>
      </c>
      <c r="N96" s="6"/>
      <c r="O96" s="6"/>
      <c r="P96" s="6" t="str">
        <f>IF(OR(Table114[[#This Row],[Type]]="Main Product", Table114[[#This Row],[Type]]="Co-Product"), Table114[[#This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IF(Table114[[#This Row],[Type]]="Co-product", "No", "")</f>
        <v/>
      </c>
      <c r="J97" s="25"/>
      <c r="K97" s="6"/>
      <c r="L97" s="6" t="str">
        <f>IF(Table114[[#This Row],[Category]]="Transportation", _xlfn.XLOOKUP(Table114[[#This Row],[Resource]], 'SI - Payload'!$A$10:$A$40,'SI - Payload'!$B$10:$B$40,"",0), "")</f>
        <v/>
      </c>
      <c r="M97" s="6" t="str">
        <f>IF(Table114[[#This Row],[Category]]="Transportation", "ton", "")</f>
        <v/>
      </c>
      <c r="N97" s="6"/>
      <c r="O97" s="6"/>
      <c r="P97" s="6" t="str">
        <f>IF(OR(Table114[[#This Row],[Type]]="Main Product", Table114[[#This Row],[Type]]="Co-Product"), Table114[[#This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IF(Table114[[#This Row],[Type]]="Co-product", "No", "")</f>
        <v/>
      </c>
      <c r="J98" s="25"/>
      <c r="K98" s="6"/>
      <c r="L98" s="6" t="str">
        <f>IF(Table114[[#This Row],[Category]]="Transportation", _xlfn.XLOOKUP(Table114[[#This Row],[Resource]], 'SI - Payload'!$A$10:$A$40,'SI - Payload'!$B$10:$B$40,"",0), "")</f>
        <v/>
      </c>
      <c r="M98" s="6" t="str">
        <f>IF(Table114[[#This Row],[Category]]="Transportation", "ton", "")</f>
        <v/>
      </c>
      <c r="N98" s="6"/>
      <c r="O98" s="6"/>
      <c r="P98" s="6" t="str">
        <f>IF(OR(Table114[[#This Row],[Type]]="Main Product", Table114[[#This Row],[Type]]="Co-Product"), Table114[[#This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IF(Table114[[#This Row],[Type]]="Co-product", "No", "")</f>
        <v/>
      </c>
      <c r="J99" s="25"/>
      <c r="K99" s="6"/>
      <c r="L99" s="6" t="str">
        <f>IF(Table114[[#This Row],[Category]]="Transportation", _xlfn.XLOOKUP(Table114[[#This Row],[Resource]], 'SI - Payload'!$A$10:$A$40,'SI - Payload'!$B$10:$B$40,"",0), "")</f>
        <v/>
      </c>
      <c r="M99" s="6" t="str">
        <f>IF(Table114[[#This Row],[Category]]="Transportation", "ton", "")</f>
        <v/>
      </c>
      <c r="N99" s="6"/>
      <c r="O99" s="6"/>
      <c r="P99" s="6" t="str">
        <f>IF(OR(Table114[[#This Row],[Type]]="Main Product", Table114[[#This Row],[Type]]="Co-Product"), Table114[[#This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IF(Table114[[#This Row],[Type]]="Co-product", "No", "")</f>
        <v/>
      </c>
      <c r="J100" s="25"/>
      <c r="K100" s="6"/>
      <c r="L100" s="6" t="str">
        <f>IF(Table114[[#This Row],[Category]]="Transportation", _xlfn.XLOOKUP(Table114[[#This Row],[Resource]], 'SI - Payload'!$A$10:$A$40,'SI - Payload'!$B$10:$B$40,"",0), "")</f>
        <v/>
      </c>
      <c r="M100" s="6" t="str">
        <f>IF(Table114[[#This Row],[Category]]="Transportation", "ton", "")</f>
        <v/>
      </c>
      <c r="N100" s="6"/>
      <c r="O100" s="6"/>
      <c r="P100" s="6" t="str">
        <f>IF(OR(Table114[[#This Row],[Type]]="Main Product", Table114[[#This Row],[Type]]="Co-Product"), Table114[[#This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DF664A6F-5FBA-4BF1-93E3-ABE026AD642E}">
      <formula1>0</formula1>
      <formula2>1</formula2>
    </dataValidation>
    <dataValidation type="list" allowBlank="1" showInputMessage="1" showErrorMessage="1" sqref="M6:M100" xr:uid="{830DCBEC-8848-435A-BFC0-4DBC5AB03643}">
      <formula1>payload_units</formula1>
    </dataValidation>
    <dataValidation type="decimal" operator="greaterThan" allowBlank="1" showInputMessage="1" showErrorMessage="1" error="Please type a positive number." sqref="L6:L100" xr:uid="{5B93F5A2-1102-42B5-AA47-98B9897CDDE3}">
      <formula1>0</formula1>
    </dataValidation>
    <dataValidation type="decimal" operator="greaterThan" allowBlank="1" showInputMessage="1" showErrorMessage="1" error="Please type a positive price." sqref="N6:N100" xr:uid="{DDBBD6B2-DF86-45A7-AE30-8DA5867689B9}">
      <formula1>0</formula1>
    </dataValidation>
    <dataValidation type="decimal" allowBlank="1" showInputMessage="1" showErrorMessage="1" error="Please type a number between 0 and 1." sqref="G6:G100" xr:uid="{60E387D5-4278-4308-9003-7B40477A1DE3}">
      <formula1>0</formula1>
      <formula2>1</formula2>
    </dataValidation>
    <dataValidation type="custom" allowBlank="1" showInputMessage="1" showErrorMessage="1" sqref="E6:E100" xr:uid="{7F92052C-4E20-4ED4-AFC3-46F356F98DC4}">
      <formula1>ISNUMBER(E6)</formula1>
    </dataValidation>
    <dataValidation type="list" allowBlank="1" showInputMessage="1" showErrorMessage="1" sqref="C2" xr:uid="{660B2BBC-BDA8-48F1-BCC9-9C18E2B0B484}">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C00A7ED7-82CE-493A-BD96-D28DF49F119B}">
          <x14:formula1>
            <xm:f>IF($B6="Transportation",  transport_units, INDIRECT(_xlfn.XLOOKUP($C6, 'SI - Units'!$F$26:$F$36,'SI - Units'!$G$26:$G$36,"mass",0)))</xm:f>
          </x14:formula1>
          <xm:sqref>F6:F100</xm:sqref>
        </x14:dataValidation>
        <x14:dataValidation type="list" allowBlank="1" showInputMessage="1" showErrorMessage="1" xr:uid="{3FFE7068-F62C-4AA8-8CF0-D82349041CC5}">
          <x14:formula1>
            <xm:f>INDIRECT("p_"&amp;_xlfn.XLOOKUP($C6,'SI - Units'!$F$26:$F$36,'SI - Units'!$G$26:$G$36,"mass",0))</xm:f>
          </x14:formula1>
          <xm:sqref>O6:O100</xm:sqref>
        </x14:dataValidation>
        <x14:dataValidation type="list" allowBlank="1" showInputMessage="1" showErrorMessage="1" xr:uid="{5AF21388-5935-45D1-B83E-62873CC43866}">
          <x14:formula1>
            <xm:f>INDIRECT(_xlfn.XLOOKUP($P6,'SI - End Use'!$A$11:$A$18,'SI - End Use'!$B$11:$B$18,"other_end_use",0))</xm:f>
          </x14:formula1>
          <xm:sqref>Q6:R100</xm:sqref>
        </x14:dataValidation>
        <x14:dataValidation type="list" allowBlank="1" showInputMessage="1" xr:uid="{6F0AE929-ED76-48FC-BC6C-29FE71079F16}">
          <x14:formula1>
            <xm:f>INDIRECT(_xlfn.XLOOKUP($C6,'SI - End Use'!$A$11:$A$18,'SI - End Use'!$B$11:$B$18,"other_end_use",0))</xm:f>
          </x14:formula1>
          <xm:sqref>D6:D100</xm:sqref>
        </x14:dataValidation>
        <x14:dataValidation type="list" allowBlank="1" showInputMessage="1" showErrorMessage="1" xr:uid="{410090E8-D78F-499F-9BE6-919905558877}">
          <x14:formula1>
            <xm:f>INDIRECT(_xlfn.XLOOKUP($B6, 'SI - Resources'!$R$1:$R$10,'SI - Resources'!$S$1:$S$10, "placeholder_resource", 0))</xm:f>
          </x14:formula1>
          <xm:sqref>P6:P100 C6:C100</xm:sqref>
        </x14:dataValidation>
        <x14:dataValidation type="list" allowBlank="1" showInputMessage="1" showErrorMessage="1" xr:uid="{04D5AA8F-C1C6-4F72-9898-D7091767C440}">
          <x14:formula1>
            <xm:f>'SI - Co-products'!$B$2:$B$6</xm:f>
          </x14:formula1>
          <xm:sqref>A6:A100</xm:sqref>
        </x14:dataValidation>
        <x14:dataValidation type="list" allowBlank="1" showInputMessage="1" showErrorMessage="1" xr:uid="{46C9C9E8-C180-485A-8CF3-E3731BC7BF51}">
          <x14:formula1>
            <xm:f>'SI - Resources'!$A$1:$J$1</xm:f>
          </x14:formula1>
          <xm:sqref>B6:B100</xm:sqref>
        </x14:dataValidation>
        <x14:dataValidation type="list" allowBlank="1" showInputMessage="1" showErrorMessage="1" xr:uid="{A008C1FE-CC8A-49C5-85B9-806F495F9C45}">
          <x14:formula1>
            <xm:f>'SI - Co-products'!$C$2:$C$4</xm:f>
          </x14:formula1>
          <xm:sqref>I6:I100</xm:sqref>
        </x14:dataValidation>
        <x14:dataValidation type="list" allowBlank="1" showInputMessage="1" showErrorMessage="1" xr:uid="{9DED1CF7-C85D-4245-BE3E-45668FFF52B5}">
          <x14:formula1>
            <xm:f>'SI - Co-products'!$A$2:$A$5</xm:f>
          </x14:formula1>
          <xm:sqref>K6:K100</xm:sqref>
        </x14:dataValidation>
        <x14:dataValidation type="list" allowBlank="1" showInputMessage="1" showErrorMessage="1" xr:uid="{6EA3E9D3-A457-45E2-A6B7-7D7B2717BA79}">
          <x14:formula1>
            <xm:f>_xlfn.XLOOKUP(_xlfn.XLOOKUP(#REF!,'SI - Units'!$B$24:$B$109,'SI - Units'!$C$24:$C$109),'SI - Units'!$A$2:$A$8,'SI - Units'!$B$2:$R$8)</xm:f>
          </x14:formula1>
          <xm:sqref>F5</xm:sqref>
        </x14:dataValidation>
        <x14:dataValidation type="list" allowBlank="1" showInputMessage="1" showErrorMessage="1" xr:uid="{1ED772F6-68C9-463C-81BE-D8A528D152C5}">
          <x14:formula1>
            <xm:f>'SI - Co-products'!$D$2:$D$8</xm:f>
          </x14:formula1>
          <xm:sqref>C1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B5C079-68C4-427B-9B65-E882D9663266}">
  <sheetPr codeName="Sheet15"/>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38</v>
      </c>
      <c r="C6" s="6" t="s">
        <v>32</v>
      </c>
      <c r="D6" s="6" t="s">
        <v>336</v>
      </c>
      <c r="E6" s="60">
        <v>1</v>
      </c>
      <c r="F6" s="6" t="s">
        <v>11</v>
      </c>
      <c r="G6" s="25"/>
      <c r="H6" s="25" t="s">
        <v>358</v>
      </c>
      <c r="I6" s="26" t="str">
        <f>IF(Table115[[#This Row],[Type]]="Co-product", "No", "")</f>
        <v/>
      </c>
      <c r="J6" s="25"/>
      <c r="K6" s="6"/>
      <c r="L6" s="6" t="str">
        <f>IF(Table115[[#This Row],[Category]]="Transportation", _xlfn.XLOOKUP(Table115[[#This Row],[Resource]], 'SI - Payload'!$A$10:$A$40,'SI - Payload'!$B$10:$B$40,"",0), "")</f>
        <v/>
      </c>
      <c r="M6" s="6" t="str">
        <f>IF(Table115[[#This Row],[Category]]="Transportation", "ton", "")</f>
        <v/>
      </c>
      <c r="N6" s="6"/>
      <c r="O6" s="6"/>
      <c r="P6" s="6" t="str">
        <f>IF(OR(Table115[[#This Row],[Type]]="Main Product", Table115[[#This Row],[Type]]="Co-Product"), Table115[[#This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Data'!B11*1000*'INL Data'!E11</f>
        <v>811.64999999999986</v>
      </c>
      <c r="F7" s="6" t="s">
        <v>69</v>
      </c>
      <c r="G7" s="25"/>
      <c r="H7" s="25"/>
      <c r="I7" s="26" t="str">
        <f>IF(Table115[[#This Row],[Type]]="Co-product", "No", "")</f>
        <v/>
      </c>
      <c r="J7" s="25"/>
      <c r="K7" s="6"/>
      <c r="L7" s="6" t="str">
        <f>IF(Table115[[#This Row],[Category]]="Transportation", _xlfn.XLOOKUP(Table115[[#This Row],[Resource]], 'SI - Payload'!$A$10:$A$40,'SI - Payload'!$B$10:$B$40,"",0), "")</f>
        <v/>
      </c>
      <c r="M7" s="6" t="str">
        <f>IF(Table115[[#This Row],[Category]]="Transportation", "ton", "")</f>
        <v/>
      </c>
      <c r="N7" s="6"/>
      <c r="O7" s="6"/>
      <c r="P7" s="6" t="str">
        <f>IF(OR(Table115[[#This Row],[Type]]="Main Product", Table115[[#This Row],[Type]]="Co-Product"), Table115[[#This Row],[Resource]], "")</f>
        <v/>
      </c>
      <c r="Q7" s="6" t="str">
        <f>IF(_xlfn.XLOOKUP($P7,'SI - End Use'!$B$2:$B$6,'SI - End Use'!$C$2:$C$6, "")="", "", _xlfn.XLOOKUP($C7,'SI - End Use'!$B$2:$B$6,'SI - End Use'!$C$2:$C$6, ""))</f>
        <v/>
      </c>
      <c r="R7" s="6"/>
      <c r="S7" s="6"/>
      <c r="T7" s="6"/>
    </row>
    <row r="8" spans="1:20" x14ac:dyDescent="0.35">
      <c r="A8" s="6" t="s">
        <v>0</v>
      </c>
      <c r="B8" s="6" t="s">
        <v>244</v>
      </c>
      <c r="C8" s="6" t="s">
        <v>2</v>
      </c>
      <c r="D8" s="6" t="s">
        <v>9</v>
      </c>
      <c r="E8" s="60">
        <f>'INL Data'!B11*1000*'INL Data'!D11</f>
        <v>6918.35</v>
      </c>
      <c r="F8" s="6" t="s">
        <v>69</v>
      </c>
      <c r="G8" s="25"/>
      <c r="H8" s="25"/>
      <c r="I8" s="26" t="str">
        <f>IF(Table115[[#This Row],[Type]]="Co-product", "No", "")</f>
        <v/>
      </c>
      <c r="J8" s="25"/>
      <c r="K8" s="6"/>
      <c r="L8" s="6" t="str">
        <f>IF(Table115[[#This Row],[Category]]="Transportation", _xlfn.XLOOKUP(Table115[[#This Row],[Resource]], 'SI - Payload'!$A$10:$A$40,'SI - Payload'!$B$10:$B$40,"",0), "")</f>
        <v/>
      </c>
      <c r="M8" s="6" t="str">
        <f>IF(Table115[[#This Row],[Category]]="Transportation", "ton", "")</f>
        <v/>
      </c>
      <c r="N8" s="6"/>
      <c r="O8" s="6"/>
      <c r="P8" s="6" t="str">
        <f>IF(OR(Table115[[#This Row],[Type]]="Main Product", Table115[[#This Row],[Type]]="Co-Product"), Table115[[#This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Data'!B11*1000*'INL Data'!F11</f>
        <v>0</v>
      </c>
      <c r="F9" s="6" t="s">
        <v>69</v>
      </c>
      <c r="G9" s="25"/>
      <c r="H9" s="25"/>
      <c r="I9" s="26" t="str">
        <f>IF(Table115[[#This Row],[Type]]="Co-product", "No", "")</f>
        <v/>
      </c>
      <c r="J9" s="25"/>
      <c r="K9" s="6"/>
      <c r="L9" s="6" t="str">
        <f>IF(Table115[[#This Row],[Category]]="Transportation", _xlfn.XLOOKUP(Table115[[#This Row],[Resource]], 'SI - Payload'!$A$10:$A$40,'SI - Payload'!$B$10:$B$40,"",0), "")</f>
        <v/>
      </c>
      <c r="M9" s="6" t="str">
        <f>IF(Table115[[#This Row],[Category]]="Transportation", "ton", "")</f>
        <v/>
      </c>
      <c r="N9" s="6"/>
      <c r="O9" s="6"/>
      <c r="P9" s="6" t="str">
        <f>IF(OR(Table115[[#This Row],[Type]]="Main Product", Table115[[#This Row],[Type]]="Co-Product"), Table115[[#This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336</v>
      </c>
      <c r="E10" s="60">
        <f>1-'INL Data'!H11</f>
        <v>1</v>
      </c>
      <c r="F10" s="6" t="s">
        <v>11</v>
      </c>
      <c r="G10" s="25"/>
      <c r="H10" s="25"/>
      <c r="I10" s="26" t="str">
        <f>IF(Table115[[#This Row],[Type]]="Co-product", "No", "")</f>
        <v/>
      </c>
      <c r="J10" s="25"/>
      <c r="K10" s="6"/>
      <c r="L10" s="6" t="str">
        <f>IF(Table115[[#This Row],[Category]]="Transportation", _xlfn.XLOOKUP(Table115[[#This Row],[Resource]], 'SI - Payload'!$A$10:$A$40,'SI - Payload'!$B$10:$B$40,"",0), "")</f>
        <v/>
      </c>
      <c r="M10" s="6" t="str">
        <f>IF(Table115[[#This Row],[Category]]="Transportation", "ton", "")</f>
        <v/>
      </c>
      <c r="N10" s="6"/>
      <c r="O10" s="6"/>
      <c r="P10" s="6" t="str">
        <f>IF(OR(Table115[[#This Row],[Type]]="Main Product", Table115[[#This Row],[Type]]="Co-Product"), Table115[[#This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IF(Table115[[#This Row],[Type]]="Co-product", "No", "")</f>
        <v/>
      </c>
      <c r="J11" s="25"/>
      <c r="K11" s="6"/>
      <c r="L11" s="6" t="str">
        <f>IF(Table115[[#This Row],[Category]]="Transportation", _xlfn.XLOOKUP(Table115[[#This Row],[Resource]], 'SI - Payload'!$A$10:$A$40,'SI - Payload'!$B$10:$B$40,"",0), "")</f>
        <v/>
      </c>
      <c r="M11" s="6" t="str">
        <f>IF(Table115[[#This Row],[Category]]="Transportation", "ton", "")</f>
        <v/>
      </c>
      <c r="N11" s="6"/>
      <c r="O11" s="6"/>
      <c r="P11" s="6" t="str">
        <f>IF(OR(Table115[[#This Row],[Type]]="Main Product", Table115[[#This Row],[Type]]="Co-Product"), Table115[[#This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IF(Table115[[#This Row],[Type]]="Co-product", "No", "")</f>
        <v/>
      </c>
      <c r="J12" s="25"/>
      <c r="K12" s="6"/>
      <c r="L12" s="6" t="str">
        <f>IF(Table115[[#This Row],[Category]]="Transportation", _xlfn.XLOOKUP(Table115[[#This Row],[Resource]], 'SI - Payload'!$A$10:$A$40,'SI - Payload'!$B$10:$B$40,"",0), "")</f>
        <v/>
      </c>
      <c r="M12" s="6" t="str">
        <f>IF(Table115[[#This Row],[Category]]="Transportation", "ton", "")</f>
        <v/>
      </c>
      <c r="N12" s="6"/>
      <c r="O12" s="6"/>
      <c r="P12" s="6" t="str">
        <f>IF(OR(Table115[[#This Row],[Type]]="Main Product", Table115[[#This Row],[Type]]="Co-Product"), Table115[[#This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IF(Table115[[#This Row],[Type]]="Co-product", "No", "")</f>
        <v/>
      </c>
      <c r="J13" s="25"/>
      <c r="K13" s="6"/>
      <c r="L13" s="6" t="str">
        <f>IF(Table115[[#This Row],[Category]]="Transportation", _xlfn.XLOOKUP(Table115[[#This Row],[Resource]], 'SI - Payload'!$A$10:$A$40,'SI - Payload'!$B$10:$B$40,"",0), "")</f>
        <v/>
      </c>
      <c r="M13" s="6" t="str">
        <f>IF(Table115[[#This Row],[Category]]="Transportation", "ton", "")</f>
        <v/>
      </c>
      <c r="N13" s="6"/>
      <c r="O13" s="6"/>
      <c r="P13" s="6" t="str">
        <f>IF(OR(Table115[[#This Row],[Type]]="Main Product", Table115[[#This Row],[Type]]="Co-Product"), Table115[[#This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IF(Table115[[#This Row],[Type]]="Co-product", "No", "")</f>
        <v/>
      </c>
      <c r="J14" s="25"/>
      <c r="K14" s="6"/>
      <c r="L14" s="6" t="str">
        <f>IF(Table115[[#This Row],[Category]]="Transportation", _xlfn.XLOOKUP(Table115[[#This Row],[Resource]], 'SI - Payload'!$A$10:$A$40,'SI - Payload'!$B$10:$B$40,"",0), "")</f>
        <v/>
      </c>
      <c r="M14" s="6" t="str">
        <f>IF(Table115[[#This Row],[Category]]="Transportation", "ton", "")</f>
        <v/>
      </c>
      <c r="N14" s="6"/>
      <c r="O14" s="6"/>
      <c r="P14" s="6" t="str">
        <f>IF(OR(Table115[[#This Row],[Type]]="Main Product", Table115[[#This Row],[Type]]="Co-Product"), Table115[[#This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IF(Table115[[#This Row],[Type]]="Co-product", "No", "")</f>
        <v/>
      </c>
      <c r="J15" s="25"/>
      <c r="K15" s="6"/>
      <c r="L15" s="6" t="str">
        <f>IF(Table115[[#This Row],[Category]]="Transportation", _xlfn.XLOOKUP(Table115[[#This Row],[Resource]], 'SI - Payload'!$A$10:$A$40,'SI - Payload'!$B$10:$B$40,"",0), "")</f>
        <v/>
      </c>
      <c r="M15" s="6" t="str">
        <f>IF(Table115[[#This Row],[Category]]="Transportation", "ton", "")</f>
        <v/>
      </c>
      <c r="N15" s="6"/>
      <c r="O15" s="6"/>
      <c r="P15" s="6" t="str">
        <f>IF(OR(Table115[[#This Row],[Type]]="Main Product", Table115[[#This Row],[Type]]="Co-Product"), Table115[[#This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IF(Table115[[#This Row],[Type]]="Co-product", "No", "")</f>
        <v/>
      </c>
      <c r="J16" s="25"/>
      <c r="K16" s="6"/>
      <c r="L16" s="6" t="str">
        <f>IF(Table115[[#This Row],[Category]]="Transportation", _xlfn.XLOOKUP(Table115[[#This Row],[Resource]], 'SI - Payload'!$A$10:$A$40,'SI - Payload'!$B$10:$B$40,"",0), "")</f>
        <v/>
      </c>
      <c r="M16" s="6" t="str">
        <f>IF(Table115[[#This Row],[Category]]="Transportation", "ton", "")</f>
        <v/>
      </c>
      <c r="N16" s="6"/>
      <c r="O16" s="6"/>
      <c r="P16" s="6" t="str">
        <f>IF(OR(Table115[[#This Row],[Type]]="Main Product", Table115[[#This Row],[Type]]="Co-Product"), Table115[[#This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IF(Table115[[#This Row],[Type]]="Co-product", "No", "")</f>
        <v/>
      </c>
      <c r="J17" s="25"/>
      <c r="K17" s="6"/>
      <c r="L17" s="6" t="str">
        <f>IF(Table115[[#This Row],[Category]]="Transportation", _xlfn.XLOOKUP(Table115[[#This Row],[Resource]], 'SI - Payload'!$A$10:$A$40,'SI - Payload'!$B$10:$B$40,"",0), "")</f>
        <v/>
      </c>
      <c r="M17" s="6" t="str">
        <f>IF(Table115[[#This Row],[Category]]="Transportation", "ton", "")</f>
        <v/>
      </c>
      <c r="N17" s="6"/>
      <c r="O17" s="6"/>
      <c r="P17" s="6" t="str">
        <f>IF(OR(Table115[[#This Row],[Type]]="Main Product", Table115[[#This Row],[Type]]="Co-Product"), Table115[[#This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IF(Table115[[#This Row],[Type]]="Co-product", "No", "")</f>
        <v/>
      </c>
      <c r="J18" s="25"/>
      <c r="K18" s="6"/>
      <c r="L18" s="6" t="str">
        <f>IF(Table115[[#This Row],[Category]]="Transportation", _xlfn.XLOOKUP(Table115[[#This Row],[Resource]], 'SI - Payload'!$A$10:$A$40,'SI - Payload'!$B$10:$B$40,"",0), "")</f>
        <v/>
      </c>
      <c r="M18" s="6" t="str">
        <f>IF(Table115[[#This Row],[Category]]="Transportation", "ton", "")</f>
        <v/>
      </c>
      <c r="N18" s="6"/>
      <c r="O18" s="6"/>
      <c r="P18" s="6" t="str">
        <f>IF(OR(Table115[[#This Row],[Type]]="Main Product", Table115[[#This Row],[Type]]="Co-Product"), Table115[[#This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IF(Table115[[#This Row],[Type]]="Co-product", "No", "")</f>
        <v/>
      </c>
      <c r="J19" s="25"/>
      <c r="K19" s="6"/>
      <c r="L19" s="6" t="str">
        <f>IF(Table115[[#This Row],[Category]]="Transportation", _xlfn.XLOOKUP(Table115[[#This Row],[Resource]], 'SI - Payload'!$A$10:$A$40,'SI - Payload'!$B$10:$B$40,"",0), "")</f>
        <v/>
      </c>
      <c r="M19" s="6" t="str">
        <f>IF(Table115[[#This Row],[Category]]="Transportation", "ton", "")</f>
        <v/>
      </c>
      <c r="N19" s="6"/>
      <c r="O19" s="6"/>
      <c r="P19" s="6" t="str">
        <f>IF(OR(Table115[[#This Row],[Type]]="Main Product", Table115[[#This Row],[Type]]="Co-Product"), Table115[[#This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IF(Table115[[#This Row],[Type]]="Co-product", "No", "")</f>
        <v/>
      </c>
      <c r="J20" s="25"/>
      <c r="K20" s="6"/>
      <c r="L20" s="6" t="str">
        <f>IF(Table115[[#This Row],[Category]]="Transportation", _xlfn.XLOOKUP(Table115[[#This Row],[Resource]], 'SI - Payload'!$A$10:$A$40,'SI - Payload'!$B$10:$B$40,"",0), "")</f>
        <v/>
      </c>
      <c r="M20" s="6" t="str">
        <f>IF(Table115[[#This Row],[Category]]="Transportation", "ton", "")</f>
        <v/>
      </c>
      <c r="N20" s="6"/>
      <c r="O20" s="6"/>
      <c r="P20" s="6" t="str">
        <f>IF(OR(Table115[[#This Row],[Type]]="Main Product", Table115[[#This Row],[Type]]="Co-Product"), Table115[[#This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IF(Table115[[#This Row],[Type]]="Co-product", "No", "")</f>
        <v/>
      </c>
      <c r="J21" s="25"/>
      <c r="K21" s="6"/>
      <c r="L21" s="6" t="str">
        <f>IF(Table115[[#This Row],[Category]]="Transportation", _xlfn.XLOOKUP(Table115[[#This Row],[Resource]], 'SI - Payload'!$A$10:$A$40,'SI - Payload'!$B$10:$B$40,"",0), "")</f>
        <v/>
      </c>
      <c r="M21" s="6" t="str">
        <f>IF(Table115[[#This Row],[Category]]="Transportation", "ton", "")</f>
        <v/>
      </c>
      <c r="N21" s="6"/>
      <c r="O21" s="6"/>
      <c r="P21" s="6" t="str">
        <f>IF(OR(Table115[[#This Row],[Type]]="Main Product", Table115[[#This Row],[Type]]="Co-Product"), Table115[[#This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IF(Table115[[#This Row],[Type]]="Co-product", "No", "")</f>
        <v/>
      </c>
      <c r="J22" s="25"/>
      <c r="K22" s="6"/>
      <c r="L22" s="6" t="str">
        <f>IF(Table115[[#This Row],[Category]]="Transportation", _xlfn.XLOOKUP(Table115[[#This Row],[Resource]], 'SI - Payload'!$A$10:$A$40,'SI - Payload'!$B$10:$B$40,"",0), "")</f>
        <v/>
      </c>
      <c r="M22" s="6" t="str">
        <f>IF(Table115[[#This Row],[Category]]="Transportation", "ton", "")</f>
        <v/>
      </c>
      <c r="N22" s="6"/>
      <c r="O22" s="6"/>
      <c r="P22" s="6" t="str">
        <f>IF(OR(Table115[[#This Row],[Type]]="Main Product", Table115[[#This Row],[Type]]="Co-Product"), Table115[[#This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IF(Table115[[#This Row],[Type]]="Co-product", "No", "")</f>
        <v/>
      </c>
      <c r="J23" s="25"/>
      <c r="K23" s="6"/>
      <c r="L23" s="6" t="str">
        <f>IF(Table115[[#This Row],[Category]]="Transportation", _xlfn.XLOOKUP(Table115[[#This Row],[Resource]], 'SI - Payload'!$A$10:$A$40,'SI - Payload'!$B$10:$B$40,"",0), "")</f>
        <v/>
      </c>
      <c r="M23" s="6" t="str">
        <f>IF(Table115[[#This Row],[Category]]="Transportation", "ton", "")</f>
        <v/>
      </c>
      <c r="N23" s="6"/>
      <c r="O23" s="6"/>
      <c r="P23" s="6" t="str">
        <f>IF(OR(Table115[[#This Row],[Type]]="Main Product", Table115[[#This Row],[Type]]="Co-Product"), Table115[[#This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IF(Table115[[#This Row],[Type]]="Co-product", "No", "")</f>
        <v/>
      </c>
      <c r="J24" s="25"/>
      <c r="K24" s="6"/>
      <c r="L24" s="6" t="str">
        <f>IF(Table115[[#This Row],[Category]]="Transportation", _xlfn.XLOOKUP(Table115[[#This Row],[Resource]], 'SI - Payload'!$A$10:$A$40,'SI - Payload'!$B$10:$B$40,"",0), "")</f>
        <v/>
      </c>
      <c r="M24" s="6" t="str">
        <f>IF(Table115[[#This Row],[Category]]="Transportation", "ton", "")</f>
        <v/>
      </c>
      <c r="N24" s="6"/>
      <c r="O24" s="6"/>
      <c r="P24" s="6" t="str">
        <f>IF(OR(Table115[[#This Row],[Type]]="Main Product", Table115[[#This Row],[Type]]="Co-Product"), Table115[[#This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IF(Table115[[#This Row],[Type]]="Co-product", "No", "")</f>
        <v/>
      </c>
      <c r="J25" s="25"/>
      <c r="K25" s="6"/>
      <c r="L25" s="6" t="str">
        <f>IF(Table115[[#This Row],[Category]]="Transportation", _xlfn.XLOOKUP(Table115[[#This Row],[Resource]], 'SI - Payload'!$A$10:$A$40,'SI - Payload'!$B$10:$B$40,"",0), "")</f>
        <v/>
      </c>
      <c r="M25" s="6" t="str">
        <f>IF(Table115[[#This Row],[Category]]="Transportation", "ton", "")</f>
        <v/>
      </c>
      <c r="N25" s="6"/>
      <c r="O25" s="6"/>
      <c r="P25" s="6" t="str">
        <f>IF(OR(Table115[[#This Row],[Type]]="Main Product", Table115[[#This Row],[Type]]="Co-Product"), Table115[[#This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IF(Table115[[#This Row],[Type]]="Co-product", "No", "")</f>
        <v/>
      </c>
      <c r="J26" s="25"/>
      <c r="K26" s="6"/>
      <c r="L26" s="6" t="str">
        <f>IF(Table115[[#This Row],[Category]]="Transportation", _xlfn.XLOOKUP(Table115[[#This Row],[Resource]], 'SI - Payload'!$A$10:$A$40,'SI - Payload'!$B$10:$B$40,"",0), "")</f>
        <v/>
      </c>
      <c r="M26" s="6" t="str">
        <f>IF(Table115[[#This Row],[Category]]="Transportation", "ton", "")</f>
        <v/>
      </c>
      <c r="N26" s="6"/>
      <c r="O26" s="6"/>
      <c r="P26" s="6" t="str">
        <f>IF(OR(Table115[[#This Row],[Type]]="Main Product", Table115[[#This Row],[Type]]="Co-Product"), Table115[[#This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IF(Table115[[#This Row],[Type]]="Co-product", "No", "")</f>
        <v/>
      </c>
      <c r="J27" s="25"/>
      <c r="K27" s="6"/>
      <c r="L27" s="6" t="str">
        <f>IF(Table115[[#This Row],[Category]]="Transportation", _xlfn.XLOOKUP(Table115[[#This Row],[Resource]], 'SI - Payload'!$A$10:$A$40,'SI - Payload'!$B$10:$B$40,"",0), "")</f>
        <v/>
      </c>
      <c r="M27" s="6" t="str">
        <f>IF(Table115[[#This Row],[Category]]="Transportation", "ton", "")</f>
        <v/>
      </c>
      <c r="N27" s="6"/>
      <c r="O27" s="6"/>
      <c r="P27" s="6" t="str">
        <f>IF(OR(Table115[[#This Row],[Type]]="Main Product", Table115[[#This Row],[Type]]="Co-Product"), Table115[[#This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IF(Table115[[#This Row],[Type]]="Co-product", "No", "")</f>
        <v/>
      </c>
      <c r="J28" s="25"/>
      <c r="K28" s="6"/>
      <c r="L28" s="6" t="str">
        <f>IF(Table115[[#This Row],[Category]]="Transportation", _xlfn.XLOOKUP(Table115[[#This Row],[Resource]], 'SI - Payload'!$A$10:$A$40,'SI - Payload'!$B$10:$B$40,"",0), "")</f>
        <v/>
      </c>
      <c r="M28" s="6" t="str">
        <f>IF(Table115[[#This Row],[Category]]="Transportation", "ton", "")</f>
        <v/>
      </c>
      <c r="N28" s="6"/>
      <c r="O28" s="6"/>
      <c r="P28" s="6" t="str">
        <f>IF(OR(Table115[[#This Row],[Type]]="Main Product", Table115[[#This Row],[Type]]="Co-Product"), Table115[[#This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IF(Table115[[#This Row],[Type]]="Co-product", "No", "")</f>
        <v/>
      </c>
      <c r="J29" s="25"/>
      <c r="K29" s="6"/>
      <c r="L29" s="6" t="str">
        <f>IF(Table115[[#This Row],[Category]]="Transportation", _xlfn.XLOOKUP(Table115[[#This Row],[Resource]], 'SI - Payload'!$A$10:$A$40,'SI - Payload'!$B$10:$B$40,"",0), "")</f>
        <v/>
      </c>
      <c r="M29" s="6" t="str">
        <f>IF(Table115[[#This Row],[Category]]="Transportation", "ton", "")</f>
        <v/>
      </c>
      <c r="N29" s="6"/>
      <c r="O29" s="6"/>
      <c r="P29" s="6" t="str">
        <f>IF(OR(Table115[[#This Row],[Type]]="Main Product", Table115[[#This Row],[Type]]="Co-Product"), Table115[[#This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IF(Table115[[#This Row],[Type]]="Co-product", "No", "")</f>
        <v/>
      </c>
      <c r="J30" s="25"/>
      <c r="K30" s="6"/>
      <c r="L30" s="6" t="str">
        <f>IF(Table115[[#This Row],[Category]]="Transportation", _xlfn.XLOOKUP(Table115[[#This Row],[Resource]], 'SI - Payload'!$A$10:$A$40,'SI - Payload'!$B$10:$B$40,"",0), "")</f>
        <v/>
      </c>
      <c r="M30" s="6" t="str">
        <f>IF(Table115[[#This Row],[Category]]="Transportation", "ton", "")</f>
        <v/>
      </c>
      <c r="N30" s="6"/>
      <c r="O30" s="6"/>
      <c r="P30" s="6" t="str">
        <f>IF(OR(Table115[[#This Row],[Type]]="Main Product", Table115[[#This Row],[Type]]="Co-Product"), Table115[[#This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IF(Table115[[#This Row],[Type]]="Co-product", "No", "")</f>
        <v/>
      </c>
      <c r="J31" s="25"/>
      <c r="K31" s="6"/>
      <c r="L31" s="6" t="str">
        <f>IF(Table115[[#This Row],[Category]]="Transportation", _xlfn.XLOOKUP(Table115[[#This Row],[Resource]], 'SI - Payload'!$A$10:$A$40,'SI - Payload'!$B$10:$B$40,"",0), "")</f>
        <v/>
      </c>
      <c r="M31" s="6" t="str">
        <f>IF(Table115[[#This Row],[Category]]="Transportation", "ton", "")</f>
        <v/>
      </c>
      <c r="N31" s="6"/>
      <c r="O31" s="6"/>
      <c r="P31" s="6" t="str">
        <f>IF(OR(Table115[[#This Row],[Type]]="Main Product", Table115[[#This Row],[Type]]="Co-Product"), Table115[[#This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IF(Table115[[#This Row],[Type]]="Co-product", "No", "")</f>
        <v/>
      </c>
      <c r="J32" s="25"/>
      <c r="K32" s="6"/>
      <c r="L32" s="6" t="str">
        <f>IF(Table115[[#This Row],[Category]]="Transportation", _xlfn.XLOOKUP(Table115[[#This Row],[Resource]], 'SI - Payload'!$A$10:$A$40,'SI - Payload'!$B$10:$B$40,"",0), "")</f>
        <v/>
      </c>
      <c r="M32" s="6" t="str">
        <f>IF(Table115[[#This Row],[Category]]="Transportation", "ton", "")</f>
        <v/>
      </c>
      <c r="N32" s="6"/>
      <c r="O32" s="6"/>
      <c r="P32" s="6" t="str">
        <f>IF(OR(Table115[[#This Row],[Type]]="Main Product", Table115[[#This Row],[Type]]="Co-Product"), Table115[[#This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IF(Table115[[#This Row],[Type]]="Co-product", "No", "")</f>
        <v/>
      </c>
      <c r="J33" s="25"/>
      <c r="K33" s="6"/>
      <c r="L33" s="6" t="str">
        <f>IF(Table115[[#This Row],[Category]]="Transportation", _xlfn.XLOOKUP(Table115[[#This Row],[Resource]], 'SI - Payload'!$A$10:$A$40,'SI - Payload'!$B$10:$B$40,"",0), "")</f>
        <v/>
      </c>
      <c r="M33" s="6" t="str">
        <f>IF(Table115[[#This Row],[Category]]="Transportation", "ton", "")</f>
        <v/>
      </c>
      <c r="N33" s="6"/>
      <c r="O33" s="6"/>
      <c r="P33" s="6" t="str">
        <f>IF(OR(Table115[[#This Row],[Type]]="Main Product", Table115[[#This Row],[Type]]="Co-Product"), Table115[[#This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IF(Table115[[#This Row],[Type]]="Co-product", "No", "")</f>
        <v/>
      </c>
      <c r="J34" s="25"/>
      <c r="K34" s="6"/>
      <c r="L34" s="6" t="str">
        <f>IF(Table115[[#This Row],[Category]]="Transportation", _xlfn.XLOOKUP(Table115[[#This Row],[Resource]], 'SI - Payload'!$A$10:$A$40,'SI - Payload'!$B$10:$B$40,"",0), "")</f>
        <v/>
      </c>
      <c r="M34" s="6" t="str">
        <f>IF(Table115[[#This Row],[Category]]="Transportation", "ton", "")</f>
        <v/>
      </c>
      <c r="N34" s="6"/>
      <c r="O34" s="6"/>
      <c r="P34" s="6" t="str">
        <f>IF(OR(Table115[[#This Row],[Type]]="Main Product", Table115[[#This Row],[Type]]="Co-Product"), Table115[[#This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IF(Table115[[#This Row],[Type]]="Co-product", "No", "")</f>
        <v/>
      </c>
      <c r="J35" s="25"/>
      <c r="K35" s="6"/>
      <c r="L35" s="6" t="str">
        <f>IF(Table115[[#This Row],[Category]]="Transportation", _xlfn.XLOOKUP(Table115[[#This Row],[Resource]], 'SI - Payload'!$A$10:$A$40,'SI - Payload'!$B$10:$B$40,"",0), "")</f>
        <v/>
      </c>
      <c r="M35" s="6" t="str">
        <f>IF(Table115[[#This Row],[Category]]="Transportation", "ton", "")</f>
        <v/>
      </c>
      <c r="N35" s="6"/>
      <c r="O35" s="6"/>
      <c r="P35" s="6" t="str">
        <f>IF(OR(Table115[[#This Row],[Type]]="Main Product", Table115[[#This Row],[Type]]="Co-Product"), Table115[[#This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IF(Table115[[#This Row],[Type]]="Co-product", "No", "")</f>
        <v/>
      </c>
      <c r="J36" s="25"/>
      <c r="K36" s="6"/>
      <c r="L36" s="6" t="str">
        <f>IF(Table115[[#This Row],[Category]]="Transportation", _xlfn.XLOOKUP(Table115[[#This Row],[Resource]], 'SI - Payload'!$A$10:$A$40,'SI - Payload'!$B$10:$B$40,"",0), "")</f>
        <v/>
      </c>
      <c r="M36" s="6" t="str">
        <f>IF(Table115[[#This Row],[Category]]="Transportation", "ton", "")</f>
        <v/>
      </c>
      <c r="N36" s="6"/>
      <c r="O36" s="6"/>
      <c r="P36" s="6" t="str">
        <f>IF(OR(Table115[[#This Row],[Type]]="Main Product", Table115[[#This Row],[Type]]="Co-Product"), Table115[[#This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IF(Table115[[#This Row],[Type]]="Co-product", "No", "")</f>
        <v/>
      </c>
      <c r="J37" s="25"/>
      <c r="K37" s="6"/>
      <c r="L37" s="6" t="str">
        <f>IF(Table115[[#This Row],[Category]]="Transportation", _xlfn.XLOOKUP(Table115[[#This Row],[Resource]], 'SI - Payload'!$A$10:$A$40,'SI - Payload'!$B$10:$B$40,"",0), "")</f>
        <v/>
      </c>
      <c r="M37" s="6" t="str">
        <f>IF(Table115[[#This Row],[Category]]="Transportation", "ton", "")</f>
        <v/>
      </c>
      <c r="N37" s="6"/>
      <c r="O37" s="6"/>
      <c r="P37" s="6" t="str">
        <f>IF(OR(Table115[[#This Row],[Type]]="Main Product", Table115[[#This Row],[Type]]="Co-Product"), Table115[[#This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IF(Table115[[#This Row],[Type]]="Co-product", "No", "")</f>
        <v/>
      </c>
      <c r="J38" s="25"/>
      <c r="K38" s="6"/>
      <c r="L38" s="6" t="str">
        <f>IF(Table115[[#This Row],[Category]]="Transportation", _xlfn.XLOOKUP(Table115[[#This Row],[Resource]], 'SI - Payload'!$A$10:$A$40,'SI - Payload'!$B$10:$B$40,"",0), "")</f>
        <v/>
      </c>
      <c r="M38" s="6" t="str">
        <f>IF(Table115[[#This Row],[Category]]="Transportation", "ton", "")</f>
        <v/>
      </c>
      <c r="N38" s="6"/>
      <c r="O38" s="6"/>
      <c r="P38" s="6" t="str">
        <f>IF(OR(Table115[[#This Row],[Type]]="Main Product", Table115[[#This Row],[Type]]="Co-Product"), Table115[[#This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IF(Table115[[#This Row],[Type]]="Co-product", "No", "")</f>
        <v/>
      </c>
      <c r="J39" s="25"/>
      <c r="K39" s="6"/>
      <c r="L39" s="6" t="str">
        <f>IF(Table115[[#This Row],[Category]]="Transportation", _xlfn.XLOOKUP(Table115[[#This Row],[Resource]], 'SI - Payload'!$A$10:$A$40,'SI - Payload'!$B$10:$B$40,"",0), "")</f>
        <v/>
      </c>
      <c r="M39" s="6" t="str">
        <f>IF(Table115[[#This Row],[Category]]="Transportation", "ton", "")</f>
        <v/>
      </c>
      <c r="N39" s="6"/>
      <c r="O39" s="6"/>
      <c r="P39" s="6" t="str">
        <f>IF(OR(Table115[[#This Row],[Type]]="Main Product", Table115[[#This Row],[Type]]="Co-Product"), Table115[[#This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IF(Table115[[#This Row],[Type]]="Co-product", "No", "")</f>
        <v/>
      </c>
      <c r="J40" s="25"/>
      <c r="K40" s="6"/>
      <c r="L40" s="6" t="str">
        <f>IF(Table115[[#This Row],[Category]]="Transportation", _xlfn.XLOOKUP(Table115[[#This Row],[Resource]], 'SI - Payload'!$A$10:$A$40,'SI - Payload'!$B$10:$B$40,"",0), "")</f>
        <v/>
      </c>
      <c r="M40" s="6" t="str">
        <f>IF(Table115[[#This Row],[Category]]="Transportation", "ton", "")</f>
        <v/>
      </c>
      <c r="N40" s="6"/>
      <c r="O40" s="6"/>
      <c r="P40" s="6" t="str">
        <f>IF(OR(Table115[[#This Row],[Type]]="Main Product", Table115[[#This Row],[Type]]="Co-Product"), Table115[[#This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IF(Table115[[#This Row],[Type]]="Co-product", "No", "")</f>
        <v/>
      </c>
      <c r="J41" s="25"/>
      <c r="K41" s="6"/>
      <c r="L41" s="6" t="str">
        <f>IF(Table115[[#This Row],[Category]]="Transportation", _xlfn.XLOOKUP(Table115[[#This Row],[Resource]], 'SI - Payload'!$A$10:$A$40,'SI - Payload'!$B$10:$B$40,"",0), "")</f>
        <v/>
      </c>
      <c r="M41" s="6" t="str">
        <f>IF(Table115[[#This Row],[Category]]="Transportation", "ton", "")</f>
        <v/>
      </c>
      <c r="N41" s="6"/>
      <c r="O41" s="6"/>
      <c r="P41" s="6" t="str">
        <f>IF(OR(Table115[[#This Row],[Type]]="Main Product", Table115[[#This Row],[Type]]="Co-Product"), Table115[[#This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IF(Table115[[#This Row],[Type]]="Co-product", "No", "")</f>
        <v/>
      </c>
      <c r="J42" s="25"/>
      <c r="K42" s="6"/>
      <c r="L42" s="6" t="str">
        <f>IF(Table115[[#This Row],[Category]]="Transportation", _xlfn.XLOOKUP(Table115[[#This Row],[Resource]], 'SI - Payload'!$A$10:$A$40,'SI - Payload'!$B$10:$B$40,"",0), "")</f>
        <v/>
      </c>
      <c r="M42" s="6" t="str">
        <f>IF(Table115[[#This Row],[Category]]="Transportation", "ton", "")</f>
        <v/>
      </c>
      <c r="N42" s="6"/>
      <c r="O42" s="6"/>
      <c r="P42" s="6" t="str">
        <f>IF(OR(Table115[[#This Row],[Type]]="Main Product", Table115[[#This Row],[Type]]="Co-Product"), Table115[[#This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IF(Table115[[#This Row],[Type]]="Co-product", "No", "")</f>
        <v/>
      </c>
      <c r="J43" s="25"/>
      <c r="K43" s="6"/>
      <c r="L43" s="6" t="str">
        <f>IF(Table115[[#This Row],[Category]]="Transportation", _xlfn.XLOOKUP(Table115[[#This Row],[Resource]], 'SI - Payload'!$A$10:$A$40,'SI - Payload'!$B$10:$B$40,"",0), "")</f>
        <v/>
      </c>
      <c r="M43" s="6" t="str">
        <f>IF(Table115[[#This Row],[Category]]="Transportation", "ton", "")</f>
        <v/>
      </c>
      <c r="N43" s="6"/>
      <c r="O43" s="6"/>
      <c r="P43" s="6" t="str">
        <f>IF(OR(Table115[[#This Row],[Type]]="Main Product", Table115[[#This Row],[Type]]="Co-Product"), Table115[[#This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IF(Table115[[#This Row],[Type]]="Co-product", "No", "")</f>
        <v/>
      </c>
      <c r="J44" s="25"/>
      <c r="K44" s="6"/>
      <c r="L44" s="6" t="str">
        <f>IF(Table115[[#This Row],[Category]]="Transportation", _xlfn.XLOOKUP(Table115[[#This Row],[Resource]], 'SI - Payload'!$A$10:$A$40,'SI - Payload'!$B$10:$B$40,"",0), "")</f>
        <v/>
      </c>
      <c r="M44" s="6" t="str">
        <f>IF(Table115[[#This Row],[Category]]="Transportation", "ton", "")</f>
        <v/>
      </c>
      <c r="N44" s="6"/>
      <c r="O44" s="6"/>
      <c r="P44" s="6" t="str">
        <f>IF(OR(Table115[[#This Row],[Type]]="Main Product", Table115[[#This Row],[Type]]="Co-Product"), Table115[[#This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IF(Table115[[#This Row],[Type]]="Co-product", "No", "")</f>
        <v/>
      </c>
      <c r="J45" s="25"/>
      <c r="K45" s="6"/>
      <c r="L45" s="6" t="str">
        <f>IF(Table115[[#This Row],[Category]]="Transportation", _xlfn.XLOOKUP(Table115[[#This Row],[Resource]], 'SI - Payload'!$A$10:$A$40,'SI - Payload'!$B$10:$B$40,"",0), "")</f>
        <v/>
      </c>
      <c r="M45" s="6" t="str">
        <f>IF(Table115[[#This Row],[Category]]="Transportation", "ton", "")</f>
        <v/>
      </c>
      <c r="N45" s="6"/>
      <c r="O45" s="6"/>
      <c r="P45" s="6" t="str">
        <f>IF(OR(Table115[[#This Row],[Type]]="Main Product", Table115[[#This Row],[Type]]="Co-Product"), Table115[[#This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IF(Table115[[#This Row],[Type]]="Co-product", "No", "")</f>
        <v/>
      </c>
      <c r="J46" s="25"/>
      <c r="K46" s="6"/>
      <c r="L46" s="6" t="str">
        <f>IF(Table115[[#This Row],[Category]]="Transportation", _xlfn.XLOOKUP(Table115[[#This Row],[Resource]], 'SI - Payload'!$A$10:$A$40,'SI - Payload'!$B$10:$B$40,"",0), "")</f>
        <v/>
      </c>
      <c r="M46" s="6" t="str">
        <f>IF(Table115[[#This Row],[Category]]="Transportation", "ton", "")</f>
        <v/>
      </c>
      <c r="N46" s="6"/>
      <c r="O46" s="6"/>
      <c r="P46" s="6" t="str">
        <f>IF(OR(Table115[[#This Row],[Type]]="Main Product", Table115[[#This Row],[Type]]="Co-Product"), Table115[[#This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IF(Table115[[#This Row],[Type]]="Co-product", "No", "")</f>
        <v/>
      </c>
      <c r="J47" s="25"/>
      <c r="K47" s="6"/>
      <c r="L47" s="6" t="str">
        <f>IF(Table115[[#This Row],[Category]]="Transportation", _xlfn.XLOOKUP(Table115[[#This Row],[Resource]], 'SI - Payload'!$A$10:$A$40,'SI - Payload'!$B$10:$B$40,"",0), "")</f>
        <v/>
      </c>
      <c r="M47" s="6" t="str">
        <f>IF(Table115[[#This Row],[Category]]="Transportation", "ton", "")</f>
        <v/>
      </c>
      <c r="N47" s="6"/>
      <c r="O47" s="6"/>
      <c r="P47" s="6" t="str">
        <f>IF(OR(Table115[[#This Row],[Type]]="Main Product", Table115[[#This Row],[Type]]="Co-Product"), Table115[[#This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IF(Table115[[#This Row],[Type]]="Co-product", "No", "")</f>
        <v/>
      </c>
      <c r="J48" s="25"/>
      <c r="K48" s="6"/>
      <c r="L48" s="6" t="str">
        <f>IF(Table115[[#This Row],[Category]]="Transportation", _xlfn.XLOOKUP(Table115[[#This Row],[Resource]], 'SI - Payload'!$A$10:$A$40,'SI - Payload'!$B$10:$B$40,"",0), "")</f>
        <v/>
      </c>
      <c r="M48" s="6" t="str">
        <f>IF(Table115[[#This Row],[Category]]="Transportation", "ton", "")</f>
        <v/>
      </c>
      <c r="N48" s="6"/>
      <c r="O48" s="6"/>
      <c r="P48" s="6" t="str">
        <f>IF(OR(Table115[[#This Row],[Type]]="Main Product", Table115[[#This Row],[Type]]="Co-Product"), Table115[[#This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IF(Table115[[#This Row],[Type]]="Co-product", "No", "")</f>
        <v/>
      </c>
      <c r="J49" s="25"/>
      <c r="K49" s="6"/>
      <c r="L49" s="6" t="str">
        <f>IF(Table115[[#This Row],[Category]]="Transportation", _xlfn.XLOOKUP(Table115[[#This Row],[Resource]], 'SI - Payload'!$A$10:$A$40,'SI - Payload'!$B$10:$B$40,"",0), "")</f>
        <v/>
      </c>
      <c r="M49" s="6" t="str">
        <f>IF(Table115[[#This Row],[Category]]="Transportation", "ton", "")</f>
        <v/>
      </c>
      <c r="N49" s="6"/>
      <c r="O49" s="6"/>
      <c r="P49" s="6" t="str">
        <f>IF(OR(Table115[[#This Row],[Type]]="Main Product", Table115[[#This Row],[Type]]="Co-Product"), Table115[[#This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IF(Table115[[#This Row],[Type]]="Co-product", "No", "")</f>
        <v/>
      </c>
      <c r="J50" s="25"/>
      <c r="K50" s="6"/>
      <c r="L50" s="6" t="str">
        <f>IF(Table115[[#This Row],[Category]]="Transportation", _xlfn.XLOOKUP(Table115[[#This Row],[Resource]], 'SI - Payload'!$A$10:$A$40,'SI - Payload'!$B$10:$B$40,"",0), "")</f>
        <v/>
      </c>
      <c r="M50" s="6" t="str">
        <f>IF(Table115[[#This Row],[Category]]="Transportation", "ton", "")</f>
        <v/>
      </c>
      <c r="N50" s="6"/>
      <c r="O50" s="6"/>
      <c r="P50" s="6" t="str">
        <f>IF(OR(Table115[[#This Row],[Type]]="Main Product", Table115[[#This Row],[Type]]="Co-Product"), Table115[[#This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IF(Table115[[#This Row],[Type]]="Co-product", "No", "")</f>
        <v/>
      </c>
      <c r="J51" s="25"/>
      <c r="K51" s="6"/>
      <c r="L51" s="6" t="str">
        <f>IF(Table115[[#This Row],[Category]]="Transportation", _xlfn.XLOOKUP(Table115[[#This Row],[Resource]], 'SI - Payload'!$A$10:$A$40,'SI - Payload'!$B$10:$B$40,"",0), "")</f>
        <v/>
      </c>
      <c r="M51" s="6" t="str">
        <f>IF(Table115[[#This Row],[Category]]="Transportation", "ton", "")</f>
        <v/>
      </c>
      <c r="N51" s="6"/>
      <c r="O51" s="6"/>
      <c r="P51" s="6" t="str">
        <f>IF(OR(Table115[[#This Row],[Type]]="Main Product", Table115[[#This Row],[Type]]="Co-Product"), Table115[[#This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IF(Table115[[#This Row],[Type]]="Co-product", "No", "")</f>
        <v/>
      </c>
      <c r="J52" s="25"/>
      <c r="K52" s="6"/>
      <c r="L52" s="6" t="str">
        <f>IF(Table115[[#This Row],[Category]]="Transportation", _xlfn.XLOOKUP(Table115[[#This Row],[Resource]], 'SI - Payload'!$A$10:$A$40,'SI - Payload'!$B$10:$B$40,"",0), "")</f>
        <v/>
      </c>
      <c r="M52" s="6" t="str">
        <f>IF(Table115[[#This Row],[Category]]="Transportation", "ton", "")</f>
        <v/>
      </c>
      <c r="N52" s="6"/>
      <c r="O52" s="6"/>
      <c r="P52" s="6" t="str">
        <f>IF(OR(Table115[[#This Row],[Type]]="Main Product", Table115[[#This Row],[Type]]="Co-Product"), Table115[[#This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IF(Table115[[#This Row],[Type]]="Co-product", "No", "")</f>
        <v/>
      </c>
      <c r="J53" s="25"/>
      <c r="K53" s="6"/>
      <c r="L53" s="6" t="str">
        <f>IF(Table115[[#This Row],[Category]]="Transportation", _xlfn.XLOOKUP(Table115[[#This Row],[Resource]], 'SI - Payload'!$A$10:$A$40,'SI - Payload'!$B$10:$B$40,"",0), "")</f>
        <v/>
      </c>
      <c r="M53" s="6" t="str">
        <f>IF(Table115[[#This Row],[Category]]="Transportation", "ton", "")</f>
        <v/>
      </c>
      <c r="N53" s="6"/>
      <c r="O53" s="6"/>
      <c r="P53" s="6" t="str">
        <f>IF(OR(Table115[[#This Row],[Type]]="Main Product", Table115[[#This Row],[Type]]="Co-Product"), Table115[[#This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IF(Table115[[#This Row],[Type]]="Co-product", "No", "")</f>
        <v/>
      </c>
      <c r="J54" s="25"/>
      <c r="K54" s="6"/>
      <c r="L54" s="6" t="str">
        <f>IF(Table115[[#This Row],[Category]]="Transportation", _xlfn.XLOOKUP(Table115[[#This Row],[Resource]], 'SI - Payload'!$A$10:$A$40,'SI - Payload'!$B$10:$B$40,"",0), "")</f>
        <v/>
      </c>
      <c r="M54" s="6" t="str">
        <f>IF(Table115[[#This Row],[Category]]="Transportation", "ton", "")</f>
        <v/>
      </c>
      <c r="N54" s="6"/>
      <c r="O54" s="6"/>
      <c r="P54" s="6" t="str">
        <f>IF(OR(Table115[[#This Row],[Type]]="Main Product", Table115[[#This Row],[Type]]="Co-Product"), Table115[[#This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IF(Table115[[#This Row],[Type]]="Co-product", "No", "")</f>
        <v/>
      </c>
      <c r="J55" s="25"/>
      <c r="K55" s="6"/>
      <c r="L55" s="6" t="str">
        <f>IF(Table115[[#This Row],[Category]]="Transportation", _xlfn.XLOOKUP(Table115[[#This Row],[Resource]], 'SI - Payload'!$A$10:$A$40,'SI - Payload'!$B$10:$B$40,"",0), "")</f>
        <v/>
      </c>
      <c r="M55" s="6" t="str">
        <f>IF(Table115[[#This Row],[Category]]="Transportation", "ton", "")</f>
        <v/>
      </c>
      <c r="N55" s="6"/>
      <c r="O55" s="6"/>
      <c r="P55" s="6" t="str">
        <f>IF(OR(Table115[[#This Row],[Type]]="Main Product", Table115[[#This Row],[Type]]="Co-Product"), Table115[[#This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IF(Table115[[#This Row],[Type]]="Co-product", "No", "")</f>
        <v/>
      </c>
      <c r="J56" s="25"/>
      <c r="K56" s="6"/>
      <c r="L56" s="6" t="str">
        <f>IF(Table115[[#This Row],[Category]]="Transportation", _xlfn.XLOOKUP(Table115[[#This Row],[Resource]], 'SI - Payload'!$A$10:$A$40,'SI - Payload'!$B$10:$B$40,"",0), "")</f>
        <v/>
      </c>
      <c r="M56" s="6" t="str">
        <f>IF(Table115[[#This Row],[Category]]="Transportation", "ton", "")</f>
        <v/>
      </c>
      <c r="N56" s="6"/>
      <c r="O56" s="6"/>
      <c r="P56" s="6" t="str">
        <f>IF(OR(Table115[[#This Row],[Type]]="Main Product", Table115[[#This Row],[Type]]="Co-Product"), Table115[[#This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IF(Table115[[#This Row],[Type]]="Co-product", "No", "")</f>
        <v/>
      </c>
      <c r="J57" s="25"/>
      <c r="K57" s="6"/>
      <c r="L57" s="6" t="str">
        <f>IF(Table115[[#This Row],[Category]]="Transportation", _xlfn.XLOOKUP(Table115[[#This Row],[Resource]], 'SI - Payload'!$A$10:$A$40,'SI - Payload'!$B$10:$B$40,"",0), "")</f>
        <v/>
      </c>
      <c r="M57" s="6" t="str">
        <f>IF(Table115[[#This Row],[Category]]="Transportation", "ton", "")</f>
        <v/>
      </c>
      <c r="N57" s="6"/>
      <c r="O57" s="6"/>
      <c r="P57" s="6" t="str">
        <f>IF(OR(Table115[[#This Row],[Type]]="Main Product", Table115[[#This Row],[Type]]="Co-Product"), Table115[[#This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IF(Table115[[#This Row],[Type]]="Co-product", "No", "")</f>
        <v/>
      </c>
      <c r="J58" s="25"/>
      <c r="K58" s="6"/>
      <c r="L58" s="6" t="str">
        <f>IF(Table115[[#This Row],[Category]]="Transportation", _xlfn.XLOOKUP(Table115[[#This Row],[Resource]], 'SI - Payload'!$A$10:$A$40,'SI - Payload'!$B$10:$B$40,"",0), "")</f>
        <v/>
      </c>
      <c r="M58" s="6" t="str">
        <f>IF(Table115[[#This Row],[Category]]="Transportation", "ton", "")</f>
        <v/>
      </c>
      <c r="N58" s="6"/>
      <c r="O58" s="6"/>
      <c r="P58" s="6" t="str">
        <f>IF(OR(Table115[[#This Row],[Type]]="Main Product", Table115[[#This Row],[Type]]="Co-Product"), Table115[[#This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IF(Table115[[#This Row],[Type]]="Co-product", "No", "")</f>
        <v/>
      </c>
      <c r="J59" s="25"/>
      <c r="K59" s="6"/>
      <c r="L59" s="6" t="str">
        <f>IF(Table115[[#This Row],[Category]]="Transportation", _xlfn.XLOOKUP(Table115[[#This Row],[Resource]], 'SI - Payload'!$A$10:$A$40,'SI - Payload'!$B$10:$B$40,"",0), "")</f>
        <v/>
      </c>
      <c r="M59" s="6" t="str">
        <f>IF(Table115[[#This Row],[Category]]="Transportation", "ton", "")</f>
        <v/>
      </c>
      <c r="N59" s="6"/>
      <c r="O59" s="6"/>
      <c r="P59" s="6" t="str">
        <f>IF(OR(Table115[[#This Row],[Type]]="Main Product", Table115[[#This Row],[Type]]="Co-Product"), Table115[[#This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IF(Table115[[#This Row],[Type]]="Co-product", "No", "")</f>
        <v/>
      </c>
      <c r="J60" s="25"/>
      <c r="K60" s="6"/>
      <c r="L60" s="6" t="str">
        <f>IF(Table115[[#This Row],[Category]]="Transportation", _xlfn.XLOOKUP(Table115[[#This Row],[Resource]], 'SI - Payload'!$A$10:$A$40,'SI - Payload'!$B$10:$B$40,"",0), "")</f>
        <v/>
      </c>
      <c r="M60" s="6" t="str">
        <f>IF(Table115[[#This Row],[Category]]="Transportation", "ton", "")</f>
        <v/>
      </c>
      <c r="N60" s="6"/>
      <c r="O60" s="6"/>
      <c r="P60" s="6" t="str">
        <f>IF(OR(Table115[[#This Row],[Type]]="Main Product", Table115[[#This Row],[Type]]="Co-Product"), Table115[[#This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IF(Table115[[#This Row],[Type]]="Co-product", "No", "")</f>
        <v/>
      </c>
      <c r="J61" s="25"/>
      <c r="K61" s="6"/>
      <c r="L61" s="6" t="str">
        <f>IF(Table115[[#This Row],[Category]]="Transportation", _xlfn.XLOOKUP(Table115[[#This Row],[Resource]], 'SI - Payload'!$A$10:$A$40,'SI - Payload'!$B$10:$B$40,"",0), "")</f>
        <v/>
      </c>
      <c r="M61" s="6" t="str">
        <f>IF(Table115[[#This Row],[Category]]="Transportation", "ton", "")</f>
        <v/>
      </c>
      <c r="N61" s="6"/>
      <c r="O61" s="6"/>
      <c r="P61" s="6" t="str">
        <f>IF(OR(Table115[[#This Row],[Type]]="Main Product", Table115[[#This Row],[Type]]="Co-Product"), Table115[[#This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IF(Table115[[#This Row],[Type]]="Co-product", "No", "")</f>
        <v/>
      </c>
      <c r="J62" s="25"/>
      <c r="K62" s="6"/>
      <c r="L62" s="6" t="str">
        <f>IF(Table115[[#This Row],[Category]]="Transportation", _xlfn.XLOOKUP(Table115[[#This Row],[Resource]], 'SI - Payload'!$A$10:$A$40,'SI - Payload'!$B$10:$B$40,"",0), "")</f>
        <v/>
      </c>
      <c r="M62" s="6" t="str">
        <f>IF(Table115[[#This Row],[Category]]="Transportation", "ton", "")</f>
        <v/>
      </c>
      <c r="N62" s="6"/>
      <c r="O62" s="6"/>
      <c r="P62" s="6" t="str">
        <f>IF(OR(Table115[[#This Row],[Type]]="Main Product", Table115[[#This Row],[Type]]="Co-Product"), Table115[[#This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IF(Table115[[#This Row],[Type]]="Co-product", "No", "")</f>
        <v/>
      </c>
      <c r="J63" s="25"/>
      <c r="K63" s="6"/>
      <c r="L63" s="6" t="str">
        <f>IF(Table115[[#This Row],[Category]]="Transportation", _xlfn.XLOOKUP(Table115[[#This Row],[Resource]], 'SI - Payload'!$A$10:$A$40,'SI - Payload'!$B$10:$B$40,"",0), "")</f>
        <v/>
      </c>
      <c r="M63" s="6" t="str">
        <f>IF(Table115[[#This Row],[Category]]="Transportation", "ton", "")</f>
        <v/>
      </c>
      <c r="N63" s="6"/>
      <c r="O63" s="6"/>
      <c r="P63" s="6" t="str">
        <f>IF(OR(Table115[[#This Row],[Type]]="Main Product", Table115[[#This Row],[Type]]="Co-Product"), Table115[[#This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IF(Table115[[#This Row],[Type]]="Co-product", "No", "")</f>
        <v/>
      </c>
      <c r="J64" s="25"/>
      <c r="K64" s="6"/>
      <c r="L64" s="6" t="str">
        <f>IF(Table115[[#This Row],[Category]]="Transportation", _xlfn.XLOOKUP(Table115[[#This Row],[Resource]], 'SI - Payload'!$A$10:$A$40,'SI - Payload'!$B$10:$B$40,"",0), "")</f>
        <v/>
      </c>
      <c r="M64" s="6" t="str">
        <f>IF(Table115[[#This Row],[Category]]="Transportation", "ton", "")</f>
        <v/>
      </c>
      <c r="N64" s="6"/>
      <c r="O64" s="6"/>
      <c r="P64" s="6" t="str">
        <f>IF(OR(Table115[[#This Row],[Type]]="Main Product", Table115[[#This Row],[Type]]="Co-Product"), Table115[[#This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IF(Table115[[#This Row],[Type]]="Co-product", "No", "")</f>
        <v/>
      </c>
      <c r="J65" s="25"/>
      <c r="K65" s="6"/>
      <c r="L65" s="6" t="str">
        <f>IF(Table115[[#This Row],[Category]]="Transportation", _xlfn.XLOOKUP(Table115[[#This Row],[Resource]], 'SI - Payload'!$A$10:$A$40,'SI - Payload'!$B$10:$B$40,"",0), "")</f>
        <v/>
      </c>
      <c r="M65" s="6" t="str">
        <f>IF(Table115[[#This Row],[Category]]="Transportation", "ton", "")</f>
        <v/>
      </c>
      <c r="N65" s="6"/>
      <c r="O65" s="6"/>
      <c r="P65" s="6" t="str">
        <f>IF(OR(Table115[[#This Row],[Type]]="Main Product", Table115[[#This Row],[Type]]="Co-Product"), Table115[[#This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IF(Table115[[#This Row],[Type]]="Co-product", "No", "")</f>
        <v/>
      </c>
      <c r="J66" s="25"/>
      <c r="K66" s="6"/>
      <c r="L66" s="6" t="str">
        <f>IF(Table115[[#This Row],[Category]]="Transportation", _xlfn.XLOOKUP(Table115[[#This Row],[Resource]], 'SI - Payload'!$A$10:$A$40,'SI - Payload'!$B$10:$B$40,"",0), "")</f>
        <v/>
      </c>
      <c r="M66" s="6" t="str">
        <f>IF(Table115[[#This Row],[Category]]="Transportation", "ton", "")</f>
        <v/>
      </c>
      <c r="N66" s="6"/>
      <c r="O66" s="6"/>
      <c r="P66" s="6" t="str">
        <f>IF(OR(Table115[[#This Row],[Type]]="Main Product", Table115[[#This Row],[Type]]="Co-Product"), Table115[[#This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IF(Table115[[#This Row],[Type]]="Co-product", "No", "")</f>
        <v/>
      </c>
      <c r="J67" s="25"/>
      <c r="K67" s="6"/>
      <c r="L67" s="6" t="str">
        <f>IF(Table115[[#This Row],[Category]]="Transportation", _xlfn.XLOOKUP(Table115[[#This Row],[Resource]], 'SI - Payload'!$A$10:$A$40,'SI - Payload'!$B$10:$B$40,"",0), "")</f>
        <v/>
      </c>
      <c r="M67" s="6" t="str">
        <f>IF(Table115[[#This Row],[Category]]="Transportation", "ton", "")</f>
        <v/>
      </c>
      <c r="N67" s="6"/>
      <c r="O67" s="6"/>
      <c r="P67" s="6" t="str">
        <f>IF(OR(Table115[[#This Row],[Type]]="Main Product", Table115[[#This Row],[Type]]="Co-Product"), Table115[[#This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IF(Table115[[#This Row],[Type]]="Co-product", "No", "")</f>
        <v/>
      </c>
      <c r="J68" s="25"/>
      <c r="K68" s="6"/>
      <c r="L68" s="6" t="str">
        <f>IF(Table115[[#This Row],[Category]]="Transportation", _xlfn.XLOOKUP(Table115[[#This Row],[Resource]], 'SI - Payload'!$A$10:$A$40,'SI - Payload'!$B$10:$B$40,"",0), "")</f>
        <v/>
      </c>
      <c r="M68" s="6" t="str">
        <f>IF(Table115[[#This Row],[Category]]="Transportation", "ton", "")</f>
        <v/>
      </c>
      <c r="N68" s="6"/>
      <c r="O68" s="6"/>
      <c r="P68" s="6" t="str">
        <f>IF(OR(Table115[[#This Row],[Type]]="Main Product", Table115[[#This Row],[Type]]="Co-Product"), Table115[[#This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IF(Table115[[#This Row],[Type]]="Co-product", "No", "")</f>
        <v/>
      </c>
      <c r="J69" s="25"/>
      <c r="K69" s="6"/>
      <c r="L69" s="6" t="str">
        <f>IF(Table115[[#This Row],[Category]]="Transportation", _xlfn.XLOOKUP(Table115[[#This Row],[Resource]], 'SI - Payload'!$A$10:$A$40,'SI - Payload'!$B$10:$B$40,"",0), "")</f>
        <v/>
      </c>
      <c r="M69" s="6" t="str">
        <f>IF(Table115[[#This Row],[Category]]="Transportation", "ton", "")</f>
        <v/>
      </c>
      <c r="N69" s="6"/>
      <c r="O69" s="6"/>
      <c r="P69" s="6" t="str">
        <f>IF(OR(Table115[[#This Row],[Type]]="Main Product", Table115[[#This Row],[Type]]="Co-Product"), Table115[[#This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IF(Table115[[#This Row],[Type]]="Co-product", "No", "")</f>
        <v/>
      </c>
      <c r="J70" s="25"/>
      <c r="K70" s="6"/>
      <c r="L70" s="6" t="str">
        <f>IF(Table115[[#This Row],[Category]]="Transportation", _xlfn.XLOOKUP(Table115[[#This Row],[Resource]], 'SI - Payload'!$A$10:$A$40,'SI - Payload'!$B$10:$B$40,"",0), "")</f>
        <v/>
      </c>
      <c r="M70" s="6" t="str">
        <f>IF(Table115[[#This Row],[Category]]="Transportation", "ton", "")</f>
        <v/>
      </c>
      <c r="N70" s="6"/>
      <c r="O70" s="6"/>
      <c r="P70" s="6" t="str">
        <f>IF(OR(Table115[[#This Row],[Type]]="Main Product", Table115[[#This Row],[Type]]="Co-Product"), Table115[[#This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IF(Table115[[#This Row],[Type]]="Co-product", "No", "")</f>
        <v/>
      </c>
      <c r="J71" s="25"/>
      <c r="K71" s="6"/>
      <c r="L71" s="6" t="str">
        <f>IF(Table115[[#This Row],[Category]]="Transportation", _xlfn.XLOOKUP(Table115[[#This Row],[Resource]], 'SI - Payload'!$A$10:$A$40,'SI - Payload'!$B$10:$B$40,"",0), "")</f>
        <v/>
      </c>
      <c r="M71" s="6" t="str">
        <f>IF(Table115[[#This Row],[Category]]="Transportation", "ton", "")</f>
        <v/>
      </c>
      <c r="N71" s="6"/>
      <c r="O71" s="6"/>
      <c r="P71" s="6" t="str">
        <f>IF(OR(Table115[[#This Row],[Type]]="Main Product", Table115[[#This Row],[Type]]="Co-Product"), Table115[[#This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IF(Table115[[#This Row],[Type]]="Co-product", "No", "")</f>
        <v/>
      </c>
      <c r="J72" s="25"/>
      <c r="K72" s="6"/>
      <c r="L72" s="6" t="str">
        <f>IF(Table115[[#This Row],[Category]]="Transportation", _xlfn.XLOOKUP(Table115[[#This Row],[Resource]], 'SI - Payload'!$A$10:$A$40,'SI - Payload'!$B$10:$B$40,"",0), "")</f>
        <v/>
      </c>
      <c r="M72" s="6" t="str">
        <f>IF(Table115[[#This Row],[Category]]="Transportation", "ton", "")</f>
        <v/>
      </c>
      <c r="N72" s="6"/>
      <c r="O72" s="6"/>
      <c r="P72" s="6" t="str">
        <f>IF(OR(Table115[[#This Row],[Type]]="Main Product", Table115[[#This Row],[Type]]="Co-Product"), Table115[[#This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IF(Table115[[#This Row],[Type]]="Co-product", "No", "")</f>
        <v/>
      </c>
      <c r="J73" s="25"/>
      <c r="K73" s="6"/>
      <c r="L73" s="6" t="str">
        <f>IF(Table115[[#This Row],[Category]]="Transportation", _xlfn.XLOOKUP(Table115[[#This Row],[Resource]], 'SI - Payload'!$A$10:$A$40,'SI - Payload'!$B$10:$B$40,"",0), "")</f>
        <v/>
      </c>
      <c r="M73" s="6" t="str">
        <f>IF(Table115[[#This Row],[Category]]="Transportation", "ton", "")</f>
        <v/>
      </c>
      <c r="N73" s="6"/>
      <c r="O73" s="6"/>
      <c r="P73" s="6" t="str">
        <f>IF(OR(Table115[[#This Row],[Type]]="Main Product", Table115[[#This Row],[Type]]="Co-Product"), Table115[[#This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IF(Table115[[#This Row],[Type]]="Co-product", "No", "")</f>
        <v/>
      </c>
      <c r="J74" s="25"/>
      <c r="K74" s="6"/>
      <c r="L74" s="6" t="str">
        <f>IF(Table115[[#This Row],[Category]]="Transportation", _xlfn.XLOOKUP(Table115[[#This Row],[Resource]], 'SI - Payload'!$A$10:$A$40,'SI - Payload'!$B$10:$B$40,"",0), "")</f>
        <v/>
      </c>
      <c r="M74" s="6" t="str">
        <f>IF(Table115[[#This Row],[Category]]="Transportation", "ton", "")</f>
        <v/>
      </c>
      <c r="N74" s="6"/>
      <c r="O74" s="6"/>
      <c r="P74" s="6" t="str">
        <f>IF(OR(Table115[[#This Row],[Type]]="Main Product", Table115[[#This Row],[Type]]="Co-Product"), Table115[[#This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IF(Table115[[#This Row],[Type]]="Co-product", "No", "")</f>
        <v/>
      </c>
      <c r="J75" s="25"/>
      <c r="K75" s="6"/>
      <c r="L75" s="6" t="str">
        <f>IF(Table115[[#This Row],[Category]]="Transportation", _xlfn.XLOOKUP(Table115[[#This Row],[Resource]], 'SI - Payload'!$A$10:$A$40,'SI - Payload'!$B$10:$B$40,"",0), "")</f>
        <v/>
      </c>
      <c r="M75" s="6" t="str">
        <f>IF(Table115[[#This Row],[Category]]="Transportation", "ton", "")</f>
        <v/>
      </c>
      <c r="N75" s="6"/>
      <c r="O75" s="6"/>
      <c r="P75" s="6" t="str">
        <f>IF(OR(Table115[[#This Row],[Type]]="Main Product", Table115[[#This Row],[Type]]="Co-Product"), Table115[[#This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IF(Table115[[#This Row],[Type]]="Co-product", "No", "")</f>
        <v/>
      </c>
      <c r="J76" s="25"/>
      <c r="K76" s="6"/>
      <c r="L76" s="6" t="str">
        <f>IF(Table115[[#This Row],[Category]]="Transportation", _xlfn.XLOOKUP(Table115[[#This Row],[Resource]], 'SI - Payload'!$A$10:$A$40,'SI - Payload'!$B$10:$B$40,"",0), "")</f>
        <v/>
      </c>
      <c r="M76" s="6" t="str">
        <f>IF(Table115[[#This Row],[Category]]="Transportation", "ton", "")</f>
        <v/>
      </c>
      <c r="N76" s="6"/>
      <c r="O76" s="6"/>
      <c r="P76" s="6" t="str">
        <f>IF(OR(Table115[[#This Row],[Type]]="Main Product", Table115[[#This Row],[Type]]="Co-Product"), Table115[[#This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IF(Table115[[#This Row],[Type]]="Co-product", "No", "")</f>
        <v/>
      </c>
      <c r="J77" s="25"/>
      <c r="K77" s="6"/>
      <c r="L77" s="6" t="str">
        <f>IF(Table115[[#This Row],[Category]]="Transportation", _xlfn.XLOOKUP(Table115[[#This Row],[Resource]], 'SI - Payload'!$A$10:$A$40,'SI - Payload'!$B$10:$B$40,"",0), "")</f>
        <v/>
      </c>
      <c r="M77" s="6" t="str">
        <f>IF(Table115[[#This Row],[Category]]="Transportation", "ton", "")</f>
        <v/>
      </c>
      <c r="N77" s="6"/>
      <c r="O77" s="6"/>
      <c r="P77" s="6" t="str">
        <f>IF(OR(Table115[[#This Row],[Type]]="Main Product", Table115[[#This Row],[Type]]="Co-Product"), Table115[[#This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IF(Table115[[#This Row],[Type]]="Co-product", "No", "")</f>
        <v/>
      </c>
      <c r="J78" s="25"/>
      <c r="K78" s="6"/>
      <c r="L78" s="6" t="str">
        <f>IF(Table115[[#This Row],[Category]]="Transportation", _xlfn.XLOOKUP(Table115[[#This Row],[Resource]], 'SI - Payload'!$A$10:$A$40,'SI - Payload'!$B$10:$B$40,"",0), "")</f>
        <v/>
      </c>
      <c r="M78" s="6" t="str">
        <f>IF(Table115[[#This Row],[Category]]="Transportation", "ton", "")</f>
        <v/>
      </c>
      <c r="N78" s="6"/>
      <c r="O78" s="6"/>
      <c r="P78" s="6" t="str">
        <f>IF(OR(Table115[[#This Row],[Type]]="Main Product", Table115[[#This Row],[Type]]="Co-Product"), Table115[[#This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IF(Table115[[#This Row],[Type]]="Co-product", "No", "")</f>
        <v/>
      </c>
      <c r="J79" s="25"/>
      <c r="K79" s="6"/>
      <c r="L79" s="6" t="str">
        <f>IF(Table115[[#This Row],[Category]]="Transportation", _xlfn.XLOOKUP(Table115[[#This Row],[Resource]], 'SI - Payload'!$A$10:$A$40,'SI - Payload'!$B$10:$B$40,"",0), "")</f>
        <v/>
      </c>
      <c r="M79" s="6" t="str">
        <f>IF(Table115[[#This Row],[Category]]="Transportation", "ton", "")</f>
        <v/>
      </c>
      <c r="N79" s="6"/>
      <c r="O79" s="6"/>
      <c r="P79" s="6" t="str">
        <f>IF(OR(Table115[[#This Row],[Type]]="Main Product", Table115[[#This Row],[Type]]="Co-Product"), Table115[[#This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IF(Table115[[#This Row],[Type]]="Co-product", "No", "")</f>
        <v/>
      </c>
      <c r="J80" s="25"/>
      <c r="K80" s="6"/>
      <c r="L80" s="6" t="str">
        <f>IF(Table115[[#This Row],[Category]]="Transportation", _xlfn.XLOOKUP(Table115[[#This Row],[Resource]], 'SI - Payload'!$A$10:$A$40,'SI - Payload'!$B$10:$B$40,"",0), "")</f>
        <v/>
      </c>
      <c r="M80" s="6" t="str">
        <f>IF(Table115[[#This Row],[Category]]="Transportation", "ton", "")</f>
        <v/>
      </c>
      <c r="N80" s="6"/>
      <c r="O80" s="6"/>
      <c r="P80" s="6" t="str">
        <f>IF(OR(Table115[[#This Row],[Type]]="Main Product", Table115[[#This Row],[Type]]="Co-Product"), Table115[[#This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IF(Table115[[#This Row],[Type]]="Co-product", "No", "")</f>
        <v/>
      </c>
      <c r="J81" s="25"/>
      <c r="K81" s="6"/>
      <c r="L81" s="6" t="str">
        <f>IF(Table115[[#This Row],[Category]]="Transportation", _xlfn.XLOOKUP(Table115[[#This Row],[Resource]], 'SI - Payload'!$A$10:$A$40,'SI - Payload'!$B$10:$B$40,"",0), "")</f>
        <v/>
      </c>
      <c r="M81" s="6" t="str">
        <f>IF(Table115[[#This Row],[Category]]="Transportation", "ton", "")</f>
        <v/>
      </c>
      <c r="N81" s="6"/>
      <c r="O81" s="6"/>
      <c r="P81" s="6" t="str">
        <f>IF(OR(Table115[[#This Row],[Type]]="Main Product", Table115[[#This Row],[Type]]="Co-Product"), Table115[[#This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IF(Table115[[#This Row],[Type]]="Co-product", "No", "")</f>
        <v/>
      </c>
      <c r="J82" s="25"/>
      <c r="K82" s="6"/>
      <c r="L82" s="6" t="str">
        <f>IF(Table115[[#This Row],[Category]]="Transportation", _xlfn.XLOOKUP(Table115[[#This Row],[Resource]], 'SI - Payload'!$A$10:$A$40,'SI - Payload'!$B$10:$B$40,"",0), "")</f>
        <v/>
      </c>
      <c r="M82" s="6" t="str">
        <f>IF(Table115[[#This Row],[Category]]="Transportation", "ton", "")</f>
        <v/>
      </c>
      <c r="N82" s="6"/>
      <c r="O82" s="6"/>
      <c r="P82" s="6" t="str">
        <f>IF(OR(Table115[[#This Row],[Type]]="Main Product", Table115[[#This Row],[Type]]="Co-Product"), Table115[[#This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IF(Table115[[#This Row],[Type]]="Co-product", "No", "")</f>
        <v/>
      </c>
      <c r="J83" s="25"/>
      <c r="K83" s="6"/>
      <c r="L83" s="6" t="str">
        <f>IF(Table115[[#This Row],[Category]]="Transportation", _xlfn.XLOOKUP(Table115[[#This Row],[Resource]], 'SI - Payload'!$A$10:$A$40,'SI - Payload'!$B$10:$B$40,"",0), "")</f>
        <v/>
      </c>
      <c r="M83" s="6" t="str">
        <f>IF(Table115[[#This Row],[Category]]="Transportation", "ton", "")</f>
        <v/>
      </c>
      <c r="N83" s="6"/>
      <c r="O83" s="6"/>
      <c r="P83" s="6" t="str">
        <f>IF(OR(Table115[[#This Row],[Type]]="Main Product", Table115[[#This Row],[Type]]="Co-Product"), Table115[[#This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IF(Table115[[#This Row],[Type]]="Co-product", "No", "")</f>
        <v/>
      </c>
      <c r="J84" s="25"/>
      <c r="K84" s="6"/>
      <c r="L84" s="6" t="str">
        <f>IF(Table115[[#This Row],[Category]]="Transportation", _xlfn.XLOOKUP(Table115[[#This Row],[Resource]], 'SI - Payload'!$A$10:$A$40,'SI - Payload'!$B$10:$B$40,"",0), "")</f>
        <v/>
      </c>
      <c r="M84" s="6" t="str">
        <f>IF(Table115[[#This Row],[Category]]="Transportation", "ton", "")</f>
        <v/>
      </c>
      <c r="N84" s="6"/>
      <c r="O84" s="6"/>
      <c r="P84" s="6" t="str">
        <f>IF(OR(Table115[[#This Row],[Type]]="Main Product", Table115[[#This Row],[Type]]="Co-Product"), Table115[[#This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IF(Table115[[#This Row],[Type]]="Co-product", "No", "")</f>
        <v/>
      </c>
      <c r="J85" s="25"/>
      <c r="K85" s="6"/>
      <c r="L85" s="6" t="str">
        <f>IF(Table115[[#This Row],[Category]]="Transportation", _xlfn.XLOOKUP(Table115[[#This Row],[Resource]], 'SI - Payload'!$A$10:$A$40,'SI - Payload'!$B$10:$B$40,"",0), "")</f>
        <v/>
      </c>
      <c r="M85" s="6" t="str">
        <f>IF(Table115[[#This Row],[Category]]="Transportation", "ton", "")</f>
        <v/>
      </c>
      <c r="N85" s="6"/>
      <c r="O85" s="6"/>
      <c r="P85" s="6" t="str">
        <f>IF(OR(Table115[[#This Row],[Type]]="Main Product", Table115[[#This Row],[Type]]="Co-Product"), Table115[[#This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IF(Table115[[#This Row],[Type]]="Co-product", "No", "")</f>
        <v/>
      </c>
      <c r="J86" s="25"/>
      <c r="K86" s="6"/>
      <c r="L86" s="6" t="str">
        <f>IF(Table115[[#This Row],[Category]]="Transportation", _xlfn.XLOOKUP(Table115[[#This Row],[Resource]], 'SI - Payload'!$A$10:$A$40,'SI - Payload'!$B$10:$B$40,"",0), "")</f>
        <v/>
      </c>
      <c r="M86" s="6" t="str">
        <f>IF(Table115[[#This Row],[Category]]="Transportation", "ton", "")</f>
        <v/>
      </c>
      <c r="N86" s="6"/>
      <c r="O86" s="6"/>
      <c r="P86" s="6" t="str">
        <f>IF(OR(Table115[[#This Row],[Type]]="Main Product", Table115[[#This Row],[Type]]="Co-Product"), Table115[[#This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IF(Table115[[#This Row],[Type]]="Co-product", "No", "")</f>
        <v/>
      </c>
      <c r="J87" s="25"/>
      <c r="K87" s="6"/>
      <c r="L87" s="6" t="str">
        <f>IF(Table115[[#This Row],[Category]]="Transportation", _xlfn.XLOOKUP(Table115[[#This Row],[Resource]], 'SI - Payload'!$A$10:$A$40,'SI - Payload'!$B$10:$B$40,"",0), "")</f>
        <v/>
      </c>
      <c r="M87" s="6" t="str">
        <f>IF(Table115[[#This Row],[Category]]="Transportation", "ton", "")</f>
        <v/>
      </c>
      <c r="N87" s="6"/>
      <c r="O87" s="6"/>
      <c r="P87" s="6" t="str">
        <f>IF(OR(Table115[[#This Row],[Type]]="Main Product", Table115[[#This Row],[Type]]="Co-Product"), Table115[[#This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IF(Table115[[#This Row],[Type]]="Co-product", "No", "")</f>
        <v/>
      </c>
      <c r="J88" s="25"/>
      <c r="K88" s="6"/>
      <c r="L88" s="6" t="str">
        <f>IF(Table115[[#This Row],[Category]]="Transportation", _xlfn.XLOOKUP(Table115[[#This Row],[Resource]], 'SI - Payload'!$A$10:$A$40,'SI - Payload'!$B$10:$B$40,"",0), "")</f>
        <v/>
      </c>
      <c r="M88" s="6" t="str">
        <f>IF(Table115[[#This Row],[Category]]="Transportation", "ton", "")</f>
        <v/>
      </c>
      <c r="N88" s="6"/>
      <c r="O88" s="6"/>
      <c r="P88" s="6" t="str">
        <f>IF(OR(Table115[[#This Row],[Type]]="Main Product", Table115[[#This Row],[Type]]="Co-Product"), Table115[[#This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IF(Table115[[#This Row],[Type]]="Co-product", "No", "")</f>
        <v/>
      </c>
      <c r="J89" s="25"/>
      <c r="K89" s="6"/>
      <c r="L89" s="6" t="str">
        <f>IF(Table115[[#This Row],[Category]]="Transportation", _xlfn.XLOOKUP(Table115[[#This Row],[Resource]], 'SI - Payload'!$A$10:$A$40,'SI - Payload'!$B$10:$B$40,"",0), "")</f>
        <v/>
      </c>
      <c r="M89" s="6" t="str">
        <f>IF(Table115[[#This Row],[Category]]="Transportation", "ton", "")</f>
        <v/>
      </c>
      <c r="N89" s="6"/>
      <c r="O89" s="6"/>
      <c r="P89" s="6" t="str">
        <f>IF(OR(Table115[[#This Row],[Type]]="Main Product", Table115[[#This Row],[Type]]="Co-Product"), Table115[[#This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IF(Table115[[#This Row],[Type]]="Co-product", "No", "")</f>
        <v/>
      </c>
      <c r="J90" s="25"/>
      <c r="K90" s="6"/>
      <c r="L90" s="6" t="str">
        <f>IF(Table115[[#This Row],[Category]]="Transportation", _xlfn.XLOOKUP(Table115[[#This Row],[Resource]], 'SI - Payload'!$A$10:$A$40,'SI - Payload'!$B$10:$B$40,"",0), "")</f>
        <v/>
      </c>
      <c r="M90" s="6" t="str">
        <f>IF(Table115[[#This Row],[Category]]="Transportation", "ton", "")</f>
        <v/>
      </c>
      <c r="N90" s="6"/>
      <c r="O90" s="6"/>
      <c r="P90" s="6" t="str">
        <f>IF(OR(Table115[[#This Row],[Type]]="Main Product", Table115[[#This Row],[Type]]="Co-Product"), Table115[[#This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IF(Table115[[#This Row],[Type]]="Co-product", "No", "")</f>
        <v/>
      </c>
      <c r="J91" s="25"/>
      <c r="K91" s="6"/>
      <c r="L91" s="6" t="str">
        <f>IF(Table115[[#This Row],[Category]]="Transportation", _xlfn.XLOOKUP(Table115[[#This Row],[Resource]], 'SI - Payload'!$A$10:$A$40,'SI - Payload'!$B$10:$B$40,"",0), "")</f>
        <v/>
      </c>
      <c r="M91" s="6" t="str">
        <f>IF(Table115[[#This Row],[Category]]="Transportation", "ton", "")</f>
        <v/>
      </c>
      <c r="N91" s="6"/>
      <c r="O91" s="6"/>
      <c r="P91" s="6" t="str">
        <f>IF(OR(Table115[[#This Row],[Type]]="Main Product", Table115[[#This Row],[Type]]="Co-Product"), Table115[[#This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IF(Table115[[#This Row],[Type]]="Co-product", "No", "")</f>
        <v/>
      </c>
      <c r="J92" s="25"/>
      <c r="K92" s="6"/>
      <c r="L92" s="6" t="str">
        <f>IF(Table115[[#This Row],[Category]]="Transportation", _xlfn.XLOOKUP(Table115[[#This Row],[Resource]], 'SI - Payload'!$A$10:$A$40,'SI - Payload'!$B$10:$B$40,"",0), "")</f>
        <v/>
      </c>
      <c r="M92" s="6" t="str">
        <f>IF(Table115[[#This Row],[Category]]="Transportation", "ton", "")</f>
        <v/>
      </c>
      <c r="N92" s="6"/>
      <c r="O92" s="6"/>
      <c r="P92" s="6" t="str">
        <f>IF(OR(Table115[[#This Row],[Type]]="Main Product", Table115[[#This Row],[Type]]="Co-Product"), Table115[[#This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IF(Table115[[#This Row],[Type]]="Co-product", "No", "")</f>
        <v/>
      </c>
      <c r="J93" s="25"/>
      <c r="K93" s="6"/>
      <c r="L93" s="6" t="str">
        <f>IF(Table115[[#This Row],[Category]]="Transportation", _xlfn.XLOOKUP(Table115[[#This Row],[Resource]], 'SI - Payload'!$A$10:$A$40,'SI - Payload'!$B$10:$B$40,"",0), "")</f>
        <v/>
      </c>
      <c r="M93" s="6" t="str">
        <f>IF(Table115[[#This Row],[Category]]="Transportation", "ton", "")</f>
        <v/>
      </c>
      <c r="N93" s="6"/>
      <c r="O93" s="6"/>
      <c r="P93" s="6" t="str">
        <f>IF(OR(Table115[[#This Row],[Type]]="Main Product", Table115[[#This Row],[Type]]="Co-Product"), Table115[[#This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IF(Table115[[#This Row],[Type]]="Co-product", "No", "")</f>
        <v/>
      </c>
      <c r="J94" s="25"/>
      <c r="K94" s="6"/>
      <c r="L94" s="6" t="str">
        <f>IF(Table115[[#This Row],[Category]]="Transportation", _xlfn.XLOOKUP(Table115[[#This Row],[Resource]], 'SI - Payload'!$A$10:$A$40,'SI - Payload'!$B$10:$B$40,"",0), "")</f>
        <v/>
      </c>
      <c r="M94" s="6" t="str">
        <f>IF(Table115[[#This Row],[Category]]="Transportation", "ton", "")</f>
        <v/>
      </c>
      <c r="N94" s="6"/>
      <c r="O94" s="6"/>
      <c r="P94" s="6" t="str">
        <f>IF(OR(Table115[[#This Row],[Type]]="Main Product", Table115[[#This Row],[Type]]="Co-Product"), Table115[[#This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IF(Table115[[#This Row],[Type]]="Co-product", "No", "")</f>
        <v/>
      </c>
      <c r="J95" s="25"/>
      <c r="K95" s="6"/>
      <c r="L95" s="6" t="str">
        <f>IF(Table115[[#This Row],[Category]]="Transportation", _xlfn.XLOOKUP(Table115[[#This Row],[Resource]], 'SI - Payload'!$A$10:$A$40,'SI - Payload'!$B$10:$B$40,"",0), "")</f>
        <v/>
      </c>
      <c r="M95" s="6" t="str">
        <f>IF(Table115[[#This Row],[Category]]="Transportation", "ton", "")</f>
        <v/>
      </c>
      <c r="N95" s="6"/>
      <c r="O95" s="6"/>
      <c r="P95" s="6" t="str">
        <f>IF(OR(Table115[[#This Row],[Type]]="Main Product", Table115[[#This Row],[Type]]="Co-Product"), Table115[[#This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IF(Table115[[#This Row],[Type]]="Co-product", "No", "")</f>
        <v/>
      </c>
      <c r="J96" s="25"/>
      <c r="K96" s="6"/>
      <c r="L96" s="6" t="str">
        <f>IF(Table115[[#This Row],[Category]]="Transportation", _xlfn.XLOOKUP(Table115[[#This Row],[Resource]], 'SI - Payload'!$A$10:$A$40,'SI - Payload'!$B$10:$B$40,"",0), "")</f>
        <v/>
      </c>
      <c r="M96" s="6" t="str">
        <f>IF(Table115[[#This Row],[Category]]="Transportation", "ton", "")</f>
        <v/>
      </c>
      <c r="N96" s="6"/>
      <c r="O96" s="6"/>
      <c r="P96" s="6" t="str">
        <f>IF(OR(Table115[[#This Row],[Type]]="Main Product", Table115[[#This Row],[Type]]="Co-Product"), Table115[[#This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IF(Table115[[#This Row],[Type]]="Co-product", "No", "")</f>
        <v/>
      </c>
      <c r="J97" s="25"/>
      <c r="K97" s="6"/>
      <c r="L97" s="6" t="str">
        <f>IF(Table115[[#This Row],[Category]]="Transportation", _xlfn.XLOOKUP(Table115[[#This Row],[Resource]], 'SI - Payload'!$A$10:$A$40,'SI - Payload'!$B$10:$B$40,"",0), "")</f>
        <v/>
      </c>
      <c r="M97" s="6" t="str">
        <f>IF(Table115[[#This Row],[Category]]="Transportation", "ton", "")</f>
        <v/>
      </c>
      <c r="N97" s="6"/>
      <c r="O97" s="6"/>
      <c r="P97" s="6" t="str">
        <f>IF(OR(Table115[[#This Row],[Type]]="Main Product", Table115[[#This Row],[Type]]="Co-Product"), Table115[[#This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IF(Table115[[#This Row],[Type]]="Co-product", "No", "")</f>
        <v/>
      </c>
      <c r="J98" s="25"/>
      <c r="K98" s="6"/>
      <c r="L98" s="6" t="str">
        <f>IF(Table115[[#This Row],[Category]]="Transportation", _xlfn.XLOOKUP(Table115[[#This Row],[Resource]], 'SI - Payload'!$A$10:$A$40,'SI - Payload'!$B$10:$B$40,"",0), "")</f>
        <v/>
      </c>
      <c r="M98" s="6" t="str">
        <f>IF(Table115[[#This Row],[Category]]="Transportation", "ton", "")</f>
        <v/>
      </c>
      <c r="N98" s="6"/>
      <c r="O98" s="6"/>
      <c r="P98" s="6" t="str">
        <f>IF(OR(Table115[[#This Row],[Type]]="Main Product", Table115[[#This Row],[Type]]="Co-Product"), Table115[[#This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IF(Table115[[#This Row],[Type]]="Co-product", "No", "")</f>
        <v/>
      </c>
      <c r="J99" s="25"/>
      <c r="K99" s="6"/>
      <c r="L99" s="6" t="str">
        <f>IF(Table115[[#This Row],[Category]]="Transportation", _xlfn.XLOOKUP(Table115[[#This Row],[Resource]], 'SI - Payload'!$A$10:$A$40,'SI - Payload'!$B$10:$B$40,"",0), "")</f>
        <v/>
      </c>
      <c r="M99" s="6" t="str">
        <f>IF(Table115[[#This Row],[Category]]="Transportation", "ton", "")</f>
        <v/>
      </c>
      <c r="N99" s="6"/>
      <c r="O99" s="6"/>
      <c r="P99" s="6" t="str">
        <f>IF(OR(Table115[[#This Row],[Type]]="Main Product", Table115[[#This Row],[Type]]="Co-Product"), Table115[[#This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IF(Table115[[#This Row],[Type]]="Co-product", "No", "")</f>
        <v/>
      </c>
      <c r="J100" s="25"/>
      <c r="K100" s="6"/>
      <c r="L100" s="6" t="str">
        <f>IF(Table115[[#This Row],[Category]]="Transportation", _xlfn.XLOOKUP(Table115[[#This Row],[Resource]], 'SI - Payload'!$A$10:$A$40,'SI - Payload'!$B$10:$B$40,"",0), "")</f>
        <v/>
      </c>
      <c r="M100" s="6" t="str">
        <f>IF(Table115[[#This Row],[Category]]="Transportation", "ton", "")</f>
        <v/>
      </c>
      <c r="N100" s="6"/>
      <c r="O100" s="6"/>
      <c r="P100" s="6" t="str">
        <f>IF(OR(Table115[[#This Row],[Type]]="Main Product", Table115[[#This Row],[Type]]="Co-Product"), Table115[[#This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E51BE677-78A2-42D4-989F-D4E6C1C0D793}">
      <formula1>0</formula1>
      <formula2>1</formula2>
    </dataValidation>
    <dataValidation type="list" allowBlank="1" showInputMessage="1" showErrorMessage="1" sqref="M6:M100" xr:uid="{E089F79A-BFBF-4A80-803A-D532BA263F8C}">
      <formula1>payload_units</formula1>
    </dataValidation>
    <dataValidation type="decimal" operator="greaterThan" allowBlank="1" showInputMessage="1" showErrorMessage="1" error="Please type a positive number." sqref="L6:L100" xr:uid="{3288F9BD-992F-4CF6-B99B-5CC17920AE8D}">
      <formula1>0</formula1>
    </dataValidation>
    <dataValidation type="decimal" operator="greaterThan" allowBlank="1" showInputMessage="1" showErrorMessage="1" error="Please type a positive price." sqref="N6:N100" xr:uid="{E76CEE8D-8C79-4EB3-ADBA-9134C8342315}">
      <formula1>0</formula1>
    </dataValidation>
    <dataValidation type="decimal" allowBlank="1" showInputMessage="1" showErrorMessage="1" error="Please type a number between 0 and 1." sqref="G6:G100" xr:uid="{6A6AF4E9-2462-40EF-A34A-35CFE62D4091}">
      <formula1>0</formula1>
      <formula2>1</formula2>
    </dataValidation>
    <dataValidation type="custom" allowBlank="1" showInputMessage="1" showErrorMessage="1" sqref="E6:E100" xr:uid="{30E93916-E9B8-41EB-B30C-4D5FF8C3FC24}">
      <formula1>ISNUMBER(E6)</formula1>
    </dataValidation>
    <dataValidation type="list" allowBlank="1" showInputMessage="1" showErrorMessage="1" sqref="C2" xr:uid="{5AA37233-3EA7-4399-B33E-07AF0A1E912C}">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9E11C129-5A8D-4118-9FDB-CB91CB80E595}">
          <x14:formula1>
            <xm:f>IF($B6="Transportation",  transport_units, INDIRECT(_xlfn.XLOOKUP($C6, 'SI - Units'!$F$26:$F$36,'SI - Units'!$G$26:$G$36,"mass",0)))</xm:f>
          </x14:formula1>
          <xm:sqref>F6:F100</xm:sqref>
        </x14:dataValidation>
        <x14:dataValidation type="list" allowBlank="1" showInputMessage="1" showErrorMessage="1" xr:uid="{49704A46-6D98-473C-A830-9ADC7E532706}">
          <x14:formula1>
            <xm:f>INDIRECT("p_"&amp;_xlfn.XLOOKUP($C6,'SI - Units'!$F$26:$F$36,'SI - Units'!$G$26:$G$36,"mass",0))</xm:f>
          </x14:formula1>
          <xm:sqref>O6:O100</xm:sqref>
        </x14:dataValidation>
        <x14:dataValidation type="list" allowBlank="1" showInputMessage="1" showErrorMessage="1" xr:uid="{80099C2C-3BC5-4C5B-B1D3-2E0A2F3DFC98}">
          <x14:formula1>
            <xm:f>INDIRECT(_xlfn.XLOOKUP($P6,'SI - End Use'!$A$11:$A$18,'SI - End Use'!$B$11:$B$18,"other_end_use",0))</xm:f>
          </x14:formula1>
          <xm:sqref>Q6:R100</xm:sqref>
        </x14:dataValidation>
        <x14:dataValidation type="list" allowBlank="1" showInputMessage="1" xr:uid="{5E31B644-F09B-4E1F-B54D-27DCDED8C560}">
          <x14:formula1>
            <xm:f>INDIRECT(_xlfn.XLOOKUP($C6,'SI - End Use'!$A$11:$A$18,'SI - End Use'!$B$11:$B$18,"other_end_use",0))</xm:f>
          </x14:formula1>
          <xm:sqref>D6:D100</xm:sqref>
        </x14:dataValidation>
        <x14:dataValidation type="list" allowBlank="1" showInputMessage="1" showErrorMessage="1" xr:uid="{78E052AA-5DD3-4B17-A81E-2B05ACB8CA61}">
          <x14:formula1>
            <xm:f>INDIRECT(_xlfn.XLOOKUP($B6, 'SI - Resources'!$R$1:$R$10,'SI - Resources'!$S$1:$S$10, "placeholder_resource", 0))</xm:f>
          </x14:formula1>
          <xm:sqref>P6:P100 C6:C100</xm:sqref>
        </x14:dataValidation>
        <x14:dataValidation type="list" allowBlank="1" showInputMessage="1" showErrorMessage="1" xr:uid="{B6774E05-783C-4186-BFE3-070CD02DE9C8}">
          <x14:formula1>
            <xm:f>'SI - Co-products'!$B$2:$B$6</xm:f>
          </x14:formula1>
          <xm:sqref>A6:A100</xm:sqref>
        </x14:dataValidation>
        <x14:dataValidation type="list" allowBlank="1" showInputMessage="1" showErrorMessage="1" xr:uid="{6647B476-B930-4317-A035-53942378F4BD}">
          <x14:formula1>
            <xm:f>'SI - Resources'!$A$1:$J$1</xm:f>
          </x14:formula1>
          <xm:sqref>B6:B100</xm:sqref>
        </x14:dataValidation>
        <x14:dataValidation type="list" allowBlank="1" showInputMessage="1" showErrorMessage="1" xr:uid="{C3820DA0-F38D-48DE-80EF-F35BF147084F}">
          <x14:formula1>
            <xm:f>'SI - Co-products'!$C$2:$C$4</xm:f>
          </x14:formula1>
          <xm:sqref>I6:I100</xm:sqref>
        </x14:dataValidation>
        <x14:dataValidation type="list" allowBlank="1" showInputMessage="1" showErrorMessage="1" xr:uid="{21B41E3D-44D0-44F5-A2AD-74113859F6BF}">
          <x14:formula1>
            <xm:f>'SI - Co-products'!$A$2:$A$5</xm:f>
          </x14:formula1>
          <xm:sqref>K6:K100</xm:sqref>
        </x14:dataValidation>
        <x14:dataValidation type="list" allowBlank="1" showInputMessage="1" showErrorMessage="1" xr:uid="{5076FCF8-3F5A-4A6C-B781-E71A61393028}">
          <x14:formula1>
            <xm:f>_xlfn.XLOOKUP(_xlfn.XLOOKUP(#REF!,'SI - Units'!$B$24:$B$109,'SI - Units'!$C$24:$C$109),'SI - Units'!$A$2:$A$8,'SI - Units'!$B$2:$R$8)</xm:f>
          </x14:formula1>
          <xm:sqref>F5</xm:sqref>
        </x14:dataValidation>
        <x14:dataValidation type="list" allowBlank="1" showInputMessage="1" showErrorMessage="1" xr:uid="{C6A74023-AEF6-49D7-B608-326395E7903B}">
          <x14:formula1>
            <xm:f>'SI - Co-products'!$D$2:$D$8</xm:f>
          </x14:formula1>
          <xm:sqref>C1</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D80B3-69EB-4E4D-8158-E3811146B407}">
  <sheetPr codeName="Sheet16"/>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38</v>
      </c>
      <c r="C6" s="6" t="s">
        <v>32</v>
      </c>
      <c r="D6" s="6" t="s">
        <v>336</v>
      </c>
      <c r="E6" s="60">
        <v>1</v>
      </c>
      <c r="F6" s="6" t="s">
        <v>11</v>
      </c>
      <c r="G6" s="25"/>
      <c r="H6" s="25" t="s">
        <v>359</v>
      </c>
      <c r="I6" s="26" t="str">
        <f>IF(Table116[[#This Row],[Type]]="Co-product", "No", "")</f>
        <v/>
      </c>
      <c r="J6" s="25"/>
      <c r="K6" s="6"/>
      <c r="L6" s="6" t="str">
        <f>IF(Table116[[#This Row],[Category]]="Transportation", _xlfn.XLOOKUP(Table116[[#This Row],[Resource]], 'SI - Payload'!$A$10:$A$40,'SI - Payload'!$B$10:$B$40,"",0), "")</f>
        <v/>
      </c>
      <c r="M6" s="6" t="str">
        <f>IF(Table116[[#This Row],[Category]]="Transportation", "ton", "")</f>
        <v/>
      </c>
      <c r="N6" s="6"/>
      <c r="O6" s="6"/>
      <c r="P6" s="6" t="str">
        <f>IF(OR(Table116[[#This Row],[Type]]="Main Product", Table116[[#This Row],[Type]]="Co-Product"), Table116[[#This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Data'!B12*1000*'INL Data'!E12</f>
        <v>450</v>
      </c>
      <c r="F7" s="6" t="s">
        <v>69</v>
      </c>
      <c r="G7" s="25"/>
      <c r="H7" s="25"/>
      <c r="I7" s="26" t="str">
        <f>IF(Table116[[#This Row],[Type]]="Co-product", "No", "")</f>
        <v/>
      </c>
      <c r="J7" s="25"/>
      <c r="K7" s="6"/>
      <c r="L7" s="6" t="str">
        <f>IF(Table116[[#This Row],[Category]]="Transportation", _xlfn.XLOOKUP(Table116[[#This Row],[Resource]], 'SI - Payload'!$A$10:$A$40,'SI - Payload'!$B$10:$B$40,"",0), "")</f>
        <v/>
      </c>
      <c r="M7" s="6" t="str">
        <f>IF(Table116[[#This Row],[Category]]="Transportation", "ton", "")</f>
        <v/>
      </c>
      <c r="N7" s="6"/>
      <c r="O7" s="6"/>
      <c r="P7" s="6" t="str">
        <f>IF(OR(Table116[[#This Row],[Type]]="Main Product", Table116[[#This Row],[Type]]="Co-Product"), Table116[[#This Row],[Resource]], "")</f>
        <v/>
      </c>
      <c r="Q7" s="6" t="str">
        <f>IF(_xlfn.XLOOKUP($P7,'SI - End Use'!$B$2:$B$6,'SI - End Use'!$C$2:$C$6, "")="", "", _xlfn.XLOOKUP($C7,'SI - End Use'!$B$2:$B$6,'SI - End Use'!$C$2:$C$6, ""))</f>
        <v/>
      </c>
      <c r="R7" s="6"/>
      <c r="S7" s="6"/>
      <c r="T7" s="6"/>
    </row>
    <row r="8" spans="1:20" x14ac:dyDescent="0.35">
      <c r="A8" s="6" t="s">
        <v>0</v>
      </c>
      <c r="B8" s="6" t="s">
        <v>244</v>
      </c>
      <c r="C8" s="6" t="s">
        <v>2</v>
      </c>
      <c r="D8" s="6" t="s">
        <v>39</v>
      </c>
      <c r="E8" s="60">
        <f>'INL Data'!B12*1000*'INL Data'!D12</f>
        <v>0</v>
      </c>
      <c r="F8" s="6" t="s">
        <v>69</v>
      </c>
      <c r="G8" s="25"/>
      <c r="H8" s="25"/>
      <c r="I8" s="26" t="str">
        <f>IF(Table116[[#This Row],[Type]]="Co-product", "No", "")</f>
        <v/>
      </c>
      <c r="J8" s="25"/>
      <c r="K8" s="6"/>
      <c r="L8" s="6" t="str">
        <f>IF(Table116[[#This Row],[Category]]="Transportation", _xlfn.XLOOKUP(Table116[[#This Row],[Resource]], 'SI - Payload'!$A$10:$A$40,'SI - Payload'!$B$10:$B$40,"",0), "")</f>
        <v/>
      </c>
      <c r="M8" s="6" t="str">
        <f>IF(Table116[[#This Row],[Category]]="Transportation", "ton", "")</f>
        <v/>
      </c>
      <c r="N8" s="6"/>
      <c r="O8" s="6"/>
      <c r="P8" s="6" t="str">
        <f>IF(OR(Table116[[#This Row],[Type]]="Main Product", Table116[[#This Row],[Type]]="Co-Product"), Table116[[#This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Data'!B12*1000*'INL Data'!F12</f>
        <v>0</v>
      </c>
      <c r="F9" s="6" t="s">
        <v>69</v>
      </c>
      <c r="G9" s="25"/>
      <c r="H9" s="25"/>
      <c r="I9" s="26" t="str">
        <f>IF(Table116[[#This Row],[Type]]="Co-product", "No", "")</f>
        <v/>
      </c>
      <c r="J9" s="25"/>
      <c r="K9" s="6"/>
      <c r="L9" s="6" t="str">
        <f>IF(Table116[[#This Row],[Category]]="Transportation", _xlfn.XLOOKUP(Table116[[#This Row],[Resource]], 'SI - Payload'!$A$10:$A$40,'SI - Payload'!$B$10:$B$40,"",0), "")</f>
        <v/>
      </c>
      <c r="M9" s="6" t="str">
        <f>IF(Table116[[#This Row],[Category]]="Transportation", "ton", "")</f>
        <v/>
      </c>
      <c r="N9" s="6"/>
      <c r="O9" s="6"/>
      <c r="P9" s="6" t="str">
        <f>IF(OR(Table116[[#This Row],[Type]]="Main Product", Table116[[#This Row],[Type]]="Co-Product"), Table116[[#This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336</v>
      </c>
      <c r="E10" s="60">
        <f>1-'INL Data'!H12</f>
        <v>1</v>
      </c>
      <c r="F10" s="6" t="s">
        <v>11</v>
      </c>
      <c r="G10" s="25"/>
      <c r="H10" s="25"/>
      <c r="I10" s="26" t="str">
        <f>IF(Table116[[#This Row],[Type]]="Co-product", "No", "")</f>
        <v/>
      </c>
      <c r="J10" s="25"/>
      <c r="K10" s="6"/>
      <c r="L10" s="6" t="str">
        <f>IF(Table116[[#This Row],[Category]]="Transportation", _xlfn.XLOOKUP(Table116[[#This Row],[Resource]], 'SI - Payload'!$A$10:$A$40,'SI - Payload'!$B$10:$B$40,"",0), "")</f>
        <v/>
      </c>
      <c r="M10" s="6" t="str">
        <f>IF(Table116[[#This Row],[Category]]="Transportation", "ton", "")</f>
        <v/>
      </c>
      <c r="N10" s="6"/>
      <c r="O10" s="6"/>
      <c r="P10" s="6" t="str">
        <f>IF(OR(Table116[[#This Row],[Type]]="Main Product", Table116[[#This Row],[Type]]="Co-Product"), Table116[[#This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IF(Table116[[#This Row],[Type]]="Co-product", "No", "")</f>
        <v/>
      </c>
      <c r="J11" s="25"/>
      <c r="K11" s="6"/>
      <c r="L11" s="6" t="str">
        <f>IF(Table116[[#This Row],[Category]]="Transportation", _xlfn.XLOOKUP(Table116[[#This Row],[Resource]], 'SI - Payload'!$A$10:$A$40,'SI - Payload'!$B$10:$B$40,"",0), "")</f>
        <v/>
      </c>
      <c r="M11" s="6" t="str">
        <f>IF(Table116[[#This Row],[Category]]="Transportation", "ton", "")</f>
        <v/>
      </c>
      <c r="N11" s="6"/>
      <c r="O11" s="6"/>
      <c r="P11" s="6" t="str">
        <f>IF(OR(Table116[[#This Row],[Type]]="Main Product", Table116[[#This Row],[Type]]="Co-Product"), Table116[[#This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IF(Table116[[#This Row],[Type]]="Co-product", "No", "")</f>
        <v/>
      </c>
      <c r="J12" s="25"/>
      <c r="K12" s="6"/>
      <c r="L12" s="6" t="str">
        <f>IF(Table116[[#This Row],[Category]]="Transportation", _xlfn.XLOOKUP(Table116[[#This Row],[Resource]], 'SI - Payload'!$A$10:$A$40,'SI - Payload'!$B$10:$B$40,"",0), "")</f>
        <v/>
      </c>
      <c r="M12" s="6" t="str">
        <f>IF(Table116[[#This Row],[Category]]="Transportation", "ton", "")</f>
        <v/>
      </c>
      <c r="N12" s="6"/>
      <c r="O12" s="6"/>
      <c r="P12" s="6" t="str">
        <f>IF(OR(Table116[[#This Row],[Type]]="Main Product", Table116[[#This Row],[Type]]="Co-Product"), Table116[[#This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IF(Table116[[#This Row],[Type]]="Co-product", "No", "")</f>
        <v/>
      </c>
      <c r="J13" s="25"/>
      <c r="K13" s="6"/>
      <c r="L13" s="6" t="str">
        <f>IF(Table116[[#This Row],[Category]]="Transportation", _xlfn.XLOOKUP(Table116[[#This Row],[Resource]], 'SI - Payload'!$A$10:$A$40,'SI - Payload'!$B$10:$B$40,"",0), "")</f>
        <v/>
      </c>
      <c r="M13" s="6" t="str">
        <f>IF(Table116[[#This Row],[Category]]="Transportation", "ton", "")</f>
        <v/>
      </c>
      <c r="N13" s="6"/>
      <c r="O13" s="6"/>
      <c r="P13" s="6" t="str">
        <f>IF(OR(Table116[[#This Row],[Type]]="Main Product", Table116[[#This Row],[Type]]="Co-Product"), Table116[[#This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IF(Table116[[#This Row],[Type]]="Co-product", "No", "")</f>
        <v/>
      </c>
      <c r="J14" s="25"/>
      <c r="K14" s="6"/>
      <c r="L14" s="6" t="str">
        <f>IF(Table116[[#This Row],[Category]]="Transportation", _xlfn.XLOOKUP(Table116[[#This Row],[Resource]], 'SI - Payload'!$A$10:$A$40,'SI - Payload'!$B$10:$B$40,"",0), "")</f>
        <v/>
      </c>
      <c r="M14" s="6" t="str">
        <f>IF(Table116[[#This Row],[Category]]="Transportation", "ton", "")</f>
        <v/>
      </c>
      <c r="N14" s="6"/>
      <c r="O14" s="6"/>
      <c r="P14" s="6" t="str">
        <f>IF(OR(Table116[[#This Row],[Type]]="Main Product", Table116[[#This Row],[Type]]="Co-Product"), Table116[[#This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IF(Table116[[#This Row],[Type]]="Co-product", "No", "")</f>
        <v/>
      </c>
      <c r="J15" s="25"/>
      <c r="K15" s="6"/>
      <c r="L15" s="6" t="str">
        <f>IF(Table116[[#This Row],[Category]]="Transportation", _xlfn.XLOOKUP(Table116[[#This Row],[Resource]], 'SI - Payload'!$A$10:$A$40,'SI - Payload'!$B$10:$B$40,"",0), "")</f>
        <v/>
      </c>
      <c r="M15" s="6" t="str">
        <f>IF(Table116[[#This Row],[Category]]="Transportation", "ton", "")</f>
        <v/>
      </c>
      <c r="N15" s="6"/>
      <c r="O15" s="6"/>
      <c r="P15" s="6" t="str">
        <f>IF(OR(Table116[[#This Row],[Type]]="Main Product", Table116[[#This Row],[Type]]="Co-Product"), Table116[[#This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IF(Table116[[#This Row],[Type]]="Co-product", "No", "")</f>
        <v/>
      </c>
      <c r="J16" s="25"/>
      <c r="K16" s="6"/>
      <c r="L16" s="6" t="str">
        <f>IF(Table116[[#This Row],[Category]]="Transportation", _xlfn.XLOOKUP(Table116[[#This Row],[Resource]], 'SI - Payload'!$A$10:$A$40,'SI - Payload'!$B$10:$B$40,"",0), "")</f>
        <v/>
      </c>
      <c r="M16" s="6" t="str">
        <f>IF(Table116[[#This Row],[Category]]="Transportation", "ton", "")</f>
        <v/>
      </c>
      <c r="N16" s="6"/>
      <c r="O16" s="6"/>
      <c r="P16" s="6" t="str">
        <f>IF(OR(Table116[[#This Row],[Type]]="Main Product", Table116[[#This Row],[Type]]="Co-Product"), Table116[[#This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IF(Table116[[#This Row],[Type]]="Co-product", "No", "")</f>
        <v/>
      </c>
      <c r="J17" s="25"/>
      <c r="K17" s="6"/>
      <c r="L17" s="6" t="str">
        <f>IF(Table116[[#This Row],[Category]]="Transportation", _xlfn.XLOOKUP(Table116[[#This Row],[Resource]], 'SI - Payload'!$A$10:$A$40,'SI - Payload'!$B$10:$B$40,"",0), "")</f>
        <v/>
      </c>
      <c r="M17" s="6" t="str">
        <f>IF(Table116[[#This Row],[Category]]="Transportation", "ton", "")</f>
        <v/>
      </c>
      <c r="N17" s="6"/>
      <c r="O17" s="6"/>
      <c r="P17" s="6" t="str">
        <f>IF(OR(Table116[[#This Row],[Type]]="Main Product", Table116[[#This Row],[Type]]="Co-Product"), Table116[[#This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IF(Table116[[#This Row],[Type]]="Co-product", "No", "")</f>
        <v/>
      </c>
      <c r="J18" s="25"/>
      <c r="K18" s="6"/>
      <c r="L18" s="6" t="str">
        <f>IF(Table116[[#This Row],[Category]]="Transportation", _xlfn.XLOOKUP(Table116[[#This Row],[Resource]], 'SI - Payload'!$A$10:$A$40,'SI - Payload'!$B$10:$B$40,"",0), "")</f>
        <v/>
      </c>
      <c r="M18" s="6" t="str">
        <f>IF(Table116[[#This Row],[Category]]="Transportation", "ton", "")</f>
        <v/>
      </c>
      <c r="N18" s="6"/>
      <c r="O18" s="6"/>
      <c r="P18" s="6" t="str">
        <f>IF(OR(Table116[[#This Row],[Type]]="Main Product", Table116[[#This Row],[Type]]="Co-Product"), Table116[[#This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IF(Table116[[#This Row],[Type]]="Co-product", "No", "")</f>
        <v/>
      </c>
      <c r="J19" s="25"/>
      <c r="K19" s="6"/>
      <c r="L19" s="6" t="str">
        <f>IF(Table116[[#This Row],[Category]]="Transportation", _xlfn.XLOOKUP(Table116[[#This Row],[Resource]], 'SI - Payload'!$A$10:$A$40,'SI - Payload'!$B$10:$B$40,"",0), "")</f>
        <v/>
      </c>
      <c r="M19" s="6" t="str">
        <f>IF(Table116[[#This Row],[Category]]="Transportation", "ton", "")</f>
        <v/>
      </c>
      <c r="N19" s="6"/>
      <c r="O19" s="6"/>
      <c r="P19" s="6" t="str">
        <f>IF(OR(Table116[[#This Row],[Type]]="Main Product", Table116[[#This Row],[Type]]="Co-Product"), Table116[[#This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IF(Table116[[#This Row],[Type]]="Co-product", "No", "")</f>
        <v/>
      </c>
      <c r="J20" s="25"/>
      <c r="K20" s="6"/>
      <c r="L20" s="6" t="str">
        <f>IF(Table116[[#This Row],[Category]]="Transportation", _xlfn.XLOOKUP(Table116[[#This Row],[Resource]], 'SI - Payload'!$A$10:$A$40,'SI - Payload'!$B$10:$B$40,"",0), "")</f>
        <v/>
      </c>
      <c r="M20" s="6" t="str">
        <f>IF(Table116[[#This Row],[Category]]="Transportation", "ton", "")</f>
        <v/>
      </c>
      <c r="N20" s="6"/>
      <c r="O20" s="6"/>
      <c r="P20" s="6" t="str">
        <f>IF(OR(Table116[[#This Row],[Type]]="Main Product", Table116[[#This Row],[Type]]="Co-Product"), Table116[[#This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IF(Table116[[#This Row],[Type]]="Co-product", "No", "")</f>
        <v/>
      </c>
      <c r="J21" s="25"/>
      <c r="K21" s="6"/>
      <c r="L21" s="6" t="str">
        <f>IF(Table116[[#This Row],[Category]]="Transportation", _xlfn.XLOOKUP(Table116[[#This Row],[Resource]], 'SI - Payload'!$A$10:$A$40,'SI - Payload'!$B$10:$B$40,"",0), "")</f>
        <v/>
      </c>
      <c r="M21" s="6" t="str">
        <f>IF(Table116[[#This Row],[Category]]="Transportation", "ton", "")</f>
        <v/>
      </c>
      <c r="N21" s="6"/>
      <c r="O21" s="6"/>
      <c r="P21" s="6" t="str">
        <f>IF(OR(Table116[[#This Row],[Type]]="Main Product", Table116[[#This Row],[Type]]="Co-Product"), Table116[[#This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IF(Table116[[#This Row],[Type]]="Co-product", "No", "")</f>
        <v/>
      </c>
      <c r="J22" s="25"/>
      <c r="K22" s="6"/>
      <c r="L22" s="6" t="str">
        <f>IF(Table116[[#This Row],[Category]]="Transportation", _xlfn.XLOOKUP(Table116[[#This Row],[Resource]], 'SI - Payload'!$A$10:$A$40,'SI - Payload'!$B$10:$B$40,"",0), "")</f>
        <v/>
      </c>
      <c r="M22" s="6" t="str">
        <f>IF(Table116[[#This Row],[Category]]="Transportation", "ton", "")</f>
        <v/>
      </c>
      <c r="N22" s="6"/>
      <c r="O22" s="6"/>
      <c r="P22" s="6" t="str">
        <f>IF(OR(Table116[[#This Row],[Type]]="Main Product", Table116[[#This Row],[Type]]="Co-Product"), Table116[[#This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IF(Table116[[#This Row],[Type]]="Co-product", "No", "")</f>
        <v/>
      </c>
      <c r="J23" s="25"/>
      <c r="K23" s="6"/>
      <c r="L23" s="6" t="str">
        <f>IF(Table116[[#This Row],[Category]]="Transportation", _xlfn.XLOOKUP(Table116[[#This Row],[Resource]], 'SI - Payload'!$A$10:$A$40,'SI - Payload'!$B$10:$B$40,"",0), "")</f>
        <v/>
      </c>
      <c r="M23" s="6" t="str">
        <f>IF(Table116[[#This Row],[Category]]="Transportation", "ton", "")</f>
        <v/>
      </c>
      <c r="N23" s="6"/>
      <c r="O23" s="6"/>
      <c r="P23" s="6" t="str">
        <f>IF(OR(Table116[[#This Row],[Type]]="Main Product", Table116[[#This Row],[Type]]="Co-Product"), Table116[[#This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IF(Table116[[#This Row],[Type]]="Co-product", "No", "")</f>
        <v/>
      </c>
      <c r="J24" s="25"/>
      <c r="K24" s="6"/>
      <c r="L24" s="6" t="str">
        <f>IF(Table116[[#This Row],[Category]]="Transportation", _xlfn.XLOOKUP(Table116[[#This Row],[Resource]], 'SI - Payload'!$A$10:$A$40,'SI - Payload'!$B$10:$B$40,"",0), "")</f>
        <v/>
      </c>
      <c r="M24" s="6" t="str">
        <f>IF(Table116[[#This Row],[Category]]="Transportation", "ton", "")</f>
        <v/>
      </c>
      <c r="N24" s="6"/>
      <c r="O24" s="6"/>
      <c r="P24" s="6" t="str">
        <f>IF(OR(Table116[[#This Row],[Type]]="Main Product", Table116[[#This Row],[Type]]="Co-Product"), Table116[[#This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IF(Table116[[#This Row],[Type]]="Co-product", "No", "")</f>
        <v/>
      </c>
      <c r="J25" s="25"/>
      <c r="K25" s="6"/>
      <c r="L25" s="6" t="str">
        <f>IF(Table116[[#This Row],[Category]]="Transportation", _xlfn.XLOOKUP(Table116[[#This Row],[Resource]], 'SI - Payload'!$A$10:$A$40,'SI - Payload'!$B$10:$B$40,"",0), "")</f>
        <v/>
      </c>
      <c r="M25" s="6" t="str">
        <f>IF(Table116[[#This Row],[Category]]="Transportation", "ton", "")</f>
        <v/>
      </c>
      <c r="N25" s="6"/>
      <c r="O25" s="6"/>
      <c r="P25" s="6" t="str">
        <f>IF(OR(Table116[[#This Row],[Type]]="Main Product", Table116[[#This Row],[Type]]="Co-Product"), Table116[[#This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IF(Table116[[#This Row],[Type]]="Co-product", "No", "")</f>
        <v/>
      </c>
      <c r="J26" s="25"/>
      <c r="K26" s="6"/>
      <c r="L26" s="6" t="str">
        <f>IF(Table116[[#This Row],[Category]]="Transportation", _xlfn.XLOOKUP(Table116[[#This Row],[Resource]], 'SI - Payload'!$A$10:$A$40,'SI - Payload'!$B$10:$B$40,"",0), "")</f>
        <v/>
      </c>
      <c r="M26" s="6" t="str">
        <f>IF(Table116[[#This Row],[Category]]="Transportation", "ton", "")</f>
        <v/>
      </c>
      <c r="N26" s="6"/>
      <c r="O26" s="6"/>
      <c r="P26" s="6" t="str">
        <f>IF(OR(Table116[[#This Row],[Type]]="Main Product", Table116[[#This Row],[Type]]="Co-Product"), Table116[[#This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IF(Table116[[#This Row],[Type]]="Co-product", "No", "")</f>
        <v/>
      </c>
      <c r="J27" s="25"/>
      <c r="K27" s="6"/>
      <c r="L27" s="6" t="str">
        <f>IF(Table116[[#This Row],[Category]]="Transportation", _xlfn.XLOOKUP(Table116[[#This Row],[Resource]], 'SI - Payload'!$A$10:$A$40,'SI - Payload'!$B$10:$B$40,"",0), "")</f>
        <v/>
      </c>
      <c r="M27" s="6" t="str">
        <f>IF(Table116[[#This Row],[Category]]="Transportation", "ton", "")</f>
        <v/>
      </c>
      <c r="N27" s="6"/>
      <c r="O27" s="6"/>
      <c r="P27" s="6" t="str">
        <f>IF(OR(Table116[[#This Row],[Type]]="Main Product", Table116[[#This Row],[Type]]="Co-Product"), Table116[[#This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IF(Table116[[#This Row],[Type]]="Co-product", "No", "")</f>
        <v/>
      </c>
      <c r="J28" s="25"/>
      <c r="K28" s="6"/>
      <c r="L28" s="6" t="str">
        <f>IF(Table116[[#This Row],[Category]]="Transportation", _xlfn.XLOOKUP(Table116[[#This Row],[Resource]], 'SI - Payload'!$A$10:$A$40,'SI - Payload'!$B$10:$B$40,"",0), "")</f>
        <v/>
      </c>
      <c r="M28" s="6" t="str">
        <f>IF(Table116[[#This Row],[Category]]="Transportation", "ton", "")</f>
        <v/>
      </c>
      <c r="N28" s="6"/>
      <c r="O28" s="6"/>
      <c r="P28" s="6" t="str">
        <f>IF(OR(Table116[[#This Row],[Type]]="Main Product", Table116[[#This Row],[Type]]="Co-Product"), Table116[[#This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IF(Table116[[#This Row],[Type]]="Co-product", "No", "")</f>
        <v/>
      </c>
      <c r="J29" s="25"/>
      <c r="K29" s="6"/>
      <c r="L29" s="6" t="str">
        <f>IF(Table116[[#This Row],[Category]]="Transportation", _xlfn.XLOOKUP(Table116[[#This Row],[Resource]], 'SI - Payload'!$A$10:$A$40,'SI - Payload'!$B$10:$B$40,"",0), "")</f>
        <v/>
      </c>
      <c r="M29" s="6" t="str">
        <f>IF(Table116[[#This Row],[Category]]="Transportation", "ton", "")</f>
        <v/>
      </c>
      <c r="N29" s="6"/>
      <c r="O29" s="6"/>
      <c r="P29" s="6" t="str">
        <f>IF(OR(Table116[[#This Row],[Type]]="Main Product", Table116[[#This Row],[Type]]="Co-Product"), Table116[[#This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IF(Table116[[#This Row],[Type]]="Co-product", "No", "")</f>
        <v/>
      </c>
      <c r="J30" s="25"/>
      <c r="K30" s="6"/>
      <c r="L30" s="6" t="str">
        <f>IF(Table116[[#This Row],[Category]]="Transportation", _xlfn.XLOOKUP(Table116[[#This Row],[Resource]], 'SI - Payload'!$A$10:$A$40,'SI - Payload'!$B$10:$B$40,"",0), "")</f>
        <v/>
      </c>
      <c r="M30" s="6" t="str">
        <f>IF(Table116[[#This Row],[Category]]="Transportation", "ton", "")</f>
        <v/>
      </c>
      <c r="N30" s="6"/>
      <c r="O30" s="6"/>
      <c r="P30" s="6" t="str">
        <f>IF(OR(Table116[[#This Row],[Type]]="Main Product", Table116[[#This Row],[Type]]="Co-Product"), Table116[[#This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IF(Table116[[#This Row],[Type]]="Co-product", "No", "")</f>
        <v/>
      </c>
      <c r="J31" s="25"/>
      <c r="K31" s="6"/>
      <c r="L31" s="6" t="str">
        <f>IF(Table116[[#This Row],[Category]]="Transportation", _xlfn.XLOOKUP(Table116[[#This Row],[Resource]], 'SI - Payload'!$A$10:$A$40,'SI - Payload'!$B$10:$B$40,"",0), "")</f>
        <v/>
      </c>
      <c r="M31" s="6" t="str">
        <f>IF(Table116[[#This Row],[Category]]="Transportation", "ton", "")</f>
        <v/>
      </c>
      <c r="N31" s="6"/>
      <c r="O31" s="6"/>
      <c r="P31" s="6" t="str">
        <f>IF(OR(Table116[[#This Row],[Type]]="Main Product", Table116[[#This Row],[Type]]="Co-Product"), Table116[[#This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IF(Table116[[#This Row],[Type]]="Co-product", "No", "")</f>
        <v/>
      </c>
      <c r="J32" s="25"/>
      <c r="K32" s="6"/>
      <c r="L32" s="6" t="str">
        <f>IF(Table116[[#This Row],[Category]]="Transportation", _xlfn.XLOOKUP(Table116[[#This Row],[Resource]], 'SI - Payload'!$A$10:$A$40,'SI - Payload'!$B$10:$B$40,"",0), "")</f>
        <v/>
      </c>
      <c r="M32" s="6" t="str">
        <f>IF(Table116[[#This Row],[Category]]="Transportation", "ton", "")</f>
        <v/>
      </c>
      <c r="N32" s="6"/>
      <c r="O32" s="6"/>
      <c r="P32" s="6" t="str">
        <f>IF(OR(Table116[[#This Row],[Type]]="Main Product", Table116[[#This Row],[Type]]="Co-Product"), Table116[[#This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IF(Table116[[#This Row],[Type]]="Co-product", "No", "")</f>
        <v/>
      </c>
      <c r="J33" s="25"/>
      <c r="K33" s="6"/>
      <c r="L33" s="6" t="str">
        <f>IF(Table116[[#This Row],[Category]]="Transportation", _xlfn.XLOOKUP(Table116[[#This Row],[Resource]], 'SI - Payload'!$A$10:$A$40,'SI - Payload'!$B$10:$B$40,"",0), "")</f>
        <v/>
      </c>
      <c r="M33" s="6" t="str">
        <f>IF(Table116[[#This Row],[Category]]="Transportation", "ton", "")</f>
        <v/>
      </c>
      <c r="N33" s="6"/>
      <c r="O33" s="6"/>
      <c r="P33" s="6" t="str">
        <f>IF(OR(Table116[[#This Row],[Type]]="Main Product", Table116[[#This Row],[Type]]="Co-Product"), Table116[[#This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IF(Table116[[#This Row],[Type]]="Co-product", "No", "")</f>
        <v/>
      </c>
      <c r="J34" s="25"/>
      <c r="K34" s="6"/>
      <c r="L34" s="6" t="str">
        <f>IF(Table116[[#This Row],[Category]]="Transportation", _xlfn.XLOOKUP(Table116[[#This Row],[Resource]], 'SI - Payload'!$A$10:$A$40,'SI - Payload'!$B$10:$B$40,"",0), "")</f>
        <v/>
      </c>
      <c r="M34" s="6" t="str">
        <f>IF(Table116[[#This Row],[Category]]="Transportation", "ton", "")</f>
        <v/>
      </c>
      <c r="N34" s="6"/>
      <c r="O34" s="6"/>
      <c r="P34" s="6" t="str">
        <f>IF(OR(Table116[[#This Row],[Type]]="Main Product", Table116[[#This Row],[Type]]="Co-Product"), Table116[[#This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IF(Table116[[#This Row],[Type]]="Co-product", "No", "")</f>
        <v/>
      </c>
      <c r="J35" s="25"/>
      <c r="K35" s="6"/>
      <c r="L35" s="6" t="str">
        <f>IF(Table116[[#This Row],[Category]]="Transportation", _xlfn.XLOOKUP(Table116[[#This Row],[Resource]], 'SI - Payload'!$A$10:$A$40,'SI - Payload'!$B$10:$B$40,"",0), "")</f>
        <v/>
      </c>
      <c r="M35" s="6" t="str">
        <f>IF(Table116[[#This Row],[Category]]="Transportation", "ton", "")</f>
        <v/>
      </c>
      <c r="N35" s="6"/>
      <c r="O35" s="6"/>
      <c r="P35" s="6" t="str">
        <f>IF(OR(Table116[[#This Row],[Type]]="Main Product", Table116[[#This Row],[Type]]="Co-Product"), Table116[[#This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IF(Table116[[#This Row],[Type]]="Co-product", "No", "")</f>
        <v/>
      </c>
      <c r="J36" s="25"/>
      <c r="K36" s="6"/>
      <c r="L36" s="6" t="str">
        <f>IF(Table116[[#This Row],[Category]]="Transportation", _xlfn.XLOOKUP(Table116[[#This Row],[Resource]], 'SI - Payload'!$A$10:$A$40,'SI - Payload'!$B$10:$B$40,"",0), "")</f>
        <v/>
      </c>
      <c r="M36" s="6" t="str">
        <f>IF(Table116[[#This Row],[Category]]="Transportation", "ton", "")</f>
        <v/>
      </c>
      <c r="N36" s="6"/>
      <c r="O36" s="6"/>
      <c r="P36" s="6" t="str">
        <f>IF(OR(Table116[[#This Row],[Type]]="Main Product", Table116[[#This Row],[Type]]="Co-Product"), Table116[[#This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IF(Table116[[#This Row],[Type]]="Co-product", "No", "")</f>
        <v/>
      </c>
      <c r="J37" s="25"/>
      <c r="K37" s="6"/>
      <c r="L37" s="6" t="str">
        <f>IF(Table116[[#This Row],[Category]]="Transportation", _xlfn.XLOOKUP(Table116[[#This Row],[Resource]], 'SI - Payload'!$A$10:$A$40,'SI - Payload'!$B$10:$B$40,"",0), "")</f>
        <v/>
      </c>
      <c r="M37" s="6" t="str">
        <f>IF(Table116[[#This Row],[Category]]="Transportation", "ton", "")</f>
        <v/>
      </c>
      <c r="N37" s="6"/>
      <c r="O37" s="6"/>
      <c r="P37" s="6" t="str">
        <f>IF(OR(Table116[[#This Row],[Type]]="Main Product", Table116[[#This Row],[Type]]="Co-Product"), Table116[[#This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IF(Table116[[#This Row],[Type]]="Co-product", "No", "")</f>
        <v/>
      </c>
      <c r="J38" s="25"/>
      <c r="K38" s="6"/>
      <c r="L38" s="6" t="str">
        <f>IF(Table116[[#This Row],[Category]]="Transportation", _xlfn.XLOOKUP(Table116[[#This Row],[Resource]], 'SI - Payload'!$A$10:$A$40,'SI - Payload'!$B$10:$B$40,"",0), "")</f>
        <v/>
      </c>
      <c r="M38" s="6" t="str">
        <f>IF(Table116[[#This Row],[Category]]="Transportation", "ton", "")</f>
        <v/>
      </c>
      <c r="N38" s="6"/>
      <c r="O38" s="6"/>
      <c r="P38" s="6" t="str">
        <f>IF(OR(Table116[[#This Row],[Type]]="Main Product", Table116[[#This Row],[Type]]="Co-Product"), Table116[[#This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IF(Table116[[#This Row],[Type]]="Co-product", "No", "")</f>
        <v/>
      </c>
      <c r="J39" s="25"/>
      <c r="K39" s="6"/>
      <c r="L39" s="6" t="str">
        <f>IF(Table116[[#This Row],[Category]]="Transportation", _xlfn.XLOOKUP(Table116[[#This Row],[Resource]], 'SI - Payload'!$A$10:$A$40,'SI - Payload'!$B$10:$B$40,"",0), "")</f>
        <v/>
      </c>
      <c r="M39" s="6" t="str">
        <f>IF(Table116[[#This Row],[Category]]="Transportation", "ton", "")</f>
        <v/>
      </c>
      <c r="N39" s="6"/>
      <c r="O39" s="6"/>
      <c r="P39" s="6" t="str">
        <f>IF(OR(Table116[[#This Row],[Type]]="Main Product", Table116[[#This Row],[Type]]="Co-Product"), Table116[[#This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IF(Table116[[#This Row],[Type]]="Co-product", "No", "")</f>
        <v/>
      </c>
      <c r="J40" s="25"/>
      <c r="K40" s="6"/>
      <c r="L40" s="6" t="str">
        <f>IF(Table116[[#This Row],[Category]]="Transportation", _xlfn.XLOOKUP(Table116[[#This Row],[Resource]], 'SI - Payload'!$A$10:$A$40,'SI - Payload'!$B$10:$B$40,"",0), "")</f>
        <v/>
      </c>
      <c r="M40" s="6" t="str">
        <f>IF(Table116[[#This Row],[Category]]="Transportation", "ton", "")</f>
        <v/>
      </c>
      <c r="N40" s="6"/>
      <c r="O40" s="6"/>
      <c r="P40" s="6" t="str">
        <f>IF(OR(Table116[[#This Row],[Type]]="Main Product", Table116[[#This Row],[Type]]="Co-Product"), Table116[[#This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IF(Table116[[#This Row],[Type]]="Co-product", "No", "")</f>
        <v/>
      </c>
      <c r="J41" s="25"/>
      <c r="K41" s="6"/>
      <c r="L41" s="6" t="str">
        <f>IF(Table116[[#This Row],[Category]]="Transportation", _xlfn.XLOOKUP(Table116[[#This Row],[Resource]], 'SI - Payload'!$A$10:$A$40,'SI - Payload'!$B$10:$B$40,"",0), "")</f>
        <v/>
      </c>
      <c r="M41" s="6" t="str">
        <f>IF(Table116[[#This Row],[Category]]="Transportation", "ton", "")</f>
        <v/>
      </c>
      <c r="N41" s="6"/>
      <c r="O41" s="6"/>
      <c r="P41" s="6" t="str">
        <f>IF(OR(Table116[[#This Row],[Type]]="Main Product", Table116[[#This Row],[Type]]="Co-Product"), Table116[[#This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IF(Table116[[#This Row],[Type]]="Co-product", "No", "")</f>
        <v/>
      </c>
      <c r="J42" s="25"/>
      <c r="K42" s="6"/>
      <c r="L42" s="6" t="str">
        <f>IF(Table116[[#This Row],[Category]]="Transportation", _xlfn.XLOOKUP(Table116[[#This Row],[Resource]], 'SI - Payload'!$A$10:$A$40,'SI - Payload'!$B$10:$B$40,"",0), "")</f>
        <v/>
      </c>
      <c r="M42" s="6" t="str">
        <f>IF(Table116[[#This Row],[Category]]="Transportation", "ton", "")</f>
        <v/>
      </c>
      <c r="N42" s="6"/>
      <c r="O42" s="6"/>
      <c r="P42" s="6" t="str">
        <f>IF(OR(Table116[[#This Row],[Type]]="Main Product", Table116[[#This Row],[Type]]="Co-Product"), Table116[[#This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IF(Table116[[#This Row],[Type]]="Co-product", "No", "")</f>
        <v/>
      </c>
      <c r="J43" s="25"/>
      <c r="K43" s="6"/>
      <c r="L43" s="6" t="str">
        <f>IF(Table116[[#This Row],[Category]]="Transportation", _xlfn.XLOOKUP(Table116[[#This Row],[Resource]], 'SI - Payload'!$A$10:$A$40,'SI - Payload'!$B$10:$B$40,"",0), "")</f>
        <v/>
      </c>
      <c r="M43" s="6" t="str">
        <f>IF(Table116[[#This Row],[Category]]="Transportation", "ton", "")</f>
        <v/>
      </c>
      <c r="N43" s="6"/>
      <c r="O43" s="6"/>
      <c r="P43" s="6" t="str">
        <f>IF(OR(Table116[[#This Row],[Type]]="Main Product", Table116[[#This Row],[Type]]="Co-Product"), Table116[[#This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IF(Table116[[#This Row],[Type]]="Co-product", "No", "")</f>
        <v/>
      </c>
      <c r="J44" s="25"/>
      <c r="K44" s="6"/>
      <c r="L44" s="6" t="str">
        <f>IF(Table116[[#This Row],[Category]]="Transportation", _xlfn.XLOOKUP(Table116[[#This Row],[Resource]], 'SI - Payload'!$A$10:$A$40,'SI - Payload'!$B$10:$B$40,"",0), "")</f>
        <v/>
      </c>
      <c r="M44" s="6" t="str">
        <f>IF(Table116[[#This Row],[Category]]="Transportation", "ton", "")</f>
        <v/>
      </c>
      <c r="N44" s="6"/>
      <c r="O44" s="6"/>
      <c r="P44" s="6" t="str">
        <f>IF(OR(Table116[[#This Row],[Type]]="Main Product", Table116[[#This Row],[Type]]="Co-Product"), Table116[[#This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IF(Table116[[#This Row],[Type]]="Co-product", "No", "")</f>
        <v/>
      </c>
      <c r="J45" s="25"/>
      <c r="K45" s="6"/>
      <c r="L45" s="6" t="str">
        <f>IF(Table116[[#This Row],[Category]]="Transportation", _xlfn.XLOOKUP(Table116[[#This Row],[Resource]], 'SI - Payload'!$A$10:$A$40,'SI - Payload'!$B$10:$B$40,"",0), "")</f>
        <v/>
      </c>
      <c r="M45" s="6" t="str">
        <f>IF(Table116[[#This Row],[Category]]="Transportation", "ton", "")</f>
        <v/>
      </c>
      <c r="N45" s="6"/>
      <c r="O45" s="6"/>
      <c r="P45" s="6" t="str">
        <f>IF(OR(Table116[[#This Row],[Type]]="Main Product", Table116[[#This Row],[Type]]="Co-Product"), Table116[[#This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IF(Table116[[#This Row],[Type]]="Co-product", "No", "")</f>
        <v/>
      </c>
      <c r="J46" s="25"/>
      <c r="K46" s="6"/>
      <c r="L46" s="6" t="str">
        <f>IF(Table116[[#This Row],[Category]]="Transportation", _xlfn.XLOOKUP(Table116[[#This Row],[Resource]], 'SI - Payload'!$A$10:$A$40,'SI - Payload'!$B$10:$B$40,"",0), "")</f>
        <v/>
      </c>
      <c r="M46" s="6" t="str">
        <f>IF(Table116[[#This Row],[Category]]="Transportation", "ton", "")</f>
        <v/>
      </c>
      <c r="N46" s="6"/>
      <c r="O46" s="6"/>
      <c r="P46" s="6" t="str">
        <f>IF(OR(Table116[[#This Row],[Type]]="Main Product", Table116[[#This Row],[Type]]="Co-Product"), Table116[[#This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IF(Table116[[#This Row],[Type]]="Co-product", "No", "")</f>
        <v/>
      </c>
      <c r="J47" s="25"/>
      <c r="K47" s="6"/>
      <c r="L47" s="6" t="str">
        <f>IF(Table116[[#This Row],[Category]]="Transportation", _xlfn.XLOOKUP(Table116[[#This Row],[Resource]], 'SI - Payload'!$A$10:$A$40,'SI - Payload'!$B$10:$B$40,"",0), "")</f>
        <v/>
      </c>
      <c r="M47" s="6" t="str">
        <f>IF(Table116[[#This Row],[Category]]="Transportation", "ton", "")</f>
        <v/>
      </c>
      <c r="N47" s="6"/>
      <c r="O47" s="6"/>
      <c r="P47" s="6" t="str">
        <f>IF(OR(Table116[[#This Row],[Type]]="Main Product", Table116[[#This Row],[Type]]="Co-Product"), Table116[[#This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IF(Table116[[#This Row],[Type]]="Co-product", "No", "")</f>
        <v/>
      </c>
      <c r="J48" s="25"/>
      <c r="K48" s="6"/>
      <c r="L48" s="6" t="str">
        <f>IF(Table116[[#This Row],[Category]]="Transportation", _xlfn.XLOOKUP(Table116[[#This Row],[Resource]], 'SI - Payload'!$A$10:$A$40,'SI - Payload'!$B$10:$B$40,"",0), "")</f>
        <v/>
      </c>
      <c r="M48" s="6" t="str">
        <f>IF(Table116[[#This Row],[Category]]="Transportation", "ton", "")</f>
        <v/>
      </c>
      <c r="N48" s="6"/>
      <c r="O48" s="6"/>
      <c r="P48" s="6" t="str">
        <f>IF(OR(Table116[[#This Row],[Type]]="Main Product", Table116[[#This Row],[Type]]="Co-Product"), Table116[[#This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IF(Table116[[#This Row],[Type]]="Co-product", "No", "")</f>
        <v/>
      </c>
      <c r="J49" s="25"/>
      <c r="K49" s="6"/>
      <c r="L49" s="6" t="str">
        <f>IF(Table116[[#This Row],[Category]]="Transportation", _xlfn.XLOOKUP(Table116[[#This Row],[Resource]], 'SI - Payload'!$A$10:$A$40,'SI - Payload'!$B$10:$B$40,"",0), "")</f>
        <v/>
      </c>
      <c r="M49" s="6" t="str">
        <f>IF(Table116[[#This Row],[Category]]="Transportation", "ton", "")</f>
        <v/>
      </c>
      <c r="N49" s="6"/>
      <c r="O49" s="6"/>
      <c r="P49" s="6" t="str">
        <f>IF(OR(Table116[[#This Row],[Type]]="Main Product", Table116[[#This Row],[Type]]="Co-Product"), Table116[[#This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IF(Table116[[#This Row],[Type]]="Co-product", "No", "")</f>
        <v/>
      </c>
      <c r="J50" s="25"/>
      <c r="K50" s="6"/>
      <c r="L50" s="6" t="str">
        <f>IF(Table116[[#This Row],[Category]]="Transportation", _xlfn.XLOOKUP(Table116[[#This Row],[Resource]], 'SI - Payload'!$A$10:$A$40,'SI - Payload'!$B$10:$B$40,"",0), "")</f>
        <v/>
      </c>
      <c r="M50" s="6" t="str">
        <f>IF(Table116[[#This Row],[Category]]="Transportation", "ton", "")</f>
        <v/>
      </c>
      <c r="N50" s="6"/>
      <c r="O50" s="6"/>
      <c r="P50" s="6" t="str">
        <f>IF(OR(Table116[[#This Row],[Type]]="Main Product", Table116[[#This Row],[Type]]="Co-Product"), Table116[[#This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IF(Table116[[#This Row],[Type]]="Co-product", "No", "")</f>
        <v/>
      </c>
      <c r="J51" s="25"/>
      <c r="K51" s="6"/>
      <c r="L51" s="6" t="str">
        <f>IF(Table116[[#This Row],[Category]]="Transportation", _xlfn.XLOOKUP(Table116[[#This Row],[Resource]], 'SI - Payload'!$A$10:$A$40,'SI - Payload'!$B$10:$B$40,"",0), "")</f>
        <v/>
      </c>
      <c r="M51" s="6" t="str">
        <f>IF(Table116[[#This Row],[Category]]="Transportation", "ton", "")</f>
        <v/>
      </c>
      <c r="N51" s="6"/>
      <c r="O51" s="6"/>
      <c r="P51" s="6" t="str">
        <f>IF(OR(Table116[[#This Row],[Type]]="Main Product", Table116[[#This Row],[Type]]="Co-Product"), Table116[[#This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IF(Table116[[#This Row],[Type]]="Co-product", "No", "")</f>
        <v/>
      </c>
      <c r="J52" s="25"/>
      <c r="K52" s="6"/>
      <c r="L52" s="6" t="str">
        <f>IF(Table116[[#This Row],[Category]]="Transportation", _xlfn.XLOOKUP(Table116[[#This Row],[Resource]], 'SI - Payload'!$A$10:$A$40,'SI - Payload'!$B$10:$B$40,"",0), "")</f>
        <v/>
      </c>
      <c r="M52" s="6" t="str">
        <f>IF(Table116[[#This Row],[Category]]="Transportation", "ton", "")</f>
        <v/>
      </c>
      <c r="N52" s="6"/>
      <c r="O52" s="6"/>
      <c r="P52" s="6" t="str">
        <f>IF(OR(Table116[[#This Row],[Type]]="Main Product", Table116[[#This Row],[Type]]="Co-Product"), Table116[[#This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IF(Table116[[#This Row],[Type]]="Co-product", "No", "")</f>
        <v/>
      </c>
      <c r="J53" s="25"/>
      <c r="K53" s="6"/>
      <c r="L53" s="6" t="str">
        <f>IF(Table116[[#This Row],[Category]]="Transportation", _xlfn.XLOOKUP(Table116[[#This Row],[Resource]], 'SI - Payload'!$A$10:$A$40,'SI - Payload'!$B$10:$B$40,"",0), "")</f>
        <v/>
      </c>
      <c r="M53" s="6" t="str">
        <f>IF(Table116[[#This Row],[Category]]="Transportation", "ton", "")</f>
        <v/>
      </c>
      <c r="N53" s="6"/>
      <c r="O53" s="6"/>
      <c r="P53" s="6" t="str">
        <f>IF(OR(Table116[[#This Row],[Type]]="Main Product", Table116[[#This Row],[Type]]="Co-Product"), Table116[[#This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IF(Table116[[#This Row],[Type]]="Co-product", "No", "")</f>
        <v/>
      </c>
      <c r="J54" s="25"/>
      <c r="K54" s="6"/>
      <c r="L54" s="6" t="str">
        <f>IF(Table116[[#This Row],[Category]]="Transportation", _xlfn.XLOOKUP(Table116[[#This Row],[Resource]], 'SI - Payload'!$A$10:$A$40,'SI - Payload'!$B$10:$B$40,"",0), "")</f>
        <v/>
      </c>
      <c r="M54" s="6" t="str">
        <f>IF(Table116[[#This Row],[Category]]="Transportation", "ton", "")</f>
        <v/>
      </c>
      <c r="N54" s="6"/>
      <c r="O54" s="6"/>
      <c r="P54" s="6" t="str">
        <f>IF(OR(Table116[[#This Row],[Type]]="Main Product", Table116[[#This Row],[Type]]="Co-Product"), Table116[[#This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IF(Table116[[#This Row],[Type]]="Co-product", "No", "")</f>
        <v/>
      </c>
      <c r="J55" s="25"/>
      <c r="K55" s="6"/>
      <c r="L55" s="6" t="str">
        <f>IF(Table116[[#This Row],[Category]]="Transportation", _xlfn.XLOOKUP(Table116[[#This Row],[Resource]], 'SI - Payload'!$A$10:$A$40,'SI - Payload'!$B$10:$B$40,"",0), "")</f>
        <v/>
      </c>
      <c r="M55" s="6" t="str">
        <f>IF(Table116[[#This Row],[Category]]="Transportation", "ton", "")</f>
        <v/>
      </c>
      <c r="N55" s="6"/>
      <c r="O55" s="6"/>
      <c r="P55" s="6" t="str">
        <f>IF(OR(Table116[[#This Row],[Type]]="Main Product", Table116[[#This Row],[Type]]="Co-Product"), Table116[[#This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IF(Table116[[#This Row],[Type]]="Co-product", "No", "")</f>
        <v/>
      </c>
      <c r="J56" s="25"/>
      <c r="K56" s="6"/>
      <c r="L56" s="6" t="str">
        <f>IF(Table116[[#This Row],[Category]]="Transportation", _xlfn.XLOOKUP(Table116[[#This Row],[Resource]], 'SI - Payload'!$A$10:$A$40,'SI - Payload'!$B$10:$B$40,"",0), "")</f>
        <v/>
      </c>
      <c r="M56" s="6" t="str">
        <f>IF(Table116[[#This Row],[Category]]="Transportation", "ton", "")</f>
        <v/>
      </c>
      <c r="N56" s="6"/>
      <c r="O56" s="6"/>
      <c r="P56" s="6" t="str">
        <f>IF(OR(Table116[[#This Row],[Type]]="Main Product", Table116[[#This Row],[Type]]="Co-Product"), Table116[[#This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IF(Table116[[#This Row],[Type]]="Co-product", "No", "")</f>
        <v/>
      </c>
      <c r="J57" s="25"/>
      <c r="K57" s="6"/>
      <c r="L57" s="6" t="str">
        <f>IF(Table116[[#This Row],[Category]]="Transportation", _xlfn.XLOOKUP(Table116[[#This Row],[Resource]], 'SI - Payload'!$A$10:$A$40,'SI - Payload'!$B$10:$B$40,"",0), "")</f>
        <v/>
      </c>
      <c r="M57" s="6" t="str">
        <f>IF(Table116[[#This Row],[Category]]="Transportation", "ton", "")</f>
        <v/>
      </c>
      <c r="N57" s="6"/>
      <c r="O57" s="6"/>
      <c r="P57" s="6" t="str">
        <f>IF(OR(Table116[[#This Row],[Type]]="Main Product", Table116[[#This Row],[Type]]="Co-Product"), Table116[[#This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IF(Table116[[#This Row],[Type]]="Co-product", "No", "")</f>
        <v/>
      </c>
      <c r="J58" s="25"/>
      <c r="K58" s="6"/>
      <c r="L58" s="6" t="str">
        <f>IF(Table116[[#This Row],[Category]]="Transportation", _xlfn.XLOOKUP(Table116[[#This Row],[Resource]], 'SI - Payload'!$A$10:$A$40,'SI - Payload'!$B$10:$B$40,"",0), "")</f>
        <v/>
      </c>
      <c r="M58" s="6" t="str">
        <f>IF(Table116[[#This Row],[Category]]="Transportation", "ton", "")</f>
        <v/>
      </c>
      <c r="N58" s="6"/>
      <c r="O58" s="6"/>
      <c r="P58" s="6" t="str">
        <f>IF(OR(Table116[[#This Row],[Type]]="Main Product", Table116[[#This Row],[Type]]="Co-Product"), Table116[[#This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IF(Table116[[#This Row],[Type]]="Co-product", "No", "")</f>
        <v/>
      </c>
      <c r="J59" s="25"/>
      <c r="K59" s="6"/>
      <c r="L59" s="6" t="str">
        <f>IF(Table116[[#This Row],[Category]]="Transportation", _xlfn.XLOOKUP(Table116[[#This Row],[Resource]], 'SI - Payload'!$A$10:$A$40,'SI - Payload'!$B$10:$B$40,"",0), "")</f>
        <v/>
      </c>
      <c r="M59" s="6" t="str">
        <f>IF(Table116[[#This Row],[Category]]="Transportation", "ton", "")</f>
        <v/>
      </c>
      <c r="N59" s="6"/>
      <c r="O59" s="6"/>
      <c r="P59" s="6" t="str">
        <f>IF(OR(Table116[[#This Row],[Type]]="Main Product", Table116[[#This Row],[Type]]="Co-Product"), Table116[[#This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IF(Table116[[#This Row],[Type]]="Co-product", "No", "")</f>
        <v/>
      </c>
      <c r="J60" s="25"/>
      <c r="K60" s="6"/>
      <c r="L60" s="6" t="str">
        <f>IF(Table116[[#This Row],[Category]]="Transportation", _xlfn.XLOOKUP(Table116[[#This Row],[Resource]], 'SI - Payload'!$A$10:$A$40,'SI - Payload'!$B$10:$B$40,"",0), "")</f>
        <v/>
      </c>
      <c r="M60" s="6" t="str">
        <f>IF(Table116[[#This Row],[Category]]="Transportation", "ton", "")</f>
        <v/>
      </c>
      <c r="N60" s="6"/>
      <c r="O60" s="6"/>
      <c r="P60" s="6" t="str">
        <f>IF(OR(Table116[[#This Row],[Type]]="Main Product", Table116[[#This Row],[Type]]="Co-Product"), Table116[[#This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IF(Table116[[#This Row],[Type]]="Co-product", "No", "")</f>
        <v/>
      </c>
      <c r="J61" s="25"/>
      <c r="K61" s="6"/>
      <c r="L61" s="6" t="str">
        <f>IF(Table116[[#This Row],[Category]]="Transportation", _xlfn.XLOOKUP(Table116[[#This Row],[Resource]], 'SI - Payload'!$A$10:$A$40,'SI - Payload'!$B$10:$B$40,"",0), "")</f>
        <v/>
      </c>
      <c r="M61" s="6" t="str">
        <f>IF(Table116[[#This Row],[Category]]="Transportation", "ton", "")</f>
        <v/>
      </c>
      <c r="N61" s="6"/>
      <c r="O61" s="6"/>
      <c r="P61" s="6" t="str">
        <f>IF(OR(Table116[[#This Row],[Type]]="Main Product", Table116[[#This Row],[Type]]="Co-Product"), Table116[[#This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IF(Table116[[#This Row],[Type]]="Co-product", "No", "")</f>
        <v/>
      </c>
      <c r="J62" s="25"/>
      <c r="K62" s="6"/>
      <c r="L62" s="6" t="str">
        <f>IF(Table116[[#This Row],[Category]]="Transportation", _xlfn.XLOOKUP(Table116[[#This Row],[Resource]], 'SI - Payload'!$A$10:$A$40,'SI - Payload'!$B$10:$B$40,"",0), "")</f>
        <v/>
      </c>
      <c r="M62" s="6" t="str">
        <f>IF(Table116[[#This Row],[Category]]="Transportation", "ton", "")</f>
        <v/>
      </c>
      <c r="N62" s="6"/>
      <c r="O62" s="6"/>
      <c r="P62" s="6" t="str">
        <f>IF(OR(Table116[[#This Row],[Type]]="Main Product", Table116[[#This Row],[Type]]="Co-Product"), Table116[[#This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IF(Table116[[#This Row],[Type]]="Co-product", "No", "")</f>
        <v/>
      </c>
      <c r="J63" s="25"/>
      <c r="K63" s="6"/>
      <c r="L63" s="6" t="str">
        <f>IF(Table116[[#This Row],[Category]]="Transportation", _xlfn.XLOOKUP(Table116[[#This Row],[Resource]], 'SI - Payload'!$A$10:$A$40,'SI - Payload'!$B$10:$B$40,"",0), "")</f>
        <v/>
      </c>
      <c r="M63" s="6" t="str">
        <f>IF(Table116[[#This Row],[Category]]="Transportation", "ton", "")</f>
        <v/>
      </c>
      <c r="N63" s="6"/>
      <c r="O63" s="6"/>
      <c r="P63" s="6" t="str">
        <f>IF(OR(Table116[[#This Row],[Type]]="Main Product", Table116[[#This Row],[Type]]="Co-Product"), Table116[[#This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IF(Table116[[#This Row],[Type]]="Co-product", "No", "")</f>
        <v/>
      </c>
      <c r="J64" s="25"/>
      <c r="K64" s="6"/>
      <c r="L64" s="6" t="str">
        <f>IF(Table116[[#This Row],[Category]]="Transportation", _xlfn.XLOOKUP(Table116[[#This Row],[Resource]], 'SI - Payload'!$A$10:$A$40,'SI - Payload'!$B$10:$B$40,"",0), "")</f>
        <v/>
      </c>
      <c r="M64" s="6" t="str">
        <f>IF(Table116[[#This Row],[Category]]="Transportation", "ton", "")</f>
        <v/>
      </c>
      <c r="N64" s="6"/>
      <c r="O64" s="6"/>
      <c r="P64" s="6" t="str">
        <f>IF(OR(Table116[[#This Row],[Type]]="Main Product", Table116[[#This Row],[Type]]="Co-Product"), Table116[[#This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IF(Table116[[#This Row],[Type]]="Co-product", "No", "")</f>
        <v/>
      </c>
      <c r="J65" s="25"/>
      <c r="K65" s="6"/>
      <c r="L65" s="6" t="str">
        <f>IF(Table116[[#This Row],[Category]]="Transportation", _xlfn.XLOOKUP(Table116[[#This Row],[Resource]], 'SI - Payload'!$A$10:$A$40,'SI - Payload'!$B$10:$B$40,"",0), "")</f>
        <v/>
      </c>
      <c r="M65" s="6" t="str">
        <f>IF(Table116[[#This Row],[Category]]="Transportation", "ton", "")</f>
        <v/>
      </c>
      <c r="N65" s="6"/>
      <c r="O65" s="6"/>
      <c r="P65" s="6" t="str">
        <f>IF(OR(Table116[[#This Row],[Type]]="Main Product", Table116[[#This Row],[Type]]="Co-Product"), Table116[[#This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IF(Table116[[#This Row],[Type]]="Co-product", "No", "")</f>
        <v/>
      </c>
      <c r="J66" s="25"/>
      <c r="K66" s="6"/>
      <c r="L66" s="6" t="str">
        <f>IF(Table116[[#This Row],[Category]]="Transportation", _xlfn.XLOOKUP(Table116[[#This Row],[Resource]], 'SI - Payload'!$A$10:$A$40,'SI - Payload'!$B$10:$B$40,"",0), "")</f>
        <v/>
      </c>
      <c r="M66" s="6" t="str">
        <f>IF(Table116[[#This Row],[Category]]="Transportation", "ton", "")</f>
        <v/>
      </c>
      <c r="N66" s="6"/>
      <c r="O66" s="6"/>
      <c r="P66" s="6" t="str">
        <f>IF(OR(Table116[[#This Row],[Type]]="Main Product", Table116[[#This Row],[Type]]="Co-Product"), Table116[[#This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IF(Table116[[#This Row],[Type]]="Co-product", "No", "")</f>
        <v/>
      </c>
      <c r="J67" s="25"/>
      <c r="K67" s="6"/>
      <c r="L67" s="6" t="str">
        <f>IF(Table116[[#This Row],[Category]]="Transportation", _xlfn.XLOOKUP(Table116[[#This Row],[Resource]], 'SI - Payload'!$A$10:$A$40,'SI - Payload'!$B$10:$B$40,"",0), "")</f>
        <v/>
      </c>
      <c r="M67" s="6" t="str">
        <f>IF(Table116[[#This Row],[Category]]="Transportation", "ton", "")</f>
        <v/>
      </c>
      <c r="N67" s="6"/>
      <c r="O67" s="6"/>
      <c r="P67" s="6" t="str">
        <f>IF(OR(Table116[[#This Row],[Type]]="Main Product", Table116[[#This Row],[Type]]="Co-Product"), Table116[[#This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IF(Table116[[#This Row],[Type]]="Co-product", "No", "")</f>
        <v/>
      </c>
      <c r="J68" s="25"/>
      <c r="K68" s="6"/>
      <c r="L68" s="6" t="str">
        <f>IF(Table116[[#This Row],[Category]]="Transportation", _xlfn.XLOOKUP(Table116[[#This Row],[Resource]], 'SI - Payload'!$A$10:$A$40,'SI - Payload'!$B$10:$B$40,"",0), "")</f>
        <v/>
      </c>
      <c r="M68" s="6" t="str">
        <f>IF(Table116[[#This Row],[Category]]="Transportation", "ton", "")</f>
        <v/>
      </c>
      <c r="N68" s="6"/>
      <c r="O68" s="6"/>
      <c r="P68" s="6" t="str">
        <f>IF(OR(Table116[[#This Row],[Type]]="Main Product", Table116[[#This Row],[Type]]="Co-Product"), Table116[[#This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IF(Table116[[#This Row],[Type]]="Co-product", "No", "")</f>
        <v/>
      </c>
      <c r="J69" s="25"/>
      <c r="K69" s="6"/>
      <c r="L69" s="6" t="str">
        <f>IF(Table116[[#This Row],[Category]]="Transportation", _xlfn.XLOOKUP(Table116[[#This Row],[Resource]], 'SI - Payload'!$A$10:$A$40,'SI - Payload'!$B$10:$B$40,"",0), "")</f>
        <v/>
      </c>
      <c r="M69" s="6" t="str">
        <f>IF(Table116[[#This Row],[Category]]="Transportation", "ton", "")</f>
        <v/>
      </c>
      <c r="N69" s="6"/>
      <c r="O69" s="6"/>
      <c r="P69" s="6" t="str">
        <f>IF(OR(Table116[[#This Row],[Type]]="Main Product", Table116[[#This Row],[Type]]="Co-Product"), Table116[[#This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IF(Table116[[#This Row],[Type]]="Co-product", "No", "")</f>
        <v/>
      </c>
      <c r="J70" s="25"/>
      <c r="K70" s="6"/>
      <c r="L70" s="6" t="str">
        <f>IF(Table116[[#This Row],[Category]]="Transportation", _xlfn.XLOOKUP(Table116[[#This Row],[Resource]], 'SI - Payload'!$A$10:$A$40,'SI - Payload'!$B$10:$B$40,"",0), "")</f>
        <v/>
      </c>
      <c r="M70" s="6" t="str">
        <f>IF(Table116[[#This Row],[Category]]="Transportation", "ton", "")</f>
        <v/>
      </c>
      <c r="N70" s="6"/>
      <c r="O70" s="6"/>
      <c r="P70" s="6" t="str">
        <f>IF(OR(Table116[[#This Row],[Type]]="Main Product", Table116[[#This Row],[Type]]="Co-Product"), Table116[[#This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IF(Table116[[#This Row],[Type]]="Co-product", "No", "")</f>
        <v/>
      </c>
      <c r="J71" s="25"/>
      <c r="K71" s="6"/>
      <c r="L71" s="6" t="str">
        <f>IF(Table116[[#This Row],[Category]]="Transportation", _xlfn.XLOOKUP(Table116[[#This Row],[Resource]], 'SI - Payload'!$A$10:$A$40,'SI - Payload'!$B$10:$B$40,"",0), "")</f>
        <v/>
      </c>
      <c r="M71" s="6" t="str">
        <f>IF(Table116[[#This Row],[Category]]="Transportation", "ton", "")</f>
        <v/>
      </c>
      <c r="N71" s="6"/>
      <c r="O71" s="6"/>
      <c r="P71" s="6" t="str">
        <f>IF(OR(Table116[[#This Row],[Type]]="Main Product", Table116[[#This Row],[Type]]="Co-Product"), Table116[[#This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IF(Table116[[#This Row],[Type]]="Co-product", "No", "")</f>
        <v/>
      </c>
      <c r="J72" s="25"/>
      <c r="K72" s="6"/>
      <c r="L72" s="6" t="str">
        <f>IF(Table116[[#This Row],[Category]]="Transportation", _xlfn.XLOOKUP(Table116[[#This Row],[Resource]], 'SI - Payload'!$A$10:$A$40,'SI - Payload'!$B$10:$B$40,"",0), "")</f>
        <v/>
      </c>
      <c r="M72" s="6" t="str">
        <f>IF(Table116[[#This Row],[Category]]="Transportation", "ton", "")</f>
        <v/>
      </c>
      <c r="N72" s="6"/>
      <c r="O72" s="6"/>
      <c r="P72" s="6" t="str">
        <f>IF(OR(Table116[[#This Row],[Type]]="Main Product", Table116[[#This Row],[Type]]="Co-Product"), Table116[[#This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IF(Table116[[#This Row],[Type]]="Co-product", "No", "")</f>
        <v/>
      </c>
      <c r="J73" s="25"/>
      <c r="K73" s="6"/>
      <c r="L73" s="6" t="str">
        <f>IF(Table116[[#This Row],[Category]]="Transportation", _xlfn.XLOOKUP(Table116[[#This Row],[Resource]], 'SI - Payload'!$A$10:$A$40,'SI - Payload'!$B$10:$B$40,"",0), "")</f>
        <v/>
      </c>
      <c r="M73" s="6" t="str">
        <f>IF(Table116[[#This Row],[Category]]="Transportation", "ton", "")</f>
        <v/>
      </c>
      <c r="N73" s="6"/>
      <c r="O73" s="6"/>
      <c r="P73" s="6" t="str">
        <f>IF(OR(Table116[[#This Row],[Type]]="Main Product", Table116[[#This Row],[Type]]="Co-Product"), Table116[[#This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IF(Table116[[#This Row],[Type]]="Co-product", "No", "")</f>
        <v/>
      </c>
      <c r="J74" s="25"/>
      <c r="K74" s="6"/>
      <c r="L74" s="6" t="str">
        <f>IF(Table116[[#This Row],[Category]]="Transportation", _xlfn.XLOOKUP(Table116[[#This Row],[Resource]], 'SI - Payload'!$A$10:$A$40,'SI - Payload'!$B$10:$B$40,"",0), "")</f>
        <v/>
      </c>
      <c r="M74" s="6" t="str">
        <f>IF(Table116[[#This Row],[Category]]="Transportation", "ton", "")</f>
        <v/>
      </c>
      <c r="N74" s="6"/>
      <c r="O74" s="6"/>
      <c r="P74" s="6" t="str">
        <f>IF(OR(Table116[[#This Row],[Type]]="Main Product", Table116[[#This Row],[Type]]="Co-Product"), Table116[[#This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IF(Table116[[#This Row],[Type]]="Co-product", "No", "")</f>
        <v/>
      </c>
      <c r="J75" s="25"/>
      <c r="K75" s="6"/>
      <c r="L75" s="6" t="str">
        <f>IF(Table116[[#This Row],[Category]]="Transportation", _xlfn.XLOOKUP(Table116[[#This Row],[Resource]], 'SI - Payload'!$A$10:$A$40,'SI - Payload'!$B$10:$B$40,"",0), "")</f>
        <v/>
      </c>
      <c r="M75" s="6" t="str">
        <f>IF(Table116[[#This Row],[Category]]="Transportation", "ton", "")</f>
        <v/>
      </c>
      <c r="N75" s="6"/>
      <c r="O75" s="6"/>
      <c r="P75" s="6" t="str">
        <f>IF(OR(Table116[[#This Row],[Type]]="Main Product", Table116[[#This Row],[Type]]="Co-Product"), Table116[[#This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IF(Table116[[#This Row],[Type]]="Co-product", "No", "")</f>
        <v/>
      </c>
      <c r="J76" s="25"/>
      <c r="K76" s="6"/>
      <c r="L76" s="6" t="str">
        <f>IF(Table116[[#This Row],[Category]]="Transportation", _xlfn.XLOOKUP(Table116[[#This Row],[Resource]], 'SI - Payload'!$A$10:$A$40,'SI - Payload'!$B$10:$B$40,"",0), "")</f>
        <v/>
      </c>
      <c r="M76" s="6" t="str">
        <f>IF(Table116[[#This Row],[Category]]="Transportation", "ton", "")</f>
        <v/>
      </c>
      <c r="N76" s="6"/>
      <c r="O76" s="6"/>
      <c r="P76" s="6" t="str">
        <f>IF(OR(Table116[[#This Row],[Type]]="Main Product", Table116[[#This Row],[Type]]="Co-Product"), Table116[[#This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IF(Table116[[#This Row],[Type]]="Co-product", "No", "")</f>
        <v/>
      </c>
      <c r="J77" s="25"/>
      <c r="K77" s="6"/>
      <c r="L77" s="6" t="str">
        <f>IF(Table116[[#This Row],[Category]]="Transportation", _xlfn.XLOOKUP(Table116[[#This Row],[Resource]], 'SI - Payload'!$A$10:$A$40,'SI - Payload'!$B$10:$B$40,"",0), "")</f>
        <v/>
      </c>
      <c r="M77" s="6" t="str">
        <f>IF(Table116[[#This Row],[Category]]="Transportation", "ton", "")</f>
        <v/>
      </c>
      <c r="N77" s="6"/>
      <c r="O77" s="6"/>
      <c r="P77" s="6" t="str">
        <f>IF(OR(Table116[[#This Row],[Type]]="Main Product", Table116[[#This Row],[Type]]="Co-Product"), Table116[[#This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IF(Table116[[#This Row],[Type]]="Co-product", "No", "")</f>
        <v/>
      </c>
      <c r="J78" s="25"/>
      <c r="K78" s="6"/>
      <c r="L78" s="6" t="str">
        <f>IF(Table116[[#This Row],[Category]]="Transportation", _xlfn.XLOOKUP(Table116[[#This Row],[Resource]], 'SI - Payload'!$A$10:$A$40,'SI - Payload'!$B$10:$B$40,"",0), "")</f>
        <v/>
      </c>
      <c r="M78" s="6" t="str">
        <f>IF(Table116[[#This Row],[Category]]="Transportation", "ton", "")</f>
        <v/>
      </c>
      <c r="N78" s="6"/>
      <c r="O78" s="6"/>
      <c r="P78" s="6" t="str">
        <f>IF(OR(Table116[[#This Row],[Type]]="Main Product", Table116[[#This Row],[Type]]="Co-Product"), Table116[[#This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IF(Table116[[#This Row],[Type]]="Co-product", "No", "")</f>
        <v/>
      </c>
      <c r="J79" s="25"/>
      <c r="K79" s="6"/>
      <c r="L79" s="6" t="str">
        <f>IF(Table116[[#This Row],[Category]]="Transportation", _xlfn.XLOOKUP(Table116[[#This Row],[Resource]], 'SI - Payload'!$A$10:$A$40,'SI - Payload'!$B$10:$B$40,"",0), "")</f>
        <v/>
      </c>
      <c r="M79" s="6" t="str">
        <f>IF(Table116[[#This Row],[Category]]="Transportation", "ton", "")</f>
        <v/>
      </c>
      <c r="N79" s="6"/>
      <c r="O79" s="6"/>
      <c r="P79" s="6" t="str">
        <f>IF(OR(Table116[[#This Row],[Type]]="Main Product", Table116[[#This Row],[Type]]="Co-Product"), Table116[[#This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IF(Table116[[#This Row],[Type]]="Co-product", "No", "")</f>
        <v/>
      </c>
      <c r="J80" s="25"/>
      <c r="K80" s="6"/>
      <c r="L80" s="6" t="str">
        <f>IF(Table116[[#This Row],[Category]]="Transportation", _xlfn.XLOOKUP(Table116[[#This Row],[Resource]], 'SI - Payload'!$A$10:$A$40,'SI - Payload'!$B$10:$B$40,"",0), "")</f>
        <v/>
      </c>
      <c r="M80" s="6" t="str">
        <f>IF(Table116[[#This Row],[Category]]="Transportation", "ton", "")</f>
        <v/>
      </c>
      <c r="N80" s="6"/>
      <c r="O80" s="6"/>
      <c r="P80" s="6" t="str">
        <f>IF(OR(Table116[[#This Row],[Type]]="Main Product", Table116[[#This Row],[Type]]="Co-Product"), Table116[[#This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IF(Table116[[#This Row],[Type]]="Co-product", "No", "")</f>
        <v/>
      </c>
      <c r="J81" s="25"/>
      <c r="K81" s="6"/>
      <c r="L81" s="6" t="str">
        <f>IF(Table116[[#This Row],[Category]]="Transportation", _xlfn.XLOOKUP(Table116[[#This Row],[Resource]], 'SI - Payload'!$A$10:$A$40,'SI - Payload'!$B$10:$B$40,"",0), "")</f>
        <v/>
      </c>
      <c r="M81" s="6" t="str">
        <f>IF(Table116[[#This Row],[Category]]="Transportation", "ton", "")</f>
        <v/>
      </c>
      <c r="N81" s="6"/>
      <c r="O81" s="6"/>
      <c r="P81" s="6" t="str">
        <f>IF(OR(Table116[[#This Row],[Type]]="Main Product", Table116[[#This Row],[Type]]="Co-Product"), Table116[[#This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IF(Table116[[#This Row],[Type]]="Co-product", "No", "")</f>
        <v/>
      </c>
      <c r="J82" s="25"/>
      <c r="K82" s="6"/>
      <c r="L82" s="6" t="str">
        <f>IF(Table116[[#This Row],[Category]]="Transportation", _xlfn.XLOOKUP(Table116[[#This Row],[Resource]], 'SI - Payload'!$A$10:$A$40,'SI - Payload'!$B$10:$B$40,"",0), "")</f>
        <v/>
      </c>
      <c r="M82" s="6" t="str">
        <f>IF(Table116[[#This Row],[Category]]="Transportation", "ton", "")</f>
        <v/>
      </c>
      <c r="N82" s="6"/>
      <c r="O82" s="6"/>
      <c r="P82" s="6" t="str">
        <f>IF(OR(Table116[[#This Row],[Type]]="Main Product", Table116[[#This Row],[Type]]="Co-Product"), Table116[[#This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IF(Table116[[#This Row],[Type]]="Co-product", "No", "")</f>
        <v/>
      </c>
      <c r="J83" s="25"/>
      <c r="K83" s="6"/>
      <c r="L83" s="6" t="str">
        <f>IF(Table116[[#This Row],[Category]]="Transportation", _xlfn.XLOOKUP(Table116[[#This Row],[Resource]], 'SI - Payload'!$A$10:$A$40,'SI - Payload'!$B$10:$B$40,"",0), "")</f>
        <v/>
      </c>
      <c r="M83" s="6" t="str">
        <f>IF(Table116[[#This Row],[Category]]="Transportation", "ton", "")</f>
        <v/>
      </c>
      <c r="N83" s="6"/>
      <c r="O83" s="6"/>
      <c r="P83" s="6" t="str">
        <f>IF(OR(Table116[[#This Row],[Type]]="Main Product", Table116[[#This Row],[Type]]="Co-Product"), Table116[[#This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IF(Table116[[#This Row],[Type]]="Co-product", "No", "")</f>
        <v/>
      </c>
      <c r="J84" s="25"/>
      <c r="K84" s="6"/>
      <c r="L84" s="6" t="str">
        <f>IF(Table116[[#This Row],[Category]]="Transportation", _xlfn.XLOOKUP(Table116[[#This Row],[Resource]], 'SI - Payload'!$A$10:$A$40,'SI - Payload'!$B$10:$B$40,"",0), "")</f>
        <v/>
      </c>
      <c r="M84" s="6" t="str">
        <f>IF(Table116[[#This Row],[Category]]="Transportation", "ton", "")</f>
        <v/>
      </c>
      <c r="N84" s="6"/>
      <c r="O84" s="6"/>
      <c r="P84" s="6" t="str">
        <f>IF(OR(Table116[[#This Row],[Type]]="Main Product", Table116[[#This Row],[Type]]="Co-Product"), Table116[[#This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IF(Table116[[#This Row],[Type]]="Co-product", "No", "")</f>
        <v/>
      </c>
      <c r="J85" s="25"/>
      <c r="K85" s="6"/>
      <c r="L85" s="6" t="str">
        <f>IF(Table116[[#This Row],[Category]]="Transportation", _xlfn.XLOOKUP(Table116[[#This Row],[Resource]], 'SI - Payload'!$A$10:$A$40,'SI - Payload'!$B$10:$B$40,"",0), "")</f>
        <v/>
      </c>
      <c r="M85" s="6" t="str">
        <f>IF(Table116[[#This Row],[Category]]="Transportation", "ton", "")</f>
        <v/>
      </c>
      <c r="N85" s="6"/>
      <c r="O85" s="6"/>
      <c r="P85" s="6" t="str">
        <f>IF(OR(Table116[[#This Row],[Type]]="Main Product", Table116[[#This Row],[Type]]="Co-Product"), Table116[[#This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IF(Table116[[#This Row],[Type]]="Co-product", "No", "")</f>
        <v/>
      </c>
      <c r="J86" s="25"/>
      <c r="K86" s="6"/>
      <c r="L86" s="6" t="str">
        <f>IF(Table116[[#This Row],[Category]]="Transportation", _xlfn.XLOOKUP(Table116[[#This Row],[Resource]], 'SI - Payload'!$A$10:$A$40,'SI - Payload'!$B$10:$B$40,"",0), "")</f>
        <v/>
      </c>
      <c r="M86" s="6" t="str">
        <f>IF(Table116[[#This Row],[Category]]="Transportation", "ton", "")</f>
        <v/>
      </c>
      <c r="N86" s="6"/>
      <c r="O86" s="6"/>
      <c r="P86" s="6" t="str">
        <f>IF(OR(Table116[[#This Row],[Type]]="Main Product", Table116[[#This Row],[Type]]="Co-Product"), Table116[[#This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IF(Table116[[#This Row],[Type]]="Co-product", "No", "")</f>
        <v/>
      </c>
      <c r="J87" s="25"/>
      <c r="K87" s="6"/>
      <c r="L87" s="6" t="str">
        <f>IF(Table116[[#This Row],[Category]]="Transportation", _xlfn.XLOOKUP(Table116[[#This Row],[Resource]], 'SI - Payload'!$A$10:$A$40,'SI - Payload'!$B$10:$B$40,"",0), "")</f>
        <v/>
      </c>
      <c r="M87" s="6" t="str">
        <f>IF(Table116[[#This Row],[Category]]="Transportation", "ton", "")</f>
        <v/>
      </c>
      <c r="N87" s="6"/>
      <c r="O87" s="6"/>
      <c r="P87" s="6" t="str">
        <f>IF(OR(Table116[[#This Row],[Type]]="Main Product", Table116[[#This Row],[Type]]="Co-Product"), Table116[[#This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IF(Table116[[#This Row],[Type]]="Co-product", "No", "")</f>
        <v/>
      </c>
      <c r="J88" s="25"/>
      <c r="K88" s="6"/>
      <c r="L88" s="6" t="str">
        <f>IF(Table116[[#This Row],[Category]]="Transportation", _xlfn.XLOOKUP(Table116[[#This Row],[Resource]], 'SI - Payload'!$A$10:$A$40,'SI - Payload'!$B$10:$B$40,"",0), "")</f>
        <v/>
      </c>
      <c r="M88" s="6" t="str">
        <f>IF(Table116[[#This Row],[Category]]="Transportation", "ton", "")</f>
        <v/>
      </c>
      <c r="N88" s="6"/>
      <c r="O88" s="6"/>
      <c r="P88" s="6" t="str">
        <f>IF(OR(Table116[[#This Row],[Type]]="Main Product", Table116[[#This Row],[Type]]="Co-Product"), Table116[[#This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IF(Table116[[#This Row],[Type]]="Co-product", "No", "")</f>
        <v/>
      </c>
      <c r="J89" s="25"/>
      <c r="K89" s="6"/>
      <c r="L89" s="6" t="str">
        <f>IF(Table116[[#This Row],[Category]]="Transportation", _xlfn.XLOOKUP(Table116[[#This Row],[Resource]], 'SI - Payload'!$A$10:$A$40,'SI - Payload'!$B$10:$B$40,"",0), "")</f>
        <v/>
      </c>
      <c r="M89" s="6" t="str">
        <f>IF(Table116[[#This Row],[Category]]="Transportation", "ton", "")</f>
        <v/>
      </c>
      <c r="N89" s="6"/>
      <c r="O89" s="6"/>
      <c r="P89" s="6" t="str">
        <f>IF(OR(Table116[[#This Row],[Type]]="Main Product", Table116[[#This Row],[Type]]="Co-Product"), Table116[[#This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IF(Table116[[#This Row],[Type]]="Co-product", "No", "")</f>
        <v/>
      </c>
      <c r="J90" s="25"/>
      <c r="K90" s="6"/>
      <c r="L90" s="6" t="str">
        <f>IF(Table116[[#This Row],[Category]]="Transportation", _xlfn.XLOOKUP(Table116[[#This Row],[Resource]], 'SI - Payload'!$A$10:$A$40,'SI - Payload'!$B$10:$B$40,"",0), "")</f>
        <v/>
      </c>
      <c r="M90" s="6" t="str">
        <f>IF(Table116[[#This Row],[Category]]="Transportation", "ton", "")</f>
        <v/>
      </c>
      <c r="N90" s="6"/>
      <c r="O90" s="6"/>
      <c r="P90" s="6" t="str">
        <f>IF(OR(Table116[[#This Row],[Type]]="Main Product", Table116[[#This Row],[Type]]="Co-Product"), Table116[[#This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IF(Table116[[#This Row],[Type]]="Co-product", "No", "")</f>
        <v/>
      </c>
      <c r="J91" s="25"/>
      <c r="K91" s="6"/>
      <c r="L91" s="6" t="str">
        <f>IF(Table116[[#This Row],[Category]]="Transportation", _xlfn.XLOOKUP(Table116[[#This Row],[Resource]], 'SI - Payload'!$A$10:$A$40,'SI - Payload'!$B$10:$B$40,"",0), "")</f>
        <v/>
      </c>
      <c r="M91" s="6" t="str">
        <f>IF(Table116[[#This Row],[Category]]="Transportation", "ton", "")</f>
        <v/>
      </c>
      <c r="N91" s="6"/>
      <c r="O91" s="6"/>
      <c r="P91" s="6" t="str">
        <f>IF(OR(Table116[[#This Row],[Type]]="Main Product", Table116[[#This Row],[Type]]="Co-Product"), Table116[[#This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IF(Table116[[#This Row],[Type]]="Co-product", "No", "")</f>
        <v/>
      </c>
      <c r="J92" s="25"/>
      <c r="K92" s="6"/>
      <c r="L92" s="6" t="str">
        <f>IF(Table116[[#This Row],[Category]]="Transportation", _xlfn.XLOOKUP(Table116[[#This Row],[Resource]], 'SI - Payload'!$A$10:$A$40,'SI - Payload'!$B$10:$B$40,"",0), "")</f>
        <v/>
      </c>
      <c r="M92" s="6" t="str">
        <f>IF(Table116[[#This Row],[Category]]="Transportation", "ton", "")</f>
        <v/>
      </c>
      <c r="N92" s="6"/>
      <c r="O92" s="6"/>
      <c r="P92" s="6" t="str">
        <f>IF(OR(Table116[[#This Row],[Type]]="Main Product", Table116[[#This Row],[Type]]="Co-Product"), Table116[[#This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IF(Table116[[#This Row],[Type]]="Co-product", "No", "")</f>
        <v/>
      </c>
      <c r="J93" s="25"/>
      <c r="K93" s="6"/>
      <c r="L93" s="6" t="str">
        <f>IF(Table116[[#This Row],[Category]]="Transportation", _xlfn.XLOOKUP(Table116[[#This Row],[Resource]], 'SI - Payload'!$A$10:$A$40,'SI - Payload'!$B$10:$B$40,"",0), "")</f>
        <v/>
      </c>
      <c r="M93" s="6" t="str">
        <f>IF(Table116[[#This Row],[Category]]="Transportation", "ton", "")</f>
        <v/>
      </c>
      <c r="N93" s="6"/>
      <c r="O93" s="6"/>
      <c r="P93" s="6" t="str">
        <f>IF(OR(Table116[[#This Row],[Type]]="Main Product", Table116[[#This Row],[Type]]="Co-Product"), Table116[[#This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IF(Table116[[#This Row],[Type]]="Co-product", "No", "")</f>
        <v/>
      </c>
      <c r="J94" s="25"/>
      <c r="K94" s="6"/>
      <c r="L94" s="6" t="str">
        <f>IF(Table116[[#This Row],[Category]]="Transportation", _xlfn.XLOOKUP(Table116[[#This Row],[Resource]], 'SI - Payload'!$A$10:$A$40,'SI - Payload'!$B$10:$B$40,"",0), "")</f>
        <v/>
      </c>
      <c r="M94" s="6" t="str">
        <f>IF(Table116[[#This Row],[Category]]="Transportation", "ton", "")</f>
        <v/>
      </c>
      <c r="N94" s="6"/>
      <c r="O94" s="6"/>
      <c r="P94" s="6" t="str">
        <f>IF(OR(Table116[[#This Row],[Type]]="Main Product", Table116[[#This Row],[Type]]="Co-Product"), Table116[[#This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IF(Table116[[#This Row],[Type]]="Co-product", "No", "")</f>
        <v/>
      </c>
      <c r="J95" s="25"/>
      <c r="K95" s="6"/>
      <c r="L95" s="6" t="str">
        <f>IF(Table116[[#This Row],[Category]]="Transportation", _xlfn.XLOOKUP(Table116[[#This Row],[Resource]], 'SI - Payload'!$A$10:$A$40,'SI - Payload'!$B$10:$B$40,"",0), "")</f>
        <v/>
      </c>
      <c r="M95" s="6" t="str">
        <f>IF(Table116[[#This Row],[Category]]="Transportation", "ton", "")</f>
        <v/>
      </c>
      <c r="N95" s="6"/>
      <c r="O95" s="6"/>
      <c r="P95" s="6" t="str">
        <f>IF(OR(Table116[[#This Row],[Type]]="Main Product", Table116[[#This Row],[Type]]="Co-Product"), Table116[[#This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IF(Table116[[#This Row],[Type]]="Co-product", "No", "")</f>
        <v/>
      </c>
      <c r="J96" s="25"/>
      <c r="K96" s="6"/>
      <c r="L96" s="6" t="str">
        <f>IF(Table116[[#This Row],[Category]]="Transportation", _xlfn.XLOOKUP(Table116[[#This Row],[Resource]], 'SI - Payload'!$A$10:$A$40,'SI - Payload'!$B$10:$B$40,"",0), "")</f>
        <v/>
      </c>
      <c r="M96" s="6" t="str">
        <f>IF(Table116[[#This Row],[Category]]="Transportation", "ton", "")</f>
        <v/>
      </c>
      <c r="N96" s="6"/>
      <c r="O96" s="6"/>
      <c r="P96" s="6" t="str">
        <f>IF(OR(Table116[[#This Row],[Type]]="Main Product", Table116[[#This Row],[Type]]="Co-Product"), Table116[[#This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IF(Table116[[#This Row],[Type]]="Co-product", "No", "")</f>
        <v/>
      </c>
      <c r="J97" s="25"/>
      <c r="K97" s="6"/>
      <c r="L97" s="6" t="str">
        <f>IF(Table116[[#This Row],[Category]]="Transportation", _xlfn.XLOOKUP(Table116[[#This Row],[Resource]], 'SI - Payload'!$A$10:$A$40,'SI - Payload'!$B$10:$B$40,"",0), "")</f>
        <v/>
      </c>
      <c r="M97" s="6" t="str">
        <f>IF(Table116[[#This Row],[Category]]="Transportation", "ton", "")</f>
        <v/>
      </c>
      <c r="N97" s="6"/>
      <c r="O97" s="6"/>
      <c r="P97" s="6" t="str">
        <f>IF(OR(Table116[[#This Row],[Type]]="Main Product", Table116[[#This Row],[Type]]="Co-Product"), Table116[[#This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IF(Table116[[#This Row],[Type]]="Co-product", "No", "")</f>
        <v/>
      </c>
      <c r="J98" s="25"/>
      <c r="K98" s="6"/>
      <c r="L98" s="6" t="str">
        <f>IF(Table116[[#This Row],[Category]]="Transportation", _xlfn.XLOOKUP(Table116[[#This Row],[Resource]], 'SI - Payload'!$A$10:$A$40,'SI - Payload'!$B$10:$B$40,"",0), "")</f>
        <v/>
      </c>
      <c r="M98" s="6" t="str">
        <f>IF(Table116[[#This Row],[Category]]="Transportation", "ton", "")</f>
        <v/>
      </c>
      <c r="N98" s="6"/>
      <c r="O98" s="6"/>
      <c r="P98" s="6" t="str">
        <f>IF(OR(Table116[[#This Row],[Type]]="Main Product", Table116[[#This Row],[Type]]="Co-Product"), Table116[[#This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IF(Table116[[#This Row],[Type]]="Co-product", "No", "")</f>
        <v/>
      </c>
      <c r="J99" s="25"/>
      <c r="K99" s="6"/>
      <c r="L99" s="6" t="str">
        <f>IF(Table116[[#This Row],[Category]]="Transportation", _xlfn.XLOOKUP(Table116[[#This Row],[Resource]], 'SI - Payload'!$A$10:$A$40,'SI - Payload'!$B$10:$B$40,"",0), "")</f>
        <v/>
      </c>
      <c r="M99" s="6" t="str">
        <f>IF(Table116[[#This Row],[Category]]="Transportation", "ton", "")</f>
        <v/>
      </c>
      <c r="N99" s="6"/>
      <c r="O99" s="6"/>
      <c r="P99" s="6" t="str">
        <f>IF(OR(Table116[[#This Row],[Type]]="Main Product", Table116[[#This Row],[Type]]="Co-Product"), Table116[[#This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IF(Table116[[#This Row],[Type]]="Co-product", "No", "")</f>
        <v/>
      </c>
      <c r="J100" s="25"/>
      <c r="K100" s="6"/>
      <c r="L100" s="6" t="str">
        <f>IF(Table116[[#This Row],[Category]]="Transportation", _xlfn.XLOOKUP(Table116[[#This Row],[Resource]], 'SI - Payload'!$A$10:$A$40,'SI - Payload'!$B$10:$B$40,"",0), "")</f>
        <v/>
      </c>
      <c r="M100" s="6" t="str">
        <f>IF(Table116[[#This Row],[Category]]="Transportation", "ton", "")</f>
        <v/>
      </c>
      <c r="N100" s="6"/>
      <c r="O100" s="6"/>
      <c r="P100" s="6" t="str">
        <f>IF(OR(Table116[[#This Row],[Type]]="Main Product", Table116[[#This Row],[Type]]="Co-Product"), Table116[[#This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056BE7DA-A34B-41B4-9D97-6C20193009B0}">
      <formula1>0</formula1>
      <formula2>1</formula2>
    </dataValidation>
    <dataValidation type="list" allowBlank="1" showInputMessage="1" showErrorMessage="1" sqref="M6:M100" xr:uid="{9E331FCF-96B4-4AA8-97F5-3E900C9768F0}">
      <formula1>payload_units</formula1>
    </dataValidation>
    <dataValidation type="decimal" operator="greaterThan" allowBlank="1" showInputMessage="1" showErrorMessage="1" error="Please type a positive number." sqref="L6:L100" xr:uid="{ABB2880F-D719-4C3A-BF35-63580A89F99B}">
      <formula1>0</formula1>
    </dataValidation>
    <dataValidation type="decimal" operator="greaterThan" allowBlank="1" showInputMessage="1" showErrorMessage="1" error="Please type a positive price." sqref="N6:N100" xr:uid="{86448FAB-50F3-4FA4-AF15-BFD885FF39D6}">
      <formula1>0</formula1>
    </dataValidation>
    <dataValidation type="decimal" allowBlank="1" showInputMessage="1" showErrorMessage="1" error="Please type a number between 0 and 1." sqref="G6:G100" xr:uid="{60A2D91A-E003-4996-93F7-1239128CCB6A}">
      <formula1>0</formula1>
      <formula2>1</formula2>
    </dataValidation>
    <dataValidation type="custom" allowBlank="1" showInputMessage="1" showErrorMessage="1" sqref="E6:E100" xr:uid="{47342F6B-BD7B-4CF2-9CE3-71084859B5B3}">
      <formula1>ISNUMBER(E6)</formula1>
    </dataValidation>
    <dataValidation type="list" allowBlank="1" showInputMessage="1" showErrorMessage="1" sqref="C2" xr:uid="{5EB748B8-B789-48D3-A1AD-FB03DBA4AD6C}">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7C12590F-B7F5-4A34-8ACF-FFB29AB691A2}">
          <x14:formula1>
            <xm:f>IF($B6="Transportation",  transport_units, INDIRECT(_xlfn.XLOOKUP($C6, 'SI - Units'!$F$26:$F$36,'SI - Units'!$G$26:$G$36,"mass",0)))</xm:f>
          </x14:formula1>
          <xm:sqref>F6:F100</xm:sqref>
        </x14:dataValidation>
        <x14:dataValidation type="list" allowBlank="1" showInputMessage="1" showErrorMessage="1" xr:uid="{8C88C546-F602-4817-849C-C25364CEB0F6}">
          <x14:formula1>
            <xm:f>INDIRECT("p_"&amp;_xlfn.XLOOKUP($C6,'SI - Units'!$F$26:$F$36,'SI - Units'!$G$26:$G$36,"mass",0))</xm:f>
          </x14:formula1>
          <xm:sqref>O6:O100</xm:sqref>
        </x14:dataValidation>
        <x14:dataValidation type="list" allowBlank="1" showInputMessage="1" showErrorMessage="1" xr:uid="{FD0F3249-2225-4991-B49A-71354FA1BE9C}">
          <x14:formula1>
            <xm:f>INDIRECT(_xlfn.XLOOKUP($P6,'SI - End Use'!$A$11:$A$18,'SI - End Use'!$B$11:$B$18,"other_end_use",0))</xm:f>
          </x14:formula1>
          <xm:sqref>Q6:R100</xm:sqref>
        </x14:dataValidation>
        <x14:dataValidation type="list" allowBlank="1" showInputMessage="1" xr:uid="{5F636A2C-5F8D-40B7-BAC2-780584D445EE}">
          <x14:formula1>
            <xm:f>INDIRECT(_xlfn.XLOOKUP($C6,'SI - End Use'!$A$11:$A$18,'SI - End Use'!$B$11:$B$18,"other_end_use",0))</xm:f>
          </x14:formula1>
          <xm:sqref>D6:D100</xm:sqref>
        </x14:dataValidation>
        <x14:dataValidation type="list" allowBlank="1" showInputMessage="1" showErrorMessage="1" xr:uid="{3057661C-D452-4A5A-874B-132BCE721A1B}">
          <x14:formula1>
            <xm:f>INDIRECT(_xlfn.XLOOKUP($B6, 'SI - Resources'!$R$1:$R$10,'SI - Resources'!$S$1:$S$10, "placeholder_resource", 0))</xm:f>
          </x14:formula1>
          <xm:sqref>P6:P100 C6:C100</xm:sqref>
        </x14:dataValidation>
        <x14:dataValidation type="list" allowBlank="1" showInputMessage="1" showErrorMessage="1" xr:uid="{FECCCBC3-E1A7-414D-BA2E-7A49893F467C}">
          <x14:formula1>
            <xm:f>'SI - Co-products'!$B$2:$B$6</xm:f>
          </x14:formula1>
          <xm:sqref>A6:A100</xm:sqref>
        </x14:dataValidation>
        <x14:dataValidation type="list" allowBlank="1" showInputMessage="1" showErrorMessage="1" xr:uid="{1083A7D5-C9DC-4238-985F-845FFE6B2700}">
          <x14:formula1>
            <xm:f>'SI - Resources'!$A$1:$J$1</xm:f>
          </x14:formula1>
          <xm:sqref>B6:B100</xm:sqref>
        </x14:dataValidation>
        <x14:dataValidation type="list" allowBlank="1" showInputMessage="1" showErrorMessage="1" xr:uid="{75DCA544-9C9A-4FD1-AFCF-A26D438C92D0}">
          <x14:formula1>
            <xm:f>'SI - Co-products'!$C$2:$C$4</xm:f>
          </x14:formula1>
          <xm:sqref>I6:I100</xm:sqref>
        </x14:dataValidation>
        <x14:dataValidation type="list" allowBlank="1" showInputMessage="1" showErrorMessage="1" xr:uid="{9B56AFF7-DD2A-4951-8D3A-922877CED848}">
          <x14:formula1>
            <xm:f>'SI - Co-products'!$A$2:$A$5</xm:f>
          </x14:formula1>
          <xm:sqref>K6:K100</xm:sqref>
        </x14:dataValidation>
        <x14:dataValidation type="list" allowBlank="1" showInputMessage="1" showErrorMessage="1" xr:uid="{775663EB-DA3E-4861-9A3D-F968AEE71D6D}">
          <x14:formula1>
            <xm:f>_xlfn.XLOOKUP(_xlfn.XLOOKUP(#REF!,'SI - Units'!$B$24:$B$109,'SI - Units'!$C$24:$C$109),'SI - Units'!$A$2:$A$8,'SI - Units'!$B$2:$R$8)</xm:f>
          </x14:formula1>
          <xm:sqref>F5</xm:sqref>
        </x14:dataValidation>
        <x14:dataValidation type="list" allowBlank="1" showInputMessage="1" showErrorMessage="1" xr:uid="{6DF3EAB9-794B-4B01-8574-FDF431122767}">
          <x14:formula1>
            <xm:f>'SI - Co-products'!$D$2:$D$8</xm:f>
          </x14:formula1>
          <xm:sqref>C1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3711B-3F7D-476C-8D0A-28DE0DE0B717}">
  <sheetPr codeName="Sheet17"/>
  <dimension ref="A1:T100"/>
  <sheetViews>
    <sheetView workbookViewId="0">
      <pane ySplit="5" topLeftCell="A6" activePane="bottomLeft" state="frozen"/>
      <selection activeCell="C19" sqref="C19"/>
      <selection pane="bottomLeft" activeCell="D7" sqref="D7"/>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0.05</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38</v>
      </c>
      <c r="C6" s="6" t="s">
        <v>32</v>
      </c>
      <c r="D6" s="6" t="s">
        <v>336</v>
      </c>
      <c r="E6" s="60">
        <v>1</v>
      </c>
      <c r="F6" s="6" t="s">
        <v>11</v>
      </c>
      <c r="G6" s="25"/>
      <c r="H6" s="25" t="s">
        <v>352</v>
      </c>
      <c r="I6" s="26" t="str">
        <f>IF(Table117[[#This Row],[Type]]="Co-product", "No", "")</f>
        <v/>
      </c>
      <c r="J6" s="25"/>
      <c r="K6" s="6"/>
      <c r="L6" s="6" t="str">
        <f>IF(Table117[[#This Row],[Category]]="Transportation", _xlfn.XLOOKUP(Table117[[#This Row],[Resource]], 'SI - Payload'!$A$10:$A$40,'SI - Payload'!$B$10:$B$40,"",0), "")</f>
        <v/>
      </c>
      <c r="M6" s="6" t="str">
        <f>IF(Table117[[#This Row],[Category]]="Transportation", "ton", "")</f>
        <v/>
      </c>
      <c r="N6" s="6"/>
      <c r="O6" s="6"/>
      <c r="P6" s="6" t="str">
        <f>IF(OR(Table117[[#This Row],[Type]]="Main Product", Table117[[#This Row],[Type]]="Co-Product"), Table117[[#This Row],[Resource]], "")</f>
        <v/>
      </c>
      <c r="Q6" s="6" t="str">
        <f>IF(_xlfn.XLOOKUP($P6,'SI - End Use'!$B$2:$B$6,'SI - End Use'!$C$2:$C$6, "")="", "", _xlfn.XLOOKUP($C6,'SI - End Use'!$B$2:$B$6,'SI - End Use'!$C$2:$C$6, ""))</f>
        <v/>
      </c>
      <c r="R6" s="6"/>
      <c r="S6" s="6"/>
      <c r="T6" s="6"/>
    </row>
    <row r="7" spans="1:20" x14ac:dyDescent="0.35">
      <c r="A7" s="6" t="s">
        <v>0</v>
      </c>
      <c r="B7" s="6" t="s">
        <v>33</v>
      </c>
      <c r="C7" s="6" t="s">
        <v>32</v>
      </c>
      <c r="D7" s="6" t="s">
        <v>336</v>
      </c>
      <c r="E7" s="60">
        <f>'INL Data'!B15</f>
        <v>50.38</v>
      </c>
      <c r="F7" s="6" t="s">
        <v>34</v>
      </c>
      <c r="G7" s="25">
        <v>0.11409999999999999</v>
      </c>
      <c r="H7" s="25"/>
      <c r="I7" s="26" t="str">
        <f>IF(Table117[[#This Row],[Type]]="Co-product", "No", "")</f>
        <v/>
      </c>
      <c r="J7" s="25"/>
      <c r="K7" s="6"/>
      <c r="L7" s="73">
        <f>'INL Data'!C15</f>
        <v>20.889521999999999</v>
      </c>
      <c r="M7" s="6" t="str">
        <f>IF(Table117[[#This Row],[Category]]="Transportation", "ton", "")</f>
        <v>ton</v>
      </c>
      <c r="N7" s="6"/>
      <c r="O7" s="6"/>
      <c r="P7" s="6" t="str">
        <f>IF(OR(Table117[[#This Row],[Type]]="Main Product", Table117[[#This Row],[Type]]="Co-Product"), Table117[[#This Row],[Resource]], "")</f>
        <v/>
      </c>
      <c r="Q7" s="6" t="str">
        <f>IF(_xlfn.XLOOKUP($P7,'SI - End Use'!$B$2:$B$6,'SI - End Use'!$C$2:$C$6, "")="", "", _xlfn.XLOOKUP($C7,'SI - End Use'!$B$2:$B$6,'SI - End Use'!$C$2:$C$6, ""))</f>
        <v/>
      </c>
      <c r="R7" s="6"/>
      <c r="S7" s="6"/>
      <c r="T7" s="6"/>
    </row>
    <row r="8" spans="1:20" x14ac:dyDescent="0.35">
      <c r="A8" s="6" t="s">
        <v>113</v>
      </c>
      <c r="B8" s="6" t="s">
        <v>38</v>
      </c>
      <c r="C8" s="6" t="s">
        <v>32</v>
      </c>
      <c r="D8" s="6" t="s">
        <v>336</v>
      </c>
      <c r="E8" s="60">
        <f>1-'INL Data'!H15</f>
        <v>1</v>
      </c>
      <c r="F8" s="6" t="s">
        <v>11</v>
      </c>
      <c r="G8" s="25"/>
      <c r="H8" s="25"/>
      <c r="I8" s="26" t="str">
        <f>IF(Table117[[#This Row],[Type]]="Co-product", "No", "")</f>
        <v/>
      </c>
      <c r="J8" s="25"/>
      <c r="K8" s="6"/>
      <c r="L8" s="6" t="str">
        <f>IF(Table117[[#This Row],[Category]]="Transportation", _xlfn.XLOOKUP(Table117[[#This Row],[Resource]], 'SI - Payload'!$A$10:$A$40,'SI - Payload'!$B$10:$B$40,"",0), "")</f>
        <v/>
      </c>
      <c r="M8" s="6" t="str">
        <f>IF(Table117[[#This Row],[Category]]="Transportation", "ton", "")</f>
        <v/>
      </c>
      <c r="N8" s="6"/>
      <c r="O8" s="6"/>
      <c r="P8" s="6" t="str">
        <f>IF(OR(Table117[[#This Row],[Type]]="Main Product", Table117[[#This Row],[Type]]="Co-Product"), Table117[[#This Row],[Resource]], "")</f>
        <v>Corn Stover</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IF(Table117[[#This Row],[Type]]="Co-product", "No", "")</f>
        <v/>
      </c>
      <c r="J9" s="25"/>
      <c r="K9" s="6"/>
      <c r="L9" s="6" t="str">
        <f>IF(Table117[[#This Row],[Category]]="Transportation", _xlfn.XLOOKUP(Table117[[#This Row],[Resource]], 'SI - Payload'!$A$10:$A$40,'SI - Payload'!$B$10:$B$40,"",0), "")</f>
        <v/>
      </c>
      <c r="M9" s="6" t="str">
        <f>IF(Table117[[#This Row],[Category]]="Transportation", "ton", "")</f>
        <v/>
      </c>
      <c r="N9" s="6"/>
      <c r="O9" s="6"/>
      <c r="P9" s="6" t="str">
        <f>IF(OR(Table117[[#This Row],[Type]]="Main Product", Table117[[#This Row],[Type]]="Co-Product"), Table117[[#This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IF(Table117[[#This Row],[Type]]="Co-product", "No", "")</f>
        <v/>
      </c>
      <c r="J10" s="25"/>
      <c r="K10" s="6"/>
      <c r="L10" s="6" t="str">
        <f>IF(Table117[[#This Row],[Category]]="Transportation", _xlfn.XLOOKUP(Table117[[#This Row],[Resource]], 'SI - Payload'!$A$10:$A$40,'SI - Payload'!$B$10:$B$40,"",0), "")</f>
        <v/>
      </c>
      <c r="M10" s="6" t="str">
        <f>IF(Table117[[#This Row],[Category]]="Transportation", "ton", "")</f>
        <v/>
      </c>
      <c r="N10" s="6"/>
      <c r="O10" s="6"/>
      <c r="P10" s="6" t="str">
        <f>IF(OR(Table117[[#This Row],[Type]]="Main Product", Table117[[#This Row],[Type]]="Co-Product"), Table117[[#This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IF(Table117[[#This Row],[Type]]="Co-product", "No", "")</f>
        <v/>
      </c>
      <c r="J11" s="25"/>
      <c r="K11" s="6"/>
      <c r="L11" s="6" t="str">
        <f>IF(Table117[[#This Row],[Category]]="Transportation", _xlfn.XLOOKUP(Table117[[#This Row],[Resource]], 'SI - Payload'!$A$10:$A$40,'SI - Payload'!$B$10:$B$40,"",0), "")</f>
        <v/>
      </c>
      <c r="M11" s="6" t="str">
        <f>IF(Table117[[#This Row],[Category]]="Transportation", "ton", "")</f>
        <v/>
      </c>
      <c r="N11" s="6"/>
      <c r="O11" s="6"/>
      <c r="P11" s="6" t="str">
        <f>IF(OR(Table117[[#This Row],[Type]]="Main Product", Table117[[#This Row],[Type]]="Co-Product"), Table117[[#This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IF(Table117[[#This Row],[Type]]="Co-product", "No", "")</f>
        <v/>
      </c>
      <c r="J12" s="25"/>
      <c r="K12" s="6"/>
      <c r="L12" s="6" t="str">
        <f>IF(Table117[[#This Row],[Category]]="Transportation", _xlfn.XLOOKUP(Table117[[#This Row],[Resource]], 'SI - Payload'!$A$10:$A$40,'SI - Payload'!$B$10:$B$40,"",0), "")</f>
        <v/>
      </c>
      <c r="M12" s="6" t="str">
        <f>IF(Table117[[#This Row],[Category]]="Transportation", "ton", "")</f>
        <v/>
      </c>
      <c r="N12" s="6"/>
      <c r="O12" s="6"/>
      <c r="P12" s="6" t="str">
        <f>IF(OR(Table117[[#This Row],[Type]]="Main Product", Table117[[#This Row],[Type]]="Co-Product"), Table117[[#This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IF(Table117[[#This Row],[Type]]="Co-product", "No", "")</f>
        <v/>
      </c>
      <c r="J13" s="25"/>
      <c r="K13" s="6"/>
      <c r="L13" s="6" t="str">
        <f>IF(Table117[[#This Row],[Category]]="Transportation", _xlfn.XLOOKUP(Table117[[#This Row],[Resource]], 'SI - Payload'!$A$10:$A$40,'SI - Payload'!$B$10:$B$40,"",0), "")</f>
        <v/>
      </c>
      <c r="M13" s="6" t="str">
        <f>IF(Table117[[#This Row],[Category]]="Transportation", "ton", "")</f>
        <v/>
      </c>
      <c r="N13" s="6"/>
      <c r="O13" s="6"/>
      <c r="P13" s="6" t="str">
        <f>IF(OR(Table117[[#This Row],[Type]]="Main Product", Table117[[#This Row],[Type]]="Co-Product"), Table117[[#This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IF(Table117[[#This Row],[Type]]="Co-product", "No", "")</f>
        <v/>
      </c>
      <c r="J14" s="25"/>
      <c r="K14" s="6"/>
      <c r="L14" s="6" t="str">
        <f>IF(Table117[[#This Row],[Category]]="Transportation", _xlfn.XLOOKUP(Table117[[#This Row],[Resource]], 'SI - Payload'!$A$10:$A$40,'SI - Payload'!$B$10:$B$40,"",0), "")</f>
        <v/>
      </c>
      <c r="M14" s="6" t="str">
        <f>IF(Table117[[#This Row],[Category]]="Transportation", "ton", "")</f>
        <v/>
      </c>
      <c r="N14" s="6"/>
      <c r="O14" s="6"/>
      <c r="P14" s="6" t="str">
        <f>IF(OR(Table117[[#This Row],[Type]]="Main Product", Table117[[#This Row],[Type]]="Co-Product"), Table117[[#This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IF(Table117[[#This Row],[Type]]="Co-product", "No", "")</f>
        <v/>
      </c>
      <c r="J15" s="25"/>
      <c r="K15" s="6"/>
      <c r="L15" s="6" t="str">
        <f>IF(Table117[[#This Row],[Category]]="Transportation", _xlfn.XLOOKUP(Table117[[#This Row],[Resource]], 'SI - Payload'!$A$10:$A$40,'SI - Payload'!$B$10:$B$40,"",0), "")</f>
        <v/>
      </c>
      <c r="M15" s="6" t="str">
        <f>IF(Table117[[#This Row],[Category]]="Transportation", "ton", "")</f>
        <v/>
      </c>
      <c r="N15" s="6"/>
      <c r="O15" s="6"/>
      <c r="P15" s="6" t="str">
        <f>IF(OR(Table117[[#This Row],[Type]]="Main Product", Table117[[#This Row],[Type]]="Co-Product"), Table117[[#This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IF(Table117[[#This Row],[Type]]="Co-product", "No", "")</f>
        <v/>
      </c>
      <c r="J16" s="25"/>
      <c r="K16" s="6"/>
      <c r="L16" s="6" t="str">
        <f>IF(Table117[[#This Row],[Category]]="Transportation", _xlfn.XLOOKUP(Table117[[#This Row],[Resource]], 'SI - Payload'!$A$10:$A$40,'SI - Payload'!$B$10:$B$40,"",0), "")</f>
        <v/>
      </c>
      <c r="M16" s="6" t="str">
        <f>IF(Table117[[#This Row],[Category]]="Transportation", "ton", "")</f>
        <v/>
      </c>
      <c r="N16" s="6"/>
      <c r="O16" s="6"/>
      <c r="P16" s="6" t="str">
        <f>IF(OR(Table117[[#This Row],[Type]]="Main Product", Table117[[#This Row],[Type]]="Co-Product"), Table117[[#This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IF(Table117[[#This Row],[Type]]="Co-product", "No", "")</f>
        <v/>
      </c>
      <c r="J17" s="25"/>
      <c r="K17" s="6"/>
      <c r="L17" s="6" t="str">
        <f>IF(Table117[[#This Row],[Category]]="Transportation", _xlfn.XLOOKUP(Table117[[#This Row],[Resource]], 'SI - Payload'!$A$10:$A$40,'SI - Payload'!$B$10:$B$40,"",0), "")</f>
        <v/>
      </c>
      <c r="M17" s="6" t="str">
        <f>IF(Table117[[#This Row],[Category]]="Transportation", "ton", "")</f>
        <v/>
      </c>
      <c r="N17" s="6"/>
      <c r="O17" s="6"/>
      <c r="P17" s="6" t="str">
        <f>IF(OR(Table117[[#This Row],[Type]]="Main Product", Table117[[#This Row],[Type]]="Co-Product"), Table117[[#This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IF(Table117[[#This Row],[Type]]="Co-product", "No", "")</f>
        <v/>
      </c>
      <c r="J18" s="25"/>
      <c r="K18" s="6"/>
      <c r="L18" s="6" t="str">
        <f>IF(Table117[[#This Row],[Category]]="Transportation", _xlfn.XLOOKUP(Table117[[#This Row],[Resource]], 'SI - Payload'!$A$10:$A$40,'SI - Payload'!$B$10:$B$40,"",0), "")</f>
        <v/>
      </c>
      <c r="M18" s="6" t="str">
        <f>IF(Table117[[#This Row],[Category]]="Transportation", "ton", "")</f>
        <v/>
      </c>
      <c r="N18" s="6"/>
      <c r="O18" s="6"/>
      <c r="P18" s="6" t="str">
        <f>IF(OR(Table117[[#This Row],[Type]]="Main Product", Table117[[#This Row],[Type]]="Co-Product"), Table117[[#This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IF(Table117[[#This Row],[Type]]="Co-product", "No", "")</f>
        <v/>
      </c>
      <c r="J19" s="25"/>
      <c r="K19" s="6"/>
      <c r="L19" s="6" t="str">
        <f>IF(Table117[[#This Row],[Category]]="Transportation", _xlfn.XLOOKUP(Table117[[#This Row],[Resource]], 'SI - Payload'!$A$10:$A$40,'SI - Payload'!$B$10:$B$40,"",0), "")</f>
        <v/>
      </c>
      <c r="M19" s="6" t="str">
        <f>IF(Table117[[#This Row],[Category]]="Transportation", "ton", "")</f>
        <v/>
      </c>
      <c r="N19" s="6"/>
      <c r="O19" s="6"/>
      <c r="P19" s="6" t="str">
        <f>IF(OR(Table117[[#This Row],[Type]]="Main Product", Table117[[#This Row],[Type]]="Co-Product"), Table117[[#This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IF(Table117[[#This Row],[Type]]="Co-product", "No", "")</f>
        <v/>
      </c>
      <c r="J20" s="25"/>
      <c r="K20" s="6"/>
      <c r="L20" s="6" t="str">
        <f>IF(Table117[[#This Row],[Category]]="Transportation", _xlfn.XLOOKUP(Table117[[#This Row],[Resource]], 'SI - Payload'!$A$10:$A$40,'SI - Payload'!$B$10:$B$40,"",0), "")</f>
        <v/>
      </c>
      <c r="M20" s="6" t="str">
        <f>IF(Table117[[#This Row],[Category]]="Transportation", "ton", "")</f>
        <v/>
      </c>
      <c r="N20" s="6"/>
      <c r="O20" s="6"/>
      <c r="P20" s="6" t="str">
        <f>IF(OR(Table117[[#This Row],[Type]]="Main Product", Table117[[#This Row],[Type]]="Co-Product"), Table117[[#This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IF(Table117[[#This Row],[Type]]="Co-product", "No", "")</f>
        <v/>
      </c>
      <c r="J21" s="25"/>
      <c r="K21" s="6"/>
      <c r="L21" s="6" t="str">
        <f>IF(Table117[[#This Row],[Category]]="Transportation", _xlfn.XLOOKUP(Table117[[#This Row],[Resource]], 'SI - Payload'!$A$10:$A$40,'SI - Payload'!$B$10:$B$40,"",0), "")</f>
        <v/>
      </c>
      <c r="M21" s="6" t="str">
        <f>IF(Table117[[#This Row],[Category]]="Transportation", "ton", "")</f>
        <v/>
      </c>
      <c r="N21" s="6"/>
      <c r="O21" s="6"/>
      <c r="P21" s="6" t="str">
        <f>IF(OR(Table117[[#This Row],[Type]]="Main Product", Table117[[#This Row],[Type]]="Co-Product"), Table117[[#This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IF(Table117[[#This Row],[Type]]="Co-product", "No", "")</f>
        <v/>
      </c>
      <c r="J22" s="25"/>
      <c r="K22" s="6"/>
      <c r="L22" s="6" t="str">
        <f>IF(Table117[[#This Row],[Category]]="Transportation", _xlfn.XLOOKUP(Table117[[#This Row],[Resource]], 'SI - Payload'!$A$10:$A$40,'SI - Payload'!$B$10:$B$40,"",0), "")</f>
        <v/>
      </c>
      <c r="M22" s="6" t="str">
        <f>IF(Table117[[#This Row],[Category]]="Transportation", "ton", "")</f>
        <v/>
      </c>
      <c r="N22" s="6"/>
      <c r="O22" s="6"/>
      <c r="P22" s="6" t="str">
        <f>IF(OR(Table117[[#This Row],[Type]]="Main Product", Table117[[#This Row],[Type]]="Co-Product"), Table117[[#This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IF(Table117[[#This Row],[Type]]="Co-product", "No", "")</f>
        <v/>
      </c>
      <c r="J23" s="25"/>
      <c r="K23" s="6"/>
      <c r="L23" s="6" t="str">
        <f>IF(Table117[[#This Row],[Category]]="Transportation", _xlfn.XLOOKUP(Table117[[#This Row],[Resource]], 'SI - Payload'!$A$10:$A$40,'SI - Payload'!$B$10:$B$40,"",0), "")</f>
        <v/>
      </c>
      <c r="M23" s="6" t="str">
        <f>IF(Table117[[#This Row],[Category]]="Transportation", "ton", "")</f>
        <v/>
      </c>
      <c r="N23" s="6"/>
      <c r="O23" s="6"/>
      <c r="P23" s="6" t="str">
        <f>IF(OR(Table117[[#This Row],[Type]]="Main Product", Table117[[#This Row],[Type]]="Co-Product"), Table117[[#This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IF(Table117[[#This Row],[Type]]="Co-product", "No", "")</f>
        <v/>
      </c>
      <c r="J24" s="25"/>
      <c r="K24" s="6"/>
      <c r="L24" s="6" t="str">
        <f>IF(Table117[[#This Row],[Category]]="Transportation", _xlfn.XLOOKUP(Table117[[#This Row],[Resource]], 'SI - Payload'!$A$10:$A$40,'SI - Payload'!$B$10:$B$40,"",0), "")</f>
        <v/>
      </c>
      <c r="M24" s="6" t="str">
        <f>IF(Table117[[#This Row],[Category]]="Transportation", "ton", "")</f>
        <v/>
      </c>
      <c r="N24" s="6"/>
      <c r="O24" s="6"/>
      <c r="P24" s="6" t="str">
        <f>IF(OR(Table117[[#This Row],[Type]]="Main Product", Table117[[#This Row],[Type]]="Co-Product"), Table117[[#This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IF(Table117[[#This Row],[Type]]="Co-product", "No", "")</f>
        <v/>
      </c>
      <c r="J25" s="25"/>
      <c r="K25" s="6"/>
      <c r="L25" s="6" t="str">
        <f>IF(Table117[[#This Row],[Category]]="Transportation", _xlfn.XLOOKUP(Table117[[#This Row],[Resource]], 'SI - Payload'!$A$10:$A$40,'SI - Payload'!$B$10:$B$40,"",0), "")</f>
        <v/>
      </c>
      <c r="M25" s="6" t="str">
        <f>IF(Table117[[#This Row],[Category]]="Transportation", "ton", "")</f>
        <v/>
      </c>
      <c r="N25" s="6"/>
      <c r="O25" s="6"/>
      <c r="P25" s="6" t="str">
        <f>IF(OR(Table117[[#This Row],[Type]]="Main Product", Table117[[#This Row],[Type]]="Co-Product"), Table117[[#This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IF(Table117[[#This Row],[Type]]="Co-product", "No", "")</f>
        <v/>
      </c>
      <c r="J26" s="25"/>
      <c r="K26" s="6"/>
      <c r="L26" s="6" t="str">
        <f>IF(Table117[[#This Row],[Category]]="Transportation", _xlfn.XLOOKUP(Table117[[#This Row],[Resource]], 'SI - Payload'!$A$10:$A$40,'SI - Payload'!$B$10:$B$40,"",0), "")</f>
        <v/>
      </c>
      <c r="M26" s="6" t="str">
        <f>IF(Table117[[#This Row],[Category]]="Transportation", "ton", "")</f>
        <v/>
      </c>
      <c r="N26" s="6"/>
      <c r="O26" s="6"/>
      <c r="P26" s="6" t="str">
        <f>IF(OR(Table117[[#This Row],[Type]]="Main Product", Table117[[#This Row],[Type]]="Co-Product"), Table117[[#This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IF(Table117[[#This Row],[Type]]="Co-product", "No", "")</f>
        <v/>
      </c>
      <c r="J27" s="25"/>
      <c r="K27" s="6"/>
      <c r="L27" s="6" t="str">
        <f>IF(Table117[[#This Row],[Category]]="Transportation", _xlfn.XLOOKUP(Table117[[#This Row],[Resource]], 'SI - Payload'!$A$10:$A$40,'SI - Payload'!$B$10:$B$40,"",0), "")</f>
        <v/>
      </c>
      <c r="M27" s="6" t="str">
        <f>IF(Table117[[#This Row],[Category]]="Transportation", "ton", "")</f>
        <v/>
      </c>
      <c r="N27" s="6"/>
      <c r="O27" s="6"/>
      <c r="P27" s="6" t="str">
        <f>IF(OR(Table117[[#This Row],[Type]]="Main Product", Table117[[#This Row],[Type]]="Co-Product"), Table117[[#This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IF(Table117[[#This Row],[Type]]="Co-product", "No", "")</f>
        <v/>
      </c>
      <c r="J28" s="25"/>
      <c r="K28" s="6"/>
      <c r="L28" s="6" t="str">
        <f>IF(Table117[[#This Row],[Category]]="Transportation", _xlfn.XLOOKUP(Table117[[#This Row],[Resource]], 'SI - Payload'!$A$10:$A$40,'SI - Payload'!$B$10:$B$40,"",0), "")</f>
        <v/>
      </c>
      <c r="M28" s="6" t="str">
        <f>IF(Table117[[#This Row],[Category]]="Transportation", "ton", "")</f>
        <v/>
      </c>
      <c r="N28" s="6"/>
      <c r="O28" s="6"/>
      <c r="P28" s="6" t="str">
        <f>IF(OR(Table117[[#This Row],[Type]]="Main Product", Table117[[#This Row],[Type]]="Co-Product"), Table117[[#This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IF(Table117[[#This Row],[Type]]="Co-product", "No", "")</f>
        <v/>
      </c>
      <c r="J29" s="25"/>
      <c r="K29" s="6"/>
      <c r="L29" s="6" t="str">
        <f>IF(Table117[[#This Row],[Category]]="Transportation", _xlfn.XLOOKUP(Table117[[#This Row],[Resource]], 'SI - Payload'!$A$10:$A$40,'SI - Payload'!$B$10:$B$40,"",0), "")</f>
        <v/>
      </c>
      <c r="M29" s="6" t="str">
        <f>IF(Table117[[#This Row],[Category]]="Transportation", "ton", "")</f>
        <v/>
      </c>
      <c r="N29" s="6"/>
      <c r="O29" s="6"/>
      <c r="P29" s="6" t="str">
        <f>IF(OR(Table117[[#This Row],[Type]]="Main Product", Table117[[#This Row],[Type]]="Co-Product"), Table117[[#This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IF(Table117[[#This Row],[Type]]="Co-product", "No", "")</f>
        <v/>
      </c>
      <c r="J30" s="25"/>
      <c r="K30" s="6"/>
      <c r="L30" s="6" t="str">
        <f>IF(Table117[[#This Row],[Category]]="Transportation", _xlfn.XLOOKUP(Table117[[#This Row],[Resource]], 'SI - Payload'!$A$10:$A$40,'SI - Payload'!$B$10:$B$40,"",0), "")</f>
        <v/>
      </c>
      <c r="M30" s="6" t="str">
        <f>IF(Table117[[#This Row],[Category]]="Transportation", "ton", "")</f>
        <v/>
      </c>
      <c r="N30" s="6"/>
      <c r="O30" s="6"/>
      <c r="P30" s="6" t="str">
        <f>IF(OR(Table117[[#This Row],[Type]]="Main Product", Table117[[#This Row],[Type]]="Co-Product"), Table117[[#This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IF(Table117[[#This Row],[Type]]="Co-product", "No", "")</f>
        <v/>
      </c>
      <c r="J31" s="25"/>
      <c r="K31" s="6"/>
      <c r="L31" s="6" t="str">
        <f>IF(Table117[[#This Row],[Category]]="Transportation", _xlfn.XLOOKUP(Table117[[#This Row],[Resource]], 'SI - Payload'!$A$10:$A$40,'SI - Payload'!$B$10:$B$40,"",0), "")</f>
        <v/>
      </c>
      <c r="M31" s="6" t="str">
        <f>IF(Table117[[#This Row],[Category]]="Transportation", "ton", "")</f>
        <v/>
      </c>
      <c r="N31" s="6"/>
      <c r="O31" s="6"/>
      <c r="P31" s="6" t="str">
        <f>IF(OR(Table117[[#This Row],[Type]]="Main Product", Table117[[#This Row],[Type]]="Co-Product"), Table117[[#This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IF(Table117[[#This Row],[Type]]="Co-product", "No", "")</f>
        <v/>
      </c>
      <c r="J32" s="25"/>
      <c r="K32" s="6"/>
      <c r="L32" s="6" t="str">
        <f>IF(Table117[[#This Row],[Category]]="Transportation", _xlfn.XLOOKUP(Table117[[#This Row],[Resource]], 'SI - Payload'!$A$10:$A$40,'SI - Payload'!$B$10:$B$40,"",0), "")</f>
        <v/>
      </c>
      <c r="M32" s="6" t="str">
        <f>IF(Table117[[#This Row],[Category]]="Transportation", "ton", "")</f>
        <v/>
      </c>
      <c r="N32" s="6"/>
      <c r="O32" s="6"/>
      <c r="P32" s="6" t="str">
        <f>IF(OR(Table117[[#This Row],[Type]]="Main Product", Table117[[#This Row],[Type]]="Co-Product"), Table117[[#This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IF(Table117[[#This Row],[Type]]="Co-product", "No", "")</f>
        <v/>
      </c>
      <c r="J33" s="25"/>
      <c r="K33" s="6"/>
      <c r="L33" s="6" t="str">
        <f>IF(Table117[[#This Row],[Category]]="Transportation", _xlfn.XLOOKUP(Table117[[#This Row],[Resource]], 'SI - Payload'!$A$10:$A$40,'SI - Payload'!$B$10:$B$40,"",0), "")</f>
        <v/>
      </c>
      <c r="M33" s="6" t="str">
        <f>IF(Table117[[#This Row],[Category]]="Transportation", "ton", "")</f>
        <v/>
      </c>
      <c r="N33" s="6"/>
      <c r="O33" s="6"/>
      <c r="P33" s="6" t="str">
        <f>IF(OR(Table117[[#This Row],[Type]]="Main Product", Table117[[#This Row],[Type]]="Co-Product"), Table117[[#This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IF(Table117[[#This Row],[Type]]="Co-product", "No", "")</f>
        <v/>
      </c>
      <c r="J34" s="25"/>
      <c r="K34" s="6"/>
      <c r="L34" s="6" t="str">
        <f>IF(Table117[[#This Row],[Category]]="Transportation", _xlfn.XLOOKUP(Table117[[#This Row],[Resource]], 'SI - Payload'!$A$10:$A$40,'SI - Payload'!$B$10:$B$40,"",0), "")</f>
        <v/>
      </c>
      <c r="M34" s="6" t="str">
        <f>IF(Table117[[#This Row],[Category]]="Transportation", "ton", "")</f>
        <v/>
      </c>
      <c r="N34" s="6"/>
      <c r="O34" s="6"/>
      <c r="P34" s="6" t="str">
        <f>IF(OR(Table117[[#This Row],[Type]]="Main Product", Table117[[#This Row],[Type]]="Co-Product"), Table117[[#This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IF(Table117[[#This Row],[Type]]="Co-product", "No", "")</f>
        <v/>
      </c>
      <c r="J35" s="25"/>
      <c r="K35" s="6"/>
      <c r="L35" s="6" t="str">
        <f>IF(Table117[[#This Row],[Category]]="Transportation", _xlfn.XLOOKUP(Table117[[#This Row],[Resource]], 'SI - Payload'!$A$10:$A$40,'SI - Payload'!$B$10:$B$40,"",0), "")</f>
        <v/>
      </c>
      <c r="M35" s="6" t="str">
        <f>IF(Table117[[#This Row],[Category]]="Transportation", "ton", "")</f>
        <v/>
      </c>
      <c r="N35" s="6"/>
      <c r="O35" s="6"/>
      <c r="P35" s="6" t="str">
        <f>IF(OR(Table117[[#This Row],[Type]]="Main Product", Table117[[#This Row],[Type]]="Co-Product"), Table117[[#This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IF(Table117[[#This Row],[Type]]="Co-product", "No", "")</f>
        <v/>
      </c>
      <c r="J36" s="25"/>
      <c r="K36" s="6"/>
      <c r="L36" s="6" t="str">
        <f>IF(Table117[[#This Row],[Category]]="Transportation", _xlfn.XLOOKUP(Table117[[#This Row],[Resource]], 'SI - Payload'!$A$10:$A$40,'SI - Payload'!$B$10:$B$40,"",0), "")</f>
        <v/>
      </c>
      <c r="M36" s="6" t="str">
        <f>IF(Table117[[#This Row],[Category]]="Transportation", "ton", "")</f>
        <v/>
      </c>
      <c r="N36" s="6"/>
      <c r="O36" s="6"/>
      <c r="P36" s="6" t="str">
        <f>IF(OR(Table117[[#This Row],[Type]]="Main Product", Table117[[#This Row],[Type]]="Co-Product"), Table117[[#This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IF(Table117[[#This Row],[Type]]="Co-product", "No", "")</f>
        <v/>
      </c>
      <c r="J37" s="25"/>
      <c r="K37" s="6"/>
      <c r="L37" s="6" t="str">
        <f>IF(Table117[[#This Row],[Category]]="Transportation", _xlfn.XLOOKUP(Table117[[#This Row],[Resource]], 'SI - Payload'!$A$10:$A$40,'SI - Payload'!$B$10:$B$40,"",0), "")</f>
        <v/>
      </c>
      <c r="M37" s="6" t="str">
        <f>IF(Table117[[#This Row],[Category]]="Transportation", "ton", "")</f>
        <v/>
      </c>
      <c r="N37" s="6"/>
      <c r="O37" s="6"/>
      <c r="P37" s="6" t="str">
        <f>IF(OR(Table117[[#This Row],[Type]]="Main Product", Table117[[#This Row],[Type]]="Co-Product"), Table117[[#This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IF(Table117[[#This Row],[Type]]="Co-product", "No", "")</f>
        <v/>
      </c>
      <c r="J38" s="25"/>
      <c r="K38" s="6"/>
      <c r="L38" s="6" t="str">
        <f>IF(Table117[[#This Row],[Category]]="Transportation", _xlfn.XLOOKUP(Table117[[#This Row],[Resource]], 'SI - Payload'!$A$10:$A$40,'SI - Payload'!$B$10:$B$40,"",0), "")</f>
        <v/>
      </c>
      <c r="M38" s="6" t="str">
        <f>IF(Table117[[#This Row],[Category]]="Transportation", "ton", "")</f>
        <v/>
      </c>
      <c r="N38" s="6"/>
      <c r="O38" s="6"/>
      <c r="P38" s="6" t="str">
        <f>IF(OR(Table117[[#This Row],[Type]]="Main Product", Table117[[#This Row],[Type]]="Co-Product"), Table117[[#This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IF(Table117[[#This Row],[Type]]="Co-product", "No", "")</f>
        <v/>
      </c>
      <c r="J39" s="25"/>
      <c r="K39" s="6"/>
      <c r="L39" s="6" t="str">
        <f>IF(Table117[[#This Row],[Category]]="Transportation", _xlfn.XLOOKUP(Table117[[#This Row],[Resource]], 'SI - Payload'!$A$10:$A$40,'SI - Payload'!$B$10:$B$40,"",0), "")</f>
        <v/>
      </c>
      <c r="M39" s="6" t="str">
        <f>IF(Table117[[#This Row],[Category]]="Transportation", "ton", "")</f>
        <v/>
      </c>
      <c r="N39" s="6"/>
      <c r="O39" s="6"/>
      <c r="P39" s="6" t="str">
        <f>IF(OR(Table117[[#This Row],[Type]]="Main Product", Table117[[#This Row],[Type]]="Co-Product"), Table117[[#This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IF(Table117[[#This Row],[Type]]="Co-product", "No", "")</f>
        <v/>
      </c>
      <c r="J40" s="25"/>
      <c r="K40" s="6"/>
      <c r="L40" s="6" t="str">
        <f>IF(Table117[[#This Row],[Category]]="Transportation", _xlfn.XLOOKUP(Table117[[#This Row],[Resource]], 'SI - Payload'!$A$10:$A$40,'SI - Payload'!$B$10:$B$40,"",0), "")</f>
        <v/>
      </c>
      <c r="M40" s="6" t="str">
        <f>IF(Table117[[#This Row],[Category]]="Transportation", "ton", "")</f>
        <v/>
      </c>
      <c r="N40" s="6"/>
      <c r="O40" s="6"/>
      <c r="P40" s="6" t="str">
        <f>IF(OR(Table117[[#This Row],[Type]]="Main Product", Table117[[#This Row],[Type]]="Co-Product"), Table117[[#This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IF(Table117[[#This Row],[Type]]="Co-product", "No", "")</f>
        <v/>
      </c>
      <c r="J41" s="25"/>
      <c r="K41" s="6"/>
      <c r="L41" s="6" t="str">
        <f>IF(Table117[[#This Row],[Category]]="Transportation", _xlfn.XLOOKUP(Table117[[#This Row],[Resource]], 'SI - Payload'!$A$10:$A$40,'SI - Payload'!$B$10:$B$40,"",0), "")</f>
        <v/>
      </c>
      <c r="M41" s="6" t="str">
        <f>IF(Table117[[#This Row],[Category]]="Transportation", "ton", "")</f>
        <v/>
      </c>
      <c r="N41" s="6"/>
      <c r="O41" s="6"/>
      <c r="P41" s="6" t="str">
        <f>IF(OR(Table117[[#This Row],[Type]]="Main Product", Table117[[#This Row],[Type]]="Co-Product"), Table117[[#This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IF(Table117[[#This Row],[Type]]="Co-product", "No", "")</f>
        <v/>
      </c>
      <c r="J42" s="25"/>
      <c r="K42" s="6"/>
      <c r="L42" s="6" t="str">
        <f>IF(Table117[[#This Row],[Category]]="Transportation", _xlfn.XLOOKUP(Table117[[#This Row],[Resource]], 'SI - Payload'!$A$10:$A$40,'SI - Payload'!$B$10:$B$40,"",0), "")</f>
        <v/>
      </c>
      <c r="M42" s="6" t="str">
        <f>IF(Table117[[#This Row],[Category]]="Transportation", "ton", "")</f>
        <v/>
      </c>
      <c r="N42" s="6"/>
      <c r="O42" s="6"/>
      <c r="P42" s="6" t="str">
        <f>IF(OR(Table117[[#This Row],[Type]]="Main Product", Table117[[#This Row],[Type]]="Co-Product"), Table117[[#This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IF(Table117[[#This Row],[Type]]="Co-product", "No", "")</f>
        <v/>
      </c>
      <c r="J43" s="25"/>
      <c r="K43" s="6"/>
      <c r="L43" s="6" t="str">
        <f>IF(Table117[[#This Row],[Category]]="Transportation", _xlfn.XLOOKUP(Table117[[#This Row],[Resource]], 'SI - Payload'!$A$10:$A$40,'SI - Payload'!$B$10:$B$40,"",0), "")</f>
        <v/>
      </c>
      <c r="M43" s="6" t="str">
        <f>IF(Table117[[#This Row],[Category]]="Transportation", "ton", "")</f>
        <v/>
      </c>
      <c r="N43" s="6"/>
      <c r="O43" s="6"/>
      <c r="P43" s="6" t="str">
        <f>IF(OR(Table117[[#This Row],[Type]]="Main Product", Table117[[#This Row],[Type]]="Co-Product"), Table117[[#This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IF(Table117[[#This Row],[Type]]="Co-product", "No", "")</f>
        <v/>
      </c>
      <c r="J44" s="25"/>
      <c r="K44" s="6"/>
      <c r="L44" s="6" t="str">
        <f>IF(Table117[[#This Row],[Category]]="Transportation", _xlfn.XLOOKUP(Table117[[#This Row],[Resource]], 'SI - Payload'!$A$10:$A$40,'SI - Payload'!$B$10:$B$40,"",0), "")</f>
        <v/>
      </c>
      <c r="M44" s="6" t="str">
        <f>IF(Table117[[#This Row],[Category]]="Transportation", "ton", "")</f>
        <v/>
      </c>
      <c r="N44" s="6"/>
      <c r="O44" s="6"/>
      <c r="P44" s="6" t="str">
        <f>IF(OR(Table117[[#This Row],[Type]]="Main Product", Table117[[#This Row],[Type]]="Co-Product"), Table117[[#This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IF(Table117[[#This Row],[Type]]="Co-product", "No", "")</f>
        <v/>
      </c>
      <c r="J45" s="25"/>
      <c r="K45" s="6"/>
      <c r="L45" s="6" t="str">
        <f>IF(Table117[[#This Row],[Category]]="Transportation", _xlfn.XLOOKUP(Table117[[#This Row],[Resource]], 'SI - Payload'!$A$10:$A$40,'SI - Payload'!$B$10:$B$40,"",0), "")</f>
        <v/>
      </c>
      <c r="M45" s="6" t="str">
        <f>IF(Table117[[#This Row],[Category]]="Transportation", "ton", "")</f>
        <v/>
      </c>
      <c r="N45" s="6"/>
      <c r="O45" s="6"/>
      <c r="P45" s="6" t="str">
        <f>IF(OR(Table117[[#This Row],[Type]]="Main Product", Table117[[#This Row],[Type]]="Co-Product"), Table117[[#This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IF(Table117[[#This Row],[Type]]="Co-product", "No", "")</f>
        <v/>
      </c>
      <c r="J46" s="25"/>
      <c r="K46" s="6"/>
      <c r="L46" s="6" t="str">
        <f>IF(Table117[[#This Row],[Category]]="Transportation", _xlfn.XLOOKUP(Table117[[#This Row],[Resource]], 'SI - Payload'!$A$10:$A$40,'SI - Payload'!$B$10:$B$40,"",0), "")</f>
        <v/>
      </c>
      <c r="M46" s="6" t="str">
        <f>IF(Table117[[#This Row],[Category]]="Transportation", "ton", "")</f>
        <v/>
      </c>
      <c r="N46" s="6"/>
      <c r="O46" s="6"/>
      <c r="P46" s="6" t="str">
        <f>IF(OR(Table117[[#This Row],[Type]]="Main Product", Table117[[#This Row],[Type]]="Co-Product"), Table117[[#This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IF(Table117[[#This Row],[Type]]="Co-product", "No", "")</f>
        <v/>
      </c>
      <c r="J47" s="25"/>
      <c r="K47" s="6"/>
      <c r="L47" s="6" t="str">
        <f>IF(Table117[[#This Row],[Category]]="Transportation", _xlfn.XLOOKUP(Table117[[#This Row],[Resource]], 'SI - Payload'!$A$10:$A$40,'SI - Payload'!$B$10:$B$40,"",0), "")</f>
        <v/>
      </c>
      <c r="M47" s="6" t="str">
        <f>IF(Table117[[#This Row],[Category]]="Transportation", "ton", "")</f>
        <v/>
      </c>
      <c r="N47" s="6"/>
      <c r="O47" s="6"/>
      <c r="P47" s="6" t="str">
        <f>IF(OR(Table117[[#This Row],[Type]]="Main Product", Table117[[#This Row],[Type]]="Co-Product"), Table117[[#This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IF(Table117[[#This Row],[Type]]="Co-product", "No", "")</f>
        <v/>
      </c>
      <c r="J48" s="25"/>
      <c r="K48" s="6"/>
      <c r="L48" s="6" t="str">
        <f>IF(Table117[[#This Row],[Category]]="Transportation", _xlfn.XLOOKUP(Table117[[#This Row],[Resource]], 'SI - Payload'!$A$10:$A$40,'SI - Payload'!$B$10:$B$40,"",0), "")</f>
        <v/>
      </c>
      <c r="M48" s="6" t="str">
        <f>IF(Table117[[#This Row],[Category]]="Transportation", "ton", "")</f>
        <v/>
      </c>
      <c r="N48" s="6"/>
      <c r="O48" s="6"/>
      <c r="P48" s="6" t="str">
        <f>IF(OR(Table117[[#This Row],[Type]]="Main Product", Table117[[#This Row],[Type]]="Co-Product"), Table117[[#This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IF(Table117[[#This Row],[Type]]="Co-product", "No", "")</f>
        <v/>
      </c>
      <c r="J49" s="25"/>
      <c r="K49" s="6"/>
      <c r="L49" s="6" t="str">
        <f>IF(Table117[[#This Row],[Category]]="Transportation", _xlfn.XLOOKUP(Table117[[#This Row],[Resource]], 'SI - Payload'!$A$10:$A$40,'SI - Payload'!$B$10:$B$40,"",0), "")</f>
        <v/>
      </c>
      <c r="M49" s="6" t="str">
        <f>IF(Table117[[#This Row],[Category]]="Transportation", "ton", "")</f>
        <v/>
      </c>
      <c r="N49" s="6"/>
      <c r="O49" s="6"/>
      <c r="P49" s="6" t="str">
        <f>IF(OR(Table117[[#This Row],[Type]]="Main Product", Table117[[#This Row],[Type]]="Co-Product"), Table117[[#This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IF(Table117[[#This Row],[Type]]="Co-product", "No", "")</f>
        <v/>
      </c>
      <c r="J50" s="25"/>
      <c r="K50" s="6"/>
      <c r="L50" s="6" t="str">
        <f>IF(Table117[[#This Row],[Category]]="Transportation", _xlfn.XLOOKUP(Table117[[#This Row],[Resource]], 'SI - Payload'!$A$10:$A$40,'SI - Payload'!$B$10:$B$40,"",0), "")</f>
        <v/>
      </c>
      <c r="M50" s="6" t="str">
        <f>IF(Table117[[#This Row],[Category]]="Transportation", "ton", "")</f>
        <v/>
      </c>
      <c r="N50" s="6"/>
      <c r="O50" s="6"/>
      <c r="P50" s="6" t="str">
        <f>IF(OR(Table117[[#This Row],[Type]]="Main Product", Table117[[#This Row],[Type]]="Co-Product"), Table117[[#This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IF(Table117[[#This Row],[Type]]="Co-product", "No", "")</f>
        <v/>
      </c>
      <c r="J51" s="25"/>
      <c r="K51" s="6"/>
      <c r="L51" s="6" t="str">
        <f>IF(Table117[[#This Row],[Category]]="Transportation", _xlfn.XLOOKUP(Table117[[#This Row],[Resource]], 'SI - Payload'!$A$10:$A$40,'SI - Payload'!$B$10:$B$40,"",0), "")</f>
        <v/>
      </c>
      <c r="M51" s="6" t="str">
        <f>IF(Table117[[#This Row],[Category]]="Transportation", "ton", "")</f>
        <v/>
      </c>
      <c r="N51" s="6"/>
      <c r="O51" s="6"/>
      <c r="P51" s="6" t="str">
        <f>IF(OR(Table117[[#This Row],[Type]]="Main Product", Table117[[#This Row],[Type]]="Co-Product"), Table117[[#This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IF(Table117[[#This Row],[Type]]="Co-product", "No", "")</f>
        <v/>
      </c>
      <c r="J52" s="25"/>
      <c r="K52" s="6"/>
      <c r="L52" s="6" t="str">
        <f>IF(Table117[[#This Row],[Category]]="Transportation", _xlfn.XLOOKUP(Table117[[#This Row],[Resource]], 'SI - Payload'!$A$10:$A$40,'SI - Payload'!$B$10:$B$40,"",0), "")</f>
        <v/>
      </c>
      <c r="M52" s="6" t="str">
        <f>IF(Table117[[#This Row],[Category]]="Transportation", "ton", "")</f>
        <v/>
      </c>
      <c r="N52" s="6"/>
      <c r="O52" s="6"/>
      <c r="P52" s="6" t="str">
        <f>IF(OR(Table117[[#This Row],[Type]]="Main Product", Table117[[#This Row],[Type]]="Co-Product"), Table117[[#This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IF(Table117[[#This Row],[Type]]="Co-product", "No", "")</f>
        <v/>
      </c>
      <c r="J53" s="25"/>
      <c r="K53" s="6"/>
      <c r="L53" s="6" t="str">
        <f>IF(Table117[[#This Row],[Category]]="Transportation", _xlfn.XLOOKUP(Table117[[#This Row],[Resource]], 'SI - Payload'!$A$10:$A$40,'SI - Payload'!$B$10:$B$40,"",0), "")</f>
        <v/>
      </c>
      <c r="M53" s="6" t="str">
        <f>IF(Table117[[#This Row],[Category]]="Transportation", "ton", "")</f>
        <v/>
      </c>
      <c r="N53" s="6"/>
      <c r="O53" s="6"/>
      <c r="P53" s="6" t="str">
        <f>IF(OR(Table117[[#This Row],[Type]]="Main Product", Table117[[#This Row],[Type]]="Co-Product"), Table117[[#This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IF(Table117[[#This Row],[Type]]="Co-product", "No", "")</f>
        <v/>
      </c>
      <c r="J54" s="25"/>
      <c r="K54" s="6"/>
      <c r="L54" s="6" t="str">
        <f>IF(Table117[[#This Row],[Category]]="Transportation", _xlfn.XLOOKUP(Table117[[#This Row],[Resource]], 'SI - Payload'!$A$10:$A$40,'SI - Payload'!$B$10:$B$40,"",0), "")</f>
        <v/>
      </c>
      <c r="M54" s="6" t="str">
        <f>IF(Table117[[#This Row],[Category]]="Transportation", "ton", "")</f>
        <v/>
      </c>
      <c r="N54" s="6"/>
      <c r="O54" s="6"/>
      <c r="P54" s="6" t="str">
        <f>IF(OR(Table117[[#This Row],[Type]]="Main Product", Table117[[#This Row],[Type]]="Co-Product"), Table117[[#This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IF(Table117[[#This Row],[Type]]="Co-product", "No", "")</f>
        <v/>
      </c>
      <c r="J55" s="25"/>
      <c r="K55" s="6"/>
      <c r="L55" s="6" t="str">
        <f>IF(Table117[[#This Row],[Category]]="Transportation", _xlfn.XLOOKUP(Table117[[#This Row],[Resource]], 'SI - Payload'!$A$10:$A$40,'SI - Payload'!$B$10:$B$40,"",0), "")</f>
        <v/>
      </c>
      <c r="M55" s="6" t="str">
        <f>IF(Table117[[#This Row],[Category]]="Transportation", "ton", "")</f>
        <v/>
      </c>
      <c r="N55" s="6"/>
      <c r="O55" s="6"/>
      <c r="P55" s="6" t="str">
        <f>IF(OR(Table117[[#This Row],[Type]]="Main Product", Table117[[#This Row],[Type]]="Co-Product"), Table117[[#This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IF(Table117[[#This Row],[Type]]="Co-product", "No", "")</f>
        <v/>
      </c>
      <c r="J56" s="25"/>
      <c r="K56" s="6"/>
      <c r="L56" s="6" t="str">
        <f>IF(Table117[[#This Row],[Category]]="Transportation", _xlfn.XLOOKUP(Table117[[#This Row],[Resource]], 'SI - Payload'!$A$10:$A$40,'SI - Payload'!$B$10:$B$40,"",0), "")</f>
        <v/>
      </c>
      <c r="M56" s="6" t="str">
        <f>IF(Table117[[#This Row],[Category]]="Transportation", "ton", "")</f>
        <v/>
      </c>
      <c r="N56" s="6"/>
      <c r="O56" s="6"/>
      <c r="P56" s="6" t="str">
        <f>IF(OR(Table117[[#This Row],[Type]]="Main Product", Table117[[#This Row],[Type]]="Co-Product"), Table117[[#This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IF(Table117[[#This Row],[Type]]="Co-product", "No", "")</f>
        <v/>
      </c>
      <c r="J57" s="25"/>
      <c r="K57" s="6"/>
      <c r="L57" s="6" t="str">
        <f>IF(Table117[[#This Row],[Category]]="Transportation", _xlfn.XLOOKUP(Table117[[#This Row],[Resource]], 'SI - Payload'!$A$10:$A$40,'SI - Payload'!$B$10:$B$40,"",0), "")</f>
        <v/>
      </c>
      <c r="M57" s="6" t="str">
        <f>IF(Table117[[#This Row],[Category]]="Transportation", "ton", "")</f>
        <v/>
      </c>
      <c r="N57" s="6"/>
      <c r="O57" s="6"/>
      <c r="P57" s="6" t="str">
        <f>IF(OR(Table117[[#This Row],[Type]]="Main Product", Table117[[#This Row],[Type]]="Co-Product"), Table117[[#This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IF(Table117[[#This Row],[Type]]="Co-product", "No", "")</f>
        <v/>
      </c>
      <c r="J58" s="25"/>
      <c r="K58" s="6"/>
      <c r="L58" s="6" t="str">
        <f>IF(Table117[[#This Row],[Category]]="Transportation", _xlfn.XLOOKUP(Table117[[#This Row],[Resource]], 'SI - Payload'!$A$10:$A$40,'SI - Payload'!$B$10:$B$40,"",0), "")</f>
        <v/>
      </c>
      <c r="M58" s="6" t="str">
        <f>IF(Table117[[#This Row],[Category]]="Transportation", "ton", "")</f>
        <v/>
      </c>
      <c r="N58" s="6"/>
      <c r="O58" s="6"/>
      <c r="P58" s="6" t="str">
        <f>IF(OR(Table117[[#This Row],[Type]]="Main Product", Table117[[#This Row],[Type]]="Co-Product"), Table117[[#This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IF(Table117[[#This Row],[Type]]="Co-product", "No", "")</f>
        <v/>
      </c>
      <c r="J59" s="25"/>
      <c r="K59" s="6"/>
      <c r="L59" s="6" t="str">
        <f>IF(Table117[[#This Row],[Category]]="Transportation", _xlfn.XLOOKUP(Table117[[#This Row],[Resource]], 'SI - Payload'!$A$10:$A$40,'SI - Payload'!$B$10:$B$40,"",0), "")</f>
        <v/>
      </c>
      <c r="M59" s="6" t="str">
        <f>IF(Table117[[#This Row],[Category]]="Transportation", "ton", "")</f>
        <v/>
      </c>
      <c r="N59" s="6"/>
      <c r="O59" s="6"/>
      <c r="P59" s="6" t="str">
        <f>IF(OR(Table117[[#This Row],[Type]]="Main Product", Table117[[#This Row],[Type]]="Co-Product"), Table117[[#This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IF(Table117[[#This Row],[Type]]="Co-product", "No", "")</f>
        <v/>
      </c>
      <c r="J60" s="25"/>
      <c r="K60" s="6"/>
      <c r="L60" s="6" t="str">
        <f>IF(Table117[[#This Row],[Category]]="Transportation", _xlfn.XLOOKUP(Table117[[#This Row],[Resource]], 'SI - Payload'!$A$10:$A$40,'SI - Payload'!$B$10:$B$40,"",0), "")</f>
        <v/>
      </c>
      <c r="M60" s="6" t="str">
        <f>IF(Table117[[#This Row],[Category]]="Transportation", "ton", "")</f>
        <v/>
      </c>
      <c r="N60" s="6"/>
      <c r="O60" s="6"/>
      <c r="P60" s="6" t="str">
        <f>IF(OR(Table117[[#This Row],[Type]]="Main Product", Table117[[#This Row],[Type]]="Co-Product"), Table117[[#This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IF(Table117[[#This Row],[Type]]="Co-product", "No", "")</f>
        <v/>
      </c>
      <c r="J61" s="25"/>
      <c r="K61" s="6"/>
      <c r="L61" s="6" t="str">
        <f>IF(Table117[[#This Row],[Category]]="Transportation", _xlfn.XLOOKUP(Table117[[#This Row],[Resource]], 'SI - Payload'!$A$10:$A$40,'SI - Payload'!$B$10:$B$40,"",0), "")</f>
        <v/>
      </c>
      <c r="M61" s="6" t="str">
        <f>IF(Table117[[#This Row],[Category]]="Transportation", "ton", "")</f>
        <v/>
      </c>
      <c r="N61" s="6"/>
      <c r="O61" s="6"/>
      <c r="P61" s="6" t="str">
        <f>IF(OR(Table117[[#This Row],[Type]]="Main Product", Table117[[#This Row],[Type]]="Co-Product"), Table117[[#This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IF(Table117[[#This Row],[Type]]="Co-product", "No", "")</f>
        <v/>
      </c>
      <c r="J62" s="25"/>
      <c r="K62" s="6"/>
      <c r="L62" s="6" t="str">
        <f>IF(Table117[[#This Row],[Category]]="Transportation", _xlfn.XLOOKUP(Table117[[#This Row],[Resource]], 'SI - Payload'!$A$10:$A$40,'SI - Payload'!$B$10:$B$40,"",0), "")</f>
        <v/>
      </c>
      <c r="M62" s="6" t="str">
        <f>IF(Table117[[#This Row],[Category]]="Transportation", "ton", "")</f>
        <v/>
      </c>
      <c r="N62" s="6"/>
      <c r="O62" s="6"/>
      <c r="P62" s="6" t="str">
        <f>IF(OR(Table117[[#This Row],[Type]]="Main Product", Table117[[#This Row],[Type]]="Co-Product"), Table117[[#This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IF(Table117[[#This Row],[Type]]="Co-product", "No", "")</f>
        <v/>
      </c>
      <c r="J63" s="25"/>
      <c r="K63" s="6"/>
      <c r="L63" s="6" t="str">
        <f>IF(Table117[[#This Row],[Category]]="Transportation", _xlfn.XLOOKUP(Table117[[#This Row],[Resource]], 'SI - Payload'!$A$10:$A$40,'SI - Payload'!$B$10:$B$40,"",0), "")</f>
        <v/>
      </c>
      <c r="M63" s="6" t="str">
        <f>IF(Table117[[#This Row],[Category]]="Transportation", "ton", "")</f>
        <v/>
      </c>
      <c r="N63" s="6"/>
      <c r="O63" s="6"/>
      <c r="P63" s="6" t="str">
        <f>IF(OR(Table117[[#This Row],[Type]]="Main Product", Table117[[#This Row],[Type]]="Co-Product"), Table117[[#This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IF(Table117[[#This Row],[Type]]="Co-product", "No", "")</f>
        <v/>
      </c>
      <c r="J64" s="25"/>
      <c r="K64" s="6"/>
      <c r="L64" s="6" t="str">
        <f>IF(Table117[[#This Row],[Category]]="Transportation", _xlfn.XLOOKUP(Table117[[#This Row],[Resource]], 'SI - Payload'!$A$10:$A$40,'SI - Payload'!$B$10:$B$40,"",0), "")</f>
        <v/>
      </c>
      <c r="M64" s="6" t="str">
        <f>IF(Table117[[#This Row],[Category]]="Transportation", "ton", "")</f>
        <v/>
      </c>
      <c r="N64" s="6"/>
      <c r="O64" s="6"/>
      <c r="P64" s="6" t="str">
        <f>IF(OR(Table117[[#This Row],[Type]]="Main Product", Table117[[#This Row],[Type]]="Co-Product"), Table117[[#This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IF(Table117[[#This Row],[Type]]="Co-product", "No", "")</f>
        <v/>
      </c>
      <c r="J65" s="25"/>
      <c r="K65" s="6"/>
      <c r="L65" s="6" t="str">
        <f>IF(Table117[[#This Row],[Category]]="Transportation", _xlfn.XLOOKUP(Table117[[#This Row],[Resource]], 'SI - Payload'!$A$10:$A$40,'SI - Payload'!$B$10:$B$40,"",0), "")</f>
        <v/>
      </c>
      <c r="M65" s="6" t="str">
        <f>IF(Table117[[#This Row],[Category]]="Transportation", "ton", "")</f>
        <v/>
      </c>
      <c r="N65" s="6"/>
      <c r="O65" s="6"/>
      <c r="P65" s="6" t="str">
        <f>IF(OR(Table117[[#This Row],[Type]]="Main Product", Table117[[#This Row],[Type]]="Co-Product"), Table117[[#This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IF(Table117[[#This Row],[Type]]="Co-product", "No", "")</f>
        <v/>
      </c>
      <c r="J66" s="25"/>
      <c r="K66" s="6"/>
      <c r="L66" s="6" t="str">
        <f>IF(Table117[[#This Row],[Category]]="Transportation", _xlfn.XLOOKUP(Table117[[#This Row],[Resource]], 'SI - Payload'!$A$10:$A$40,'SI - Payload'!$B$10:$B$40,"",0), "")</f>
        <v/>
      </c>
      <c r="M66" s="6" t="str">
        <f>IF(Table117[[#This Row],[Category]]="Transportation", "ton", "")</f>
        <v/>
      </c>
      <c r="N66" s="6"/>
      <c r="O66" s="6"/>
      <c r="P66" s="6" t="str">
        <f>IF(OR(Table117[[#This Row],[Type]]="Main Product", Table117[[#This Row],[Type]]="Co-Product"), Table117[[#This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IF(Table117[[#This Row],[Type]]="Co-product", "No", "")</f>
        <v/>
      </c>
      <c r="J67" s="25"/>
      <c r="K67" s="6"/>
      <c r="L67" s="6" t="str">
        <f>IF(Table117[[#This Row],[Category]]="Transportation", _xlfn.XLOOKUP(Table117[[#This Row],[Resource]], 'SI - Payload'!$A$10:$A$40,'SI - Payload'!$B$10:$B$40,"",0), "")</f>
        <v/>
      </c>
      <c r="M67" s="6" t="str">
        <f>IF(Table117[[#This Row],[Category]]="Transportation", "ton", "")</f>
        <v/>
      </c>
      <c r="N67" s="6"/>
      <c r="O67" s="6"/>
      <c r="P67" s="6" t="str">
        <f>IF(OR(Table117[[#This Row],[Type]]="Main Product", Table117[[#This Row],[Type]]="Co-Product"), Table117[[#This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IF(Table117[[#This Row],[Type]]="Co-product", "No", "")</f>
        <v/>
      </c>
      <c r="J68" s="25"/>
      <c r="K68" s="6"/>
      <c r="L68" s="6" t="str">
        <f>IF(Table117[[#This Row],[Category]]="Transportation", _xlfn.XLOOKUP(Table117[[#This Row],[Resource]], 'SI - Payload'!$A$10:$A$40,'SI - Payload'!$B$10:$B$40,"",0), "")</f>
        <v/>
      </c>
      <c r="M68" s="6" t="str">
        <f>IF(Table117[[#This Row],[Category]]="Transportation", "ton", "")</f>
        <v/>
      </c>
      <c r="N68" s="6"/>
      <c r="O68" s="6"/>
      <c r="P68" s="6" t="str">
        <f>IF(OR(Table117[[#This Row],[Type]]="Main Product", Table117[[#This Row],[Type]]="Co-Product"), Table117[[#This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IF(Table117[[#This Row],[Type]]="Co-product", "No", "")</f>
        <v/>
      </c>
      <c r="J69" s="25"/>
      <c r="K69" s="6"/>
      <c r="L69" s="6" t="str">
        <f>IF(Table117[[#This Row],[Category]]="Transportation", _xlfn.XLOOKUP(Table117[[#This Row],[Resource]], 'SI - Payload'!$A$10:$A$40,'SI - Payload'!$B$10:$B$40,"",0), "")</f>
        <v/>
      </c>
      <c r="M69" s="6" t="str">
        <f>IF(Table117[[#This Row],[Category]]="Transportation", "ton", "")</f>
        <v/>
      </c>
      <c r="N69" s="6"/>
      <c r="O69" s="6"/>
      <c r="P69" s="6" t="str">
        <f>IF(OR(Table117[[#This Row],[Type]]="Main Product", Table117[[#This Row],[Type]]="Co-Product"), Table117[[#This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IF(Table117[[#This Row],[Type]]="Co-product", "No", "")</f>
        <v/>
      </c>
      <c r="J70" s="25"/>
      <c r="K70" s="6"/>
      <c r="L70" s="6" t="str">
        <f>IF(Table117[[#This Row],[Category]]="Transportation", _xlfn.XLOOKUP(Table117[[#This Row],[Resource]], 'SI - Payload'!$A$10:$A$40,'SI - Payload'!$B$10:$B$40,"",0), "")</f>
        <v/>
      </c>
      <c r="M70" s="6" t="str">
        <f>IF(Table117[[#This Row],[Category]]="Transportation", "ton", "")</f>
        <v/>
      </c>
      <c r="N70" s="6"/>
      <c r="O70" s="6"/>
      <c r="P70" s="6" t="str">
        <f>IF(OR(Table117[[#This Row],[Type]]="Main Product", Table117[[#This Row],[Type]]="Co-Product"), Table117[[#This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IF(Table117[[#This Row],[Type]]="Co-product", "No", "")</f>
        <v/>
      </c>
      <c r="J71" s="25"/>
      <c r="K71" s="6"/>
      <c r="L71" s="6" t="str">
        <f>IF(Table117[[#This Row],[Category]]="Transportation", _xlfn.XLOOKUP(Table117[[#This Row],[Resource]], 'SI - Payload'!$A$10:$A$40,'SI - Payload'!$B$10:$B$40,"",0), "")</f>
        <v/>
      </c>
      <c r="M71" s="6" t="str">
        <f>IF(Table117[[#This Row],[Category]]="Transportation", "ton", "")</f>
        <v/>
      </c>
      <c r="N71" s="6"/>
      <c r="O71" s="6"/>
      <c r="P71" s="6" t="str">
        <f>IF(OR(Table117[[#This Row],[Type]]="Main Product", Table117[[#This Row],[Type]]="Co-Product"), Table117[[#This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IF(Table117[[#This Row],[Type]]="Co-product", "No", "")</f>
        <v/>
      </c>
      <c r="J72" s="25"/>
      <c r="K72" s="6"/>
      <c r="L72" s="6" t="str">
        <f>IF(Table117[[#This Row],[Category]]="Transportation", _xlfn.XLOOKUP(Table117[[#This Row],[Resource]], 'SI - Payload'!$A$10:$A$40,'SI - Payload'!$B$10:$B$40,"",0), "")</f>
        <v/>
      </c>
      <c r="M72" s="6" t="str">
        <f>IF(Table117[[#This Row],[Category]]="Transportation", "ton", "")</f>
        <v/>
      </c>
      <c r="N72" s="6"/>
      <c r="O72" s="6"/>
      <c r="P72" s="6" t="str">
        <f>IF(OR(Table117[[#This Row],[Type]]="Main Product", Table117[[#This Row],[Type]]="Co-Product"), Table117[[#This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IF(Table117[[#This Row],[Type]]="Co-product", "No", "")</f>
        <v/>
      </c>
      <c r="J73" s="25"/>
      <c r="K73" s="6"/>
      <c r="L73" s="6" t="str">
        <f>IF(Table117[[#This Row],[Category]]="Transportation", _xlfn.XLOOKUP(Table117[[#This Row],[Resource]], 'SI - Payload'!$A$10:$A$40,'SI - Payload'!$B$10:$B$40,"",0), "")</f>
        <v/>
      </c>
      <c r="M73" s="6" t="str">
        <f>IF(Table117[[#This Row],[Category]]="Transportation", "ton", "")</f>
        <v/>
      </c>
      <c r="N73" s="6"/>
      <c r="O73" s="6"/>
      <c r="P73" s="6" t="str">
        <f>IF(OR(Table117[[#This Row],[Type]]="Main Product", Table117[[#This Row],[Type]]="Co-Product"), Table117[[#This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IF(Table117[[#This Row],[Type]]="Co-product", "No", "")</f>
        <v/>
      </c>
      <c r="J74" s="25"/>
      <c r="K74" s="6"/>
      <c r="L74" s="6" t="str">
        <f>IF(Table117[[#This Row],[Category]]="Transportation", _xlfn.XLOOKUP(Table117[[#This Row],[Resource]], 'SI - Payload'!$A$10:$A$40,'SI - Payload'!$B$10:$B$40,"",0), "")</f>
        <v/>
      </c>
      <c r="M74" s="6" t="str">
        <f>IF(Table117[[#This Row],[Category]]="Transportation", "ton", "")</f>
        <v/>
      </c>
      <c r="N74" s="6"/>
      <c r="O74" s="6"/>
      <c r="P74" s="6" t="str">
        <f>IF(OR(Table117[[#This Row],[Type]]="Main Product", Table117[[#This Row],[Type]]="Co-Product"), Table117[[#This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IF(Table117[[#This Row],[Type]]="Co-product", "No", "")</f>
        <v/>
      </c>
      <c r="J75" s="25"/>
      <c r="K75" s="6"/>
      <c r="L75" s="6" t="str">
        <f>IF(Table117[[#This Row],[Category]]="Transportation", _xlfn.XLOOKUP(Table117[[#This Row],[Resource]], 'SI - Payload'!$A$10:$A$40,'SI - Payload'!$B$10:$B$40,"",0), "")</f>
        <v/>
      </c>
      <c r="M75" s="6" t="str">
        <f>IF(Table117[[#This Row],[Category]]="Transportation", "ton", "")</f>
        <v/>
      </c>
      <c r="N75" s="6"/>
      <c r="O75" s="6"/>
      <c r="P75" s="6" t="str">
        <f>IF(OR(Table117[[#This Row],[Type]]="Main Product", Table117[[#This Row],[Type]]="Co-Product"), Table117[[#This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IF(Table117[[#This Row],[Type]]="Co-product", "No", "")</f>
        <v/>
      </c>
      <c r="J76" s="25"/>
      <c r="K76" s="6"/>
      <c r="L76" s="6" t="str">
        <f>IF(Table117[[#This Row],[Category]]="Transportation", _xlfn.XLOOKUP(Table117[[#This Row],[Resource]], 'SI - Payload'!$A$10:$A$40,'SI - Payload'!$B$10:$B$40,"",0), "")</f>
        <v/>
      </c>
      <c r="M76" s="6" t="str">
        <f>IF(Table117[[#This Row],[Category]]="Transportation", "ton", "")</f>
        <v/>
      </c>
      <c r="N76" s="6"/>
      <c r="O76" s="6"/>
      <c r="P76" s="6" t="str">
        <f>IF(OR(Table117[[#This Row],[Type]]="Main Product", Table117[[#This Row],[Type]]="Co-Product"), Table117[[#This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IF(Table117[[#This Row],[Type]]="Co-product", "No", "")</f>
        <v/>
      </c>
      <c r="J77" s="25"/>
      <c r="K77" s="6"/>
      <c r="L77" s="6" t="str">
        <f>IF(Table117[[#This Row],[Category]]="Transportation", _xlfn.XLOOKUP(Table117[[#This Row],[Resource]], 'SI - Payload'!$A$10:$A$40,'SI - Payload'!$B$10:$B$40,"",0), "")</f>
        <v/>
      </c>
      <c r="M77" s="6" t="str">
        <f>IF(Table117[[#This Row],[Category]]="Transportation", "ton", "")</f>
        <v/>
      </c>
      <c r="N77" s="6"/>
      <c r="O77" s="6"/>
      <c r="P77" s="6" t="str">
        <f>IF(OR(Table117[[#This Row],[Type]]="Main Product", Table117[[#This Row],[Type]]="Co-Product"), Table117[[#This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IF(Table117[[#This Row],[Type]]="Co-product", "No", "")</f>
        <v/>
      </c>
      <c r="J78" s="25"/>
      <c r="K78" s="6"/>
      <c r="L78" s="6" t="str">
        <f>IF(Table117[[#This Row],[Category]]="Transportation", _xlfn.XLOOKUP(Table117[[#This Row],[Resource]], 'SI - Payload'!$A$10:$A$40,'SI - Payload'!$B$10:$B$40,"",0), "")</f>
        <v/>
      </c>
      <c r="M78" s="6" t="str">
        <f>IF(Table117[[#This Row],[Category]]="Transportation", "ton", "")</f>
        <v/>
      </c>
      <c r="N78" s="6"/>
      <c r="O78" s="6"/>
      <c r="P78" s="6" t="str">
        <f>IF(OR(Table117[[#This Row],[Type]]="Main Product", Table117[[#This Row],[Type]]="Co-Product"), Table117[[#This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IF(Table117[[#This Row],[Type]]="Co-product", "No", "")</f>
        <v/>
      </c>
      <c r="J79" s="25"/>
      <c r="K79" s="6"/>
      <c r="L79" s="6" t="str">
        <f>IF(Table117[[#This Row],[Category]]="Transportation", _xlfn.XLOOKUP(Table117[[#This Row],[Resource]], 'SI - Payload'!$A$10:$A$40,'SI - Payload'!$B$10:$B$40,"",0), "")</f>
        <v/>
      </c>
      <c r="M79" s="6" t="str">
        <f>IF(Table117[[#This Row],[Category]]="Transportation", "ton", "")</f>
        <v/>
      </c>
      <c r="N79" s="6"/>
      <c r="O79" s="6"/>
      <c r="P79" s="6" t="str">
        <f>IF(OR(Table117[[#This Row],[Type]]="Main Product", Table117[[#This Row],[Type]]="Co-Product"), Table117[[#This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IF(Table117[[#This Row],[Type]]="Co-product", "No", "")</f>
        <v/>
      </c>
      <c r="J80" s="25"/>
      <c r="K80" s="6"/>
      <c r="L80" s="6" t="str">
        <f>IF(Table117[[#This Row],[Category]]="Transportation", _xlfn.XLOOKUP(Table117[[#This Row],[Resource]], 'SI - Payload'!$A$10:$A$40,'SI - Payload'!$B$10:$B$40,"",0), "")</f>
        <v/>
      </c>
      <c r="M80" s="6" t="str">
        <f>IF(Table117[[#This Row],[Category]]="Transportation", "ton", "")</f>
        <v/>
      </c>
      <c r="N80" s="6"/>
      <c r="O80" s="6"/>
      <c r="P80" s="6" t="str">
        <f>IF(OR(Table117[[#This Row],[Type]]="Main Product", Table117[[#This Row],[Type]]="Co-Product"), Table117[[#This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IF(Table117[[#This Row],[Type]]="Co-product", "No", "")</f>
        <v/>
      </c>
      <c r="J81" s="25"/>
      <c r="K81" s="6"/>
      <c r="L81" s="6" t="str">
        <f>IF(Table117[[#This Row],[Category]]="Transportation", _xlfn.XLOOKUP(Table117[[#This Row],[Resource]], 'SI - Payload'!$A$10:$A$40,'SI - Payload'!$B$10:$B$40,"",0), "")</f>
        <v/>
      </c>
      <c r="M81" s="6" t="str">
        <f>IF(Table117[[#This Row],[Category]]="Transportation", "ton", "")</f>
        <v/>
      </c>
      <c r="N81" s="6"/>
      <c r="O81" s="6"/>
      <c r="P81" s="6" t="str">
        <f>IF(OR(Table117[[#This Row],[Type]]="Main Product", Table117[[#This Row],[Type]]="Co-Product"), Table117[[#This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IF(Table117[[#This Row],[Type]]="Co-product", "No", "")</f>
        <v/>
      </c>
      <c r="J82" s="25"/>
      <c r="K82" s="6"/>
      <c r="L82" s="6" t="str">
        <f>IF(Table117[[#This Row],[Category]]="Transportation", _xlfn.XLOOKUP(Table117[[#This Row],[Resource]], 'SI - Payload'!$A$10:$A$40,'SI - Payload'!$B$10:$B$40,"",0), "")</f>
        <v/>
      </c>
      <c r="M82" s="6" t="str">
        <f>IF(Table117[[#This Row],[Category]]="Transportation", "ton", "")</f>
        <v/>
      </c>
      <c r="N82" s="6"/>
      <c r="O82" s="6"/>
      <c r="P82" s="6" t="str">
        <f>IF(OR(Table117[[#This Row],[Type]]="Main Product", Table117[[#This Row],[Type]]="Co-Product"), Table117[[#This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IF(Table117[[#This Row],[Type]]="Co-product", "No", "")</f>
        <v/>
      </c>
      <c r="J83" s="25"/>
      <c r="K83" s="6"/>
      <c r="L83" s="6" t="str">
        <f>IF(Table117[[#This Row],[Category]]="Transportation", _xlfn.XLOOKUP(Table117[[#This Row],[Resource]], 'SI - Payload'!$A$10:$A$40,'SI - Payload'!$B$10:$B$40,"",0), "")</f>
        <v/>
      </c>
      <c r="M83" s="6" t="str">
        <f>IF(Table117[[#This Row],[Category]]="Transportation", "ton", "")</f>
        <v/>
      </c>
      <c r="N83" s="6"/>
      <c r="O83" s="6"/>
      <c r="P83" s="6" t="str">
        <f>IF(OR(Table117[[#This Row],[Type]]="Main Product", Table117[[#This Row],[Type]]="Co-Product"), Table117[[#This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IF(Table117[[#This Row],[Type]]="Co-product", "No", "")</f>
        <v/>
      </c>
      <c r="J84" s="25"/>
      <c r="K84" s="6"/>
      <c r="L84" s="6" t="str">
        <f>IF(Table117[[#This Row],[Category]]="Transportation", _xlfn.XLOOKUP(Table117[[#This Row],[Resource]], 'SI - Payload'!$A$10:$A$40,'SI - Payload'!$B$10:$B$40,"",0), "")</f>
        <v/>
      </c>
      <c r="M84" s="6" t="str">
        <f>IF(Table117[[#This Row],[Category]]="Transportation", "ton", "")</f>
        <v/>
      </c>
      <c r="N84" s="6"/>
      <c r="O84" s="6"/>
      <c r="P84" s="6" t="str">
        <f>IF(OR(Table117[[#This Row],[Type]]="Main Product", Table117[[#This Row],[Type]]="Co-Product"), Table117[[#This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IF(Table117[[#This Row],[Type]]="Co-product", "No", "")</f>
        <v/>
      </c>
      <c r="J85" s="25"/>
      <c r="K85" s="6"/>
      <c r="L85" s="6" t="str">
        <f>IF(Table117[[#This Row],[Category]]="Transportation", _xlfn.XLOOKUP(Table117[[#This Row],[Resource]], 'SI - Payload'!$A$10:$A$40,'SI - Payload'!$B$10:$B$40,"",0), "")</f>
        <v/>
      </c>
      <c r="M85" s="6" t="str">
        <f>IF(Table117[[#This Row],[Category]]="Transportation", "ton", "")</f>
        <v/>
      </c>
      <c r="N85" s="6"/>
      <c r="O85" s="6"/>
      <c r="P85" s="6" t="str">
        <f>IF(OR(Table117[[#This Row],[Type]]="Main Product", Table117[[#This Row],[Type]]="Co-Product"), Table117[[#This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IF(Table117[[#This Row],[Type]]="Co-product", "No", "")</f>
        <v/>
      </c>
      <c r="J86" s="25"/>
      <c r="K86" s="6"/>
      <c r="L86" s="6" t="str">
        <f>IF(Table117[[#This Row],[Category]]="Transportation", _xlfn.XLOOKUP(Table117[[#This Row],[Resource]], 'SI - Payload'!$A$10:$A$40,'SI - Payload'!$B$10:$B$40,"",0), "")</f>
        <v/>
      </c>
      <c r="M86" s="6" t="str">
        <f>IF(Table117[[#This Row],[Category]]="Transportation", "ton", "")</f>
        <v/>
      </c>
      <c r="N86" s="6"/>
      <c r="O86" s="6"/>
      <c r="P86" s="6" t="str">
        <f>IF(OR(Table117[[#This Row],[Type]]="Main Product", Table117[[#This Row],[Type]]="Co-Product"), Table117[[#This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IF(Table117[[#This Row],[Type]]="Co-product", "No", "")</f>
        <v/>
      </c>
      <c r="J87" s="25"/>
      <c r="K87" s="6"/>
      <c r="L87" s="6" t="str">
        <f>IF(Table117[[#This Row],[Category]]="Transportation", _xlfn.XLOOKUP(Table117[[#This Row],[Resource]], 'SI - Payload'!$A$10:$A$40,'SI - Payload'!$B$10:$B$40,"",0), "")</f>
        <v/>
      </c>
      <c r="M87" s="6" t="str">
        <f>IF(Table117[[#This Row],[Category]]="Transportation", "ton", "")</f>
        <v/>
      </c>
      <c r="N87" s="6"/>
      <c r="O87" s="6"/>
      <c r="P87" s="6" t="str">
        <f>IF(OR(Table117[[#This Row],[Type]]="Main Product", Table117[[#This Row],[Type]]="Co-Product"), Table117[[#This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IF(Table117[[#This Row],[Type]]="Co-product", "No", "")</f>
        <v/>
      </c>
      <c r="J88" s="25"/>
      <c r="K88" s="6"/>
      <c r="L88" s="6" t="str">
        <f>IF(Table117[[#This Row],[Category]]="Transportation", _xlfn.XLOOKUP(Table117[[#This Row],[Resource]], 'SI - Payload'!$A$10:$A$40,'SI - Payload'!$B$10:$B$40,"",0), "")</f>
        <v/>
      </c>
      <c r="M88" s="6" t="str">
        <f>IF(Table117[[#This Row],[Category]]="Transportation", "ton", "")</f>
        <v/>
      </c>
      <c r="N88" s="6"/>
      <c r="O88" s="6"/>
      <c r="P88" s="6" t="str">
        <f>IF(OR(Table117[[#This Row],[Type]]="Main Product", Table117[[#This Row],[Type]]="Co-Product"), Table117[[#This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IF(Table117[[#This Row],[Type]]="Co-product", "No", "")</f>
        <v/>
      </c>
      <c r="J89" s="25"/>
      <c r="K89" s="6"/>
      <c r="L89" s="6" t="str">
        <f>IF(Table117[[#This Row],[Category]]="Transportation", _xlfn.XLOOKUP(Table117[[#This Row],[Resource]], 'SI - Payload'!$A$10:$A$40,'SI - Payload'!$B$10:$B$40,"",0), "")</f>
        <v/>
      </c>
      <c r="M89" s="6" t="str">
        <f>IF(Table117[[#This Row],[Category]]="Transportation", "ton", "")</f>
        <v/>
      </c>
      <c r="N89" s="6"/>
      <c r="O89" s="6"/>
      <c r="P89" s="6" t="str">
        <f>IF(OR(Table117[[#This Row],[Type]]="Main Product", Table117[[#This Row],[Type]]="Co-Product"), Table117[[#This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IF(Table117[[#This Row],[Type]]="Co-product", "No", "")</f>
        <v/>
      </c>
      <c r="J90" s="25"/>
      <c r="K90" s="6"/>
      <c r="L90" s="6" t="str">
        <f>IF(Table117[[#This Row],[Category]]="Transportation", _xlfn.XLOOKUP(Table117[[#This Row],[Resource]], 'SI - Payload'!$A$10:$A$40,'SI - Payload'!$B$10:$B$40,"",0), "")</f>
        <v/>
      </c>
      <c r="M90" s="6" t="str">
        <f>IF(Table117[[#This Row],[Category]]="Transportation", "ton", "")</f>
        <v/>
      </c>
      <c r="N90" s="6"/>
      <c r="O90" s="6"/>
      <c r="P90" s="6" t="str">
        <f>IF(OR(Table117[[#This Row],[Type]]="Main Product", Table117[[#This Row],[Type]]="Co-Product"), Table117[[#This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IF(Table117[[#This Row],[Type]]="Co-product", "No", "")</f>
        <v/>
      </c>
      <c r="J91" s="25"/>
      <c r="K91" s="6"/>
      <c r="L91" s="6" t="str">
        <f>IF(Table117[[#This Row],[Category]]="Transportation", _xlfn.XLOOKUP(Table117[[#This Row],[Resource]], 'SI - Payload'!$A$10:$A$40,'SI - Payload'!$B$10:$B$40,"",0), "")</f>
        <v/>
      </c>
      <c r="M91" s="6" t="str">
        <f>IF(Table117[[#This Row],[Category]]="Transportation", "ton", "")</f>
        <v/>
      </c>
      <c r="N91" s="6"/>
      <c r="O91" s="6"/>
      <c r="P91" s="6" t="str">
        <f>IF(OR(Table117[[#This Row],[Type]]="Main Product", Table117[[#This Row],[Type]]="Co-Product"), Table117[[#This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IF(Table117[[#This Row],[Type]]="Co-product", "No", "")</f>
        <v/>
      </c>
      <c r="J92" s="25"/>
      <c r="K92" s="6"/>
      <c r="L92" s="6" t="str">
        <f>IF(Table117[[#This Row],[Category]]="Transportation", _xlfn.XLOOKUP(Table117[[#This Row],[Resource]], 'SI - Payload'!$A$10:$A$40,'SI - Payload'!$B$10:$B$40,"",0), "")</f>
        <v/>
      </c>
      <c r="M92" s="6" t="str">
        <f>IF(Table117[[#This Row],[Category]]="Transportation", "ton", "")</f>
        <v/>
      </c>
      <c r="N92" s="6"/>
      <c r="O92" s="6"/>
      <c r="P92" s="6" t="str">
        <f>IF(OR(Table117[[#This Row],[Type]]="Main Product", Table117[[#This Row],[Type]]="Co-Product"), Table117[[#This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IF(Table117[[#This Row],[Type]]="Co-product", "No", "")</f>
        <v/>
      </c>
      <c r="J93" s="25"/>
      <c r="K93" s="6"/>
      <c r="L93" s="6" t="str">
        <f>IF(Table117[[#This Row],[Category]]="Transportation", _xlfn.XLOOKUP(Table117[[#This Row],[Resource]], 'SI - Payload'!$A$10:$A$40,'SI - Payload'!$B$10:$B$40,"",0), "")</f>
        <v/>
      </c>
      <c r="M93" s="6" t="str">
        <f>IF(Table117[[#This Row],[Category]]="Transportation", "ton", "")</f>
        <v/>
      </c>
      <c r="N93" s="6"/>
      <c r="O93" s="6"/>
      <c r="P93" s="6" t="str">
        <f>IF(OR(Table117[[#This Row],[Type]]="Main Product", Table117[[#This Row],[Type]]="Co-Product"), Table117[[#This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IF(Table117[[#This Row],[Type]]="Co-product", "No", "")</f>
        <v/>
      </c>
      <c r="J94" s="25"/>
      <c r="K94" s="6"/>
      <c r="L94" s="6" t="str">
        <f>IF(Table117[[#This Row],[Category]]="Transportation", _xlfn.XLOOKUP(Table117[[#This Row],[Resource]], 'SI - Payload'!$A$10:$A$40,'SI - Payload'!$B$10:$B$40,"",0), "")</f>
        <v/>
      </c>
      <c r="M94" s="6" t="str">
        <f>IF(Table117[[#This Row],[Category]]="Transportation", "ton", "")</f>
        <v/>
      </c>
      <c r="N94" s="6"/>
      <c r="O94" s="6"/>
      <c r="P94" s="6" t="str">
        <f>IF(OR(Table117[[#This Row],[Type]]="Main Product", Table117[[#This Row],[Type]]="Co-Product"), Table117[[#This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IF(Table117[[#This Row],[Type]]="Co-product", "No", "")</f>
        <v/>
      </c>
      <c r="J95" s="25"/>
      <c r="K95" s="6"/>
      <c r="L95" s="6" t="str">
        <f>IF(Table117[[#This Row],[Category]]="Transportation", _xlfn.XLOOKUP(Table117[[#This Row],[Resource]], 'SI - Payload'!$A$10:$A$40,'SI - Payload'!$B$10:$B$40,"",0), "")</f>
        <v/>
      </c>
      <c r="M95" s="6" t="str">
        <f>IF(Table117[[#This Row],[Category]]="Transportation", "ton", "")</f>
        <v/>
      </c>
      <c r="N95" s="6"/>
      <c r="O95" s="6"/>
      <c r="P95" s="6" t="str">
        <f>IF(OR(Table117[[#This Row],[Type]]="Main Product", Table117[[#This Row],[Type]]="Co-Product"), Table117[[#This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IF(Table117[[#This Row],[Type]]="Co-product", "No", "")</f>
        <v/>
      </c>
      <c r="J96" s="25"/>
      <c r="K96" s="6"/>
      <c r="L96" s="6" t="str">
        <f>IF(Table117[[#This Row],[Category]]="Transportation", _xlfn.XLOOKUP(Table117[[#This Row],[Resource]], 'SI - Payload'!$A$10:$A$40,'SI - Payload'!$B$10:$B$40,"",0), "")</f>
        <v/>
      </c>
      <c r="M96" s="6" t="str">
        <f>IF(Table117[[#This Row],[Category]]="Transportation", "ton", "")</f>
        <v/>
      </c>
      <c r="N96" s="6"/>
      <c r="O96" s="6"/>
      <c r="P96" s="6" t="str">
        <f>IF(OR(Table117[[#This Row],[Type]]="Main Product", Table117[[#This Row],[Type]]="Co-Product"), Table117[[#This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IF(Table117[[#This Row],[Type]]="Co-product", "No", "")</f>
        <v/>
      </c>
      <c r="J97" s="25"/>
      <c r="K97" s="6"/>
      <c r="L97" s="6" t="str">
        <f>IF(Table117[[#This Row],[Category]]="Transportation", _xlfn.XLOOKUP(Table117[[#This Row],[Resource]], 'SI - Payload'!$A$10:$A$40,'SI - Payload'!$B$10:$B$40,"",0), "")</f>
        <v/>
      </c>
      <c r="M97" s="6" t="str">
        <f>IF(Table117[[#This Row],[Category]]="Transportation", "ton", "")</f>
        <v/>
      </c>
      <c r="N97" s="6"/>
      <c r="O97" s="6"/>
      <c r="P97" s="6" t="str">
        <f>IF(OR(Table117[[#This Row],[Type]]="Main Product", Table117[[#This Row],[Type]]="Co-Product"), Table117[[#This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IF(Table117[[#This Row],[Type]]="Co-product", "No", "")</f>
        <v/>
      </c>
      <c r="J98" s="25"/>
      <c r="K98" s="6"/>
      <c r="L98" s="6" t="str">
        <f>IF(Table117[[#This Row],[Category]]="Transportation", _xlfn.XLOOKUP(Table117[[#This Row],[Resource]], 'SI - Payload'!$A$10:$A$40,'SI - Payload'!$B$10:$B$40,"",0), "")</f>
        <v/>
      </c>
      <c r="M98" s="6" t="str">
        <f>IF(Table117[[#This Row],[Category]]="Transportation", "ton", "")</f>
        <v/>
      </c>
      <c r="N98" s="6"/>
      <c r="O98" s="6"/>
      <c r="P98" s="6" t="str">
        <f>IF(OR(Table117[[#This Row],[Type]]="Main Product", Table117[[#This Row],[Type]]="Co-Product"), Table117[[#This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IF(Table117[[#This Row],[Type]]="Co-product", "No", "")</f>
        <v/>
      </c>
      <c r="J99" s="25"/>
      <c r="K99" s="6"/>
      <c r="L99" s="6" t="str">
        <f>IF(Table117[[#This Row],[Category]]="Transportation", _xlfn.XLOOKUP(Table117[[#This Row],[Resource]], 'SI - Payload'!$A$10:$A$40,'SI - Payload'!$B$10:$B$40,"",0), "")</f>
        <v/>
      </c>
      <c r="M99" s="6" t="str">
        <f>IF(Table117[[#This Row],[Category]]="Transportation", "ton", "")</f>
        <v/>
      </c>
      <c r="N99" s="6"/>
      <c r="O99" s="6"/>
      <c r="P99" s="6" t="str">
        <f>IF(OR(Table117[[#This Row],[Type]]="Main Product", Table117[[#This Row],[Type]]="Co-Product"), Table117[[#This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IF(Table117[[#This Row],[Type]]="Co-product", "No", "")</f>
        <v/>
      </c>
      <c r="J100" s="25"/>
      <c r="K100" s="6"/>
      <c r="L100" s="6" t="str">
        <f>IF(Table117[[#This Row],[Category]]="Transportation", _xlfn.XLOOKUP(Table117[[#This Row],[Resource]], 'SI - Payload'!$A$10:$A$40,'SI - Payload'!$B$10:$B$40,"",0), "")</f>
        <v/>
      </c>
      <c r="M100" s="6" t="str">
        <f>IF(Table117[[#This Row],[Category]]="Transportation", "ton", "")</f>
        <v/>
      </c>
      <c r="N100" s="6"/>
      <c r="O100" s="6"/>
      <c r="P100" s="6" t="str">
        <f>IF(OR(Table117[[#This Row],[Type]]="Main Product", Table117[[#This Row],[Type]]="Co-Product"), Table117[[#This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AD9D5918-B812-4C15-822A-BB2FA5A61FEF}">
      <formula1>0</formula1>
      <formula2>1</formula2>
    </dataValidation>
    <dataValidation type="list" allowBlank="1" showInputMessage="1" showErrorMessage="1" sqref="M6:M100" xr:uid="{4CF83FD1-8C90-4D80-B702-5395FDEE8D8D}">
      <formula1>payload_units</formula1>
    </dataValidation>
    <dataValidation type="decimal" operator="greaterThan" allowBlank="1" showInputMessage="1" showErrorMessage="1" error="Please type a positive number." sqref="L6:L100" xr:uid="{B6FC308D-7D77-484C-9F70-840196809AF5}">
      <formula1>0</formula1>
    </dataValidation>
    <dataValidation type="decimal" operator="greaterThan" allowBlank="1" showInputMessage="1" showErrorMessage="1" error="Please type a positive price." sqref="N6:N100" xr:uid="{5F2DEEB1-C188-4240-8BD4-382E93DC578A}">
      <formula1>0</formula1>
    </dataValidation>
    <dataValidation type="decimal" allowBlank="1" showInputMessage="1" showErrorMessage="1" error="Please type a number between 0 and 1." sqref="G6:G100" xr:uid="{7890E338-320B-4F48-BB73-F39FA498B04E}">
      <formula1>0</formula1>
      <formula2>1</formula2>
    </dataValidation>
    <dataValidation type="custom" allowBlank="1" showInputMessage="1" showErrorMessage="1" sqref="E6:E100" xr:uid="{F09D7791-4770-4327-9E1B-AC984282C78F}">
      <formula1>ISNUMBER(E6)</formula1>
    </dataValidation>
    <dataValidation type="list" allowBlank="1" showInputMessage="1" showErrorMessage="1" sqref="C2" xr:uid="{CCB98FA2-02C0-440E-93D2-BFAED3F6AD8A}">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68F4EED7-DB8C-46F8-BF27-3B2EB3ED8F2A}">
          <x14:formula1>
            <xm:f>IF($B6="Transportation",  transport_units, INDIRECT(_xlfn.XLOOKUP($C6, 'SI - Units'!$F$26:$F$36,'SI - Units'!$G$26:$G$36,"mass",0)))</xm:f>
          </x14:formula1>
          <xm:sqref>F6:F100</xm:sqref>
        </x14:dataValidation>
        <x14:dataValidation type="list" allowBlank="1" showInputMessage="1" showErrorMessage="1" xr:uid="{CD3F74B7-2BC2-45F5-AC17-937D2BB098CB}">
          <x14:formula1>
            <xm:f>INDIRECT("p_"&amp;_xlfn.XLOOKUP($C6,'SI - Units'!$F$26:$F$36,'SI - Units'!$G$26:$G$36,"mass",0))</xm:f>
          </x14:formula1>
          <xm:sqref>O6:O100</xm:sqref>
        </x14:dataValidation>
        <x14:dataValidation type="list" allowBlank="1" showInputMessage="1" showErrorMessage="1" xr:uid="{6D44DA80-6648-4F46-B99D-2F3FEC532660}">
          <x14:formula1>
            <xm:f>INDIRECT(_xlfn.XLOOKUP($P6,'SI - End Use'!$A$11:$A$18,'SI - End Use'!$B$11:$B$18,"other_end_use",0))</xm:f>
          </x14:formula1>
          <xm:sqref>Q6:R100</xm:sqref>
        </x14:dataValidation>
        <x14:dataValidation type="list" allowBlank="1" showInputMessage="1" xr:uid="{6B98E158-BD34-4BAC-8E3E-1A5A04254777}">
          <x14:formula1>
            <xm:f>INDIRECT(_xlfn.XLOOKUP($C6,'SI - End Use'!$A$11:$A$18,'SI - End Use'!$B$11:$B$18,"other_end_use",0))</xm:f>
          </x14:formula1>
          <xm:sqref>D6:D100</xm:sqref>
        </x14:dataValidation>
        <x14:dataValidation type="list" allowBlank="1" showInputMessage="1" showErrorMessage="1" xr:uid="{3B316EA1-E0F7-4470-AB2A-78449A30E535}">
          <x14:formula1>
            <xm:f>INDIRECT(_xlfn.XLOOKUP($B6, 'SI - Resources'!$R$1:$R$10,'SI - Resources'!$S$1:$S$10, "placeholder_resource", 0))</xm:f>
          </x14:formula1>
          <xm:sqref>P6:P100 C6:C100</xm:sqref>
        </x14:dataValidation>
        <x14:dataValidation type="list" allowBlank="1" showInputMessage="1" showErrorMessage="1" xr:uid="{CA1655C4-E252-495B-8595-882F07487C00}">
          <x14:formula1>
            <xm:f>'SI - Co-products'!$B$2:$B$6</xm:f>
          </x14:formula1>
          <xm:sqref>A6:A100</xm:sqref>
        </x14:dataValidation>
        <x14:dataValidation type="list" allowBlank="1" showInputMessage="1" showErrorMessage="1" xr:uid="{D40347AE-D384-4D48-844C-9C1B1EAAD927}">
          <x14:formula1>
            <xm:f>'SI - Resources'!$A$1:$J$1</xm:f>
          </x14:formula1>
          <xm:sqref>B6:B100</xm:sqref>
        </x14:dataValidation>
        <x14:dataValidation type="list" allowBlank="1" showInputMessage="1" showErrorMessage="1" xr:uid="{744CC6CC-9FA8-45AC-A8E3-7C4EE2AC772E}">
          <x14:formula1>
            <xm:f>'SI - Co-products'!$C$2:$C$4</xm:f>
          </x14:formula1>
          <xm:sqref>I6:I100</xm:sqref>
        </x14:dataValidation>
        <x14:dataValidation type="list" allowBlank="1" showInputMessage="1" showErrorMessage="1" xr:uid="{F2B464B0-3CA6-4E30-BD4B-E8CC9557C1FE}">
          <x14:formula1>
            <xm:f>'SI - Co-products'!$A$2:$A$5</xm:f>
          </x14:formula1>
          <xm:sqref>K6:K100</xm:sqref>
        </x14:dataValidation>
        <x14:dataValidation type="list" allowBlank="1" showInputMessage="1" showErrorMessage="1" xr:uid="{F342A215-9091-4297-8C53-5A872221E808}">
          <x14:formula1>
            <xm:f>_xlfn.XLOOKUP(_xlfn.XLOOKUP(#REF!,'SI - Units'!$B$24:$B$109,'SI - Units'!$C$24:$C$109),'SI - Units'!$A$2:$A$8,'SI - Units'!$B$2:$R$8)</xm:f>
          </x14:formula1>
          <xm:sqref>F5</xm:sqref>
        </x14:dataValidation>
        <x14:dataValidation type="list" allowBlank="1" showInputMessage="1" showErrorMessage="1" xr:uid="{A3AF8248-A213-46BF-814E-6F71369C4A57}">
          <x14:formula1>
            <xm:f>'SI - Co-products'!$D$2:$D$8</xm:f>
          </x14:formula1>
          <xm:sqref>C1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28C4D1-B15A-424A-8372-4901D4FD6003}">
  <sheetPr codeName="Sheet18"/>
  <dimension ref="A1:T99"/>
  <sheetViews>
    <sheetView topLeftCell="E1" workbookViewId="0">
      <pane ySplit="5" topLeftCell="A16" activePane="bottomLeft" state="frozen"/>
      <selection activeCell="C19" sqref="C19"/>
      <selection pane="bottomLeft" activeCell="T33" sqref="T33"/>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127</v>
      </c>
    </row>
    <row r="2" spans="1:20" x14ac:dyDescent="0.35">
      <c r="A2" s="13" t="s">
        <v>259</v>
      </c>
      <c r="B2" s="13"/>
      <c r="C2" s="14" t="s">
        <v>114</v>
      </c>
    </row>
    <row r="3" spans="1:20" x14ac:dyDescent="0.35">
      <c r="A3" s="13" t="s">
        <v>333</v>
      </c>
      <c r="C3" s="57">
        <v>0</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38</v>
      </c>
      <c r="C6" s="6" t="s">
        <v>32</v>
      </c>
      <c r="D6" s="6"/>
      <c r="E6" s="74">
        <v>104166.667</v>
      </c>
      <c r="F6" s="6" t="s">
        <v>58</v>
      </c>
      <c r="G6" s="25">
        <v>0.2</v>
      </c>
      <c r="H6" s="25" t="s">
        <v>360</v>
      </c>
      <c r="I6" s="26" t="s">
        <v>336</v>
      </c>
      <c r="J6" s="25"/>
      <c r="K6" s="6" t="s">
        <v>86</v>
      </c>
      <c r="L6" s="6" t="s">
        <v>336</v>
      </c>
      <c r="M6" s="6" t="s">
        <v>336</v>
      </c>
      <c r="N6" s="6"/>
      <c r="O6" s="6"/>
      <c r="P6" s="6" t="s">
        <v>336</v>
      </c>
      <c r="Q6" s="6" t="s">
        <v>336</v>
      </c>
      <c r="R6" s="6"/>
      <c r="S6" s="6"/>
      <c r="T6" s="6"/>
    </row>
    <row r="7" spans="1:20" x14ac:dyDescent="0.35">
      <c r="A7" s="6" t="s">
        <v>0</v>
      </c>
      <c r="B7" s="6" t="s">
        <v>37</v>
      </c>
      <c r="C7" s="6" t="s">
        <v>106</v>
      </c>
      <c r="D7" s="6"/>
      <c r="E7" s="12">
        <v>12472.156300000001</v>
      </c>
      <c r="F7" s="6" t="s">
        <v>58</v>
      </c>
      <c r="G7" s="25">
        <v>7.0000000000000007E-2</v>
      </c>
      <c r="H7" s="25"/>
      <c r="I7" s="26" t="s">
        <v>336</v>
      </c>
      <c r="J7" s="25"/>
      <c r="K7" s="6" t="s">
        <v>85</v>
      </c>
      <c r="L7" s="6" t="s">
        <v>336</v>
      </c>
      <c r="M7" s="6" t="s">
        <v>336</v>
      </c>
      <c r="N7" s="6"/>
      <c r="O7" s="6"/>
      <c r="P7" s="6" t="s">
        <v>336</v>
      </c>
      <c r="Q7" s="6" t="s">
        <v>336</v>
      </c>
      <c r="R7" s="6"/>
      <c r="S7" s="6"/>
      <c r="T7" s="6"/>
    </row>
    <row r="8" spans="1:20" x14ac:dyDescent="0.35">
      <c r="A8" s="6" t="s">
        <v>0</v>
      </c>
      <c r="B8" s="6" t="s">
        <v>37</v>
      </c>
      <c r="C8" s="6" t="s">
        <v>13</v>
      </c>
      <c r="D8" s="6"/>
      <c r="E8" s="74">
        <v>1800</v>
      </c>
      <c r="F8" s="6" t="s">
        <v>58</v>
      </c>
      <c r="G8" s="25"/>
      <c r="H8" s="25"/>
      <c r="I8" s="26" t="s">
        <v>336</v>
      </c>
      <c r="J8" s="25"/>
      <c r="K8" s="6" t="s">
        <v>85</v>
      </c>
      <c r="L8" s="6" t="s">
        <v>336</v>
      </c>
      <c r="M8" s="6" t="s">
        <v>336</v>
      </c>
      <c r="N8" s="6"/>
      <c r="O8" s="6"/>
      <c r="P8" s="6" t="s">
        <v>336</v>
      </c>
      <c r="Q8" s="6" t="s">
        <v>336</v>
      </c>
      <c r="R8" s="6"/>
      <c r="S8" s="6"/>
      <c r="T8" s="6"/>
    </row>
    <row r="9" spans="1:20" x14ac:dyDescent="0.35">
      <c r="A9" s="6" t="s">
        <v>0</v>
      </c>
      <c r="B9" s="6" t="s">
        <v>37</v>
      </c>
      <c r="C9" s="6" t="s">
        <v>13</v>
      </c>
      <c r="D9" s="6" t="s">
        <v>336</v>
      </c>
      <c r="E9" s="12">
        <v>2749.7741029999997</v>
      </c>
      <c r="F9" s="6" t="s">
        <v>58</v>
      </c>
      <c r="G9" s="25"/>
      <c r="H9" s="25"/>
      <c r="I9" s="26" t="s">
        <v>336</v>
      </c>
      <c r="J9" s="25"/>
      <c r="K9" s="6" t="s">
        <v>86</v>
      </c>
      <c r="L9" s="6" t="s">
        <v>336</v>
      </c>
      <c r="M9" s="6" t="s">
        <v>336</v>
      </c>
      <c r="N9" s="6"/>
      <c r="O9" s="6"/>
      <c r="P9" s="6" t="s">
        <v>336</v>
      </c>
      <c r="Q9" s="6" t="s">
        <v>336</v>
      </c>
      <c r="R9" s="6"/>
      <c r="S9" s="6"/>
      <c r="T9" s="6"/>
    </row>
    <row r="10" spans="1:20" x14ac:dyDescent="0.35">
      <c r="A10" s="6" t="s">
        <v>0</v>
      </c>
      <c r="B10" s="6" t="s">
        <v>37</v>
      </c>
      <c r="C10" s="6" t="s">
        <v>26</v>
      </c>
      <c r="D10" s="6"/>
      <c r="E10" s="74">
        <v>7500</v>
      </c>
      <c r="F10" s="6" t="s">
        <v>58</v>
      </c>
      <c r="G10" s="25"/>
      <c r="H10" s="25"/>
      <c r="I10" s="26" t="s">
        <v>336</v>
      </c>
      <c r="J10" s="25"/>
      <c r="K10" s="6" t="s">
        <v>86</v>
      </c>
      <c r="L10" s="6" t="s">
        <v>336</v>
      </c>
      <c r="M10" s="6" t="s">
        <v>336</v>
      </c>
      <c r="N10" s="6"/>
      <c r="O10" s="6"/>
      <c r="P10" s="6" t="s">
        <v>336</v>
      </c>
      <c r="Q10" s="6" t="s">
        <v>336</v>
      </c>
      <c r="R10" s="6"/>
      <c r="S10" s="6"/>
      <c r="T10" s="6"/>
    </row>
    <row r="11" spans="1:20" x14ac:dyDescent="0.35">
      <c r="A11" s="6" t="s">
        <v>0</v>
      </c>
      <c r="B11" s="6" t="s">
        <v>245</v>
      </c>
      <c r="C11" s="6" t="s">
        <v>228</v>
      </c>
      <c r="D11" s="6" t="s">
        <v>336</v>
      </c>
      <c r="E11" s="12">
        <v>3113.2075471698113</v>
      </c>
      <c r="F11" s="6" t="s">
        <v>58</v>
      </c>
      <c r="G11" s="25"/>
      <c r="H11" s="25"/>
      <c r="I11" s="26" t="s">
        <v>336</v>
      </c>
      <c r="J11" s="25"/>
      <c r="K11" s="6" t="s">
        <v>86</v>
      </c>
      <c r="L11" s="6" t="s">
        <v>336</v>
      </c>
      <c r="M11" s="6" t="s">
        <v>336</v>
      </c>
      <c r="N11" s="6"/>
      <c r="O11" s="6"/>
      <c r="P11" s="6" t="s">
        <v>336</v>
      </c>
      <c r="Q11" s="6" t="s">
        <v>336</v>
      </c>
      <c r="R11" s="6"/>
      <c r="S11" s="6"/>
      <c r="T11" s="6" t="s">
        <v>364</v>
      </c>
    </row>
    <row r="12" spans="1:20" x14ac:dyDescent="0.35">
      <c r="A12" s="6" t="s">
        <v>0</v>
      </c>
      <c r="B12" s="6" t="s">
        <v>37</v>
      </c>
      <c r="C12" s="6" t="s">
        <v>14</v>
      </c>
      <c r="D12" s="6" t="s">
        <v>336</v>
      </c>
      <c r="E12" s="77">
        <v>64</v>
      </c>
      <c r="F12" s="6" t="s">
        <v>58</v>
      </c>
      <c r="G12" s="25"/>
      <c r="H12" s="25"/>
      <c r="I12" s="26" t="s">
        <v>336</v>
      </c>
      <c r="J12" s="25"/>
      <c r="K12" s="6" t="s">
        <v>113</v>
      </c>
      <c r="L12" s="6" t="s">
        <v>336</v>
      </c>
      <c r="M12" s="6" t="s">
        <v>336</v>
      </c>
      <c r="N12" s="6"/>
      <c r="O12" s="6"/>
      <c r="P12" s="6" t="s">
        <v>336</v>
      </c>
      <c r="Q12" s="6" t="s">
        <v>336</v>
      </c>
      <c r="R12" s="6"/>
      <c r="S12" s="6"/>
      <c r="T12" s="6"/>
    </row>
    <row r="13" spans="1:20" x14ac:dyDescent="0.35">
      <c r="A13" s="6" t="s">
        <v>0</v>
      </c>
      <c r="B13" s="6" t="s">
        <v>37</v>
      </c>
      <c r="C13" s="6" t="s">
        <v>14</v>
      </c>
      <c r="D13" s="6" t="s">
        <v>336</v>
      </c>
      <c r="E13" s="77">
        <v>17</v>
      </c>
      <c r="F13" s="6" t="s">
        <v>58</v>
      </c>
      <c r="G13" s="25"/>
      <c r="H13" s="25"/>
      <c r="I13" s="26" t="s">
        <v>336</v>
      </c>
      <c r="J13" s="25"/>
      <c r="K13" s="6" t="s">
        <v>85</v>
      </c>
      <c r="L13" s="6" t="s">
        <v>336</v>
      </c>
      <c r="M13" s="6" t="s">
        <v>336</v>
      </c>
      <c r="N13" s="6"/>
      <c r="O13" s="6"/>
      <c r="P13" s="6" t="s">
        <v>336</v>
      </c>
      <c r="Q13" s="6" t="s">
        <v>336</v>
      </c>
      <c r="R13" s="6"/>
      <c r="S13" s="6"/>
      <c r="T13" s="6"/>
    </row>
    <row r="14" spans="1:20" x14ac:dyDescent="0.35">
      <c r="A14" s="6" t="s">
        <v>0</v>
      </c>
      <c r="B14" s="6" t="s">
        <v>37</v>
      </c>
      <c r="C14" s="6" t="s">
        <v>14</v>
      </c>
      <c r="D14" s="6" t="s">
        <v>336</v>
      </c>
      <c r="E14" s="77">
        <v>1879</v>
      </c>
      <c r="F14" s="6" t="s">
        <v>58</v>
      </c>
      <c r="G14" s="25"/>
      <c r="H14" s="25"/>
      <c r="I14" s="26" t="s">
        <v>336</v>
      </c>
      <c r="J14" s="25"/>
      <c r="K14" s="6" t="s">
        <v>86</v>
      </c>
      <c r="L14" s="6" t="s">
        <v>336</v>
      </c>
      <c r="M14" s="6" t="s">
        <v>336</v>
      </c>
      <c r="N14" s="6"/>
      <c r="O14" s="6"/>
      <c r="P14" s="6" t="s">
        <v>336</v>
      </c>
      <c r="Q14" s="6" t="s">
        <v>336</v>
      </c>
      <c r="R14" s="6"/>
      <c r="S14" s="6"/>
      <c r="T14" s="6"/>
    </row>
    <row r="15" spans="1:20" x14ac:dyDescent="0.35">
      <c r="A15" s="6" t="s">
        <v>0</v>
      </c>
      <c r="B15" s="6" t="s">
        <v>37</v>
      </c>
      <c r="C15" s="6" t="s">
        <v>19</v>
      </c>
      <c r="D15" s="6" t="s">
        <v>336</v>
      </c>
      <c r="E15" s="77">
        <v>1335.9596300000001</v>
      </c>
      <c r="F15" s="6" t="s">
        <v>58</v>
      </c>
      <c r="G15" s="25"/>
      <c r="H15" s="25"/>
      <c r="I15" s="26" t="s">
        <v>336</v>
      </c>
      <c r="J15" s="25"/>
      <c r="K15" s="6" t="s">
        <v>113</v>
      </c>
      <c r="L15" s="6" t="s">
        <v>336</v>
      </c>
      <c r="M15" s="6" t="s">
        <v>336</v>
      </c>
      <c r="N15" s="6"/>
      <c r="O15" s="6"/>
      <c r="P15" s="6" t="s">
        <v>336</v>
      </c>
      <c r="Q15" s="6" t="s">
        <v>336</v>
      </c>
      <c r="R15" s="6"/>
      <c r="S15" s="6"/>
      <c r="T15" s="6"/>
    </row>
    <row r="16" spans="1:20" x14ac:dyDescent="0.35">
      <c r="A16" s="6" t="s">
        <v>0</v>
      </c>
      <c r="B16" s="6" t="s">
        <v>37</v>
      </c>
      <c r="C16" s="6" t="s">
        <v>15</v>
      </c>
      <c r="D16" s="6" t="s">
        <v>336</v>
      </c>
      <c r="E16" s="77">
        <v>928.97244530000012</v>
      </c>
      <c r="F16" s="6" t="s">
        <v>58</v>
      </c>
      <c r="G16" s="25"/>
      <c r="H16" s="25"/>
      <c r="I16" s="26" t="s">
        <v>336</v>
      </c>
      <c r="J16" s="25"/>
      <c r="K16" s="6" t="s">
        <v>113</v>
      </c>
      <c r="L16" s="6" t="s">
        <v>336</v>
      </c>
      <c r="M16" s="6" t="s">
        <v>336</v>
      </c>
      <c r="N16" s="6"/>
      <c r="O16" s="6"/>
      <c r="P16" s="6" t="s">
        <v>336</v>
      </c>
      <c r="Q16" s="6" t="s">
        <v>336</v>
      </c>
      <c r="R16" s="6"/>
      <c r="S16" s="6"/>
      <c r="T16" s="6"/>
    </row>
    <row r="17" spans="1:20" x14ac:dyDescent="0.35">
      <c r="A17" s="6" t="s">
        <v>0</v>
      </c>
      <c r="B17" s="6" t="s">
        <v>37</v>
      </c>
      <c r="C17" s="6" t="s">
        <v>17</v>
      </c>
      <c r="D17" s="6" t="s">
        <v>336</v>
      </c>
      <c r="E17" s="77">
        <v>7.3804090899999997</v>
      </c>
      <c r="F17" s="6" t="s">
        <v>58</v>
      </c>
      <c r="G17" s="25"/>
      <c r="H17" s="25"/>
      <c r="I17" s="26" t="s">
        <v>336</v>
      </c>
      <c r="J17" s="25"/>
      <c r="K17" s="6" t="s">
        <v>113</v>
      </c>
      <c r="L17" s="6" t="s">
        <v>336</v>
      </c>
      <c r="M17" s="6" t="s">
        <v>336</v>
      </c>
      <c r="N17" s="6"/>
      <c r="O17" s="6"/>
      <c r="P17" s="6" t="s">
        <v>336</v>
      </c>
      <c r="Q17" s="6" t="s">
        <v>336</v>
      </c>
      <c r="R17" s="6"/>
      <c r="S17" s="6"/>
      <c r="T17" s="6"/>
    </row>
    <row r="18" spans="1:20" x14ac:dyDescent="0.35">
      <c r="A18" s="6" t="s">
        <v>0</v>
      </c>
      <c r="B18" s="6" t="s">
        <v>37</v>
      </c>
      <c r="C18" s="6" t="s">
        <v>20</v>
      </c>
      <c r="D18" s="6" t="s">
        <v>336</v>
      </c>
      <c r="E18" s="77">
        <v>37.2129835</v>
      </c>
      <c r="F18" s="6" t="s">
        <v>58</v>
      </c>
      <c r="G18" s="25"/>
      <c r="H18" s="25"/>
      <c r="I18" s="26" t="s">
        <v>336</v>
      </c>
      <c r="J18" s="25"/>
      <c r="K18" s="6" t="s">
        <v>113</v>
      </c>
      <c r="L18" s="6" t="s">
        <v>336</v>
      </c>
      <c r="M18" s="6" t="s">
        <v>336</v>
      </c>
      <c r="N18" s="6"/>
      <c r="O18" s="6"/>
      <c r="P18" s="6" t="s">
        <v>336</v>
      </c>
      <c r="Q18" s="6" t="s">
        <v>336</v>
      </c>
      <c r="R18" s="6"/>
      <c r="S18" s="6"/>
      <c r="T18" s="6"/>
    </row>
    <row r="19" spans="1:20" x14ac:dyDescent="0.35">
      <c r="A19" s="6" t="s">
        <v>0</v>
      </c>
      <c r="B19" s="6" t="s">
        <v>37</v>
      </c>
      <c r="C19" s="6" t="s">
        <v>21</v>
      </c>
      <c r="D19" s="6" t="s">
        <v>336</v>
      </c>
      <c r="E19" s="77">
        <v>9.0697912299999999</v>
      </c>
      <c r="F19" s="6" t="s">
        <v>58</v>
      </c>
      <c r="G19" s="25"/>
      <c r="H19" s="25"/>
      <c r="I19" s="26" t="s">
        <v>336</v>
      </c>
      <c r="J19" s="25"/>
      <c r="K19" s="6" t="s">
        <v>113</v>
      </c>
      <c r="L19" s="6" t="s">
        <v>336</v>
      </c>
      <c r="M19" s="6" t="s">
        <v>336</v>
      </c>
      <c r="N19" s="6"/>
      <c r="O19" s="6"/>
      <c r="P19" s="6" t="s">
        <v>336</v>
      </c>
      <c r="Q19" s="6" t="s">
        <v>336</v>
      </c>
      <c r="R19" s="6"/>
      <c r="S19" s="6"/>
      <c r="T19" s="6"/>
    </row>
    <row r="20" spans="1:20" x14ac:dyDescent="0.35">
      <c r="A20" s="6" t="s">
        <v>0</v>
      </c>
      <c r="B20" s="6" t="s">
        <v>37</v>
      </c>
      <c r="C20" s="6" t="s">
        <v>16</v>
      </c>
      <c r="D20" s="6" t="s">
        <v>336</v>
      </c>
      <c r="E20" s="77">
        <v>103.75222799711</v>
      </c>
      <c r="F20" s="6" t="s">
        <v>58</v>
      </c>
      <c r="G20" s="25"/>
      <c r="H20" s="25"/>
      <c r="I20" s="26" t="s">
        <v>336</v>
      </c>
      <c r="J20" s="25"/>
      <c r="K20" s="6" t="s">
        <v>113</v>
      </c>
      <c r="L20" s="6" t="s">
        <v>336</v>
      </c>
      <c r="M20" s="6" t="s">
        <v>336</v>
      </c>
      <c r="N20" s="6"/>
      <c r="O20" s="6"/>
      <c r="P20" s="6" t="s">
        <v>336</v>
      </c>
      <c r="Q20" s="6" t="s">
        <v>336</v>
      </c>
      <c r="R20" s="6"/>
      <c r="S20" s="6"/>
      <c r="T20" s="6"/>
    </row>
    <row r="21" spans="1:20" x14ac:dyDescent="0.35">
      <c r="A21" s="6" t="s">
        <v>0</v>
      </c>
      <c r="B21" s="6" t="s">
        <v>37</v>
      </c>
      <c r="C21" s="6" t="s">
        <v>18</v>
      </c>
      <c r="D21" s="6" t="s">
        <v>336</v>
      </c>
      <c r="E21" s="77">
        <v>432.90545600000002</v>
      </c>
      <c r="F21" s="6" t="s">
        <v>58</v>
      </c>
      <c r="G21" s="25"/>
      <c r="H21" s="25"/>
      <c r="I21" s="26" t="s">
        <v>336</v>
      </c>
      <c r="J21" s="25"/>
      <c r="K21" s="6" t="s">
        <v>113</v>
      </c>
      <c r="L21" s="6" t="s">
        <v>336</v>
      </c>
      <c r="M21" s="6" t="s">
        <v>336</v>
      </c>
      <c r="N21" s="6"/>
      <c r="O21" s="6"/>
      <c r="P21" s="6" t="s">
        <v>336</v>
      </c>
      <c r="Q21" s="6" t="s">
        <v>336</v>
      </c>
      <c r="R21" s="6"/>
      <c r="S21" s="6"/>
      <c r="T21" s="6"/>
    </row>
    <row r="22" spans="1:20" x14ac:dyDescent="0.35">
      <c r="A22" s="6" t="s">
        <v>0</v>
      </c>
      <c r="B22" s="6" t="s">
        <v>244</v>
      </c>
      <c r="C22" s="6" t="s">
        <v>22</v>
      </c>
      <c r="D22" s="6" t="s">
        <v>336</v>
      </c>
      <c r="E22" s="77">
        <v>947.58393999999998</v>
      </c>
      <c r="F22" s="6" t="s">
        <v>58</v>
      </c>
      <c r="G22" s="25"/>
      <c r="H22" s="25"/>
      <c r="I22" s="26" t="s">
        <v>336</v>
      </c>
      <c r="J22" s="25"/>
      <c r="K22" s="6" t="s">
        <v>113</v>
      </c>
      <c r="L22" s="6" t="s">
        <v>336</v>
      </c>
      <c r="M22" s="6" t="s">
        <v>336</v>
      </c>
      <c r="N22" s="6"/>
      <c r="O22" s="6"/>
      <c r="P22" s="6" t="s">
        <v>336</v>
      </c>
      <c r="Q22" s="6" t="s">
        <v>336</v>
      </c>
      <c r="R22" s="6"/>
      <c r="S22" s="6"/>
      <c r="T22" s="6"/>
    </row>
    <row r="23" spans="1:20" x14ac:dyDescent="0.35">
      <c r="A23" s="6" t="s">
        <v>0</v>
      </c>
      <c r="B23" s="6" t="s">
        <v>37</v>
      </c>
      <c r="C23" s="6" t="s">
        <v>36</v>
      </c>
      <c r="D23" s="6" t="s">
        <v>336</v>
      </c>
      <c r="E23" s="77">
        <v>0.54501831099999998</v>
      </c>
      <c r="F23" s="6" t="s">
        <v>58</v>
      </c>
      <c r="G23" s="25"/>
      <c r="H23" s="25"/>
      <c r="I23" s="26" t="s">
        <v>336</v>
      </c>
      <c r="J23" s="25"/>
      <c r="K23" s="6" t="s">
        <v>86</v>
      </c>
      <c r="L23" s="6" t="s">
        <v>336</v>
      </c>
      <c r="M23" s="6" t="s">
        <v>336</v>
      </c>
      <c r="N23" s="6"/>
      <c r="O23" s="6"/>
      <c r="P23" s="6" t="s">
        <v>336</v>
      </c>
      <c r="Q23" s="6" t="s">
        <v>336</v>
      </c>
      <c r="R23" s="6"/>
      <c r="S23" s="6"/>
      <c r="T23" s="6"/>
    </row>
    <row r="24" spans="1:20" x14ac:dyDescent="0.35">
      <c r="A24" s="6" t="s">
        <v>0</v>
      </c>
      <c r="B24" s="6" t="s">
        <v>37</v>
      </c>
      <c r="C24" s="6" t="s">
        <v>23</v>
      </c>
      <c r="D24" s="6" t="s">
        <v>336</v>
      </c>
      <c r="E24" s="77">
        <v>173.99815000000001</v>
      </c>
      <c r="F24" s="6" t="s">
        <v>58</v>
      </c>
      <c r="G24" s="25"/>
      <c r="H24" s="25"/>
      <c r="I24" s="26" t="s">
        <v>336</v>
      </c>
      <c r="J24" s="25"/>
      <c r="K24" s="6" t="s">
        <v>86</v>
      </c>
      <c r="L24" s="6" t="s">
        <v>336</v>
      </c>
      <c r="M24" s="6" t="s">
        <v>336</v>
      </c>
      <c r="N24" s="6"/>
      <c r="O24" s="6"/>
      <c r="P24" s="6" t="s">
        <v>336</v>
      </c>
      <c r="Q24" s="6" t="s">
        <v>336</v>
      </c>
      <c r="R24" s="6"/>
      <c r="S24" s="6"/>
      <c r="T24" s="6"/>
    </row>
    <row r="25" spans="1:20" x14ac:dyDescent="0.35">
      <c r="A25" s="6" t="s">
        <v>0</v>
      </c>
      <c r="B25" s="6" t="s">
        <v>37</v>
      </c>
      <c r="C25" s="6" t="s">
        <v>25</v>
      </c>
      <c r="D25" s="6" t="s">
        <v>336</v>
      </c>
      <c r="E25" s="12">
        <v>1.33870585</v>
      </c>
      <c r="F25" s="6" t="s">
        <v>58</v>
      </c>
      <c r="G25" s="25"/>
      <c r="H25" s="25"/>
      <c r="I25" s="26" t="s">
        <v>336</v>
      </c>
      <c r="J25" s="25"/>
      <c r="K25" s="6" t="s">
        <v>86</v>
      </c>
      <c r="L25" s="6" t="s">
        <v>336</v>
      </c>
      <c r="M25" s="6" t="s">
        <v>336</v>
      </c>
      <c r="N25" s="6"/>
      <c r="O25" s="6"/>
      <c r="P25" s="6" t="s">
        <v>336</v>
      </c>
      <c r="Q25" s="6" t="s">
        <v>336</v>
      </c>
      <c r="R25" s="6"/>
      <c r="S25" s="6"/>
      <c r="T25" s="6"/>
    </row>
    <row r="26" spans="1:20" x14ac:dyDescent="0.35">
      <c r="A26" s="6" t="s">
        <v>0</v>
      </c>
      <c r="B26" s="6" t="s">
        <v>29</v>
      </c>
      <c r="C26" s="6" t="s">
        <v>29</v>
      </c>
      <c r="D26" s="6" t="s">
        <v>336</v>
      </c>
      <c r="E26" s="74">
        <v>144834.35500000001</v>
      </c>
      <c r="F26" s="6" t="s">
        <v>58</v>
      </c>
      <c r="G26" s="25"/>
      <c r="H26" s="25"/>
      <c r="I26" s="26" t="s">
        <v>336</v>
      </c>
      <c r="J26" s="25"/>
      <c r="K26" s="6" t="s">
        <v>86</v>
      </c>
      <c r="L26" s="6" t="s">
        <v>336</v>
      </c>
      <c r="M26" s="6" t="s">
        <v>336</v>
      </c>
      <c r="N26" s="6"/>
      <c r="O26" s="6"/>
      <c r="P26" s="6" t="s">
        <v>336</v>
      </c>
      <c r="Q26" s="6" t="s">
        <v>336</v>
      </c>
      <c r="R26" s="6"/>
      <c r="S26" s="6"/>
      <c r="T26" s="6"/>
    </row>
    <row r="27" spans="1:20" x14ac:dyDescent="0.35">
      <c r="A27" s="6" t="s">
        <v>0</v>
      </c>
      <c r="B27" s="6" t="s">
        <v>244</v>
      </c>
      <c r="C27" s="6" t="s">
        <v>24</v>
      </c>
      <c r="D27" s="6" t="s">
        <v>31</v>
      </c>
      <c r="E27" s="12">
        <v>6800</v>
      </c>
      <c r="F27" s="6" t="s">
        <v>58</v>
      </c>
      <c r="G27" s="25"/>
      <c r="H27" s="25"/>
      <c r="I27" s="26" t="s">
        <v>336</v>
      </c>
      <c r="J27" s="25"/>
      <c r="K27" s="6" t="s">
        <v>86</v>
      </c>
      <c r="L27" s="6" t="s">
        <v>336</v>
      </c>
      <c r="M27" s="6" t="s">
        <v>336</v>
      </c>
      <c r="N27" s="6"/>
      <c r="O27" s="6"/>
      <c r="P27" s="6" t="s">
        <v>336</v>
      </c>
      <c r="Q27" s="6" t="s">
        <v>336</v>
      </c>
      <c r="R27" s="6"/>
      <c r="S27" s="6"/>
      <c r="T27" s="6"/>
    </row>
    <row r="28" spans="1:20" x14ac:dyDescent="0.35">
      <c r="A28" s="6" t="s">
        <v>0</v>
      </c>
      <c r="B28" s="6" t="s">
        <v>3</v>
      </c>
      <c r="C28" s="6" t="s">
        <v>3</v>
      </c>
      <c r="D28" s="6" t="s">
        <v>10</v>
      </c>
      <c r="E28" s="74">
        <v>19571</v>
      </c>
      <c r="F28" s="6" t="s">
        <v>68</v>
      </c>
      <c r="G28" s="25"/>
      <c r="H28" s="25"/>
      <c r="I28" s="26" t="s">
        <v>336</v>
      </c>
      <c r="J28" s="25"/>
      <c r="K28" s="6" t="s">
        <v>113</v>
      </c>
      <c r="L28" s="6" t="s">
        <v>336</v>
      </c>
      <c r="M28" s="6" t="s">
        <v>336</v>
      </c>
      <c r="N28" s="6"/>
      <c r="O28" s="6"/>
      <c r="P28" s="6" t="s">
        <v>336</v>
      </c>
      <c r="Q28" s="6" t="s">
        <v>336</v>
      </c>
      <c r="R28" s="6"/>
      <c r="S28" s="6"/>
      <c r="T28" s="6"/>
    </row>
    <row r="29" spans="1:20" x14ac:dyDescent="0.35">
      <c r="A29" s="6" t="s">
        <v>0</v>
      </c>
      <c r="B29" s="6" t="s">
        <v>3</v>
      </c>
      <c r="C29" s="6" t="s">
        <v>3</v>
      </c>
      <c r="D29" s="6" t="s">
        <v>10</v>
      </c>
      <c r="E29" s="12">
        <v>4308</v>
      </c>
      <c r="F29" s="6" t="s">
        <v>68</v>
      </c>
      <c r="G29" s="25"/>
      <c r="H29" s="25"/>
      <c r="I29" s="26" t="s">
        <v>336</v>
      </c>
      <c r="J29" s="25"/>
      <c r="K29" s="6" t="s">
        <v>85</v>
      </c>
      <c r="L29" s="6" t="s">
        <v>336</v>
      </c>
      <c r="M29" s="6" t="s">
        <v>336</v>
      </c>
      <c r="N29" s="6"/>
      <c r="O29" s="6"/>
      <c r="P29" s="6" t="s">
        <v>336</v>
      </c>
      <c r="Q29" s="6" t="s">
        <v>336</v>
      </c>
      <c r="R29" s="6"/>
      <c r="S29" s="6"/>
      <c r="T29" s="6"/>
    </row>
    <row r="30" spans="1:20" x14ac:dyDescent="0.35">
      <c r="A30" s="6" t="s">
        <v>0</v>
      </c>
      <c r="B30" s="6" t="s">
        <v>3</v>
      </c>
      <c r="C30" s="6" t="s">
        <v>3</v>
      </c>
      <c r="D30" s="6" t="s">
        <v>10</v>
      </c>
      <c r="E30" s="12">
        <v>20474.434896999999</v>
      </c>
      <c r="F30" s="6" t="s">
        <v>68</v>
      </c>
      <c r="G30" s="25"/>
      <c r="H30" s="25"/>
      <c r="I30" s="26" t="s">
        <v>336</v>
      </c>
      <c r="J30" s="25"/>
      <c r="K30" s="6" t="s">
        <v>86</v>
      </c>
      <c r="L30" s="6" t="s">
        <v>336</v>
      </c>
      <c r="M30" s="6" t="s">
        <v>336</v>
      </c>
      <c r="N30" s="6"/>
      <c r="O30" s="6"/>
      <c r="P30" s="6" t="s">
        <v>336</v>
      </c>
      <c r="Q30" s="6" t="s">
        <v>336</v>
      </c>
      <c r="R30" s="6"/>
      <c r="S30" s="6"/>
      <c r="T30" s="6"/>
    </row>
    <row r="31" spans="1:20" x14ac:dyDescent="0.35">
      <c r="A31" s="6" t="s">
        <v>113</v>
      </c>
      <c r="B31" s="6" t="s">
        <v>244</v>
      </c>
      <c r="C31" s="6" t="s">
        <v>366</v>
      </c>
      <c r="D31" s="6"/>
      <c r="E31" s="12">
        <v>501.55026516129396</v>
      </c>
      <c r="F31" s="6" t="s">
        <v>70</v>
      </c>
      <c r="G31" s="25"/>
      <c r="H31" s="25"/>
      <c r="I31" s="26" t="s">
        <v>336</v>
      </c>
      <c r="J31" s="25"/>
      <c r="K31" s="6" t="s">
        <v>113</v>
      </c>
      <c r="L31" s="6" t="s">
        <v>336</v>
      </c>
      <c r="M31" s="6" t="s">
        <v>336</v>
      </c>
      <c r="N31" s="6">
        <v>21.535015935911794</v>
      </c>
      <c r="O31" s="6" t="s">
        <v>361</v>
      </c>
      <c r="P31" s="6" t="s">
        <v>2</v>
      </c>
      <c r="Q31" s="6" t="s">
        <v>83</v>
      </c>
      <c r="R31" s="6"/>
      <c r="S31" s="6"/>
      <c r="T31" s="6"/>
    </row>
    <row r="32" spans="1:20" x14ac:dyDescent="0.35">
      <c r="A32" s="6" t="s">
        <v>85</v>
      </c>
      <c r="B32" s="6" t="s">
        <v>37</v>
      </c>
      <c r="C32" s="6" t="s">
        <v>51</v>
      </c>
      <c r="D32" s="6"/>
      <c r="E32" s="12">
        <v>2645.1004699999999</v>
      </c>
      <c r="F32" s="6" t="s">
        <v>58</v>
      </c>
      <c r="G32" s="25"/>
      <c r="H32" s="25"/>
      <c r="I32" s="26" t="s">
        <v>114</v>
      </c>
      <c r="J32" s="25"/>
      <c r="K32" s="6" t="s">
        <v>85</v>
      </c>
      <c r="L32" s="6" t="s">
        <v>336</v>
      </c>
      <c r="M32" s="6" t="s">
        <v>336</v>
      </c>
      <c r="N32" s="6">
        <v>1.8739390198196608</v>
      </c>
      <c r="O32" s="6" t="s">
        <v>362</v>
      </c>
      <c r="P32" s="6" t="s">
        <v>277</v>
      </c>
      <c r="Q32" s="6"/>
      <c r="R32" s="6"/>
      <c r="S32" s="6"/>
      <c r="T32" s="6"/>
    </row>
    <row r="33" spans="1:20" x14ac:dyDescent="0.35">
      <c r="A33" s="6" t="s">
        <v>0</v>
      </c>
      <c r="B33" s="6" t="s">
        <v>245</v>
      </c>
      <c r="C33" s="6" t="s">
        <v>229</v>
      </c>
      <c r="D33" s="6"/>
      <c r="E33" s="12">
        <f>12*6/(12*6+8*1+5*16)*44/12*E32</f>
        <v>4364.4157755000006</v>
      </c>
      <c r="F33" s="6" t="str">
        <f>F32</f>
        <v>kg</v>
      </c>
      <c r="G33" s="25"/>
      <c r="H33" s="25"/>
      <c r="I33" s="26"/>
      <c r="J33" s="25"/>
      <c r="K33" s="6" t="s">
        <v>85</v>
      </c>
      <c r="L33" s="6"/>
      <c r="M33" s="6"/>
      <c r="N33" s="6"/>
      <c r="O33" s="6"/>
      <c r="P33" s="6"/>
      <c r="Q33" s="6"/>
      <c r="R33" s="6"/>
      <c r="S33" s="6"/>
      <c r="T33" s="6" t="s">
        <v>365</v>
      </c>
    </row>
    <row r="34" spans="1:20" x14ac:dyDescent="0.35">
      <c r="A34" s="6" t="s">
        <v>85</v>
      </c>
      <c r="B34" s="6" t="s">
        <v>37</v>
      </c>
      <c r="C34" s="6" t="s">
        <v>279</v>
      </c>
      <c r="D34" s="6" t="s">
        <v>336</v>
      </c>
      <c r="E34" s="12">
        <v>16549.5265</v>
      </c>
      <c r="F34" s="6" t="s">
        <v>58</v>
      </c>
      <c r="G34" s="25"/>
      <c r="H34" s="25"/>
      <c r="I34" s="26" t="s">
        <v>124</v>
      </c>
      <c r="J34" s="25"/>
      <c r="K34" s="6" t="s">
        <v>86</v>
      </c>
      <c r="L34" s="6" t="s">
        <v>336</v>
      </c>
      <c r="M34" s="6" t="s">
        <v>336</v>
      </c>
      <c r="N34" s="6"/>
      <c r="O34" s="6"/>
      <c r="P34" s="6" t="s">
        <v>279</v>
      </c>
      <c r="Q34" s="6" t="s">
        <v>336</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IF(Table118[[#This Row],[Type]]="Co-product", "No", "")</f>
        <v/>
      </c>
      <c r="J35" s="25"/>
      <c r="K35" s="6"/>
      <c r="L35" s="6" t="str">
        <f>IF(Table118[[#This Row],[Category]]="Transportation", _xlfn.XLOOKUP(Table118[[#This Row],[Resource]], 'SI - Payload'!$A$10:$A$40,'SI - Payload'!$B$10:$B$40,"",0), "")</f>
        <v/>
      </c>
      <c r="M35" s="6" t="str">
        <f>IF(Table118[[#This Row],[Category]]="Transportation", "ton", "")</f>
        <v/>
      </c>
      <c r="N35" s="6"/>
      <c r="O35" s="6"/>
      <c r="P35" s="6" t="str">
        <f>IF(OR(Table118[[#This Row],[Type]]="Main Product", Table118[[#This Row],[Type]]="Co-Product"), Table118[[#This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IF(Table118[[#This Row],[Type]]="Co-product", "No", "")</f>
        <v/>
      </c>
      <c r="J36" s="25"/>
      <c r="K36" s="6"/>
      <c r="L36" s="6" t="str">
        <f>IF(Table118[[#This Row],[Category]]="Transportation", _xlfn.XLOOKUP(Table118[[#This Row],[Resource]], 'SI - Payload'!$A$10:$A$40,'SI - Payload'!$B$10:$B$40,"",0), "")</f>
        <v/>
      </c>
      <c r="M36" s="6" t="str">
        <f>IF(Table118[[#This Row],[Category]]="Transportation", "ton", "")</f>
        <v/>
      </c>
      <c r="N36" s="6"/>
      <c r="O36" s="6"/>
      <c r="P36" s="6" t="str">
        <f>IF(OR(Table118[[#This Row],[Type]]="Main Product", Table118[[#This Row],[Type]]="Co-Product"), Table118[[#This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IF(Table118[[#This Row],[Type]]="Co-product", "No", "")</f>
        <v/>
      </c>
      <c r="J37" s="25"/>
      <c r="K37" s="6"/>
      <c r="L37" s="6" t="str">
        <f>IF(Table118[[#This Row],[Category]]="Transportation", _xlfn.XLOOKUP(Table118[[#This Row],[Resource]], 'SI - Payload'!$A$10:$A$40,'SI - Payload'!$B$10:$B$40,"",0), "")</f>
        <v/>
      </c>
      <c r="M37" s="6" t="str">
        <f>IF(Table118[[#This Row],[Category]]="Transportation", "ton", "")</f>
        <v/>
      </c>
      <c r="N37" s="6"/>
      <c r="O37" s="6"/>
      <c r="P37" s="6" t="str">
        <f>IF(OR(Table118[[#This Row],[Type]]="Main Product", Table118[[#This Row],[Type]]="Co-Product"), Table118[[#This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IF(Table118[[#This Row],[Type]]="Co-product", "No", "")</f>
        <v/>
      </c>
      <c r="J38" s="25"/>
      <c r="K38" s="6"/>
      <c r="L38" s="6" t="str">
        <f>IF(Table118[[#This Row],[Category]]="Transportation", _xlfn.XLOOKUP(Table118[[#This Row],[Resource]], 'SI - Payload'!$A$10:$A$40,'SI - Payload'!$B$10:$B$40,"",0), "")</f>
        <v/>
      </c>
      <c r="M38" s="6" t="str">
        <f>IF(Table118[[#This Row],[Category]]="Transportation", "ton", "")</f>
        <v/>
      </c>
      <c r="N38" s="6"/>
      <c r="O38" s="6"/>
      <c r="P38" s="6" t="str">
        <f>IF(OR(Table118[[#This Row],[Type]]="Main Product", Table118[[#This Row],[Type]]="Co-Product"), Table118[[#This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IF(Table118[[#This Row],[Type]]="Co-product", "No", "")</f>
        <v/>
      </c>
      <c r="J39" s="25"/>
      <c r="K39" s="6"/>
      <c r="L39" s="6" t="str">
        <f>IF(Table118[[#This Row],[Category]]="Transportation", _xlfn.XLOOKUP(Table118[[#This Row],[Resource]], 'SI - Payload'!$A$10:$A$40,'SI - Payload'!$B$10:$B$40,"",0), "")</f>
        <v/>
      </c>
      <c r="M39" s="6" t="str">
        <f>IF(Table118[[#This Row],[Category]]="Transportation", "ton", "")</f>
        <v/>
      </c>
      <c r="N39" s="6"/>
      <c r="O39" s="6"/>
      <c r="P39" s="6" t="str">
        <f>IF(OR(Table118[[#This Row],[Type]]="Main Product", Table118[[#This Row],[Type]]="Co-Product"), Table118[[#This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IF(Table118[[#This Row],[Type]]="Co-product", "No", "")</f>
        <v/>
      </c>
      <c r="J40" s="25"/>
      <c r="K40" s="6"/>
      <c r="L40" s="6" t="str">
        <f>IF(Table118[[#This Row],[Category]]="Transportation", _xlfn.XLOOKUP(Table118[[#This Row],[Resource]], 'SI - Payload'!$A$10:$A$40,'SI - Payload'!$B$10:$B$40,"",0), "")</f>
        <v/>
      </c>
      <c r="M40" s="6" t="str">
        <f>IF(Table118[[#This Row],[Category]]="Transportation", "ton", "")</f>
        <v/>
      </c>
      <c r="N40" s="6"/>
      <c r="O40" s="6"/>
      <c r="P40" s="6" t="str">
        <f>IF(OR(Table118[[#This Row],[Type]]="Main Product", Table118[[#This Row],[Type]]="Co-Product"), Table118[[#This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IF(Table118[[#This Row],[Type]]="Co-product", "No", "")</f>
        <v/>
      </c>
      <c r="J41" s="25"/>
      <c r="K41" s="6"/>
      <c r="L41" s="6" t="str">
        <f>IF(Table118[[#This Row],[Category]]="Transportation", _xlfn.XLOOKUP(Table118[[#This Row],[Resource]], 'SI - Payload'!$A$10:$A$40,'SI - Payload'!$B$10:$B$40,"",0), "")</f>
        <v/>
      </c>
      <c r="M41" s="6" t="str">
        <f>IF(Table118[[#This Row],[Category]]="Transportation", "ton", "")</f>
        <v/>
      </c>
      <c r="N41" s="6"/>
      <c r="O41" s="6"/>
      <c r="P41" s="6" t="str">
        <f>IF(OR(Table118[[#This Row],[Type]]="Main Product", Table118[[#This Row],[Type]]="Co-Product"), Table118[[#This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IF(Table118[[#This Row],[Type]]="Co-product", "No", "")</f>
        <v/>
      </c>
      <c r="J42" s="25"/>
      <c r="K42" s="6"/>
      <c r="L42" s="6" t="str">
        <f>IF(Table118[[#This Row],[Category]]="Transportation", _xlfn.XLOOKUP(Table118[[#This Row],[Resource]], 'SI - Payload'!$A$10:$A$40,'SI - Payload'!$B$10:$B$40,"",0), "")</f>
        <v/>
      </c>
      <c r="M42" s="6" t="str">
        <f>IF(Table118[[#This Row],[Category]]="Transportation", "ton", "")</f>
        <v/>
      </c>
      <c r="N42" s="6"/>
      <c r="O42" s="6"/>
      <c r="P42" s="6" t="str">
        <f>IF(OR(Table118[[#This Row],[Type]]="Main Product", Table118[[#This Row],[Type]]="Co-Product"), Table118[[#This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IF(Table118[[#This Row],[Type]]="Co-product", "No", "")</f>
        <v/>
      </c>
      <c r="J43" s="25"/>
      <c r="K43" s="6"/>
      <c r="L43" s="6" t="str">
        <f>IF(Table118[[#This Row],[Category]]="Transportation", _xlfn.XLOOKUP(Table118[[#This Row],[Resource]], 'SI - Payload'!$A$10:$A$40,'SI - Payload'!$B$10:$B$40,"",0), "")</f>
        <v/>
      </c>
      <c r="M43" s="6" t="str">
        <f>IF(Table118[[#This Row],[Category]]="Transportation", "ton", "")</f>
        <v/>
      </c>
      <c r="N43" s="6"/>
      <c r="O43" s="6"/>
      <c r="P43" s="6" t="str">
        <f>IF(OR(Table118[[#This Row],[Type]]="Main Product", Table118[[#This Row],[Type]]="Co-Product"), Table118[[#This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IF(Table118[[#This Row],[Type]]="Co-product", "No", "")</f>
        <v/>
      </c>
      <c r="J44" s="25"/>
      <c r="K44" s="6"/>
      <c r="L44" s="6" t="str">
        <f>IF(Table118[[#This Row],[Category]]="Transportation", _xlfn.XLOOKUP(Table118[[#This Row],[Resource]], 'SI - Payload'!$A$10:$A$40,'SI - Payload'!$B$10:$B$40,"",0), "")</f>
        <v/>
      </c>
      <c r="M44" s="6" t="str">
        <f>IF(Table118[[#This Row],[Category]]="Transportation", "ton", "")</f>
        <v/>
      </c>
      <c r="N44" s="6"/>
      <c r="O44" s="6"/>
      <c r="P44" s="6" t="str">
        <f>IF(OR(Table118[[#This Row],[Type]]="Main Product", Table118[[#This Row],[Type]]="Co-Product"), Table118[[#This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IF(Table118[[#This Row],[Type]]="Co-product", "No", "")</f>
        <v/>
      </c>
      <c r="J45" s="25"/>
      <c r="K45" s="6"/>
      <c r="L45" s="6" t="str">
        <f>IF(Table118[[#This Row],[Category]]="Transportation", _xlfn.XLOOKUP(Table118[[#This Row],[Resource]], 'SI - Payload'!$A$10:$A$40,'SI - Payload'!$B$10:$B$40,"",0), "")</f>
        <v/>
      </c>
      <c r="M45" s="6" t="str">
        <f>IF(Table118[[#This Row],[Category]]="Transportation", "ton", "")</f>
        <v/>
      </c>
      <c r="N45" s="6"/>
      <c r="O45" s="6"/>
      <c r="P45" s="6" t="str">
        <f>IF(OR(Table118[[#This Row],[Type]]="Main Product", Table118[[#This Row],[Type]]="Co-Product"), Table118[[#This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IF(Table118[[#This Row],[Type]]="Co-product", "No", "")</f>
        <v/>
      </c>
      <c r="J46" s="25"/>
      <c r="K46" s="6"/>
      <c r="L46" s="6" t="str">
        <f>IF(Table118[[#This Row],[Category]]="Transportation", _xlfn.XLOOKUP(Table118[[#This Row],[Resource]], 'SI - Payload'!$A$10:$A$40,'SI - Payload'!$B$10:$B$40,"",0), "")</f>
        <v/>
      </c>
      <c r="M46" s="6" t="str">
        <f>IF(Table118[[#This Row],[Category]]="Transportation", "ton", "")</f>
        <v/>
      </c>
      <c r="N46" s="6"/>
      <c r="O46" s="6"/>
      <c r="P46" s="6" t="str">
        <f>IF(OR(Table118[[#This Row],[Type]]="Main Product", Table118[[#This Row],[Type]]="Co-Product"), Table118[[#This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IF(Table118[[#This Row],[Type]]="Co-product", "No", "")</f>
        <v/>
      </c>
      <c r="J47" s="25"/>
      <c r="K47" s="6"/>
      <c r="L47" s="6" t="str">
        <f>IF(Table118[[#This Row],[Category]]="Transportation", _xlfn.XLOOKUP(Table118[[#This Row],[Resource]], 'SI - Payload'!$A$10:$A$40,'SI - Payload'!$B$10:$B$40,"",0), "")</f>
        <v/>
      </c>
      <c r="M47" s="6" t="str">
        <f>IF(Table118[[#This Row],[Category]]="Transportation", "ton", "")</f>
        <v/>
      </c>
      <c r="N47" s="6"/>
      <c r="O47" s="6"/>
      <c r="P47" s="6" t="str">
        <f>IF(OR(Table118[[#This Row],[Type]]="Main Product", Table118[[#This Row],[Type]]="Co-Product"), Table118[[#This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IF(Table118[[#This Row],[Type]]="Co-product", "No", "")</f>
        <v/>
      </c>
      <c r="J48" s="25"/>
      <c r="K48" s="6"/>
      <c r="L48" s="6" t="str">
        <f>IF(Table118[[#This Row],[Category]]="Transportation", _xlfn.XLOOKUP(Table118[[#This Row],[Resource]], 'SI - Payload'!$A$10:$A$40,'SI - Payload'!$B$10:$B$40,"",0), "")</f>
        <v/>
      </c>
      <c r="M48" s="6" t="str">
        <f>IF(Table118[[#This Row],[Category]]="Transportation", "ton", "")</f>
        <v/>
      </c>
      <c r="N48" s="6"/>
      <c r="O48" s="6"/>
      <c r="P48" s="6" t="str">
        <f>IF(OR(Table118[[#This Row],[Type]]="Main Product", Table118[[#This Row],[Type]]="Co-Product"), Table118[[#This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IF(Table118[[#This Row],[Type]]="Co-product", "No", "")</f>
        <v/>
      </c>
      <c r="J49" s="25"/>
      <c r="K49" s="6"/>
      <c r="L49" s="6" t="str">
        <f>IF(Table118[[#This Row],[Category]]="Transportation", _xlfn.XLOOKUP(Table118[[#This Row],[Resource]], 'SI - Payload'!$A$10:$A$40,'SI - Payload'!$B$10:$B$40,"",0), "")</f>
        <v/>
      </c>
      <c r="M49" s="6" t="str">
        <f>IF(Table118[[#This Row],[Category]]="Transportation", "ton", "")</f>
        <v/>
      </c>
      <c r="N49" s="6"/>
      <c r="O49" s="6"/>
      <c r="P49" s="6" t="str">
        <f>IF(OR(Table118[[#This Row],[Type]]="Main Product", Table118[[#This Row],[Type]]="Co-Product"), Table118[[#This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IF(Table118[[#This Row],[Type]]="Co-product", "No", "")</f>
        <v/>
      </c>
      <c r="J50" s="25"/>
      <c r="K50" s="6"/>
      <c r="L50" s="6" t="str">
        <f>IF(Table118[[#This Row],[Category]]="Transportation", _xlfn.XLOOKUP(Table118[[#This Row],[Resource]], 'SI - Payload'!$A$10:$A$40,'SI - Payload'!$B$10:$B$40,"",0), "")</f>
        <v/>
      </c>
      <c r="M50" s="6" t="str">
        <f>IF(Table118[[#This Row],[Category]]="Transportation", "ton", "")</f>
        <v/>
      </c>
      <c r="N50" s="6"/>
      <c r="O50" s="6"/>
      <c r="P50" s="6" t="str">
        <f>IF(OR(Table118[[#This Row],[Type]]="Main Product", Table118[[#This Row],[Type]]="Co-Product"), Table118[[#This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IF(Table118[[#This Row],[Type]]="Co-product", "No", "")</f>
        <v/>
      </c>
      <c r="J51" s="25"/>
      <c r="K51" s="6"/>
      <c r="L51" s="6" t="str">
        <f>IF(Table118[[#This Row],[Category]]="Transportation", _xlfn.XLOOKUP(Table118[[#This Row],[Resource]], 'SI - Payload'!$A$10:$A$40,'SI - Payload'!$B$10:$B$40,"",0), "")</f>
        <v/>
      </c>
      <c r="M51" s="6" t="str">
        <f>IF(Table118[[#This Row],[Category]]="Transportation", "ton", "")</f>
        <v/>
      </c>
      <c r="N51" s="6"/>
      <c r="O51" s="6"/>
      <c r="P51" s="6" t="str">
        <f>IF(OR(Table118[[#This Row],[Type]]="Main Product", Table118[[#This Row],[Type]]="Co-Product"), Table118[[#This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IF(Table118[[#This Row],[Type]]="Co-product", "No", "")</f>
        <v/>
      </c>
      <c r="J52" s="25"/>
      <c r="K52" s="6"/>
      <c r="L52" s="6" t="str">
        <f>IF(Table118[[#This Row],[Category]]="Transportation", _xlfn.XLOOKUP(Table118[[#This Row],[Resource]], 'SI - Payload'!$A$10:$A$40,'SI - Payload'!$B$10:$B$40,"",0), "")</f>
        <v/>
      </c>
      <c r="M52" s="6" t="str">
        <f>IF(Table118[[#This Row],[Category]]="Transportation", "ton", "")</f>
        <v/>
      </c>
      <c r="N52" s="6"/>
      <c r="O52" s="6"/>
      <c r="P52" s="6" t="str">
        <f>IF(OR(Table118[[#This Row],[Type]]="Main Product", Table118[[#This Row],[Type]]="Co-Product"), Table118[[#This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IF(Table118[[#This Row],[Type]]="Co-product", "No", "")</f>
        <v/>
      </c>
      <c r="J53" s="25"/>
      <c r="K53" s="6"/>
      <c r="L53" s="6" t="str">
        <f>IF(Table118[[#This Row],[Category]]="Transportation", _xlfn.XLOOKUP(Table118[[#This Row],[Resource]], 'SI - Payload'!$A$10:$A$40,'SI - Payload'!$B$10:$B$40,"",0), "")</f>
        <v/>
      </c>
      <c r="M53" s="6" t="str">
        <f>IF(Table118[[#This Row],[Category]]="Transportation", "ton", "")</f>
        <v/>
      </c>
      <c r="N53" s="6"/>
      <c r="O53" s="6"/>
      <c r="P53" s="6" t="str">
        <f>IF(OR(Table118[[#This Row],[Type]]="Main Product", Table118[[#This Row],[Type]]="Co-Product"), Table118[[#This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IF(Table118[[#This Row],[Type]]="Co-product", "No", "")</f>
        <v/>
      </c>
      <c r="J54" s="25"/>
      <c r="K54" s="6"/>
      <c r="L54" s="6" t="str">
        <f>IF(Table118[[#This Row],[Category]]="Transportation", _xlfn.XLOOKUP(Table118[[#This Row],[Resource]], 'SI - Payload'!$A$10:$A$40,'SI - Payload'!$B$10:$B$40,"",0), "")</f>
        <v/>
      </c>
      <c r="M54" s="6" t="str">
        <f>IF(Table118[[#This Row],[Category]]="Transportation", "ton", "")</f>
        <v/>
      </c>
      <c r="N54" s="6"/>
      <c r="O54" s="6"/>
      <c r="P54" s="6" t="str">
        <f>IF(OR(Table118[[#This Row],[Type]]="Main Product", Table118[[#This Row],[Type]]="Co-Product"), Table118[[#This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IF(Table118[[#This Row],[Type]]="Co-product", "No", "")</f>
        <v/>
      </c>
      <c r="J55" s="25"/>
      <c r="K55" s="6"/>
      <c r="L55" s="6" t="str">
        <f>IF(Table118[[#This Row],[Category]]="Transportation", _xlfn.XLOOKUP(Table118[[#This Row],[Resource]], 'SI - Payload'!$A$10:$A$40,'SI - Payload'!$B$10:$B$40,"",0), "")</f>
        <v/>
      </c>
      <c r="M55" s="6" t="str">
        <f>IF(Table118[[#This Row],[Category]]="Transportation", "ton", "")</f>
        <v/>
      </c>
      <c r="N55" s="6"/>
      <c r="O55" s="6"/>
      <c r="P55" s="6" t="str">
        <f>IF(OR(Table118[[#This Row],[Type]]="Main Product", Table118[[#This Row],[Type]]="Co-Product"), Table118[[#This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IF(Table118[[#This Row],[Type]]="Co-product", "No", "")</f>
        <v/>
      </c>
      <c r="J56" s="25"/>
      <c r="K56" s="6"/>
      <c r="L56" s="6" t="str">
        <f>IF(Table118[[#This Row],[Category]]="Transportation", _xlfn.XLOOKUP(Table118[[#This Row],[Resource]], 'SI - Payload'!$A$10:$A$40,'SI - Payload'!$B$10:$B$40,"",0), "")</f>
        <v/>
      </c>
      <c r="M56" s="6" t="str">
        <f>IF(Table118[[#This Row],[Category]]="Transportation", "ton", "")</f>
        <v/>
      </c>
      <c r="N56" s="6"/>
      <c r="O56" s="6"/>
      <c r="P56" s="6" t="str">
        <f>IF(OR(Table118[[#This Row],[Type]]="Main Product", Table118[[#This Row],[Type]]="Co-Product"), Table118[[#This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IF(Table118[[#This Row],[Type]]="Co-product", "No", "")</f>
        <v/>
      </c>
      <c r="J57" s="25"/>
      <c r="K57" s="6"/>
      <c r="L57" s="6" t="str">
        <f>IF(Table118[[#This Row],[Category]]="Transportation", _xlfn.XLOOKUP(Table118[[#This Row],[Resource]], 'SI - Payload'!$A$10:$A$40,'SI - Payload'!$B$10:$B$40,"",0), "")</f>
        <v/>
      </c>
      <c r="M57" s="6" t="str">
        <f>IF(Table118[[#This Row],[Category]]="Transportation", "ton", "")</f>
        <v/>
      </c>
      <c r="N57" s="6"/>
      <c r="O57" s="6"/>
      <c r="P57" s="6" t="str">
        <f>IF(OR(Table118[[#This Row],[Type]]="Main Product", Table118[[#This Row],[Type]]="Co-Product"), Table118[[#This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IF(Table118[[#This Row],[Type]]="Co-product", "No", "")</f>
        <v/>
      </c>
      <c r="J58" s="25"/>
      <c r="K58" s="6"/>
      <c r="L58" s="6" t="str">
        <f>IF(Table118[[#This Row],[Category]]="Transportation", _xlfn.XLOOKUP(Table118[[#This Row],[Resource]], 'SI - Payload'!$A$10:$A$40,'SI - Payload'!$B$10:$B$40,"",0), "")</f>
        <v/>
      </c>
      <c r="M58" s="6" t="str">
        <f>IF(Table118[[#This Row],[Category]]="Transportation", "ton", "")</f>
        <v/>
      </c>
      <c r="N58" s="6"/>
      <c r="O58" s="6"/>
      <c r="P58" s="6" t="str">
        <f>IF(OR(Table118[[#This Row],[Type]]="Main Product", Table118[[#This Row],[Type]]="Co-Product"), Table118[[#This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IF(Table118[[#This Row],[Type]]="Co-product", "No", "")</f>
        <v/>
      </c>
      <c r="J59" s="25"/>
      <c r="K59" s="6"/>
      <c r="L59" s="6" t="str">
        <f>IF(Table118[[#This Row],[Category]]="Transportation", _xlfn.XLOOKUP(Table118[[#This Row],[Resource]], 'SI - Payload'!$A$10:$A$40,'SI - Payload'!$B$10:$B$40,"",0), "")</f>
        <v/>
      </c>
      <c r="M59" s="6" t="str">
        <f>IF(Table118[[#This Row],[Category]]="Transportation", "ton", "")</f>
        <v/>
      </c>
      <c r="N59" s="6"/>
      <c r="O59" s="6"/>
      <c r="P59" s="6" t="str">
        <f>IF(OR(Table118[[#This Row],[Type]]="Main Product", Table118[[#This Row],[Type]]="Co-Product"), Table118[[#This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IF(Table118[[#This Row],[Type]]="Co-product", "No", "")</f>
        <v/>
      </c>
      <c r="J60" s="25"/>
      <c r="K60" s="6"/>
      <c r="L60" s="6" t="str">
        <f>IF(Table118[[#This Row],[Category]]="Transportation", _xlfn.XLOOKUP(Table118[[#This Row],[Resource]], 'SI - Payload'!$A$10:$A$40,'SI - Payload'!$B$10:$B$40,"",0), "")</f>
        <v/>
      </c>
      <c r="M60" s="6" t="str">
        <f>IF(Table118[[#This Row],[Category]]="Transportation", "ton", "")</f>
        <v/>
      </c>
      <c r="N60" s="6"/>
      <c r="O60" s="6"/>
      <c r="P60" s="6" t="str">
        <f>IF(OR(Table118[[#This Row],[Type]]="Main Product", Table118[[#This Row],[Type]]="Co-Product"), Table118[[#This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IF(Table118[[#This Row],[Type]]="Co-product", "No", "")</f>
        <v/>
      </c>
      <c r="J61" s="25"/>
      <c r="K61" s="6"/>
      <c r="L61" s="6" t="str">
        <f>IF(Table118[[#This Row],[Category]]="Transportation", _xlfn.XLOOKUP(Table118[[#This Row],[Resource]], 'SI - Payload'!$A$10:$A$40,'SI - Payload'!$B$10:$B$40,"",0), "")</f>
        <v/>
      </c>
      <c r="M61" s="6" t="str">
        <f>IF(Table118[[#This Row],[Category]]="Transportation", "ton", "")</f>
        <v/>
      </c>
      <c r="N61" s="6"/>
      <c r="O61" s="6"/>
      <c r="P61" s="6" t="str">
        <f>IF(OR(Table118[[#This Row],[Type]]="Main Product", Table118[[#This Row],[Type]]="Co-Product"), Table118[[#This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IF(Table118[[#This Row],[Type]]="Co-product", "No", "")</f>
        <v/>
      </c>
      <c r="J62" s="25"/>
      <c r="K62" s="6"/>
      <c r="L62" s="6" t="str">
        <f>IF(Table118[[#This Row],[Category]]="Transportation", _xlfn.XLOOKUP(Table118[[#This Row],[Resource]], 'SI - Payload'!$A$10:$A$40,'SI - Payload'!$B$10:$B$40,"",0), "")</f>
        <v/>
      </c>
      <c r="M62" s="6" t="str">
        <f>IF(Table118[[#This Row],[Category]]="Transportation", "ton", "")</f>
        <v/>
      </c>
      <c r="N62" s="6"/>
      <c r="O62" s="6"/>
      <c r="P62" s="6" t="str">
        <f>IF(OR(Table118[[#This Row],[Type]]="Main Product", Table118[[#This Row],[Type]]="Co-Product"), Table118[[#This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IF(Table118[[#This Row],[Type]]="Co-product", "No", "")</f>
        <v/>
      </c>
      <c r="J63" s="25"/>
      <c r="K63" s="6"/>
      <c r="L63" s="6" t="str">
        <f>IF(Table118[[#This Row],[Category]]="Transportation", _xlfn.XLOOKUP(Table118[[#This Row],[Resource]], 'SI - Payload'!$A$10:$A$40,'SI - Payload'!$B$10:$B$40,"",0), "")</f>
        <v/>
      </c>
      <c r="M63" s="6" t="str">
        <f>IF(Table118[[#This Row],[Category]]="Transportation", "ton", "")</f>
        <v/>
      </c>
      <c r="N63" s="6"/>
      <c r="O63" s="6"/>
      <c r="P63" s="6" t="str">
        <f>IF(OR(Table118[[#This Row],[Type]]="Main Product", Table118[[#This Row],[Type]]="Co-Product"), Table118[[#This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IF(Table118[[#This Row],[Type]]="Co-product", "No", "")</f>
        <v/>
      </c>
      <c r="J64" s="25"/>
      <c r="K64" s="6"/>
      <c r="L64" s="6" t="str">
        <f>IF(Table118[[#This Row],[Category]]="Transportation", _xlfn.XLOOKUP(Table118[[#This Row],[Resource]], 'SI - Payload'!$A$10:$A$40,'SI - Payload'!$B$10:$B$40,"",0), "")</f>
        <v/>
      </c>
      <c r="M64" s="6" t="str">
        <f>IF(Table118[[#This Row],[Category]]="Transportation", "ton", "")</f>
        <v/>
      </c>
      <c r="N64" s="6"/>
      <c r="O64" s="6"/>
      <c r="P64" s="6" t="str">
        <f>IF(OR(Table118[[#This Row],[Type]]="Main Product", Table118[[#This Row],[Type]]="Co-Product"), Table118[[#This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IF(Table118[[#This Row],[Type]]="Co-product", "No", "")</f>
        <v/>
      </c>
      <c r="J65" s="25"/>
      <c r="K65" s="6"/>
      <c r="L65" s="6" t="str">
        <f>IF(Table118[[#This Row],[Category]]="Transportation", _xlfn.XLOOKUP(Table118[[#This Row],[Resource]], 'SI - Payload'!$A$10:$A$40,'SI - Payload'!$B$10:$B$40,"",0), "")</f>
        <v/>
      </c>
      <c r="M65" s="6" t="str">
        <f>IF(Table118[[#This Row],[Category]]="Transportation", "ton", "")</f>
        <v/>
      </c>
      <c r="N65" s="6"/>
      <c r="O65" s="6"/>
      <c r="P65" s="6" t="str">
        <f>IF(OR(Table118[[#This Row],[Type]]="Main Product", Table118[[#This Row],[Type]]="Co-Product"), Table118[[#This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IF(Table118[[#This Row],[Type]]="Co-product", "No", "")</f>
        <v/>
      </c>
      <c r="J66" s="25"/>
      <c r="K66" s="6"/>
      <c r="L66" s="6" t="str">
        <f>IF(Table118[[#This Row],[Category]]="Transportation", _xlfn.XLOOKUP(Table118[[#This Row],[Resource]], 'SI - Payload'!$A$10:$A$40,'SI - Payload'!$B$10:$B$40,"",0), "")</f>
        <v/>
      </c>
      <c r="M66" s="6" t="str">
        <f>IF(Table118[[#This Row],[Category]]="Transportation", "ton", "")</f>
        <v/>
      </c>
      <c r="N66" s="6"/>
      <c r="O66" s="6"/>
      <c r="P66" s="6" t="str">
        <f>IF(OR(Table118[[#This Row],[Type]]="Main Product", Table118[[#This Row],[Type]]="Co-Product"), Table118[[#This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IF(Table118[[#This Row],[Type]]="Co-product", "No", "")</f>
        <v/>
      </c>
      <c r="J67" s="25"/>
      <c r="K67" s="6"/>
      <c r="L67" s="6" t="str">
        <f>IF(Table118[[#This Row],[Category]]="Transportation", _xlfn.XLOOKUP(Table118[[#This Row],[Resource]], 'SI - Payload'!$A$10:$A$40,'SI - Payload'!$B$10:$B$40,"",0), "")</f>
        <v/>
      </c>
      <c r="M67" s="6" t="str">
        <f>IF(Table118[[#This Row],[Category]]="Transportation", "ton", "")</f>
        <v/>
      </c>
      <c r="N67" s="6"/>
      <c r="O67" s="6"/>
      <c r="P67" s="6" t="str">
        <f>IF(OR(Table118[[#This Row],[Type]]="Main Product", Table118[[#This Row],[Type]]="Co-Product"), Table118[[#This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IF(Table118[[#This Row],[Type]]="Co-product", "No", "")</f>
        <v/>
      </c>
      <c r="J68" s="25"/>
      <c r="K68" s="6"/>
      <c r="L68" s="6" t="str">
        <f>IF(Table118[[#This Row],[Category]]="Transportation", _xlfn.XLOOKUP(Table118[[#This Row],[Resource]], 'SI - Payload'!$A$10:$A$40,'SI - Payload'!$B$10:$B$40,"",0), "")</f>
        <v/>
      </c>
      <c r="M68" s="6" t="str">
        <f>IF(Table118[[#This Row],[Category]]="Transportation", "ton", "")</f>
        <v/>
      </c>
      <c r="N68" s="6"/>
      <c r="O68" s="6"/>
      <c r="P68" s="6" t="str">
        <f>IF(OR(Table118[[#This Row],[Type]]="Main Product", Table118[[#This Row],[Type]]="Co-Product"), Table118[[#This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IF(Table118[[#This Row],[Type]]="Co-product", "No", "")</f>
        <v/>
      </c>
      <c r="J69" s="25"/>
      <c r="K69" s="6"/>
      <c r="L69" s="6" t="str">
        <f>IF(Table118[[#This Row],[Category]]="Transportation", _xlfn.XLOOKUP(Table118[[#This Row],[Resource]], 'SI - Payload'!$A$10:$A$40,'SI - Payload'!$B$10:$B$40,"",0), "")</f>
        <v/>
      </c>
      <c r="M69" s="6" t="str">
        <f>IF(Table118[[#This Row],[Category]]="Transportation", "ton", "")</f>
        <v/>
      </c>
      <c r="N69" s="6"/>
      <c r="O69" s="6"/>
      <c r="P69" s="6" t="str">
        <f>IF(OR(Table118[[#This Row],[Type]]="Main Product", Table118[[#This Row],[Type]]="Co-Product"), Table118[[#This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IF(Table118[[#This Row],[Type]]="Co-product", "No", "")</f>
        <v/>
      </c>
      <c r="J70" s="25"/>
      <c r="K70" s="6"/>
      <c r="L70" s="6" t="str">
        <f>IF(Table118[[#This Row],[Category]]="Transportation", _xlfn.XLOOKUP(Table118[[#This Row],[Resource]], 'SI - Payload'!$A$10:$A$40,'SI - Payload'!$B$10:$B$40,"",0), "")</f>
        <v/>
      </c>
      <c r="M70" s="6" t="str">
        <f>IF(Table118[[#This Row],[Category]]="Transportation", "ton", "")</f>
        <v/>
      </c>
      <c r="N70" s="6"/>
      <c r="O70" s="6"/>
      <c r="P70" s="6" t="str">
        <f>IF(OR(Table118[[#This Row],[Type]]="Main Product", Table118[[#This Row],[Type]]="Co-Product"), Table118[[#This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IF(Table118[[#This Row],[Type]]="Co-product", "No", "")</f>
        <v/>
      </c>
      <c r="J71" s="25"/>
      <c r="K71" s="6"/>
      <c r="L71" s="6" t="str">
        <f>IF(Table118[[#This Row],[Category]]="Transportation", _xlfn.XLOOKUP(Table118[[#This Row],[Resource]], 'SI - Payload'!$A$10:$A$40,'SI - Payload'!$B$10:$B$40,"",0), "")</f>
        <v/>
      </c>
      <c r="M71" s="6" t="str">
        <f>IF(Table118[[#This Row],[Category]]="Transportation", "ton", "")</f>
        <v/>
      </c>
      <c r="N71" s="6"/>
      <c r="O71" s="6"/>
      <c r="P71" s="6" t="str">
        <f>IF(OR(Table118[[#This Row],[Type]]="Main Product", Table118[[#This Row],[Type]]="Co-Product"), Table118[[#This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IF(Table118[[#This Row],[Type]]="Co-product", "No", "")</f>
        <v/>
      </c>
      <c r="J72" s="25"/>
      <c r="K72" s="6"/>
      <c r="L72" s="6" t="str">
        <f>IF(Table118[[#This Row],[Category]]="Transportation", _xlfn.XLOOKUP(Table118[[#This Row],[Resource]], 'SI - Payload'!$A$10:$A$40,'SI - Payload'!$B$10:$B$40,"",0), "")</f>
        <v/>
      </c>
      <c r="M72" s="6" t="str">
        <f>IF(Table118[[#This Row],[Category]]="Transportation", "ton", "")</f>
        <v/>
      </c>
      <c r="N72" s="6"/>
      <c r="O72" s="6"/>
      <c r="P72" s="6" t="str">
        <f>IF(OR(Table118[[#This Row],[Type]]="Main Product", Table118[[#This Row],[Type]]="Co-Product"), Table118[[#This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IF(Table118[[#This Row],[Type]]="Co-product", "No", "")</f>
        <v/>
      </c>
      <c r="J73" s="25"/>
      <c r="K73" s="6"/>
      <c r="L73" s="6" t="str">
        <f>IF(Table118[[#This Row],[Category]]="Transportation", _xlfn.XLOOKUP(Table118[[#This Row],[Resource]], 'SI - Payload'!$A$10:$A$40,'SI - Payload'!$B$10:$B$40,"",0), "")</f>
        <v/>
      </c>
      <c r="M73" s="6" t="str">
        <f>IF(Table118[[#This Row],[Category]]="Transportation", "ton", "")</f>
        <v/>
      </c>
      <c r="N73" s="6"/>
      <c r="O73" s="6"/>
      <c r="P73" s="6" t="str">
        <f>IF(OR(Table118[[#This Row],[Type]]="Main Product", Table118[[#This Row],[Type]]="Co-Product"), Table118[[#This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IF(Table118[[#This Row],[Type]]="Co-product", "No", "")</f>
        <v/>
      </c>
      <c r="J74" s="25"/>
      <c r="K74" s="6"/>
      <c r="L74" s="6" t="str">
        <f>IF(Table118[[#This Row],[Category]]="Transportation", _xlfn.XLOOKUP(Table118[[#This Row],[Resource]], 'SI - Payload'!$A$10:$A$40,'SI - Payload'!$B$10:$B$40,"",0), "")</f>
        <v/>
      </c>
      <c r="M74" s="6" t="str">
        <f>IF(Table118[[#This Row],[Category]]="Transportation", "ton", "")</f>
        <v/>
      </c>
      <c r="N74" s="6"/>
      <c r="O74" s="6"/>
      <c r="P74" s="6" t="str">
        <f>IF(OR(Table118[[#This Row],[Type]]="Main Product", Table118[[#This Row],[Type]]="Co-Product"), Table118[[#This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IF(Table118[[#This Row],[Type]]="Co-product", "No", "")</f>
        <v/>
      </c>
      <c r="J75" s="25"/>
      <c r="K75" s="6"/>
      <c r="L75" s="6" t="str">
        <f>IF(Table118[[#This Row],[Category]]="Transportation", _xlfn.XLOOKUP(Table118[[#This Row],[Resource]], 'SI - Payload'!$A$10:$A$40,'SI - Payload'!$B$10:$B$40,"",0), "")</f>
        <v/>
      </c>
      <c r="M75" s="6" t="str">
        <f>IF(Table118[[#This Row],[Category]]="Transportation", "ton", "")</f>
        <v/>
      </c>
      <c r="N75" s="6"/>
      <c r="O75" s="6"/>
      <c r="P75" s="6" t="str">
        <f>IF(OR(Table118[[#This Row],[Type]]="Main Product", Table118[[#This Row],[Type]]="Co-Product"), Table118[[#This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IF(Table118[[#This Row],[Type]]="Co-product", "No", "")</f>
        <v/>
      </c>
      <c r="J76" s="25"/>
      <c r="K76" s="6"/>
      <c r="L76" s="6" t="str">
        <f>IF(Table118[[#This Row],[Category]]="Transportation", _xlfn.XLOOKUP(Table118[[#This Row],[Resource]], 'SI - Payload'!$A$10:$A$40,'SI - Payload'!$B$10:$B$40,"",0), "")</f>
        <v/>
      </c>
      <c r="M76" s="6" t="str">
        <f>IF(Table118[[#This Row],[Category]]="Transportation", "ton", "")</f>
        <v/>
      </c>
      <c r="N76" s="6"/>
      <c r="O76" s="6"/>
      <c r="P76" s="6" t="str">
        <f>IF(OR(Table118[[#This Row],[Type]]="Main Product", Table118[[#This Row],[Type]]="Co-Product"), Table118[[#This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IF(Table118[[#This Row],[Type]]="Co-product", "No", "")</f>
        <v/>
      </c>
      <c r="J77" s="25"/>
      <c r="K77" s="6"/>
      <c r="L77" s="6" t="str">
        <f>IF(Table118[[#This Row],[Category]]="Transportation", _xlfn.XLOOKUP(Table118[[#This Row],[Resource]], 'SI - Payload'!$A$10:$A$40,'SI - Payload'!$B$10:$B$40,"",0), "")</f>
        <v/>
      </c>
      <c r="M77" s="6" t="str">
        <f>IF(Table118[[#This Row],[Category]]="Transportation", "ton", "")</f>
        <v/>
      </c>
      <c r="N77" s="6"/>
      <c r="O77" s="6"/>
      <c r="P77" s="6" t="str">
        <f>IF(OR(Table118[[#This Row],[Type]]="Main Product", Table118[[#This Row],[Type]]="Co-Product"), Table118[[#This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IF(Table118[[#This Row],[Type]]="Co-product", "No", "")</f>
        <v/>
      </c>
      <c r="J78" s="25"/>
      <c r="K78" s="6"/>
      <c r="L78" s="6" t="str">
        <f>IF(Table118[[#This Row],[Category]]="Transportation", _xlfn.XLOOKUP(Table118[[#This Row],[Resource]], 'SI - Payload'!$A$10:$A$40,'SI - Payload'!$B$10:$B$40,"",0), "")</f>
        <v/>
      </c>
      <c r="M78" s="6" t="str">
        <f>IF(Table118[[#This Row],[Category]]="Transportation", "ton", "")</f>
        <v/>
      </c>
      <c r="N78" s="6"/>
      <c r="O78" s="6"/>
      <c r="P78" s="6" t="str">
        <f>IF(OR(Table118[[#This Row],[Type]]="Main Product", Table118[[#This Row],[Type]]="Co-Product"), Table118[[#This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IF(Table118[[#This Row],[Type]]="Co-product", "No", "")</f>
        <v/>
      </c>
      <c r="J79" s="25"/>
      <c r="K79" s="6"/>
      <c r="L79" s="6" t="str">
        <f>IF(Table118[[#This Row],[Category]]="Transportation", _xlfn.XLOOKUP(Table118[[#This Row],[Resource]], 'SI - Payload'!$A$10:$A$40,'SI - Payload'!$B$10:$B$40,"",0), "")</f>
        <v/>
      </c>
      <c r="M79" s="6" t="str">
        <f>IF(Table118[[#This Row],[Category]]="Transportation", "ton", "")</f>
        <v/>
      </c>
      <c r="N79" s="6"/>
      <c r="O79" s="6"/>
      <c r="P79" s="6" t="str">
        <f>IF(OR(Table118[[#This Row],[Type]]="Main Product", Table118[[#This Row],[Type]]="Co-Product"), Table118[[#This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IF(Table118[[#This Row],[Type]]="Co-product", "No", "")</f>
        <v/>
      </c>
      <c r="J80" s="25"/>
      <c r="K80" s="6"/>
      <c r="L80" s="6" t="str">
        <f>IF(Table118[[#This Row],[Category]]="Transportation", _xlfn.XLOOKUP(Table118[[#This Row],[Resource]], 'SI - Payload'!$A$10:$A$40,'SI - Payload'!$B$10:$B$40,"",0), "")</f>
        <v/>
      </c>
      <c r="M80" s="6" t="str">
        <f>IF(Table118[[#This Row],[Category]]="Transportation", "ton", "")</f>
        <v/>
      </c>
      <c r="N80" s="6"/>
      <c r="O80" s="6"/>
      <c r="P80" s="6" t="str">
        <f>IF(OR(Table118[[#This Row],[Type]]="Main Product", Table118[[#This Row],[Type]]="Co-Product"), Table118[[#This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IF(Table118[[#This Row],[Type]]="Co-product", "No", "")</f>
        <v/>
      </c>
      <c r="J81" s="25"/>
      <c r="K81" s="6"/>
      <c r="L81" s="6" t="str">
        <f>IF(Table118[[#This Row],[Category]]="Transportation", _xlfn.XLOOKUP(Table118[[#This Row],[Resource]], 'SI - Payload'!$A$10:$A$40,'SI - Payload'!$B$10:$B$40,"",0), "")</f>
        <v/>
      </c>
      <c r="M81" s="6" t="str">
        <f>IF(Table118[[#This Row],[Category]]="Transportation", "ton", "")</f>
        <v/>
      </c>
      <c r="N81" s="6"/>
      <c r="O81" s="6"/>
      <c r="P81" s="6" t="str">
        <f>IF(OR(Table118[[#This Row],[Type]]="Main Product", Table118[[#This Row],[Type]]="Co-Product"), Table118[[#This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IF(Table118[[#This Row],[Type]]="Co-product", "No", "")</f>
        <v/>
      </c>
      <c r="J82" s="25"/>
      <c r="K82" s="6"/>
      <c r="L82" s="6" t="str">
        <f>IF(Table118[[#This Row],[Category]]="Transportation", _xlfn.XLOOKUP(Table118[[#This Row],[Resource]], 'SI - Payload'!$A$10:$A$40,'SI - Payload'!$B$10:$B$40,"",0), "")</f>
        <v/>
      </c>
      <c r="M82" s="6" t="str">
        <f>IF(Table118[[#This Row],[Category]]="Transportation", "ton", "")</f>
        <v/>
      </c>
      <c r="N82" s="6"/>
      <c r="O82" s="6"/>
      <c r="P82" s="6" t="str">
        <f>IF(OR(Table118[[#This Row],[Type]]="Main Product", Table118[[#This Row],[Type]]="Co-Product"), Table118[[#This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IF(Table118[[#This Row],[Type]]="Co-product", "No", "")</f>
        <v/>
      </c>
      <c r="J83" s="25"/>
      <c r="K83" s="6"/>
      <c r="L83" s="6" t="str">
        <f>IF(Table118[[#This Row],[Category]]="Transportation", _xlfn.XLOOKUP(Table118[[#This Row],[Resource]], 'SI - Payload'!$A$10:$A$40,'SI - Payload'!$B$10:$B$40,"",0), "")</f>
        <v/>
      </c>
      <c r="M83" s="6" t="str">
        <f>IF(Table118[[#This Row],[Category]]="Transportation", "ton", "")</f>
        <v/>
      </c>
      <c r="N83" s="6"/>
      <c r="O83" s="6"/>
      <c r="P83" s="6" t="str">
        <f>IF(OR(Table118[[#This Row],[Type]]="Main Product", Table118[[#This Row],[Type]]="Co-Product"), Table118[[#This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IF(Table118[[#This Row],[Type]]="Co-product", "No", "")</f>
        <v/>
      </c>
      <c r="J84" s="25"/>
      <c r="K84" s="6"/>
      <c r="L84" s="6" t="str">
        <f>IF(Table118[[#This Row],[Category]]="Transportation", _xlfn.XLOOKUP(Table118[[#This Row],[Resource]], 'SI - Payload'!$A$10:$A$40,'SI - Payload'!$B$10:$B$40,"",0), "")</f>
        <v/>
      </c>
      <c r="M84" s="6" t="str">
        <f>IF(Table118[[#This Row],[Category]]="Transportation", "ton", "")</f>
        <v/>
      </c>
      <c r="N84" s="6"/>
      <c r="O84" s="6"/>
      <c r="P84" s="6" t="str">
        <f>IF(OR(Table118[[#This Row],[Type]]="Main Product", Table118[[#This Row],[Type]]="Co-Product"), Table118[[#This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IF(Table118[[#This Row],[Type]]="Co-product", "No", "")</f>
        <v/>
      </c>
      <c r="J85" s="25"/>
      <c r="K85" s="6"/>
      <c r="L85" s="6" t="str">
        <f>IF(Table118[[#This Row],[Category]]="Transportation", _xlfn.XLOOKUP(Table118[[#This Row],[Resource]], 'SI - Payload'!$A$10:$A$40,'SI - Payload'!$B$10:$B$40,"",0), "")</f>
        <v/>
      </c>
      <c r="M85" s="6" t="str">
        <f>IF(Table118[[#This Row],[Category]]="Transportation", "ton", "")</f>
        <v/>
      </c>
      <c r="N85" s="6"/>
      <c r="O85" s="6"/>
      <c r="P85" s="6" t="str">
        <f>IF(OR(Table118[[#This Row],[Type]]="Main Product", Table118[[#This Row],[Type]]="Co-Product"), Table118[[#This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IF(Table118[[#This Row],[Type]]="Co-product", "No", "")</f>
        <v/>
      </c>
      <c r="J86" s="25"/>
      <c r="K86" s="6"/>
      <c r="L86" s="6" t="str">
        <f>IF(Table118[[#This Row],[Category]]="Transportation", _xlfn.XLOOKUP(Table118[[#This Row],[Resource]], 'SI - Payload'!$A$10:$A$40,'SI - Payload'!$B$10:$B$40,"",0), "")</f>
        <v/>
      </c>
      <c r="M86" s="6" t="str">
        <f>IF(Table118[[#This Row],[Category]]="Transportation", "ton", "")</f>
        <v/>
      </c>
      <c r="N86" s="6"/>
      <c r="O86" s="6"/>
      <c r="P86" s="6" t="str">
        <f>IF(OR(Table118[[#This Row],[Type]]="Main Product", Table118[[#This Row],[Type]]="Co-Product"), Table118[[#This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IF(Table118[[#This Row],[Type]]="Co-product", "No", "")</f>
        <v/>
      </c>
      <c r="J87" s="25"/>
      <c r="K87" s="6"/>
      <c r="L87" s="6" t="str">
        <f>IF(Table118[[#This Row],[Category]]="Transportation", _xlfn.XLOOKUP(Table118[[#This Row],[Resource]], 'SI - Payload'!$A$10:$A$40,'SI - Payload'!$B$10:$B$40,"",0), "")</f>
        <v/>
      </c>
      <c r="M87" s="6" t="str">
        <f>IF(Table118[[#This Row],[Category]]="Transportation", "ton", "")</f>
        <v/>
      </c>
      <c r="N87" s="6"/>
      <c r="O87" s="6"/>
      <c r="P87" s="6" t="str">
        <f>IF(OR(Table118[[#This Row],[Type]]="Main Product", Table118[[#This Row],[Type]]="Co-Product"), Table118[[#This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IF(Table118[[#This Row],[Type]]="Co-product", "No", "")</f>
        <v/>
      </c>
      <c r="J88" s="25"/>
      <c r="K88" s="6"/>
      <c r="L88" s="6" t="str">
        <f>IF(Table118[[#This Row],[Category]]="Transportation", _xlfn.XLOOKUP(Table118[[#This Row],[Resource]], 'SI - Payload'!$A$10:$A$40,'SI - Payload'!$B$10:$B$40,"",0), "")</f>
        <v/>
      </c>
      <c r="M88" s="6" t="str">
        <f>IF(Table118[[#This Row],[Category]]="Transportation", "ton", "")</f>
        <v/>
      </c>
      <c r="N88" s="6"/>
      <c r="O88" s="6"/>
      <c r="P88" s="6" t="str">
        <f>IF(OR(Table118[[#This Row],[Type]]="Main Product", Table118[[#This Row],[Type]]="Co-Product"), Table118[[#This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IF(Table118[[#This Row],[Type]]="Co-product", "No", "")</f>
        <v/>
      </c>
      <c r="J89" s="25"/>
      <c r="K89" s="6"/>
      <c r="L89" s="6" t="str">
        <f>IF(Table118[[#This Row],[Category]]="Transportation", _xlfn.XLOOKUP(Table118[[#This Row],[Resource]], 'SI - Payload'!$A$10:$A$40,'SI - Payload'!$B$10:$B$40,"",0), "")</f>
        <v/>
      </c>
      <c r="M89" s="6" t="str">
        <f>IF(Table118[[#This Row],[Category]]="Transportation", "ton", "")</f>
        <v/>
      </c>
      <c r="N89" s="6"/>
      <c r="O89" s="6"/>
      <c r="P89" s="6" t="str">
        <f>IF(OR(Table118[[#This Row],[Type]]="Main Product", Table118[[#This Row],[Type]]="Co-Product"), Table118[[#This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IF(Table118[[#This Row],[Type]]="Co-product", "No", "")</f>
        <v/>
      </c>
      <c r="J90" s="25"/>
      <c r="K90" s="6"/>
      <c r="L90" s="6" t="str">
        <f>IF(Table118[[#This Row],[Category]]="Transportation", _xlfn.XLOOKUP(Table118[[#This Row],[Resource]], 'SI - Payload'!$A$10:$A$40,'SI - Payload'!$B$10:$B$40,"",0), "")</f>
        <v/>
      </c>
      <c r="M90" s="6" t="str">
        <f>IF(Table118[[#This Row],[Category]]="Transportation", "ton", "")</f>
        <v/>
      </c>
      <c r="N90" s="6"/>
      <c r="O90" s="6"/>
      <c r="P90" s="6" t="str">
        <f>IF(OR(Table118[[#This Row],[Type]]="Main Product", Table118[[#This Row],[Type]]="Co-Product"), Table118[[#This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IF(Table118[[#This Row],[Type]]="Co-product", "No", "")</f>
        <v/>
      </c>
      <c r="J91" s="25"/>
      <c r="K91" s="6"/>
      <c r="L91" s="6" t="str">
        <f>IF(Table118[[#This Row],[Category]]="Transportation", _xlfn.XLOOKUP(Table118[[#This Row],[Resource]], 'SI - Payload'!$A$10:$A$40,'SI - Payload'!$B$10:$B$40,"",0), "")</f>
        <v/>
      </c>
      <c r="M91" s="6" t="str">
        <f>IF(Table118[[#This Row],[Category]]="Transportation", "ton", "")</f>
        <v/>
      </c>
      <c r="N91" s="6"/>
      <c r="O91" s="6"/>
      <c r="P91" s="6" t="str">
        <f>IF(OR(Table118[[#This Row],[Type]]="Main Product", Table118[[#This Row],[Type]]="Co-Product"), Table118[[#This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IF(Table118[[#This Row],[Type]]="Co-product", "No", "")</f>
        <v/>
      </c>
      <c r="J92" s="25"/>
      <c r="K92" s="6"/>
      <c r="L92" s="6" t="str">
        <f>IF(Table118[[#This Row],[Category]]="Transportation", _xlfn.XLOOKUP(Table118[[#This Row],[Resource]], 'SI - Payload'!$A$10:$A$40,'SI - Payload'!$B$10:$B$40,"",0), "")</f>
        <v/>
      </c>
      <c r="M92" s="6" t="str">
        <f>IF(Table118[[#This Row],[Category]]="Transportation", "ton", "")</f>
        <v/>
      </c>
      <c r="N92" s="6"/>
      <c r="O92" s="6"/>
      <c r="P92" s="6" t="str">
        <f>IF(OR(Table118[[#This Row],[Type]]="Main Product", Table118[[#This Row],[Type]]="Co-Product"), Table118[[#This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IF(Table118[[#This Row],[Type]]="Co-product", "No", "")</f>
        <v/>
      </c>
      <c r="J93" s="25"/>
      <c r="K93" s="6"/>
      <c r="L93" s="6" t="str">
        <f>IF(Table118[[#This Row],[Category]]="Transportation", _xlfn.XLOOKUP(Table118[[#This Row],[Resource]], 'SI - Payload'!$A$10:$A$40,'SI - Payload'!$B$10:$B$40,"",0), "")</f>
        <v/>
      </c>
      <c r="M93" s="6" t="str">
        <f>IF(Table118[[#This Row],[Category]]="Transportation", "ton", "")</f>
        <v/>
      </c>
      <c r="N93" s="6"/>
      <c r="O93" s="6"/>
      <c r="P93" s="6" t="str">
        <f>IF(OR(Table118[[#This Row],[Type]]="Main Product", Table118[[#This Row],[Type]]="Co-Product"), Table118[[#This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IF(Table118[[#This Row],[Type]]="Co-product", "No", "")</f>
        <v/>
      </c>
      <c r="J94" s="25"/>
      <c r="K94" s="6"/>
      <c r="L94" s="6" t="str">
        <f>IF(Table118[[#This Row],[Category]]="Transportation", _xlfn.XLOOKUP(Table118[[#This Row],[Resource]], 'SI - Payload'!$A$10:$A$40,'SI - Payload'!$B$10:$B$40,"",0), "")</f>
        <v/>
      </c>
      <c r="M94" s="6" t="str">
        <f>IF(Table118[[#This Row],[Category]]="Transportation", "ton", "")</f>
        <v/>
      </c>
      <c r="N94" s="6"/>
      <c r="O94" s="6"/>
      <c r="P94" s="6" t="str">
        <f>IF(OR(Table118[[#This Row],[Type]]="Main Product", Table118[[#This Row],[Type]]="Co-Product"), Table118[[#This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IF(Table118[[#This Row],[Type]]="Co-product", "No", "")</f>
        <v/>
      </c>
      <c r="J95" s="25"/>
      <c r="K95" s="6"/>
      <c r="L95" s="6" t="str">
        <f>IF(Table118[[#This Row],[Category]]="Transportation", _xlfn.XLOOKUP(Table118[[#This Row],[Resource]], 'SI - Payload'!$A$10:$A$40,'SI - Payload'!$B$10:$B$40,"",0), "")</f>
        <v/>
      </c>
      <c r="M95" s="6" t="str">
        <f>IF(Table118[[#This Row],[Category]]="Transportation", "ton", "")</f>
        <v/>
      </c>
      <c r="N95" s="6"/>
      <c r="O95" s="6"/>
      <c r="P95" s="6" t="str">
        <f>IF(OR(Table118[[#This Row],[Type]]="Main Product", Table118[[#This Row],[Type]]="Co-Product"), Table118[[#This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IF(Table118[[#This Row],[Type]]="Co-product", "No", "")</f>
        <v/>
      </c>
      <c r="J96" s="25"/>
      <c r="K96" s="6"/>
      <c r="L96" s="6" t="str">
        <f>IF(Table118[[#This Row],[Category]]="Transportation", _xlfn.XLOOKUP(Table118[[#This Row],[Resource]], 'SI - Payload'!$A$10:$A$40,'SI - Payload'!$B$10:$B$40,"",0), "")</f>
        <v/>
      </c>
      <c r="M96" s="6" t="str">
        <f>IF(Table118[[#This Row],[Category]]="Transportation", "ton", "")</f>
        <v/>
      </c>
      <c r="N96" s="6"/>
      <c r="O96" s="6"/>
      <c r="P96" s="6" t="str">
        <f>IF(OR(Table118[[#This Row],[Type]]="Main Product", Table118[[#This Row],[Type]]="Co-Product"), Table118[[#This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IF(Table118[[#This Row],[Type]]="Co-product", "No", "")</f>
        <v/>
      </c>
      <c r="J97" s="25"/>
      <c r="K97" s="6"/>
      <c r="L97" s="6" t="str">
        <f>IF(Table118[[#This Row],[Category]]="Transportation", _xlfn.XLOOKUP(Table118[[#This Row],[Resource]], 'SI - Payload'!$A$10:$A$40,'SI - Payload'!$B$10:$B$40,"",0), "")</f>
        <v/>
      </c>
      <c r="M97" s="6" t="str">
        <f>IF(Table118[[#This Row],[Category]]="Transportation", "ton", "")</f>
        <v/>
      </c>
      <c r="N97" s="6"/>
      <c r="O97" s="6"/>
      <c r="P97" s="6" t="str">
        <f>IF(OR(Table118[[#This Row],[Type]]="Main Product", Table118[[#This Row],[Type]]="Co-Product"), Table118[[#This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IF(Table118[[#This Row],[Type]]="Co-product", "No", "")</f>
        <v/>
      </c>
      <c r="J98" s="25"/>
      <c r="K98" s="6"/>
      <c r="L98" s="6" t="str">
        <f>IF(Table118[[#This Row],[Category]]="Transportation", _xlfn.XLOOKUP(Table118[[#This Row],[Resource]], 'SI - Payload'!$A$10:$A$40,'SI - Payload'!$B$10:$B$40,"",0), "")</f>
        <v/>
      </c>
      <c r="M98" s="6" t="str">
        <f>IF(Table118[[#This Row],[Category]]="Transportation", "ton", "")</f>
        <v/>
      </c>
      <c r="N98" s="6"/>
      <c r="O98" s="6"/>
      <c r="P98" s="6" t="str">
        <f>IF(OR(Table118[[#This Row],[Type]]="Main Product", Table118[[#This Row],[Type]]="Co-Product"), Table118[[#This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IF(Table118[[#This Row],[Type]]="Co-product", "No", "")</f>
        <v/>
      </c>
      <c r="J99" s="25"/>
      <c r="K99" s="6"/>
      <c r="L99" s="6" t="str">
        <f>IF(Table118[[#This Row],[Category]]="Transportation", _xlfn.XLOOKUP(Table118[[#This Row],[Resource]], 'SI - Payload'!$A$10:$A$40,'SI - Payload'!$B$10:$B$40,"",0), "")</f>
        <v/>
      </c>
      <c r="M99" s="6" t="str">
        <f>IF(Table118[[#This Row],[Category]]="Transportation", "ton", "")</f>
        <v/>
      </c>
      <c r="N99" s="6"/>
      <c r="O99" s="6"/>
      <c r="P99" s="6" t="str">
        <f>IF(OR(Table118[[#This Row],[Type]]="Main Product", Table118[[#This Row],[Type]]="Co-Product"), Table118[[#This Row],[Resource]], "")</f>
        <v/>
      </c>
      <c r="Q99" s="6" t="str">
        <f>IF(_xlfn.XLOOKUP($P99,'SI - End Use'!$B$2:$B$6,'SI - End Use'!$C$2:$C$6, "")="", "", _xlfn.XLOOKUP($C99,'SI - End Use'!$B$2:$B$6,'SI - End Use'!$C$2:$C$6, ""))</f>
        <v/>
      </c>
      <c r="R99" s="6"/>
      <c r="S99" s="6"/>
      <c r="T99" s="6"/>
    </row>
  </sheetData>
  <dataValidations count="7">
    <dataValidation type="list" allowBlank="1" showInputMessage="1" showErrorMessage="1" sqref="C2" xr:uid="{C8F5A48F-AD92-4CA9-B690-92825DD6EC47}">
      <formula1>"Yes, No"</formula1>
    </dataValidation>
    <dataValidation type="decimal" allowBlank="1" showInputMessage="1" showErrorMessage="1" sqref="J6:J99" xr:uid="{2E780E09-E48E-406E-A27B-DB9924F9A17F}">
      <formula1>0</formula1>
      <formula2>1</formula2>
    </dataValidation>
    <dataValidation type="list" allowBlank="1" showInputMessage="1" showErrorMessage="1" sqref="M6:M99" xr:uid="{801C2333-1E78-4AFE-91E1-F879E6C4B0AC}">
      <formula1>payload_units</formula1>
    </dataValidation>
    <dataValidation type="decimal" operator="greaterThan" allowBlank="1" showInputMessage="1" showErrorMessage="1" error="Please type a positive number." sqref="L6:L99" xr:uid="{C786CC9A-A489-4A10-B74C-6742400B0318}">
      <formula1>0</formula1>
    </dataValidation>
    <dataValidation type="decimal" operator="greaterThan" allowBlank="1" showInputMessage="1" showErrorMessage="1" error="Please type a positive price." sqref="N6:N99" xr:uid="{54CCC6ED-D4ED-484E-BD5A-A8DBE927EB80}">
      <formula1>0</formula1>
    </dataValidation>
    <dataValidation type="decimal" allowBlank="1" showInputMessage="1" showErrorMessage="1" error="Please type a number between 0 and 1." sqref="G6:G99" xr:uid="{D4415697-233F-4DC1-97AC-092ADA5B0734}">
      <formula1>0</formula1>
      <formula2>1</formula2>
    </dataValidation>
    <dataValidation type="custom" allowBlank="1" showInputMessage="1" showErrorMessage="1" sqref="E6:E99" xr:uid="{04B3E80C-70A6-423B-84E7-890818FF62A5}">
      <formula1>ISNUMBER(E6)</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7165C6C-CC4F-4873-B0E1-0F1A7943AC9F}">
          <x14:formula1>
            <xm:f>_xlfn.XLOOKUP(_xlfn.XLOOKUP(#REF!,'SI - Units'!$B$24:$B$109,'SI - Units'!$C$24:$C$109),'SI - Units'!$A$2:$A$8,'SI - Units'!$B$2:$R$8)</xm:f>
          </x14:formula1>
          <xm:sqref>F5</xm:sqref>
        </x14:dataValidation>
        <x14:dataValidation type="list" allowBlank="1" showInputMessage="1" showErrorMessage="1" xr:uid="{BE105640-0354-4E39-A41D-7E32E3CB44F1}">
          <x14:formula1>
            <xm:f>'SI - Co-products'!$D$2:$D$8</xm:f>
          </x14:formula1>
          <xm:sqref>C1</xm:sqref>
        </x14:dataValidation>
        <x14:dataValidation type="list" allowBlank="1" showInputMessage="1" showErrorMessage="1" xr:uid="{C4A81919-E320-4E43-8CFB-A4E8642E2496}">
          <x14:formula1>
            <xm:f>IF($B6="Transportation",  transport_units, INDIRECT(_xlfn.XLOOKUP($C6, 'SI - Units'!$F$26:$F$36,'SI - Units'!$G$26:$G$36,"mass",0)))</xm:f>
          </x14:formula1>
          <xm:sqref>F6:F99</xm:sqref>
        </x14:dataValidation>
        <x14:dataValidation type="list" allowBlank="1" showInputMessage="1" showErrorMessage="1" xr:uid="{BC898F8B-9D0C-4D76-8FBF-49373E8FCC12}">
          <x14:formula1>
            <xm:f>INDIRECT("p_"&amp;_xlfn.XLOOKUP($C6,'SI - Units'!$F$26:$F$36,'SI - Units'!$G$26:$G$36,"mass",0))</xm:f>
          </x14:formula1>
          <xm:sqref>O6:O99</xm:sqref>
        </x14:dataValidation>
        <x14:dataValidation type="list" allowBlank="1" showInputMessage="1" showErrorMessage="1" xr:uid="{D4B16CB1-7F44-4449-A772-716793E2AF6A}">
          <x14:formula1>
            <xm:f>INDIRECT(_xlfn.XLOOKUP($P6,'SI - End Use'!$A$11:$A$18,'SI - End Use'!$B$11:$B$18,"other_end_use",0))</xm:f>
          </x14:formula1>
          <xm:sqref>Q6:R99</xm:sqref>
        </x14:dataValidation>
        <x14:dataValidation type="list" allowBlank="1" showInputMessage="1" xr:uid="{A026ABCD-9090-484C-8035-86332534803F}">
          <x14:formula1>
            <xm:f>INDIRECT(_xlfn.XLOOKUP($C6,'SI - End Use'!$A$11:$A$18,'SI - End Use'!$B$11:$B$18,"other_end_use",0))</xm:f>
          </x14:formula1>
          <xm:sqref>D6:D99</xm:sqref>
        </x14:dataValidation>
        <x14:dataValidation type="list" allowBlank="1" showInputMessage="1" showErrorMessage="1" xr:uid="{904E694A-45BB-4B94-897E-3907D357430E}">
          <x14:formula1>
            <xm:f>INDIRECT(_xlfn.XLOOKUP($B6, 'SI - Resources'!$R$1:$R$10,'SI - Resources'!$S$1:$S$10, "placeholder_resource", 0))</xm:f>
          </x14:formula1>
          <xm:sqref>C6:C99 P6:P99</xm:sqref>
        </x14:dataValidation>
        <x14:dataValidation type="list" allowBlank="1" showInputMessage="1" showErrorMessage="1" xr:uid="{A6556E34-1713-47C4-BBE6-25D582262715}">
          <x14:formula1>
            <xm:f>'SI - Co-products'!$B$2:$B$6</xm:f>
          </x14:formula1>
          <xm:sqref>A6:A99</xm:sqref>
        </x14:dataValidation>
        <x14:dataValidation type="list" allowBlank="1" showInputMessage="1" showErrorMessage="1" xr:uid="{FA116AF0-7221-484C-805C-A86D516E6E07}">
          <x14:formula1>
            <xm:f>'SI - Resources'!$A$1:$J$1</xm:f>
          </x14:formula1>
          <xm:sqref>B6:B99</xm:sqref>
        </x14:dataValidation>
        <x14:dataValidation type="list" allowBlank="1" showInputMessage="1" showErrorMessage="1" xr:uid="{DDD203C8-AF69-422E-A440-DCF3CD30F809}">
          <x14:formula1>
            <xm:f>'SI - Co-products'!$C$2:$C$4</xm:f>
          </x14:formula1>
          <xm:sqref>I6:I99</xm:sqref>
        </x14:dataValidation>
        <x14:dataValidation type="list" allowBlank="1" showInputMessage="1" showErrorMessage="1" xr:uid="{663B9A35-527C-4790-A0CD-A709044001BC}">
          <x14:formula1>
            <xm:f>'SI - Co-products'!$A$2:$A$5</xm:f>
          </x14:formula1>
          <xm:sqref>K6:K99</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ADF9BB-040A-4A42-933D-9209C1E76440}">
  <sheetPr codeName="Sheet19"/>
  <dimension ref="A1:T100"/>
  <sheetViews>
    <sheetView tabSelected="1" workbookViewId="0">
      <pane ySplit="5" topLeftCell="A6" activePane="bottomLeft" state="frozen"/>
      <selection activeCell="C19" sqref="C19"/>
      <selection pane="bottomLeft" activeCell="C9" sqref="C9"/>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124</v>
      </c>
    </row>
    <row r="3" spans="1:20" x14ac:dyDescent="0.35">
      <c r="A3" s="13" t="s">
        <v>333</v>
      </c>
      <c r="C3" s="76">
        <v>0.68500000000000005</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244</v>
      </c>
      <c r="C6" s="6" t="s">
        <v>366</v>
      </c>
      <c r="D6" s="6" t="str">
        <f>IF(_xlfn.XLOOKUP($C6,'SI - End Use'!$B$2:$B$6,'SI - End Use'!$C$2:$C$6, "")="", "", _xlfn.XLOOKUP($C6,'SI - End Use'!$B$2:$B$6,'SI - End Use'!$C$2:$C$6, ""))</f>
        <v/>
      </c>
      <c r="E6" s="75">
        <v>1.000045143067781</v>
      </c>
      <c r="F6" s="6" t="s">
        <v>70</v>
      </c>
      <c r="G6" s="25"/>
      <c r="H6" s="25" t="s">
        <v>363</v>
      </c>
      <c r="I6" s="26" t="str">
        <f>IF(Table13[[#This Row],[Type]]="Co-product", "No", "")</f>
        <v/>
      </c>
      <c r="J6" s="25"/>
      <c r="K6" s="6"/>
      <c r="L6" s="6" t="str">
        <f>IF(Table13[[#This Row],[Category]]="Transportation", _xlfn.XLOOKUP(Table13[[#This Row],[Resource]], 'SI - Payload'!$A$10:$A$40,'SI - Payload'!$B$10:$B$40,"",0), "")</f>
        <v/>
      </c>
      <c r="M6" s="6" t="str">
        <f>IF(Table13[[#This Row],[Category]]="Transportation", "ton", "")</f>
        <v/>
      </c>
      <c r="N6" s="6"/>
      <c r="O6" s="6"/>
      <c r="P6" s="6" t="str">
        <f>IF(OR(Table13[[#This Row],[Type]]="Main Product", Table13[[#This Row],[Type]]="Co-Product"), Table13[[#This Row],[Resource]], "")</f>
        <v/>
      </c>
      <c r="Q6" s="6" t="str">
        <f>IF(_xlfn.XLOOKUP($P6,'SI - End Use'!$B$2:$B$6,'SI - End Use'!$C$2:$C$6, "")="", "", _xlfn.XLOOKUP($C6,'SI - End Use'!$B$2:$B$6,'SI - End Use'!$C$2:$C$6, ""))</f>
        <v/>
      </c>
      <c r="R6" s="6"/>
      <c r="S6" s="6"/>
      <c r="T6" s="6"/>
    </row>
    <row r="7" spans="1:20" x14ac:dyDescent="0.35">
      <c r="A7" s="6" t="s">
        <v>0</v>
      </c>
      <c r="B7" s="6" t="s">
        <v>245</v>
      </c>
      <c r="C7" s="6" t="s">
        <v>218</v>
      </c>
      <c r="D7" s="6" t="str">
        <f>IF(_xlfn.XLOOKUP($C7,'SI - End Use'!$B$2:$B$6,'SI - End Use'!$C$2:$C$6, "")="", "", _xlfn.XLOOKUP($C7,'SI - End Use'!$B$2:$B$6,'SI - End Use'!$C$2:$C$6, ""))</f>
        <v/>
      </c>
      <c r="E7" s="72">
        <v>1.087</v>
      </c>
      <c r="F7" s="6" t="s">
        <v>27</v>
      </c>
      <c r="G7" s="25"/>
      <c r="H7" s="25"/>
      <c r="I7" s="26" t="str">
        <f>IF(Table13[[#This Row],[Type]]="Co-product", "No", "")</f>
        <v/>
      </c>
      <c r="J7" s="25">
        <v>0.67</v>
      </c>
      <c r="K7" s="6"/>
      <c r="L7" s="6" t="str">
        <f>IF(Table13[[#This Row],[Category]]="Transportation", _xlfn.XLOOKUP(Table13[[#This Row],[Resource]], 'SI - Payload'!$A$10:$A$40,'SI - Payload'!$B$10:$B$40,"",0), "")</f>
        <v/>
      </c>
      <c r="M7" s="6" t="str">
        <f>IF(Table13[[#This Row],[Category]]="Transportation", "ton", "")</f>
        <v/>
      </c>
      <c r="N7" s="6"/>
      <c r="O7" s="6"/>
      <c r="P7" s="6" t="str">
        <f>IF(OR(Table13[[#This Row],[Type]]="Main Product", Table13[[#This Row],[Type]]="Co-Product"), Table13[[#This Row],[Resource]], "")</f>
        <v/>
      </c>
      <c r="Q7" s="6" t="str">
        <f>IF(_xlfn.XLOOKUP($P7,'SI - End Use'!$B$2:$B$6,'SI - End Use'!$C$2:$C$6, "")="", "", _xlfn.XLOOKUP($C7,'SI - End Use'!$B$2:$B$6,'SI - End Use'!$C$2:$C$6, ""))</f>
        <v/>
      </c>
      <c r="R7" s="6"/>
      <c r="S7" s="6"/>
      <c r="T7" s="6"/>
    </row>
    <row r="8" spans="1:20" x14ac:dyDescent="0.35">
      <c r="A8" s="6" t="s">
        <v>0</v>
      </c>
      <c r="B8" s="6" t="s">
        <v>33</v>
      </c>
      <c r="C8" s="6" t="s">
        <v>366</v>
      </c>
      <c r="D8" s="6"/>
      <c r="E8" s="12">
        <v>30</v>
      </c>
      <c r="F8" s="6" t="s">
        <v>34</v>
      </c>
      <c r="G8" s="25"/>
      <c r="H8" s="25"/>
      <c r="I8" s="26" t="str">
        <f>IF(Table13[[#This Row],[Type]]="Co-product", "No", "")</f>
        <v/>
      </c>
      <c r="J8" s="25"/>
      <c r="K8" s="6"/>
      <c r="L8" s="6">
        <f>IF(Table13[[#This Row],[Category]]="Transportation", _xlfn.XLOOKUP(Table13[[#This Row],[Resource]], 'SI - Payload'!$A$10:$A$40,'SI - Payload'!$B$10:$B$40,"",0), "")</f>
        <v>25</v>
      </c>
      <c r="M8" s="6" t="str">
        <f>IF(Table13[[#This Row],[Category]]="Transportation", "ton", "")</f>
        <v>ton</v>
      </c>
      <c r="N8" s="6"/>
      <c r="O8" s="6"/>
      <c r="P8" s="6"/>
      <c r="Q8" s="6"/>
      <c r="R8" s="6"/>
      <c r="S8" s="6"/>
      <c r="T8" s="6"/>
    </row>
    <row r="9" spans="1:20" x14ac:dyDescent="0.35">
      <c r="A9" s="6" t="s">
        <v>113</v>
      </c>
      <c r="B9" s="6" t="s">
        <v>244</v>
      </c>
      <c r="C9" s="6" t="s">
        <v>366</v>
      </c>
      <c r="D9" s="6" t="s">
        <v>83</v>
      </c>
      <c r="E9" s="12">
        <v>1</v>
      </c>
      <c r="F9" s="6" t="s">
        <v>70</v>
      </c>
      <c r="G9" s="25"/>
      <c r="H9" s="25"/>
      <c r="I9" s="26" t="str">
        <f>IF(Table13[[#This Row],[Type]]="Co-product", "No", "")</f>
        <v/>
      </c>
      <c r="J9" s="25">
        <v>0.7</v>
      </c>
      <c r="K9" s="6"/>
      <c r="L9" s="6" t="str">
        <f>IF(Table13[[#This Row],[Category]]="Transportation", _xlfn.XLOOKUP(Table13[[#This Row],[Resource]], 'SI - Payload'!$A$10:$A$40,'SI - Payload'!$B$10:$B$40,"",0), "")</f>
        <v/>
      </c>
      <c r="M9" s="6" t="str">
        <f>IF(Table13[[#This Row],[Category]]="Transportation", "ton", "")</f>
        <v/>
      </c>
      <c r="N9" s="6"/>
      <c r="O9" s="6"/>
      <c r="P9" s="6" t="s">
        <v>2</v>
      </c>
      <c r="Q9" s="6" t="s">
        <v>83</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IF(Table13[[#This Row],[Type]]="Co-product", "No", "")</f>
        <v/>
      </c>
      <c r="J10" s="25"/>
      <c r="K10" s="6"/>
      <c r="L10" s="6" t="str">
        <f>IF(Table13[[#This Row],[Category]]="Transportation", _xlfn.XLOOKUP(Table13[[#This Row],[Resource]], 'SI - Payload'!$A$10:$A$40,'SI - Payload'!$B$10:$B$40,"",0), "")</f>
        <v/>
      </c>
      <c r="M10" s="6" t="str">
        <f>IF(Table13[[#This Row],[Category]]="Transportation", "ton", "")</f>
        <v/>
      </c>
      <c r="N10" s="6"/>
      <c r="O10" s="6"/>
      <c r="P10" s="6" t="str">
        <f>IF(OR(Table13[[#This Row],[Type]]="Main Product", Table13[[#This Row],[Type]]="Co-Product"), Table13[[#This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IF(Table13[[#This Row],[Type]]="Co-product", "No", "")</f>
        <v/>
      </c>
      <c r="J11" s="25"/>
      <c r="K11" s="6"/>
      <c r="L11" s="6" t="str">
        <f>IF(Table13[[#This Row],[Category]]="Transportation", _xlfn.XLOOKUP(Table13[[#This Row],[Resource]], 'SI - Payload'!$A$10:$A$40,'SI - Payload'!$B$10:$B$40,"",0), "")</f>
        <v/>
      </c>
      <c r="M11" s="6" t="str">
        <f>IF(Table13[[#This Row],[Category]]="Transportation", "ton", "")</f>
        <v/>
      </c>
      <c r="N11" s="6"/>
      <c r="O11" s="6"/>
      <c r="P11" s="6" t="str">
        <f>IF(OR(Table13[[#This Row],[Type]]="Main Product", Table13[[#This Row],[Type]]="Co-Product"), Table13[[#This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IF(Table13[[#This Row],[Type]]="Co-product", "No", "")</f>
        <v/>
      </c>
      <c r="J12" s="25"/>
      <c r="K12" s="6"/>
      <c r="L12" s="6" t="str">
        <f>IF(Table13[[#This Row],[Category]]="Transportation", _xlfn.XLOOKUP(Table13[[#This Row],[Resource]], 'SI - Payload'!$A$10:$A$40,'SI - Payload'!$B$10:$B$40,"",0), "")</f>
        <v/>
      </c>
      <c r="M12" s="6" t="str">
        <f>IF(Table13[[#This Row],[Category]]="Transportation", "ton", "")</f>
        <v/>
      </c>
      <c r="N12" s="6"/>
      <c r="O12" s="6"/>
      <c r="P12" s="6" t="str">
        <f>IF(OR(Table13[[#This Row],[Type]]="Main Product", Table13[[#This Row],[Type]]="Co-Product"), Table13[[#This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IF(Table13[[#This Row],[Type]]="Co-product", "No", "")</f>
        <v/>
      </c>
      <c r="J13" s="25"/>
      <c r="K13" s="6"/>
      <c r="L13" s="6" t="str">
        <f>IF(Table13[[#This Row],[Category]]="Transportation", _xlfn.XLOOKUP(Table13[[#This Row],[Resource]], 'SI - Payload'!$A$10:$A$40,'SI - Payload'!$B$10:$B$40,"",0), "")</f>
        <v/>
      </c>
      <c r="M13" s="6" t="str">
        <f>IF(Table13[[#This Row],[Category]]="Transportation", "ton", "")</f>
        <v/>
      </c>
      <c r="N13" s="6"/>
      <c r="O13" s="6"/>
      <c r="P13" s="6" t="str">
        <f>IF(OR(Table13[[#This Row],[Type]]="Main Product", Table13[[#This Row],[Type]]="Co-Product"), Table13[[#This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IF(Table13[[#This Row],[Type]]="Co-product", "No", "")</f>
        <v/>
      </c>
      <c r="J14" s="25"/>
      <c r="K14" s="6"/>
      <c r="L14" s="6" t="str">
        <f>IF(Table13[[#This Row],[Category]]="Transportation", _xlfn.XLOOKUP(Table13[[#This Row],[Resource]], 'SI - Payload'!$A$10:$A$40,'SI - Payload'!$B$10:$B$40,"",0), "")</f>
        <v/>
      </c>
      <c r="M14" s="6" t="str">
        <f>IF(Table13[[#This Row],[Category]]="Transportation", "ton", "")</f>
        <v/>
      </c>
      <c r="N14" s="6"/>
      <c r="O14" s="6"/>
      <c r="P14" s="6" t="str">
        <f>IF(OR(Table13[[#This Row],[Type]]="Main Product", Table13[[#This Row],[Type]]="Co-Product"), Table13[[#This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IF(Table13[[#This Row],[Type]]="Co-product", "No", "")</f>
        <v/>
      </c>
      <c r="J15" s="25"/>
      <c r="K15" s="6"/>
      <c r="L15" s="6" t="str">
        <f>IF(Table13[[#This Row],[Category]]="Transportation", _xlfn.XLOOKUP(Table13[[#This Row],[Resource]], 'SI - Payload'!$A$10:$A$40,'SI - Payload'!$B$10:$B$40,"",0), "")</f>
        <v/>
      </c>
      <c r="M15" s="6" t="str">
        <f>IF(Table13[[#This Row],[Category]]="Transportation", "ton", "")</f>
        <v/>
      </c>
      <c r="N15" s="6"/>
      <c r="O15" s="6"/>
      <c r="P15" s="6" t="str">
        <f>IF(OR(Table13[[#This Row],[Type]]="Main Product", Table13[[#This Row],[Type]]="Co-Product"), Table13[[#This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IF(Table13[[#This Row],[Type]]="Co-product", "No", "")</f>
        <v/>
      </c>
      <c r="J16" s="25"/>
      <c r="K16" s="6"/>
      <c r="L16" s="6" t="str">
        <f>IF(Table13[[#This Row],[Category]]="Transportation", _xlfn.XLOOKUP(Table13[[#This Row],[Resource]], 'SI - Payload'!$A$10:$A$40,'SI - Payload'!$B$10:$B$40,"",0), "")</f>
        <v/>
      </c>
      <c r="M16" s="6" t="str">
        <f>IF(Table13[[#This Row],[Category]]="Transportation", "ton", "")</f>
        <v/>
      </c>
      <c r="N16" s="6"/>
      <c r="O16" s="6"/>
      <c r="P16" s="6" t="str">
        <f>IF(OR(Table13[[#This Row],[Type]]="Main Product", Table13[[#This Row],[Type]]="Co-Product"), Table13[[#This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IF(Table13[[#This Row],[Type]]="Co-product", "No", "")</f>
        <v/>
      </c>
      <c r="J17" s="25"/>
      <c r="K17" s="6"/>
      <c r="L17" s="6" t="str">
        <f>IF(Table13[[#This Row],[Category]]="Transportation", _xlfn.XLOOKUP(Table13[[#This Row],[Resource]], 'SI - Payload'!$A$10:$A$40,'SI - Payload'!$B$10:$B$40,"",0), "")</f>
        <v/>
      </c>
      <c r="M17" s="6" t="str">
        <f>IF(Table13[[#This Row],[Category]]="Transportation", "ton", "")</f>
        <v/>
      </c>
      <c r="N17" s="6"/>
      <c r="O17" s="6"/>
      <c r="P17" s="6" t="str">
        <f>IF(OR(Table13[[#This Row],[Type]]="Main Product", Table13[[#This Row],[Type]]="Co-Product"), Table13[[#This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IF(Table13[[#This Row],[Type]]="Co-product", "No", "")</f>
        <v/>
      </c>
      <c r="J18" s="25"/>
      <c r="K18" s="6"/>
      <c r="L18" s="6" t="str">
        <f>IF(Table13[[#This Row],[Category]]="Transportation", _xlfn.XLOOKUP(Table13[[#This Row],[Resource]], 'SI - Payload'!$A$10:$A$40,'SI - Payload'!$B$10:$B$40,"",0), "")</f>
        <v/>
      </c>
      <c r="M18" s="6" t="str">
        <f>IF(Table13[[#This Row],[Category]]="Transportation", "ton", "")</f>
        <v/>
      </c>
      <c r="N18" s="6"/>
      <c r="O18" s="6"/>
      <c r="P18" s="6" t="str">
        <f>IF(OR(Table13[[#This Row],[Type]]="Main Product", Table13[[#This Row],[Type]]="Co-Product"), Table13[[#This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IF(Table13[[#This Row],[Type]]="Co-product", "No", "")</f>
        <v/>
      </c>
      <c r="J19" s="25"/>
      <c r="K19" s="6"/>
      <c r="L19" s="6" t="str">
        <f>IF(Table13[[#This Row],[Category]]="Transportation", _xlfn.XLOOKUP(Table13[[#This Row],[Resource]], 'SI - Payload'!$A$10:$A$40,'SI - Payload'!$B$10:$B$40,"",0), "")</f>
        <v/>
      </c>
      <c r="M19" s="6" t="str">
        <f>IF(Table13[[#This Row],[Category]]="Transportation", "ton", "")</f>
        <v/>
      </c>
      <c r="N19" s="6"/>
      <c r="O19" s="6"/>
      <c r="P19" s="6" t="str">
        <f>IF(OR(Table13[[#This Row],[Type]]="Main Product", Table13[[#This Row],[Type]]="Co-Product"), Table13[[#This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IF(Table13[[#This Row],[Type]]="Co-product", "No", "")</f>
        <v/>
      </c>
      <c r="J20" s="25"/>
      <c r="K20" s="6"/>
      <c r="L20" s="6" t="str">
        <f>IF(Table13[[#This Row],[Category]]="Transportation", _xlfn.XLOOKUP(Table13[[#This Row],[Resource]], 'SI - Payload'!$A$10:$A$40,'SI - Payload'!$B$10:$B$40,"",0), "")</f>
        <v/>
      </c>
      <c r="M20" s="6" t="str">
        <f>IF(Table13[[#This Row],[Category]]="Transportation", "ton", "")</f>
        <v/>
      </c>
      <c r="N20" s="6"/>
      <c r="O20" s="6"/>
      <c r="P20" s="6" t="str">
        <f>IF(OR(Table13[[#This Row],[Type]]="Main Product", Table13[[#This Row],[Type]]="Co-Product"), Table13[[#This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IF(Table13[[#This Row],[Type]]="Co-product", "No", "")</f>
        <v/>
      </c>
      <c r="J21" s="25"/>
      <c r="K21" s="6"/>
      <c r="L21" s="6" t="str">
        <f>IF(Table13[[#This Row],[Category]]="Transportation", _xlfn.XLOOKUP(Table13[[#This Row],[Resource]], 'SI - Payload'!$A$10:$A$40,'SI - Payload'!$B$10:$B$40,"",0), "")</f>
        <v/>
      </c>
      <c r="M21" s="6" t="str">
        <f>IF(Table13[[#This Row],[Category]]="Transportation", "ton", "")</f>
        <v/>
      </c>
      <c r="N21" s="6"/>
      <c r="O21" s="6"/>
      <c r="P21" s="6" t="str">
        <f>IF(OR(Table13[[#This Row],[Type]]="Main Product", Table13[[#This Row],[Type]]="Co-Product"), Table13[[#This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IF(Table13[[#This Row],[Type]]="Co-product", "No", "")</f>
        <v/>
      </c>
      <c r="J22" s="25"/>
      <c r="K22" s="6"/>
      <c r="L22" s="6" t="str">
        <f>IF(Table13[[#This Row],[Category]]="Transportation", _xlfn.XLOOKUP(Table13[[#This Row],[Resource]], 'SI - Payload'!$A$10:$A$40,'SI - Payload'!$B$10:$B$40,"",0), "")</f>
        <v/>
      </c>
      <c r="M22" s="6" t="str">
        <f>IF(Table13[[#This Row],[Category]]="Transportation", "ton", "")</f>
        <v/>
      </c>
      <c r="N22" s="6"/>
      <c r="O22" s="6"/>
      <c r="P22" s="6" t="str">
        <f>IF(OR(Table13[[#This Row],[Type]]="Main Product", Table13[[#This Row],[Type]]="Co-Product"), Table13[[#This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IF(Table13[[#This Row],[Type]]="Co-product", "No", "")</f>
        <v/>
      </c>
      <c r="J23" s="25"/>
      <c r="K23" s="6"/>
      <c r="L23" s="6" t="str">
        <f>IF(Table13[[#This Row],[Category]]="Transportation", _xlfn.XLOOKUP(Table13[[#This Row],[Resource]], 'SI - Payload'!$A$10:$A$40,'SI - Payload'!$B$10:$B$40,"",0), "")</f>
        <v/>
      </c>
      <c r="M23" s="6" t="str">
        <f>IF(Table13[[#This Row],[Category]]="Transportation", "ton", "")</f>
        <v/>
      </c>
      <c r="N23" s="6"/>
      <c r="O23" s="6"/>
      <c r="P23" s="6" t="str">
        <f>IF(OR(Table13[[#This Row],[Type]]="Main Product", Table13[[#This Row],[Type]]="Co-Product"), Table13[[#This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IF(Table13[[#This Row],[Type]]="Co-product", "No", "")</f>
        <v/>
      </c>
      <c r="J24" s="25"/>
      <c r="K24" s="6"/>
      <c r="L24" s="6" t="str">
        <f>IF(Table13[[#This Row],[Category]]="Transportation", _xlfn.XLOOKUP(Table13[[#This Row],[Resource]], 'SI - Payload'!$A$10:$A$40,'SI - Payload'!$B$10:$B$40,"",0), "")</f>
        <v/>
      </c>
      <c r="M24" s="6" t="str">
        <f>IF(Table13[[#This Row],[Category]]="Transportation", "ton", "")</f>
        <v/>
      </c>
      <c r="N24" s="6"/>
      <c r="O24" s="6"/>
      <c r="P24" s="6" t="str">
        <f>IF(OR(Table13[[#This Row],[Type]]="Main Product", Table13[[#This Row],[Type]]="Co-Product"), Table13[[#This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IF(Table13[[#This Row],[Type]]="Co-product", "No", "")</f>
        <v/>
      </c>
      <c r="J25" s="25"/>
      <c r="K25" s="6"/>
      <c r="L25" s="6" t="str">
        <f>IF(Table13[[#This Row],[Category]]="Transportation", _xlfn.XLOOKUP(Table13[[#This Row],[Resource]], 'SI - Payload'!$A$10:$A$40,'SI - Payload'!$B$10:$B$40,"",0), "")</f>
        <v/>
      </c>
      <c r="M25" s="6" t="str">
        <f>IF(Table13[[#This Row],[Category]]="Transportation", "ton", "")</f>
        <v/>
      </c>
      <c r="N25" s="6"/>
      <c r="O25" s="6"/>
      <c r="P25" s="6" t="str">
        <f>IF(OR(Table13[[#This Row],[Type]]="Main Product", Table13[[#This Row],[Type]]="Co-Product"), Table13[[#This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IF(Table13[[#This Row],[Type]]="Co-product", "No", "")</f>
        <v/>
      </c>
      <c r="J26" s="25"/>
      <c r="K26" s="6"/>
      <c r="L26" s="6" t="str">
        <f>IF(Table13[[#This Row],[Category]]="Transportation", _xlfn.XLOOKUP(Table13[[#This Row],[Resource]], 'SI - Payload'!$A$10:$A$40,'SI - Payload'!$B$10:$B$40,"",0), "")</f>
        <v/>
      </c>
      <c r="M26" s="6" t="str">
        <f>IF(Table13[[#This Row],[Category]]="Transportation", "ton", "")</f>
        <v/>
      </c>
      <c r="N26" s="6"/>
      <c r="O26" s="6"/>
      <c r="P26" s="6" t="str">
        <f>IF(OR(Table13[[#This Row],[Type]]="Main Product", Table13[[#This Row],[Type]]="Co-Product"), Table13[[#This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IF(Table13[[#This Row],[Type]]="Co-product", "No", "")</f>
        <v/>
      </c>
      <c r="J27" s="25"/>
      <c r="K27" s="6"/>
      <c r="L27" s="6" t="str">
        <f>IF(Table13[[#This Row],[Category]]="Transportation", _xlfn.XLOOKUP(Table13[[#This Row],[Resource]], 'SI - Payload'!$A$10:$A$40,'SI - Payload'!$B$10:$B$40,"",0), "")</f>
        <v/>
      </c>
      <c r="M27" s="6" t="str">
        <f>IF(Table13[[#This Row],[Category]]="Transportation", "ton", "")</f>
        <v/>
      </c>
      <c r="N27" s="6"/>
      <c r="O27" s="6"/>
      <c r="P27" s="6" t="str">
        <f>IF(OR(Table13[[#This Row],[Type]]="Main Product", Table13[[#This Row],[Type]]="Co-Product"), Table13[[#This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IF(Table13[[#This Row],[Type]]="Co-product", "No", "")</f>
        <v/>
      </c>
      <c r="J28" s="25"/>
      <c r="K28" s="6"/>
      <c r="L28" s="6" t="str">
        <f>IF(Table13[[#This Row],[Category]]="Transportation", _xlfn.XLOOKUP(Table13[[#This Row],[Resource]], 'SI - Payload'!$A$10:$A$40,'SI - Payload'!$B$10:$B$40,"",0), "")</f>
        <v/>
      </c>
      <c r="M28" s="6" t="str">
        <f>IF(Table13[[#This Row],[Category]]="Transportation", "ton", "")</f>
        <v/>
      </c>
      <c r="N28" s="6"/>
      <c r="O28" s="6"/>
      <c r="P28" s="6" t="str">
        <f>IF(OR(Table13[[#This Row],[Type]]="Main Product", Table13[[#This Row],[Type]]="Co-Product"), Table13[[#This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IF(Table13[[#This Row],[Type]]="Co-product", "No", "")</f>
        <v/>
      </c>
      <c r="J29" s="25"/>
      <c r="K29" s="6"/>
      <c r="L29" s="6" t="str">
        <f>IF(Table13[[#This Row],[Category]]="Transportation", _xlfn.XLOOKUP(Table13[[#This Row],[Resource]], 'SI - Payload'!$A$10:$A$40,'SI - Payload'!$B$10:$B$40,"",0), "")</f>
        <v/>
      </c>
      <c r="M29" s="6" t="str">
        <f>IF(Table13[[#This Row],[Category]]="Transportation", "ton", "")</f>
        <v/>
      </c>
      <c r="N29" s="6"/>
      <c r="O29" s="6"/>
      <c r="P29" s="6" t="str">
        <f>IF(OR(Table13[[#This Row],[Type]]="Main Product", Table13[[#This Row],[Type]]="Co-Product"), Table13[[#This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IF(Table13[[#This Row],[Type]]="Co-product", "No", "")</f>
        <v/>
      </c>
      <c r="J30" s="25"/>
      <c r="K30" s="6"/>
      <c r="L30" s="6" t="str">
        <f>IF(Table13[[#This Row],[Category]]="Transportation", _xlfn.XLOOKUP(Table13[[#This Row],[Resource]], 'SI - Payload'!$A$10:$A$40,'SI - Payload'!$B$10:$B$40,"",0), "")</f>
        <v/>
      </c>
      <c r="M30" s="6" t="str">
        <f>IF(Table13[[#This Row],[Category]]="Transportation", "ton", "")</f>
        <v/>
      </c>
      <c r="N30" s="6"/>
      <c r="O30" s="6"/>
      <c r="P30" s="6" t="str">
        <f>IF(OR(Table13[[#This Row],[Type]]="Main Product", Table13[[#This Row],[Type]]="Co-Product"), Table13[[#This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IF(Table13[[#This Row],[Type]]="Co-product", "No", "")</f>
        <v/>
      </c>
      <c r="J31" s="25"/>
      <c r="K31" s="6"/>
      <c r="L31" s="6" t="str">
        <f>IF(Table13[[#This Row],[Category]]="Transportation", _xlfn.XLOOKUP(Table13[[#This Row],[Resource]], 'SI - Payload'!$A$10:$A$40,'SI - Payload'!$B$10:$B$40,"",0), "")</f>
        <v/>
      </c>
      <c r="M31" s="6" t="str">
        <f>IF(Table13[[#This Row],[Category]]="Transportation", "ton", "")</f>
        <v/>
      </c>
      <c r="N31" s="6"/>
      <c r="O31" s="6"/>
      <c r="P31" s="6" t="str">
        <f>IF(OR(Table13[[#This Row],[Type]]="Main Product", Table13[[#This Row],[Type]]="Co-Product"), Table13[[#This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IF(Table13[[#This Row],[Type]]="Co-product", "No", "")</f>
        <v/>
      </c>
      <c r="J32" s="25"/>
      <c r="K32" s="6"/>
      <c r="L32" s="6" t="str">
        <f>IF(Table13[[#This Row],[Category]]="Transportation", _xlfn.XLOOKUP(Table13[[#This Row],[Resource]], 'SI - Payload'!$A$10:$A$40,'SI - Payload'!$B$10:$B$40,"",0), "")</f>
        <v/>
      </c>
      <c r="M32" s="6" t="str">
        <f>IF(Table13[[#This Row],[Category]]="Transportation", "ton", "")</f>
        <v/>
      </c>
      <c r="N32" s="6"/>
      <c r="O32" s="6"/>
      <c r="P32" s="6" t="str">
        <f>IF(OR(Table13[[#This Row],[Type]]="Main Product", Table13[[#This Row],[Type]]="Co-Product"), Table13[[#This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IF(Table13[[#This Row],[Type]]="Co-product", "No", "")</f>
        <v/>
      </c>
      <c r="J33" s="25"/>
      <c r="K33" s="6"/>
      <c r="L33" s="6" t="str">
        <f>IF(Table13[[#This Row],[Category]]="Transportation", _xlfn.XLOOKUP(Table13[[#This Row],[Resource]], 'SI - Payload'!$A$10:$A$40,'SI - Payload'!$B$10:$B$40,"",0), "")</f>
        <v/>
      </c>
      <c r="M33" s="6" t="str">
        <f>IF(Table13[[#This Row],[Category]]="Transportation", "ton", "")</f>
        <v/>
      </c>
      <c r="N33" s="6"/>
      <c r="O33" s="6"/>
      <c r="P33" s="6" t="str">
        <f>IF(OR(Table13[[#This Row],[Type]]="Main Product", Table13[[#This Row],[Type]]="Co-Product"), Table13[[#This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IF(Table13[[#This Row],[Type]]="Co-product", "No", "")</f>
        <v/>
      </c>
      <c r="J34" s="25"/>
      <c r="K34" s="6"/>
      <c r="L34" s="6" t="str">
        <f>IF(Table13[[#This Row],[Category]]="Transportation", _xlfn.XLOOKUP(Table13[[#This Row],[Resource]], 'SI - Payload'!$A$10:$A$40,'SI - Payload'!$B$10:$B$40,"",0), "")</f>
        <v/>
      </c>
      <c r="M34" s="6" t="str">
        <f>IF(Table13[[#This Row],[Category]]="Transportation", "ton", "")</f>
        <v/>
      </c>
      <c r="N34" s="6"/>
      <c r="O34" s="6"/>
      <c r="P34" s="6" t="str">
        <f>IF(OR(Table13[[#This Row],[Type]]="Main Product", Table13[[#This Row],[Type]]="Co-Product"), Table13[[#This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IF(Table13[[#This Row],[Type]]="Co-product", "No", "")</f>
        <v/>
      </c>
      <c r="J35" s="25"/>
      <c r="K35" s="6"/>
      <c r="L35" s="6" t="str">
        <f>IF(Table13[[#This Row],[Category]]="Transportation", _xlfn.XLOOKUP(Table13[[#This Row],[Resource]], 'SI - Payload'!$A$10:$A$40,'SI - Payload'!$B$10:$B$40,"",0), "")</f>
        <v/>
      </c>
      <c r="M35" s="6" t="str">
        <f>IF(Table13[[#This Row],[Category]]="Transportation", "ton", "")</f>
        <v/>
      </c>
      <c r="N35" s="6"/>
      <c r="O35" s="6"/>
      <c r="P35" s="6" t="str">
        <f>IF(OR(Table13[[#This Row],[Type]]="Main Product", Table13[[#This Row],[Type]]="Co-Product"), Table13[[#This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IF(Table13[[#This Row],[Type]]="Co-product", "No", "")</f>
        <v/>
      </c>
      <c r="J36" s="25"/>
      <c r="K36" s="6"/>
      <c r="L36" s="6" t="str">
        <f>IF(Table13[[#This Row],[Category]]="Transportation", _xlfn.XLOOKUP(Table13[[#This Row],[Resource]], 'SI - Payload'!$A$10:$A$40,'SI - Payload'!$B$10:$B$40,"",0), "")</f>
        <v/>
      </c>
      <c r="M36" s="6" t="str">
        <f>IF(Table13[[#This Row],[Category]]="Transportation", "ton", "")</f>
        <v/>
      </c>
      <c r="N36" s="6"/>
      <c r="O36" s="6"/>
      <c r="P36" s="6" t="str">
        <f>IF(OR(Table13[[#This Row],[Type]]="Main Product", Table13[[#This Row],[Type]]="Co-Product"), Table13[[#This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IF(Table13[[#This Row],[Type]]="Co-product", "No", "")</f>
        <v/>
      </c>
      <c r="J37" s="25"/>
      <c r="K37" s="6"/>
      <c r="L37" s="6" t="str">
        <f>IF(Table13[[#This Row],[Category]]="Transportation", _xlfn.XLOOKUP(Table13[[#This Row],[Resource]], 'SI - Payload'!$A$10:$A$40,'SI - Payload'!$B$10:$B$40,"",0), "")</f>
        <v/>
      </c>
      <c r="M37" s="6" t="str">
        <f>IF(Table13[[#This Row],[Category]]="Transportation", "ton", "")</f>
        <v/>
      </c>
      <c r="N37" s="6"/>
      <c r="O37" s="6"/>
      <c r="P37" s="6" t="str">
        <f>IF(OR(Table13[[#This Row],[Type]]="Main Product", Table13[[#This Row],[Type]]="Co-Product"), Table13[[#This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IF(Table13[[#This Row],[Type]]="Co-product", "No", "")</f>
        <v/>
      </c>
      <c r="J38" s="25"/>
      <c r="K38" s="6"/>
      <c r="L38" s="6" t="str">
        <f>IF(Table13[[#This Row],[Category]]="Transportation", _xlfn.XLOOKUP(Table13[[#This Row],[Resource]], 'SI - Payload'!$A$10:$A$40,'SI - Payload'!$B$10:$B$40,"",0), "")</f>
        <v/>
      </c>
      <c r="M38" s="6" t="str">
        <f>IF(Table13[[#This Row],[Category]]="Transportation", "ton", "")</f>
        <v/>
      </c>
      <c r="N38" s="6"/>
      <c r="O38" s="6"/>
      <c r="P38" s="6" t="str">
        <f>IF(OR(Table13[[#This Row],[Type]]="Main Product", Table13[[#This Row],[Type]]="Co-Product"), Table13[[#This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IF(Table13[[#This Row],[Type]]="Co-product", "No", "")</f>
        <v/>
      </c>
      <c r="J39" s="25"/>
      <c r="K39" s="6"/>
      <c r="L39" s="6" t="str">
        <f>IF(Table13[[#This Row],[Category]]="Transportation", _xlfn.XLOOKUP(Table13[[#This Row],[Resource]], 'SI - Payload'!$A$10:$A$40,'SI - Payload'!$B$10:$B$40,"",0), "")</f>
        <v/>
      </c>
      <c r="M39" s="6" t="str">
        <f>IF(Table13[[#This Row],[Category]]="Transportation", "ton", "")</f>
        <v/>
      </c>
      <c r="N39" s="6"/>
      <c r="O39" s="6"/>
      <c r="P39" s="6" t="str">
        <f>IF(OR(Table13[[#This Row],[Type]]="Main Product", Table13[[#This Row],[Type]]="Co-Product"), Table13[[#This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IF(Table13[[#This Row],[Type]]="Co-product", "No", "")</f>
        <v/>
      </c>
      <c r="J40" s="25"/>
      <c r="K40" s="6"/>
      <c r="L40" s="6" t="str">
        <f>IF(Table13[[#This Row],[Category]]="Transportation", _xlfn.XLOOKUP(Table13[[#This Row],[Resource]], 'SI - Payload'!$A$10:$A$40,'SI - Payload'!$B$10:$B$40,"",0), "")</f>
        <v/>
      </c>
      <c r="M40" s="6" t="str">
        <f>IF(Table13[[#This Row],[Category]]="Transportation", "ton", "")</f>
        <v/>
      </c>
      <c r="N40" s="6"/>
      <c r="O40" s="6"/>
      <c r="P40" s="6" t="str">
        <f>IF(OR(Table13[[#This Row],[Type]]="Main Product", Table13[[#This Row],[Type]]="Co-Product"), Table13[[#This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IF(Table13[[#This Row],[Type]]="Co-product", "No", "")</f>
        <v/>
      </c>
      <c r="J41" s="25"/>
      <c r="K41" s="6"/>
      <c r="L41" s="6" t="str">
        <f>IF(Table13[[#This Row],[Category]]="Transportation", _xlfn.XLOOKUP(Table13[[#This Row],[Resource]], 'SI - Payload'!$A$10:$A$40,'SI - Payload'!$B$10:$B$40,"",0), "")</f>
        <v/>
      </c>
      <c r="M41" s="6" t="str">
        <f>IF(Table13[[#This Row],[Category]]="Transportation", "ton", "")</f>
        <v/>
      </c>
      <c r="N41" s="6"/>
      <c r="O41" s="6"/>
      <c r="P41" s="6" t="str">
        <f>IF(OR(Table13[[#This Row],[Type]]="Main Product", Table13[[#This Row],[Type]]="Co-Product"), Table13[[#This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IF(Table13[[#This Row],[Type]]="Co-product", "No", "")</f>
        <v/>
      </c>
      <c r="J42" s="25"/>
      <c r="K42" s="6"/>
      <c r="L42" s="6" t="str">
        <f>IF(Table13[[#This Row],[Category]]="Transportation", _xlfn.XLOOKUP(Table13[[#This Row],[Resource]], 'SI - Payload'!$A$10:$A$40,'SI - Payload'!$B$10:$B$40,"",0), "")</f>
        <v/>
      </c>
      <c r="M42" s="6" t="str">
        <f>IF(Table13[[#This Row],[Category]]="Transportation", "ton", "")</f>
        <v/>
      </c>
      <c r="N42" s="6"/>
      <c r="O42" s="6"/>
      <c r="P42" s="6" t="str">
        <f>IF(OR(Table13[[#This Row],[Type]]="Main Product", Table13[[#This Row],[Type]]="Co-Product"), Table13[[#This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IF(Table13[[#This Row],[Type]]="Co-product", "No", "")</f>
        <v/>
      </c>
      <c r="J43" s="25"/>
      <c r="K43" s="6"/>
      <c r="L43" s="6" t="str">
        <f>IF(Table13[[#This Row],[Category]]="Transportation", _xlfn.XLOOKUP(Table13[[#This Row],[Resource]], 'SI - Payload'!$A$10:$A$40,'SI - Payload'!$B$10:$B$40,"",0), "")</f>
        <v/>
      </c>
      <c r="M43" s="6" t="str">
        <f>IF(Table13[[#This Row],[Category]]="Transportation", "ton", "")</f>
        <v/>
      </c>
      <c r="N43" s="6"/>
      <c r="O43" s="6"/>
      <c r="P43" s="6" t="str">
        <f>IF(OR(Table13[[#This Row],[Type]]="Main Product", Table13[[#This Row],[Type]]="Co-Product"), Table13[[#This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IF(Table13[[#This Row],[Type]]="Co-product", "No", "")</f>
        <v/>
      </c>
      <c r="J44" s="25"/>
      <c r="K44" s="6"/>
      <c r="L44" s="6" t="str">
        <f>IF(Table13[[#This Row],[Category]]="Transportation", _xlfn.XLOOKUP(Table13[[#This Row],[Resource]], 'SI - Payload'!$A$10:$A$40,'SI - Payload'!$B$10:$B$40,"",0), "")</f>
        <v/>
      </c>
      <c r="M44" s="6" t="str">
        <f>IF(Table13[[#This Row],[Category]]="Transportation", "ton", "")</f>
        <v/>
      </c>
      <c r="N44" s="6"/>
      <c r="O44" s="6"/>
      <c r="P44" s="6" t="str">
        <f>IF(OR(Table13[[#This Row],[Type]]="Main Product", Table13[[#This Row],[Type]]="Co-Product"), Table13[[#This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IF(Table13[[#This Row],[Type]]="Co-product", "No", "")</f>
        <v/>
      </c>
      <c r="J45" s="25"/>
      <c r="K45" s="6"/>
      <c r="L45" s="6" t="str">
        <f>IF(Table13[[#This Row],[Category]]="Transportation", _xlfn.XLOOKUP(Table13[[#This Row],[Resource]], 'SI - Payload'!$A$10:$A$40,'SI - Payload'!$B$10:$B$40,"",0), "")</f>
        <v/>
      </c>
      <c r="M45" s="6" t="str">
        <f>IF(Table13[[#This Row],[Category]]="Transportation", "ton", "")</f>
        <v/>
      </c>
      <c r="N45" s="6"/>
      <c r="O45" s="6"/>
      <c r="P45" s="6" t="str">
        <f>IF(OR(Table13[[#This Row],[Type]]="Main Product", Table13[[#This Row],[Type]]="Co-Product"), Table13[[#This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IF(Table13[[#This Row],[Type]]="Co-product", "No", "")</f>
        <v/>
      </c>
      <c r="J46" s="25"/>
      <c r="K46" s="6"/>
      <c r="L46" s="6" t="str">
        <f>IF(Table13[[#This Row],[Category]]="Transportation", _xlfn.XLOOKUP(Table13[[#This Row],[Resource]], 'SI - Payload'!$A$10:$A$40,'SI - Payload'!$B$10:$B$40,"",0), "")</f>
        <v/>
      </c>
      <c r="M46" s="6" t="str">
        <f>IF(Table13[[#This Row],[Category]]="Transportation", "ton", "")</f>
        <v/>
      </c>
      <c r="N46" s="6"/>
      <c r="O46" s="6"/>
      <c r="P46" s="6" t="str">
        <f>IF(OR(Table13[[#This Row],[Type]]="Main Product", Table13[[#This Row],[Type]]="Co-Product"), Table13[[#This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IF(Table13[[#This Row],[Type]]="Co-product", "No", "")</f>
        <v/>
      </c>
      <c r="J47" s="25"/>
      <c r="K47" s="6"/>
      <c r="L47" s="6" t="str">
        <f>IF(Table13[[#This Row],[Category]]="Transportation", _xlfn.XLOOKUP(Table13[[#This Row],[Resource]], 'SI - Payload'!$A$10:$A$40,'SI - Payload'!$B$10:$B$40,"",0), "")</f>
        <v/>
      </c>
      <c r="M47" s="6" t="str">
        <f>IF(Table13[[#This Row],[Category]]="Transportation", "ton", "")</f>
        <v/>
      </c>
      <c r="N47" s="6"/>
      <c r="O47" s="6"/>
      <c r="P47" s="6" t="str">
        <f>IF(OR(Table13[[#This Row],[Type]]="Main Product", Table13[[#This Row],[Type]]="Co-Product"), Table13[[#This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IF(Table13[[#This Row],[Type]]="Co-product", "No", "")</f>
        <v/>
      </c>
      <c r="J48" s="25"/>
      <c r="K48" s="6"/>
      <c r="L48" s="6" t="str">
        <f>IF(Table13[[#This Row],[Category]]="Transportation", _xlfn.XLOOKUP(Table13[[#This Row],[Resource]], 'SI - Payload'!$A$10:$A$40,'SI - Payload'!$B$10:$B$40,"",0), "")</f>
        <v/>
      </c>
      <c r="M48" s="6" t="str">
        <f>IF(Table13[[#This Row],[Category]]="Transportation", "ton", "")</f>
        <v/>
      </c>
      <c r="N48" s="6"/>
      <c r="O48" s="6"/>
      <c r="P48" s="6" t="str">
        <f>IF(OR(Table13[[#This Row],[Type]]="Main Product", Table13[[#This Row],[Type]]="Co-Product"), Table13[[#This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IF(Table13[[#This Row],[Type]]="Co-product", "No", "")</f>
        <v/>
      </c>
      <c r="J49" s="25"/>
      <c r="K49" s="6"/>
      <c r="L49" s="6" t="str">
        <f>IF(Table13[[#This Row],[Category]]="Transportation", _xlfn.XLOOKUP(Table13[[#This Row],[Resource]], 'SI - Payload'!$A$10:$A$40,'SI - Payload'!$B$10:$B$40,"",0), "")</f>
        <v/>
      </c>
      <c r="M49" s="6" t="str">
        <f>IF(Table13[[#This Row],[Category]]="Transportation", "ton", "")</f>
        <v/>
      </c>
      <c r="N49" s="6"/>
      <c r="O49" s="6"/>
      <c r="P49" s="6" t="str">
        <f>IF(OR(Table13[[#This Row],[Type]]="Main Product", Table13[[#This Row],[Type]]="Co-Product"), Table13[[#This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IF(Table13[[#This Row],[Type]]="Co-product", "No", "")</f>
        <v/>
      </c>
      <c r="J50" s="25"/>
      <c r="K50" s="6"/>
      <c r="L50" s="6" t="str">
        <f>IF(Table13[[#This Row],[Category]]="Transportation", _xlfn.XLOOKUP(Table13[[#This Row],[Resource]], 'SI - Payload'!$A$10:$A$40,'SI - Payload'!$B$10:$B$40,"",0), "")</f>
        <v/>
      </c>
      <c r="M50" s="6" t="str">
        <f>IF(Table13[[#This Row],[Category]]="Transportation", "ton", "")</f>
        <v/>
      </c>
      <c r="N50" s="6"/>
      <c r="O50" s="6"/>
      <c r="P50" s="6" t="str">
        <f>IF(OR(Table13[[#This Row],[Type]]="Main Product", Table13[[#This Row],[Type]]="Co-Product"), Table13[[#This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IF(Table13[[#This Row],[Type]]="Co-product", "No", "")</f>
        <v/>
      </c>
      <c r="J51" s="25"/>
      <c r="K51" s="6"/>
      <c r="L51" s="6" t="str">
        <f>IF(Table13[[#This Row],[Category]]="Transportation", _xlfn.XLOOKUP(Table13[[#This Row],[Resource]], 'SI - Payload'!$A$10:$A$40,'SI - Payload'!$B$10:$B$40,"",0), "")</f>
        <v/>
      </c>
      <c r="M51" s="6" t="str">
        <f>IF(Table13[[#This Row],[Category]]="Transportation", "ton", "")</f>
        <v/>
      </c>
      <c r="N51" s="6"/>
      <c r="O51" s="6"/>
      <c r="P51" s="6" t="str">
        <f>IF(OR(Table13[[#This Row],[Type]]="Main Product", Table13[[#This Row],[Type]]="Co-Product"), Table13[[#This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IF(Table13[[#This Row],[Type]]="Co-product", "No", "")</f>
        <v/>
      </c>
      <c r="J52" s="25"/>
      <c r="K52" s="6"/>
      <c r="L52" s="6" t="str">
        <f>IF(Table13[[#This Row],[Category]]="Transportation", _xlfn.XLOOKUP(Table13[[#This Row],[Resource]], 'SI - Payload'!$A$10:$A$40,'SI - Payload'!$B$10:$B$40,"",0), "")</f>
        <v/>
      </c>
      <c r="M52" s="6" t="str">
        <f>IF(Table13[[#This Row],[Category]]="Transportation", "ton", "")</f>
        <v/>
      </c>
      <c r="N52" s="6"/>
      <c r="O52" s="6"/>
      <c r="P52" s="6" t="str">
        <f>IF(OR(Table13[[#This Row],[Type]]="Main Product", Table13[[#This Row],[Type]]="Co-Product"), Table13[[#This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IF(Table13[[#This Row],[Type]]="Co-product", "No", "")</f>
        <v/>
      </c>
      <c r="J53" s="25"/>
      <c r="K53" s="6"/>
      <c r="L53" s="6" t="str">
        <f>IF(Table13[[#This Row],[Category]]="Transportation", _xlfn.XLOOKUP(Table13[[#This Row],[Resource]], 'SI - Payload'!$A$10:$A$40,'SI - Payload'!$B$10:$B$40,"",0), "")</f>
        <v/>
      </c>
      <c r="M53" s="6" t="str">
        <f>IF(Table13[[#This Row],[Category]]="Transportation", "ton", "")</f>
        <v/>
      </c>
      <c r="N53" s="6"/>
      <c r="O53" s="6"/>
      <c r="P53" s="6" t="str">
        <f>IF(OR(Table13[[#This Row],[Type]]="Main Product", Table13[[#This Row],[Type]]="Co-Product"), Table13[[#This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IF(Table13[[#This Row],[Type]]="Co-product", "No", "")</f>
        <v/>
      </c>
      <c r="J54" s="25"/>
      <c r="K54" s="6"/>
      <c r="L54" s="6" t="str">
        <f>IF(Table13[[#This Row],[Category]]="Transportation", _xlfn.XLOOKUP(Table13[[#This Row],[Resource]], 'SI - Payload'!$A$10:$A$40,'SI - Payload'!$B$10:$B$40,"",0), "")</f>
        <v/>
      </c>
      <c r="M54" s="6" t="str">
        <f>IF(Table13[[#This Row],[Category]]="Transportation", "ton", "")</f>
        <v/>
      </c>
      <c r="N54" s="6"/>
      <c r="O54" s="6"/>
      <c r="P54" s="6" t="str">
        <f>IF(OR(Table13[[#This Row],[Type]]="Main Product", Table13[[#This Row],[Type]]="Co-Product"), Table13[[#This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IF(Table13[[#This Row],[Type]]="Co-product", "No", "")</f>
        <v/>
      </c>
      <c r="J55" s="25"/>
      <c r="K55" s="6"/>
      <c r="L55" s="6" t="str">
        <f>IF(Table13[[#This Row],[Category]]="Transportation", _xlfn.XLOOKUP(Table13[[#This Row],[Resource]], 'SI - Payload'!$A$10:$A$40,'SI - Payload'!$B$10:$B$40,"",0), "")</f>
        <v/>
      </c>
      <c r="M55" s="6" t="str">
        <f>IF(Table13[[#This Row],[Category]]="Transportation", "ton", "")</f>
        <v/>
      </c>
      <c r="N55" s="6"/>
      <c r="O55" s="6"/>
      <c r="P55" s="6" t="str">
        <f>IF(OR(Table13[[#This Row],[Type]]="Main Product", Table13[[#This Row],[Type]]="Co-Product"), Table13[[#This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IF(Table13[[#This Row],[Type]]="Co-product", "No", "")</f>
        <v/>
      </c>
      <c r="J56" s="25"/>
      <c r="K56" s="6"/>
      <c r="L56" s="6" t="str">
        <f>IF(Table13[[#This Row],[Category]]="Transportation", _xlfn.XLOOKUP(Table13[[#This Row],[Resource]], 'SI - Payload'!$A$10:$A$40,'SI - Payload'!$B$10:$B$40,"",0), "")</f>
        <v/>
      </c>
      <c r="M56" s="6" t="str">
        <f>IF(Table13[[#This Row],[Category]]="Transportation", "ton", "")</f>
        <v/>
      </c>
      <c r="N56" s="6"/>
      <c r="O56" s="6"/>
      <c r="P56" s="6" t="str">
        <f>IF(OR(Table13[[#This Row],[Type]]="Main Product", Table13[[#This Row],[Type]]="Co-Product"), Table13[[#This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IF(Table13[[#This Row],[Type]]="Co-product", "No", "")</f>
        <v/>
      </c>
      <c r="J57" s="25"/>
      <c r="K57" s="6"/>
      <c r="L57" s="6" t="str">
        <f>IF(Table13[[#This Row],[Category]]="Transportation", _xlfn.XLOOKUP(Table13[[#This Row],[Resource]], 'SI - Payload'!$A$10:$A$40,'SI - Payload'!$B$10:$B$40,"",0), "")</f>
        <v/>
      </c>
      <c r="M57" s="6" t="str">
        <f>IF(Table13[[#This Row],[Category]]="Transportation", "ton", "")</f>
        <v/>
      </c>
      <c r="N57" s="6"/>
      <c r="O57" s="6"/>
      <c r="P57" s="6" t="str">
        <f>IF(OR(Table13[[#This Row],[Type]]="Main Product", Table13[[#This Row],[Type]]="Co-Product"), Table13[[#This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IF(Table13[[#This Row],[Type]]="Co-product", "No", "")</f>
        <v/>
      </c>
      <c r="J58" s="25"/>
      <c r="K58" s="6"/>
      <c r="L58" s="6" t="str">
        <f>IF(Table13[[#This Row],[Category]]="Transportation", _xlfn.XLOOKUP(Table13[[#This Row],[Resource]], 'SI - Payload'!$A$10:$A$40,'SI - Payload'!$B$10:$B$40,"",0), "")</f>
        <v/>
      </c>
      <c r="M58" s="6" t="str">
        <f>IF(Table13[[#This Row],[Category]]="Transportation", "ton", "")</f>
        <v/>
      </c>
      <c r="N58" s="6"/>
      <c r="O58" s="6"/>
      <c r="P58" s="6" t="str">
        <f>IF(OR(Table13[[#This Row],[Type]]="Main Product", Table13[[#This Row],[Type]]="Co-Product"), Table13[[#This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IF(Table13[[#This Row],[Type]]="Co-product", "No", "")</f>
        <v/>
      </c>
      <c r="J59" s="25"/>
      <c r="K59" s="6"/>
      <c r="L59" s="6" t="str">
        <f>IF(Table13[[#This Row],[Category]]="Transportation", _xlfn.XLOOKUP(Table13[[#This Row],[Resource]], 'SI - Payload'!$A$10:$A$40,'SI - Payload'!$B$10:$B$40,"",0), "")</f>
        <v/>
      </c>
      <c r="M59" s="6" t="str">
        <f>IF(Table13[[#This Row],[Category]]="Transportation", "ton", "")</f>
        <v/>
      </c>
      <c r="N59" s="6"/>
      <c r="O59" s="6"/>
      <c r="P59" s="6" t="str">
        <f>IF(OR(Table13[[#This Row],[Type]]="Main Product", Table13[[#This Row],[Type]]="Co-Product"), Table13[[#This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IF(Table13[[#This Row],[Type]]="Co-product", "No", "")</f>
        <v/>
      </c>
      <c r="J60" s="25"/>
      <c r="K60" s="6"/>
      <c r="L60" s="6" t="str">
        <f>IF(Table13[[#This Row],[Category]]="Transportation", _xlfn.XLOOKUP(Table13[[#This Row],[Resource]], 'SI - Payload'!$A$10:$A$40,'SI - Payload'!$B$10:$B$40,"",0), "")</f>
        <v/>
      </c>
      <c r="M60" s="6" t="str">
        <f>IF(Table13[[#This Row],[Category]]="Transportation", "ton", "")</f>
        <v/>
      </c>
      <c r="N60" s="6"/>
      <c r="O60" s="6"/>
      <c r="P60" s="6" t="str">
        <f>IF(OR(Table13[[#This Row],[Type]]="Main Product", Table13[[#This Row],[Type]]="Co-Product"), Table13[[#This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IF(Table13[[#This Row],[Type]]="Co-product", "No", "")</f>
        <v/>
      </c>
      <c r="J61" s="25"/>
      <c r="K61" s="6"/>
      <c r="L61" s="6" t="str">
        <f>IF(Table13[[#This Row],[Category]]="Transportation", _xlfn.XLOOKUP(Table13[[#This Row],[Resource]], 'SI - Payload'!$A$10:$A$40,'SI - Payload'!$B$10:$B$40,"",0), "")</f>
        <v/>
      </c>
      <c r="M61" s="6" t="str">
        <f>IF(Table13[[#This Row],[Category]]="Transportation", "ton", "")</f>
        <v/>
      </c>
      <c r="N61" s="6"/>
      <c r="O61" s="6"/>
      <c r="P61" s="6" t="str">
        <f>IF(OR(Table13[[#This Row],[Type]]="Main Product", Table13[[#This Row],[Type]]="Co-Product"), Table13[[#This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IF(Table13[[#This Row],[Type]]="Co-product", "No", "")</f>
        <v/>
      </c>
      <c r="J62" s="25"/>
      <c r="K62" s="6"/>
      <c r="L62" s="6" t="str">
        <f>IF(Table13[[#This Row],[Category]]="Transportation", _xlfn.XLOOKUP(Table13[[#This Row],[Resource]], 'SI - Payload'!$A$10:$A$40,'SI - Payload'!$B$10:$B$40,"",0), "")</f>
        <v/>
      </c>
      <c r="M62" s="6" t="str">
        <f>IF(Table13[[#This Row],[Category]]="Transportation", "ton", "")</f>
        <v/>
      </c>
      <c r="N62" s="6"/>
      <c r="O62" s="6"/>
      <c r="P62" s="6" t="str">
        <f>IF(OR(Table13[[#This Row],[Type]]="Main Product", Table13[[#This Row],[Type]]="Co-Product"), Table13[[#This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IF(Table13[[#This Row],[Type]]="Co-product", "No", "")</f>
        <v/>
      </c>
      <c r="J63" s="25"/>
      <c r="K63" s="6"/>
      <c r="L63" s="6" t="str">
        <f>IF(Table13[[#This Row],[Category]]="Transportation", _xlfn.XLOOKUP(Table13[[#This Row],[Resource]], 'SI - Payload'!$A$10:$A$40,'SI - Payload'!$B$10:$B$40,"",0), "")</f>
        <v/>
      </c>
      <c r="M63" s="6" t="str">
        <f>IF(Table13[[#This Row],[Category]]="Transportation", "ton", "")</f>
        <v/>
      </c>
      <c r="N63" s="6"/>
      <c r="O63" s="6"/>
      <c r="P63" s="6" t="str">
        <f>IF(OR(Table13[[#This Row],[Type]]="Main Product", Table13[[#This Row],[Type]]="Co-Product"), Table13[[#This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IF(Table13[[#This Row],[Type]]="Co-product", "No", "")</f>
        <v/>
      </c>
      <c r="J64" s="25"/>
      <c r="K64" s="6"/>
      <c r="L64" s="6" t="str">
        <f>IF(Table13[[#This Row],[Category]]="Transportation", _xlfn.XLOOKUP(Table13[[#This Row],[Resource]], 'SI - Payload'!$A$10:$A$40,'SI - Payload'!$B$10:$B$40,"",0), "")</f>
        <v/>
      </c>
      <c r="M64" s="6" t="str">
        <f>IF(Table13[[#This Row],[Category]]="Transportation", "ton", "")</f>
        <v/>
      </c>
      <c r="N64" s="6"/>
      <c r="O64" s="6"/>
      <c r="P64" s="6" t="str">
        <f>IF(OR(Table13[[#This Row],[Type]]="Main Product", Table13[[#This Row],[Type]]="Co-Product"), Table13[[#This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IF(Table13[[#This Row],[Type]]="Co-product", "No", "")</f>
        <v/>
      </c>
      <c r="J65" s="25"/>
      <c r="K65" s="6"/>
      <c r="L65" s="6" t="str">
        <f>IF(Table13[[#This Row],[Category]]="Transportation", _xlfn.XLOOKUP(Table13[[#This Row],[Resource]], 'SI - Payload'!$A$10:$A$40,'SI - Payload'!$B$10:$B$40,"",0), "")</f>
        <v/>
      </c>
      <c r="M65" s="6" t="str">
        <f>IF(Table13[[#This Row],[Category]]="Transportation", "ton", "")</f>
        <v/>
      </c>
      <c r="N65" s="6"/>
      <c r="O65" s="6"/>
      <c r="P65" s="6" t="str">
        <f>IF(OR(Table13[[#This Row],[Type]]="Main Product", Table13[[#This Row],[Type]]="Co-Product"), Table13[[#This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IF(Table13[[#This Row],[Type]]="Co-product", "No", "")</f>
        <v/>
      </c>
      <c r="J66" s="25"/>
      <c r="K66" s="6"/>
      <c r="L66" s="6" t="str">
        <f>IF(Table13[[#This Row],[Category]]="Transportation", _xlfn.XLOOKUP(Table13[[#This Row],[Resource]], 'SI - Payload'!$A$10:$A$40,'SI - Payload'!$B$10:$B$40,"",0), "")</f>
        <v/>
      </c>
      <c r="M66" s="6" t="str">
        <f>IF(Table13[[#This Row],[Category]]="Transportation", "ton", "")</f>
        <v/>
      </c>
      <c r="N66" s="6"/>
      <c r="O66" s="6"/>
      <c r="P66" s="6" t="str">
        <f>IF(OR(Table13[[#This Row],[Type]]="Main Product", Table13[[#This Row],[Type]]="Co-Product"), Table13[[#This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IF(Table13[[#This Row],[Type]]="Co-product", "No", "")</f>
        <v/>
      </c>
      <c r="J67" s="25"/>
      <c r="K67" s="6"/>
      <c r="L67" s="6" t="str">
        <f>IF(Table13[[#This Row],[Category]]="Transportation", _xlfn.XLOOKUP(Table13[[#This Row],[Resource]], 'SI - Payload'!$A$10:$A$40,'SI - Payload'!$B$10:$B$40,"",0), "")</f>
        <v/>
      </c>
      <c r="M67" s="6" t="str">
        <f>IF(Table13[[#This Row],[Category]]="Transportation", "ton", "")</f>
        <v/>
      </c>
      <c r="N67" s="6"/>
      <c r="O67" s="6"/>
      <c r="P67" s="6" t="str">
        <f>IF(OR(Table13[[#This Row],[Type]]="Main Product", Table13[[#This Row],[Type]]="Co-Product"), Table13[[#This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IF(Table13[[#This Row],[Type]]="Co-product", "No", "")</f>
        <v/>
      </c>
      <c r="J68" s="25"/>
      <c r="K68" s="6"/>
      <c r="L68" s="6" t="str">
        <f>IF(Table13[[#This Row],[Category]]="Transportation", _xlfn.XLOOKUP(Table13[[#This Row],[Resource]], 'SI - Payload'!$A$10:$A$40,'SI - Payload'!$B$10:$B$40,"",0), "")</f>
        <v/>
      </c>
      <c r="M68" s="6" t="str">
        <f>IF(Table13[[#This Row],[Category]]="Transportation", "ton", "")</f>
        <v/>
      </c>
      <c r="N68" s="6"/>
      <c r="O68" s="6"/>
      <c r="P68" s="6" t="str">
        <f>IF(OR(Table13[[#This Row],[Type]]="Main Product", Table13[[#This Row],[Type]]="Co-Product"), Table13[[#This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IF(Table13[[#This Row],[Type]]="Co-product", "No", "")</f>
        <v/>
      </c>
      <c r="J69" s="25"/>
      <c r="K69" s="6"/>
      <c r="L69" s="6" t="str">
        <f>IF(Table13[[#This Row],[Category]]="Transportation", _xlfn.XLOOKUP(Table13[[#This Row],[Resource]], 'SI - Payload'!$A$10:$A$40,'SI - Payload'!$B$10:$B$40,"",0), "")</f>
        <v/>
      </c>
      <c r="M69" s="6" t="str">
        <f>IF(Table13[[#This Row],[Category]]="Transportation", "ton", "")</f>
        <v/>
      </c>
      <c r="N69" s="6"/>
      <c r="O69" s="6"/>
      <c r="P69" s="6" t="str">
        <f>IF(OR(Table13[[#This Row],[Type]]="Main Product", Table13[[#This Row],[Type]]="Co-Product"), Table13[[#This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IF(Table13[[#This Row],[Type]]="Co-product", "No", "")</f>
        <v/>
      </c>
      <c r="J70" s="25"/>
      <c r="K70" s="6"/>
      <c r="L70" s="6" t="str">
        <f>IF(Table13[[#This Row],[Category]]="Transportation", _xlfn.XLOOKUP(Table13[[#This Row],[Resource]], 'SI - Payload'!$A$10:$A$40,'SI - Payload'!$B$10:$B$40,"",0), "")</f>
        <v/>
      </c>
      <c r="M70" s="6" t="str">
        <f>IF(Table13[[#This Row],[Category]]="Transportation", "ton", "")</f>
        <v/>
      </c>
      <c r="N70" s="6"/>
      <c r="O70" s="6"/>
      <c r="P70" s="6" t="str">
        <f>IF(OR(Table13[[#This Row],[Type]]="Main Product", Table13[[#This Row],[Type]]="Co-Product"), Table13[[#This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IF(Table13[[#This Row],[Type]]="Co-product", "No", "")</f>
        <v/>
      </c>
      <c r="J71" s="25"/>
      <c r="K71" s="6"/>
      <c r="L71" s="6" t="str">
        <f>IF(Table13[[#This Row],[Category]]="Transportation", _xlfn.XLOOKUP(Table13[[#This Row],[Resource]], 'SI - Payload'!$A$10:$A$40,'SI - Payload'!$B$10:$B$40,"",0), "")</f>
        <v/>
      </c>
      <c r="M71" s="6" t="str">
        <f>IF(Table13[[#This Row],[Category]]="Transportation", "ton", "")</f>
        <v/>
      </c>
      <c r="N71" s="6"/>
      <c r="O71" s="6"/>
      <c r="P71" s="6" t="str">
        <f>IF(OR(Table13[[#This Row],[Type]]="Main Product", Table13[[#This Row],[Type]]="Co-Product"), Table13[[#This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IF(Table13[[#This Row],[Type]]="Co-product", "No", "")</f>
        <v/>
      </c>
      <c r="J72" s="25"/>
      <c r="K72" s="6"/>
      <c r="L72" s="6" t="str">
        <f>IF(Table13[[#This Row],[Category]]="Transportation", _xlfn.XLOOKUP(Table13[[#This Row],[Resource]], 'SI - Payload'!$A$10:$A$40,'SI - Payload'!$B$10:$B$40,"",0), "")</f>
        <v/>
      </c>
      <c r="M72" s="6" t="str">
        <f>IF(Table13[[#This Row],[Category]]="Transportation", "ton", "")</f>
        <v/>
      </c>
      <c r="N72" s="6"/>
      <c r="O72" s="6"/>
      <c r="P72" s="6" t="str">
        <f>IF(OR(Table13[[#This Row],[Type]]="Main Product", Table13[[#This Row],[Type]]="Co-Product"), Table13[[#This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IF(Table13[[#This Row],[Type]]="Co-product", "No", "")</f>
        <v/>
      </c>
      <c r="J73" s="25"/>
      <c r="K73" s="6"/>
      <c r="L73" s="6" t="str">
        <f>IF(Table13[[#This Row],[Category]]="Transportation", _xlfn.XLOOKUP(Table13[[#This Row],[Resource]], 'SI - Payload'!$A$10:$A$40,'SI - Payload'!$B$10:$B$40,"",0), "")</f>
        <v/>
      </c>
      <c r="M73" s="6" t="str">
        <f>IF(Table13[[#This Row],[Category]]="Transportation", "ton", "")</f>
        <v/>
      </c>
      <c r="N73" s="6"/>
      <c r="O73" s="6"/>
      <c r="P73" s="6" t="str">
        <f>IF(OR(Table13[[#This Row],[Type]]="Main Product", Table13[[#This Row],[Type]]="Co-Product"), Table13[[#This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IF(Table13[[#This Row],[Type]]="Co-product", "No", "")</f>
        <v/>
      </c>
      <c r="J74" s="25"/>
      <c r="K74" s="6"/>
      <c r="L74" s="6" t="str">
        <f>IF(Table13[[#This Row],[Category]]="Transportation", _xlfn.XLOOKUP(Table13[[#This Row],[Resource]], 'SI - Payload'!$A$10:$A$40,'SI - Payload'!$B$10:$B$40,"",0), "")</f>
        <v/>
      </c>
      <c r="M74" s="6" t="str">
        <f>IF(Table13[[#This Row],[Category]]="Transportation", "ton", "")</f>
        <v/>
      </c>
      <c r="N74" s="6"/>
      <c r="O74" s="6"/>
      <c r="P74" s="6" t="str">
        <f>IF(OR(Table13[[#This Row],[Type]]="Main Product", Table13[[#This Row],[Type]]="Co-Product"), Table13[[#This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IF(Table13[[#This Row],[Type]]="Co-product", "No", "")</f>
        <v/>
      </c>
      <c r="J75" s="25"/>
      <c r="K75" s="6"/>
      <c r="L75" s="6" t="str">
        <f>IF(Table13[[#This Row],[Category]]="Transportation", _xlfn.XLOOKUP(Table13[[#This Row],[Resource]], 'SI - Payload'!$A$10:$A$40,'SI - Payload'!$B$10:$B$40,"",0), "")</f>
        <v/>
      </c>
      <c r="M75" s="6" t="str">
        <f>IF(Table13[[#This Row],[Category]]="Transportation", "ton", "")</f>
        <v/>
      </c>
      <c r="N75" s="6"/>
      <c r="O75" s="6"/>
      <c r="P75" s="6" t="str">
        <f>IF(OR(Table13[[#This Row],[Type]]="Main Product", Table13[[#This Row],[Type]]="Co-Product"), Table13[[#This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IF(Table13[[#This Row],[Type]]="Co-product", "No", "")</f>
        <v/>
      </c>
      <c r="J76" s="25"/>
      <c r="K76" s="6"/>
      <c r="L76" s="6" t="str">
        <f>IF(Table13[[#This Row],[Category]]="Transportation", _xlfn.XLOOKUP(Table13[[#This Row],[Resource]], 'SI - Payload'!$A$10:$A$40,'SI - Payload'!$B$10:$B$40,"",0), "")</f>
        <v/>
      </c>
      <c r="M76" s="6" t="str">
        <f>IF(Table13[[#This Row],[Category]]="Transportation", "ton", "")</f>
        <v/>
      </c>
      <c r="N76" s="6"/>
      <c r="O76" s="6"/>
      <c r="P76" s="6" t="str">
        <f>IF(OR(Table13[[#This Row],[Type]]="Main Product", Table13[[#This Row],[Type]]="Co-Product"), Table13[[#This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IF(Table13[[#This Row],[Type]]="Co-product", "No", "")</f>
        <v/>
      </c>
      <c r="J77" s="25"/>
      <c r="K77" s="6"/>
      <c r="L77" s="6" t="str">
        <f>IF(Table13[[#This Row],[Category]]="Transportation", _xlfn.XLOOKUP(Table13[[#This Row],[Resource]], 'SI - Payload'!$A$10:$A$40,'SI - Payload'!$B$10:$B$40,"",0), "")</f>
        <v/>
      </c>
      <c r="M77" s="6" t="str">
        <f>IF(Table13[[#This Row],[Category]]="Transportation", "ton", "")</f>
        <v/>
      </c>
      <c r="N77" s="6"/>
      <c r="O77" s="6"/>
      <c r="P77" s="6" t="str">
        <f>IF(OR(Table13[[#This Row],[Type]]="Main Product", Table13[[#This Row],[Type]]="Co-Product"), Table13[[#This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IF(Table13[[#This Row],[Type]]="Co-product", "No", "")</f>
        <v/>
      </c>
      <c r="J78" s="25"/>
      <c r="K78" s="6"/>
      <c r="L78" s="6" t="str">
        <f>IF(Table13[[#This Row],[Category]]="Transportation", _xlfn.XLOOKUP(Table13[[#This Row],[Resource]], 'SI - Payload'!$A$10:$A$40,'SI - Payload'!$B$10:$B$40,"",0), "")</f>
        <v/>
      </c>
      <c r="M78" s="6" t="str">
        <f>IF(Table13[[#This Row],[Category]]="Transportation", "ton", "")</f>
        <v/>
      </c>
      <c r="N78" s="6"/>
      <c r="O78" s="6"/>
      <c r="P78" s="6" t="str">
        <f>IF(OR(Table13[[#This Row],[Type]]="Main Product", Table13[[#This Row],[Type]]="Co-Product"), Table13[[#This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IF(Table13[[#This Row],[Type]]="Co-product", "No", "")</f>
        <v/>
      </c>
      <c r="J79" s="25"/>
      <c r="K79" s="6"/>
      <c r="L79" s="6" t="str">
        <f>IF(Table13[[#This Row],[Category]]="Transportation", _xlfn.XLOOKUP(Table13[[#This Row],[Resource]], 'SI - Payload'!$A$10:$A$40,'SI - Payload'!$B$10:$B$40,"",0), "")</f>
        <v/>
      </c>
      <c r="M79" s="6" t="str">
        <f>IF(Table13[[#This Row],[Category]]="Transportation", "ton", "")</f>
        <v/>
      </c>
      <c r="N79" s="6"/>
      <c r="O79" s="6"/>
      <c r="P79" s="6" t="str">
        <f>IF(OR(Table13[[#This Row],[Type]]="Main Product", Table13[[#This Row],[Type]]="Co-Product"), Table13[[#This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IF(Table13[[#This Row],[Type]]="Co-product", "No", "")</f>
        <v/>
      </c>
      <c r="J80" s="25"/>
      <c r="K80" s="6"/>
      <c r="L80" s="6" t="str">
        <f>IF(Table13[[#This Row],[Category]]="Transportation", _xlfn.XLOOKUP(Table13[[#This Row],[Resource]], 'SI - Payload'!$A$10:$A$40,'SI - Payload'!$B$10:$B$40,"",0), "")</f>
        <v/>
      </c>
      <c r="M80" s="6" t="str">
        <f>IF(Table13[[#This Row],[Category]]="Transportation", "ton", "")</f>
        <v/>
      </c>
      <c r="N80" s="6"/>
      <c r="O80" s="6"/>
      <c r="P80" s="6" t="str">
        <f>IF(OR(Table13[[#This Row],[Type]]="Main Product", Table13[[#This Row],[Type]]="Co-Product"), Table13[[#This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IF(Table13[[#This Row],[Type]]="Co-product", "No", "")</f>
        <v/>
      </c>
      <c r="J81" s="25"/>
      <c r="K81" s="6"/>
      <c r="L81" s="6" t="str">
        <f>IF(Table13[[#This Row],[Category]]="Transportation", _xlfn.XLOOKUP(Table13[[#This Row],[Resource]], 'SI - Payload'!$A$10:$A$40,'SI - Payload'!$B$10:$B$40,"",0), "")</f>
        <v/>
      </c>
      <c r="M81" s="6" t="str">
        <f>IF(Table13[[#This Row],[Category]]="Transportation", "ton", "")</f>
        <v/>
      </c>
      <c r="N81" s="6"/>
      <c r="O81" s="6"/>
      <c r="P81" s="6" t="str">
        <f>IF(OR(Table13[[#This Row],[Type]]="Main Product", Table13[[#This Row],[Type]]="Co-Product"), Table13[[#This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IF(Table13[[#This Row],[Type]]="Co-product", "No", "")</f>
        <v/>
      </c>
      <c r="J82" s="25"/>
      <c r="K82" s="6"/>
      <c r="L82" s="6" t="str">
        <f>IF(Table13[[#This Row],[Category]]="Transportation", _xlfn.XLOOKUP(Table13[[#This Row],[Resource]], 'SI - Payload'!$A$10:$A$40,'SI - Payload'!$B$10:$B$40,"",0), "")</f>
        <v/>
      </c>
      <c r="M82" s="6" t="str">
        <f>IF(Table13[[#This Row],[Category]]="Transportation", "ton", "")</f>
        <v/>
      </c>
      <c r="N82" s="6"/>
      <c r="O82" s="6"/>
      <c r="P82" s="6" t="str">
        <f>IF(OR(Table13[[#This Row],[Type]]="Main Product", Table13[[#This Row],[Type]]="Co-Product"), Table13[[#This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IF(Table13[[#This Row],[Type]]="Co-product", "No", "")</f>
        <v/>
      </c>
      <c r="J83" s="25"/>
      <c r="K83" s="6"/>
      <c r="L83" s="6" t="str">
        <f>IF(Table13[[#This Row],[Category]]="Transportation", _xlfn.XLOOKUP(Table13[[#This Row],[Resource]], 'SI - Payload'!$A$10:$A$40,'SI - Payload'!$B$10:$B$40,"",0), "")</f>
        <v/>
      </c>
      <c r="M83" s="6" t="str">
        <f>IF(Table13[[#This Row],[Category]]="Transportation", "ton", "")</f>
        <v/>
      </c>
      <c r="N83" s="6"/>
      <c r="O83" s="6"/>
      <c r="P83" s="6" t="str">
        <f>IF(OR(Table13[[#This Row],[Type]]="Main Product", Table13[[#This Row],[Type]]="Co-Product"), Table13[[#This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IF(Table13[[#This Row],[Type]]="Co-product", "No", "")</f>
        <v/>
      </c>
      <c r="J84" s="25"/>
      <c r="K84" s="6"/>
      <c r="L84" s="6" t="str">
        <f>IF(Table13[[#This Row],[Category]]="Transportation", _xlfn.XLOOKUP(Table13[[#This Row],[Resource]], 'SI - Payload'!$A$10:$A$40,'SI - Payload'!$B$10:$B$40,"",0), "")</f>
        <v/>
      </c>
      <c r="M84" s="6" t="str">
        <f>IF(Table13[[#This Row],[Category]]="Transportation", "ton", "")</f>
        <v/>
      </c>
      <c r="N84" s="6"/>
      <c r="O84" s="6"/>
      <c r="P84" s="6" t="str">
        <f>IF(OR(Table13[[#This Row],[Type]]="Main Product", Table13[[#This Row],[Type]]="Co-Product"), Table13[[#This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IF(Table13[[#This Row],[Type]]="Co-product", "No", "")</f>
        <v/>
      </c>
      <c r="J85" s="25"/>
      <c r="K85" s="6"/>
      <c r="L85" s="6" t="str">
        <f>IF(Table13[[#This Row],[Category]]="Transportation", _xlfn.XLOOKUP(Table13[[#This Row],[Resource]], 'SI - Payload'!$A$10:$A$40,'SI - Payload'!$B$10:$B$40,"",0), "")</f>
        <v/>
      </c>
      <c r="M85" s="6" t="str">
        <f>IF(Table13[[#This Row],[Category]]="Transportation", "ton", "")</f>
        <v/>
      </c>
      <c r="N85" s="6"/>
      <c r="O85" s="6"/>
      <c r="P85" s="6" t="str">
        <f>IF(OR(Table13[[#This Row],[Type]]="Main Product", Table13[[#This Row],[Type]]="Co-Product"), Table13[[#This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IF(Table13[[#This Row],[Type]]="Co-product", "No", "")</f>
        <v/>
      </c>
      <c r="J86" s="25"/>
      <c r="K86" s="6"/>
      <c r="L86" s="6" t="str">
        <f>IF(Table13[[#This Row],[Category]]="Transportation", _xlfn.XLOOKUP(Table13[[#This Row],[Resource]], 'SI - Payload'!$A$10:$A$40,'SI - Payload'!$B$10:$B$40,"",0), "")</f>
        <v/>
      </c>
      <c r="M86" s="6" t="str">
        <f>IF(Table13[[#This Row],[Category]]="Transportation", "ton", "")</f>
        <v/>
      </c>
      <c r="N86" s="6"/>
      <c r="O86" s="6"/>
      <c r="P86" s="6" t="str">
        <f>IF(OR(Table13[[#This Row],[Type]]="Main Product", Table13[[#This Row],[Type]]="Co-Product"), Table13[[#This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IF(Table13[[#This Row],[Type]]="Co-product", "No", "")</f>
        <v/>
      </c>
      <c r="J87" s="25"/>
      <c r="K87" s="6"/>
      <c r="L87" s="6" t="str">
        <f>IF(Table13[[#This Row],[Category]]="Transportation", _xlfn.XLOOKUP(Table13[[#This Row],[Resource]], 'SI - Payload'!$A$10:$A$40,'SI - Payload'!$B$10:$B$40,"",0), "")</f>
        <v/>
      </c>
      <c r="M87" s="6" t="str">
        <f>IF(Table13[[#This Row],[Category]]="Transportation", "ton", "")</f>
        <v/>
      </c>
      <c r="N87" s="6"/>
      <c r="O87" s="6"/>
      <c r="P87" s="6" t="str">
        <f>IF(OR(Table13[[#This Row],[Type]]="Main Product", Table13[[#This Row],[Type]]="Co-Product"), Table13[[#This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IF(Table13[[#This Row],[Type]]="Co-product", "No", "")</f>
        <v/>
      </c>
      <c r="J88" s="25"/>
      <c r="K88" s="6"/>
      <c r="L88" s="6" t="str">
        <f>IF(Table13[[#This Row],[Category]]="Transportation", _xlfn.XLOOKUP(Table13[[#This Row],[Resource]], 'SI - Payload'!$A$10:$A$40,'SI - Payload'!$B$10:$B$40,"",0), "")</f>
        <v/>
      </c>
      <c r="M88" s="6" t="str">
        <f>IF(Table13[[#This Row],[Category]]="Transportation", "ton", "")</f>
        <v/>
      </c>
      <c r="N88" s="6"/>
      <c r="O88" s="6"/>
      <c r="P88" s="6" t="str">
        <f>IF(OR(Table13[[#This Row],[Type]]="Main Product", Table13[[#This Row],[Type]]="Co-Product"), Table13[[#This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IF(Table13[[#This Row],[Type]]="Co-product", "No", "")</f>
        <v/>
      </c>
      <c r="J89" s="25"/>
      <c r="K89" s="6"/>
      <c r="L89" s="6" t="str">
        <f>IF(Table13[[#This Row],[Category]]="Transportation", _xlfn.XLOOKUP(Table13[[#This Row],[Resource]], 'SI - Payload'!$A$10:$A$40,'SI - Payload'!$B$10:$B$40,"",0), "")</f>
        <v/>
      </c>
      <c r="M89" s="6" t="str">
        <f>IF(Table13[[#This Row],[Category]]="Transportation", "ton", "")</f>
        <v/>
      </c>
      <c r="N89" s="6"/>
      <c r="O89" s="6"/>
      <c r="P89" s="6" t="str">
        <f>IF(OR(Table13[[#This Row],[Type]]="Main Product", Table13[[#This Row],[Type]]="Co-Product"), Table13[[#This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IF(Table13[[#This Row],[Type]]="Co-product", "No", "")</f>
        <v/>
      </c>
      <c r="J90" s="25"/>
      <c r="K90" s="6"/>
      <c r="L90" s="6" t="str">
        <f>IF(Table13[[#This Row],[Category]]="Transportation", _xlfn.XLOOKUP(Table13[[#This Row],[Resource]], 'SI - Payload'!$A$10:$A$40,'SI - Payload'!$B$10:$B$40,"",0), "")</f>
        <v/>
      </c>
      <c r="M90" s="6" t="str">
        <f>IF(Table13[[#This Row],[Category]]="Transportation", "ton", "")</f>
        <v/>
      </c>
      <c r="N90" s="6"/>
      <c r="O90" s="6"/>
      <c r="P90" s="6" t="str">
        <f>IF(OR(Table13[[#This Row],[Type]]="Main Product", Table13[[#This Row],[Type]]="Co-Product"), Table13[[#This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IF(Table13[[#This Row],[Type]]="Co-product", "No", "")</f>
        <v/>
      </c>
      <c r="J91" s="25"/>
      <c r="K91" s="6"/>
      <c r="L91" s="6" t="str">
        <f>IF(Table13[[#This Row],[Category]]="Transportation", _xlfn.XLOOKUP(Table13[[#This Row],[Resource]], 'SI - Payload'!$A$10:$A$40,'SI - Payload'!$B$10:$B$40,"",0), "")</f>
        <v/>
      </c>
      <c r="M91" s="6" t="str">
        <f>IF(Table13[[#This Row],[Category]]="Transportation", "ton", "")</f>
        <v/>
      </c>
      <c r="N91" s="6"/>
      <c r="O91" s="6"/>
      <c r="P91" s="6" t="str">
        <f>IF(OR(Table13[[#This Row],[Type]]="Main Product", Table13[[#This Row],[Type]]="Co-Product"), Table13[[#This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IF(Table13[[#This Row],[Type]]="Co-product", "No", "")</f>
        <v/>
      </c>
      <c r="J92" s="25"/>
      <c r="K92" s="6"/>
      <c r="L92" s="6" t="str">
        <f>IF(Table13[[#This Row],[Category]]="Transportation", _xlfn.XLOOKUP(Table13[[#This Row],[Resource]], 'SI - Payload'!$A$10:$A$40,'SI - Payload'!$B$10:$B$40,"",0), "")</f>
        <v/>
      </c>
      <c r="M92" s="6" t="str">
        <f>IF(Table13[[#This Row],[Category]]="Transportation", "ton", "")</f>
        <v/>
      </c>
      <c r="N92" s="6"/>
      <c r="O92" s="6"/>
      <c r="P92" s="6" t="str">
        <f>IF(OR(Table13[[#This Row],[Type]]="Main Product", Table13[[#This Row],[Type]]="Co-Product"), Table13[[#This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IF(Table13[[#This Row],[Type]]="Co-product", "No", "")</f>
        <v/>
      </c>
      <c r="J93" s="25"/>
      <c r="K93" s="6"/>
      <c r="L93" s="6" t="str">
        <f>IF(Table13[[#This Row],[Category]]="Transportation", _xlfn.XLOOKUP(Table13[[#This Row],[Resource]], 'SI - Payload'!$A$10:$A$40,'SI - Payload'!$B$10:$B$40,"",0), "")</f>
        <v/>
      </c>
      <c r="M93" s="6" t="str">
        <f>IF(Table13[[#This Row],[Category]]="Transportation", "ton", "")</f>
        <v/>
      </c>
      <c r="N93" s="6"/>
      <c r="O93" s="6"/>
      <c r="P93" s="6" t="str">
        <f>IF(OR(Table13[[#This Row],[Type]]="Main Product", Table13[[#This Row],[Type]]="Co-Product"), Table13[[#This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IF(Table13[[#This Row],[Type]]="Co-product", "No", "")</f>
        <v/>
      </c>
      <c r="J94" s="25"/>
      <c r="K94" s="6"/>
      <c r="L94" s="6" t="str">
        <f>IF(Table13[[#This Row],[Category]]="Transportation", _xlfn.XLOOKUP(Table13[[#This Row],[Resource]], 'SI - Payload'!$A$10:$A$40,'SI - Payload'!$B$10:$B$40,"",0), "")</f>
        <v/>
      </c>
      <c r="M94" s="6" t="str">
        <f>IF(Table13[[#This Row],[Category]]="Transportation", "ton", "")</f>
        <v/>
      </c>
      <c r="N94" s="6"/>
      <c r="O94" s="6"/>
      <c r="P94" s="6" t="str">
        <f>IF(OR(Table13[[#This Row],[Type]]="Main Product", Table13[[#This Row],[Type]]="Co-Product"), Table13[[#This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IF(Table13[[#This Row],[Type]]="Co-product", "No", "")</f>
        <v/>
      </c>
      <c r="J95" s="25"/>
      <c r="K95" s="6"/>
      <c r="L95" s="6" t="str">
        <f>IF(Table13[[#This Row],[Category]]="Transportation", _xlfn.XLOOKUP(Table13[[#This Row],[Resource]], 'SI - Payload'!$A$10:$A$40,'SI - Payload'!$B$10:$B$40,"",0), "")</f>
        <v/>
      </c>
      <c r="M95" s="6" t="str">
        <f>IF(Table13[[#This Row],[Category]]="Transportation", "ton", "")</f>
        <v/>
      </c>
      <c r="N95" s="6"/>
      <c r="O95" s="6"/>
      <c r="P95" s="6" t="str">
        <f>IF(OR(Table13[[#This Row],[Type]]="Main Product", Table13[[#This Row],[Type]]="Co-Product"), Table13[[#This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IF(Table13[[#This Row],[Type]]="Co-product", "No", "")</f>
        <v/>
      </c>
      <c r="J96" s="25"/>
      <c r="K96" s="6"/>
      <c r="L96" s="6" t="str">
        <f>IF(Table13[[#This Row],[Category]]="Transportation", _xlfn.XLOOKUP(Table13[[#This Row],[Resource]], 'SI - Payload'!$A$10:$A$40,'SI - Payload'!$B$10:$B$40,"",0), "")</f>
        <v/>
      </c>
      <c r="M96" s="6" t="str">
        <f>IF(Table13[[#This Row],[Category]]="Transportation", "ton", "")</f>
        <v/>
      </c>
      <c r="N96" s="6"/>
      <c r="O96" s="6"/>
      <c r="P96" s="6" t="str">
        <f>IF(OR(Table13[[#This Row],[Type]]="Main Product", Table13[[#This Row],[Type]]="Co-Product"), Table13[[#This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IF(Table13[[#This Row],[Type]]="Co-product", "No", "")</f>
        <v/>
      </c>
      <c r="J97" s="25"/>
      <c r="K97" s="6"/>
      <c r="L97" s="6" t="str">
        <f>IF(Table13[[#This Row],[Category]]="Transportation", _xlfn.XLOOKUP(Table13[[#This Row],[Resource]], 'SI - Payload'!$A$10:$A$40,'SI - Payload'!$B$10:$B$40,"",0), "")</f>
        <v/>
      </c>
      <c r="M97" s="6" t="str">
        <f>IF(Table13[[#This Row],[Category]]="Transportation", "ton", "")</f>
        <v/>
      </c>
      <c r="N97" s="6"/>
      <c r="O97" s="6"/>
      <c r="P97" s="6" t="str">
        <f>IF(OR(Table13[[#This Row],[Type]]="Main Product", Table13[[#This Row],[Type]]="Co-Product"), Table13[[#This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IF(Table13[[#This Row],[Type]]="Co-product", "No", "")</f>
        <v/>
      </c>
      <c r="J98" s="25"/>
      <c r="K98" s="6"/>
      <c r="L98" s="6" t="str">
        <f>IF(Table13[[#This Row],[Category]]="Transportation", _xlfn.XLOOKUP(Table13[[#This Row],[Resource]], 'SI - Payload'!$A$10:$A$40,'SI - Payload'!$B$10:$B$40,"",0), "")</f>
        <v/>
      </c>
      <c r="M98" s="6" t="str">
        <f>IF(Table13[[#This Row],[Category]]="Transportation", "ton", "")</f>
        <v/>
      </c>
      <c r="N98" s="6"/>
      <c r="O98" s="6"/>
      <c r="P98" s="6" t="str">
        <f>IF(OR(Table13[[#This Row],[Type]]="Main Product", Table13[[#This Row],[Type]]="Co-Product"), Table13[[#This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IF(Table13[[#This Row],[Type]]="Co-product", "No", "")</f>
        <v/>
      </c>
      <c r="J99" s="25"/>
      <c r="K99" s="6"/>
      <c r="L99" s="6" t="str">
        <f>IF(Table13[[#This Row],[Category]]="Transportation", _xlfn.XLOOKUP(Table13[[#This Row],[Resource]], 'SI - Payload'!$A$10:$A$40,'SI - Payload'!$B$10:$B$40,"",0), "")</f>
        <v/>
      </c>
      <c r="M99" s="6" t="str">
        <f>IF(Table13[[#This Row],[Category]]="Transportation", "ton", "")</f>
        <v/>
      </c>
      <c r="N99" s="6"/>
      <c r="O99" s="6"/>
      <c r="P99" s="6" t="str">
        <f>IF(OR(Table13[[#This Row],[Type]]="Main Product", Table13[[#This Row],[Type]]="Co-Product"), Table13[[#This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IF(Table13[[#This Row],[Type]]="Co-product", "No", "")</f>
        <v/>
      </c>
      <c r="J100" s="25"/>
      <c r="K100" s="6"/>
      <c r="L100" s="6" t="str">
        <f>IF(Table13[[#This Row],[Category]]="Transportation", _xlfn.XLOOKUP(Table13[[#This Row],[Resource]], 'SI - Payload'!$A$10:$A$40,'SI - Payload'!$B$10:$B$40,"",0), "")</f>
        <v/>
      </c>
      <c r="M100" s="6" t="str">
        <f>IF(Table13[[#This Row],[Category]]="Transportation", "ton", "")</f>
        <v/>
      </c>
      <c r="N100" s="6"/>
      <c r="O100" s="6"/>
      <c r="P100" s="6" t="str">
        <f>IF(OR(Table13[[#This Row],[Type]]="Main Product", Table13[[#This Row],[Type]]="Co-Product"), Table13[[#This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76C16573-38A2-4808-8C81-F730CBC19877}">
      <formula1>0</formula1>
      <formula2>1</formula2>
    </dataValidation>
    <dataValidation type="list" allowBlank="1" showInputMessage="1" showErrorMessage="1" sqref="M6:M100" xr:uid="{9B1AB7DC-ACDC-4B65-8271-CCC829B2833E}">
      <formula1>payload_units</formula1>
    </dataValidation>
    <dataValidation type="decimal" operator="greaterThan" allowBlank="1" showInputMessage="1" showErrorMessage="1" error="Please type a positive number." sqref="L6:L100" xr:uid="{41D113A3-FA4D-4C7F-9E40-7F82954EE5AB}">
      <formula1>0</formula1>
    </dataValidation>
    <dataValidation type="decimal" operator="greaterThan" allowBlank="1" showInputMessage="1" showErrorMessage="1" error="Please type a positive price." sqref="N6:N100" xr:uid="{0A4B76D7-8706-4AA2-BC41-2D95244165AE}">
      <formula1>0</formula1>
    </dataValidation>
    <dataValidation type="decimal" allowBlank="1" showInputMessage="1" showErrorMessage="1" error="Please type a number between 0 and 1." sqref="G6:G100" xr:uid="{0D8D56B4-5328-46A9-BE89-0B709E18A0F1}">
      <formula1>0</formula1>
      <formula2>1</formula2>
    </dataValidation>
    <dataValidation type="custom" allowBlank="1" showInputMessage="1" showErrorMessage="1" sqref="E6:E100" xr:uid="{1D8C661F-49DA-46BB-8C50-6DE23188EDAA}">
      <formula1>ISNUMBER(E6)</formula1>
    </dataValidation>
    <dataValidation type="list" allowBlank="1" showInputMessage="1" showErrorMessage="1" sqref="C2" xr:uid="{BEE0BAB4-8326-4DE1-8F43-C446330E7E7C}">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9C8AC9C5-B7B4-4334-958B-4A683BA93E46}">
          <x14:formula1>
            <xm:f>IF($B6="Transportation",  transport_units, INDIRECT(_xlfn.XLOOKUP($C6, 'SI - Units'!$F$26:$F$36,'SI - Units'!$G$26:$G$36,"mass",0)))</xm:f>
          </x14:formula1>
          <xm:sqref>F6:F100</xm:sqref>
        </x14:dataValidation>
        <x14:dataValidation type="list" allowBlank="1" showInputMessage="1" showErrorMessage="1" xr:uid="{4EB70498-C6EB-4063-A593-8878AD151BCF}">
          <x14:formula1>
            <xm:f>INDIRECT("p_"&amp;_xlfn.XLOOKUP($C6,'SI - Units'!$F$26:$F$36,'SI - Units'!$G$26:$G$36,"mass",0))</xm:f>
          </x14:formula1>
          <xm:sqref>O6:O100</xm:sqref>
        </x14:dataValidation>
        <x14:dataValidation type="list" allowBlank="1" showInputMessage="1" showErrorMessage="1" xr:uid="{B002F1FE-3228-41DE-B0A5-22DC00FCD78D}">
          <x14:formula1>
            <xm:f>INDIRECT(_xlfn.XLOOKUP($P6,'SI - End Use'!$A$11:$A$18,'SI - End Use'!$B$11:$B$18,"other_end_use",0))</xm:f>
          </x14:formula1>
          <xm:sqref>Q6:R100</xm:sqref>
        </x14:dataValidation>
        <x14:dataValidation type="list" allowBlank="1" showInputMessage="1" xr:uid="{337CC050-6D8A-48C9-B4EA-33B3170C0601}">
          <x14:formula1>
            <xm:f>INDIRECT(_xlfn.XLOOKUP($C6,'SI - End Use'!$A$11:$A$18,'SI - End Use'!$B$11:$B$18,"other_end_use",0))</xm:f>
          </x14:formula1>
          <xm:sqref>D6:D100</xm:sqref>
        </x14:dataValidation>
        <x14:dataValidation type="list" allowBlank="1" showInputMessage="1" showErrorMessage="1" xr:uid="{808552DB-C17C-43EF-91B7-B43AA808615D}">
          <x14:formula1>
            <xm:f>INDIRECT(_xlfn.XLOOKUP($B6, 'SI - Resources'!$R$1:$R$10,'SI - Resources'!$S$1:$S$10, "placeholder_resource", 0))</xm:f>
          </x14:formula1>
          <xm:sqref>C6:C100 P6:P100</xm:sqref>
        </x14:dataValidation>
        <x14:dataValidation type="list" allowBlank="1" showInputMessage="1" showErrorMessage="1" xr:uid="{4F2BF4B8-AAD3-425A-BA30-4A7B1A0AC2DE}">
          <x14:formula1>
            <xm:f>'SI - Co-products'!$B$2:$B$6</xm:f>
          </x14:formula1>
          <xm:sqref>A6:A100</xm:sqref>
        </x14:dataValidation>
        <x14:dataValidation type="list" allowBlank="1" showInputMessage="1" showErrorMessage="1" xr:uid="{EBAD5B70-2D7A-41B1-9CE2-25A319FD86C3}">
          <x14:formula1>
            <xm:f>'SI - Resources'!$A$1:$J$1</xm:f>
          </x14:formula1>
          <xm:sqref>B6:B100</xm:sqref>
        </x14:dataValidation>
        <x14:dataValidation type="list" allowBlank="1" showInputMessage="1" showErrorMessage="1" xr:uid="{00AB50E3-4954-4545-B1E5-54A40E322E23}">
          <x14:formula1>
            <xm:f>'SI - Co-products'!$C$2:$C$4</xm:f>
          </x14:formula1>
          <xm:sqref>I6:I100</xm:sqref>
        </x14:dataValidation>
        <x14:dataValidation type="list" allowBlank="1" showInputMessage="1" showErrorMessage="1" xr:uid="{71E80948-EFE0-4E27-AE3E-BC72935AD8E3}">
          <x14:formula1>
            <xm:f>'SI - Co-products'!$A$2:$A$5</xm:f>
          </x14:formula1>
          <xm:sqref>K6:K100</xm:sqref>
        </x14:dataValidation>
        <x14:dataValidation type="list" allowBlank="1" showInputMessage="1" showErrorMessage="1" xr:uid="{34609A6D-FF10-45B6-90E8-B7B323B93464}">
          <x14:formula1>
            <xm:f>_xlfn.XLOOKUP(_xlfn.XLOOKUP(#REF!,'SI - Units'!$B$24:$B$109,'SI - Units'!$C$24:$C$109),'SI - Units'!$A$2:$A$8,'SI - Units'!$B$2:$R$8)</xm:f>
          </x14:formula1>
          <xm:sqref>F5</xm:sqref>
        </x14:dataValidation>
        <x14:dataValidation type="list" allowBlank="1" showInputMessage="1" showErrorMessage="1" xr:uid="{C5B79D87-C511-4431-9997-51E58A8DE11F}">
          <x14:formula1>
            <xm:f>'SI - Co-products'!$D$2:$D$8</xm:f>
          </x14:formula1>
          <xm:sqref>C1</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6B1549-9ABF-4650-A118-917352F152A9}">
  <sheetPr codeName="Sheet2"/>
  <dimension ref="A1:H15"/>
  <sheetViews>
    <sheetView workbookViewId="0">
      <selection activeCell="B15" sqref="B15:G15"/>
    </sheetView>
  </sheetViews>
  <sheetFormatPr defaultRowHeight="14.5" x14ac:dyDescent="0.35"/>
  <cols>
    <col min="1" max="1" width="20.54296875" bestFit="1" customWidth="1"/>
    <col min="8" max="8" width="14.1796875" bestFit="1" customWidth="1"/>
  </cols>
  <sheetData>
    <row r="1" spans="1:8" x14ac:dyDescent="0.35">
      <c r="A1" s="61"/>
      <c r="B1" s="84" t="s">
        <v>337</v>
      </c>
      <c r="C1" s="84"/>
      <c r="D1" s="62" t="s">
        <v>338</v>
      </c>
      <c r="E1" s="62" t="s">
        <v>339</v>
      </c>
      <c r="F1" s="62" t="s">
        <v>340</v>
      </c>
      <c r="G1" s="62" t="s">
        <v>341</v>
      </c>
      <c r="H1" s="62" t="s">
        <v>342</v>
      </c>
    </row>
    <row r="2" spans="1:8" x14ac:dyDescent="0.35">
      <c r="A2" s="62" t="s">
        <v>343</v>
      </c>
      <c r="B2" s="85">
        <v>93.088999999999999</v>
      </c>
      <c r="C2" s="85"/>
      <c r="D2" s="64">
        <v>1</v>
      </c>
      <c r="E2" s="63"/>
      <c r="F2" s="63"/>
      <c r="G2" s="65">
        <v>0.3</v>
      </c>
      <c r="H2" s="65">
        <v>0</v>
      </c>
    </row>
    <row r="3" spans="1:8" x14ac:dyDescent="0.35">
      <c r="A3" s="62" t="s">
        <v>344</v>
      </c>
      <c r="B3" s="86"/>
      <c r="C3" s="87"/>
      <c r="D3" s="66"/>
      <c r="E3" s="66"/>
      <c r="F3" s="66"/>
      <c r="G3" s="78">
        <v>0.25</v>
      </c>
      <c r="H3" s="67">
        <v>8.7999999999999995E-2</v>
      </c>
    </row>
    <row r="4" spans="1:8" x14ac:dyDescent="0.35">
      <c r="A4" s="62"/>
      <c r="B4" s="63"/>
      <c r="C4" s="63"/>
      <c r="D4" s="63"/>
      <c r="E4" s="63"/>
      <c r="F4" s="63"/>
      <c r="G4" s="63"/>
      <c r="H4" s="63"/>
    </row>
    <row r="5" spans="1:8" x14ac:dyDescent="0.35">
      <c r="A5" s="62"/>
      <c r="B5" s="68" t="s">
        <v>345</v>
      </c>
      <c r="C5" s="68" t="s">
        <v>346</v>
      </c>
      <c r="D5" s="68" t="s">
        <v>338</v>
      </c>
      <c r="E5" s="68" t="s">
        <v>339</v>
      </c>
      <c r="F5" s="68" t="s">
        <v>340</v>
      </c>
      <c r="G5" s="68" t="s">
        <v>341</v>
      </c>
      <c r="H5" s="62" t="s">
        <v>342</v>
      </c>
    </row>
    <row r="6" spans="1:8" x14ac:dyDescent="0.35">
      <c r="A6" s="62" t="s">
        <v>347</v>
      </c>
      <c r="B6" s="63">
        <v>37.729999999999997</v>
      </c>
      <c r="C6" s="63">
        <v>17.684999999999999</v>
      </c>
      <c r="D6" s="64">
        <v>1</v>
      </c>
      <c r="E6" s="66"/>
      <c r="F6" s="66"/>
      <c r="G6" s="65">
        <v>0.25</v>
      </c>
      <c r="H6" s="69">
        <v>0</v>
      </c>
    </row>
    <row r="7" spans="1:8" x14ac:dyDescent="0.35">
      <c r="A7" s="61"/>
      <c r="B7" s="63"/>
      <c r="C7" s="64"/>
      <c r="D7" s="64"/>
      <c r="E7" s="63"/>
      <c r="F7" s="63"/>
      <c r="G7" s="63"/>
      <c r="H7" s="63"/>
    </row>
    <row r="8" spans="1:8" x14ac:dyDescent="0.35">
      <c r="A8" s="61"/>
      <c r="B8" s="88" t="s">
        <v>348</v>
      </c>
      <c r="C8" s="88"/>
      <c r="D8" s="68" t="s">
        <v>338</v>
      </c>
      <c r="E8" s="68" t="s">
        <v>339</v>
      </c>
      <c r="F8" s="68" t="s">
        <v>340</v>
      </c>
      <c r="G8" s="68" t="s">
        <v>341</v>
      </c>
      <c r="H8" s="62" t="s">
        <v>342</v>
      </c>
    </row>
    <row r="9" spans="1:8" x14ac:dyDescent="0.35">
      <c r="A9" s="62" t="s">
        <v>349</v>
      </c>
      <c r="B9" s="82">
        <v>11.413</v>
      </c>
      <c r="C9" s="83"/>
      <c r="D9" s="63"/>
      <c r="E9" s="64">
        <v>1</v>
      </c>
      <c r="F9" s="63"/>
      <c r="G9" s="65">
        <v>0.11409999999999999</v>
      </c>
      <c r="H9" s="69">
        <v>8.1557678177810455E-2</v>
      </c>
    </row>
    <row r="10" spans="1:8" x14ac:dyDescent="0.35">
      <c r="A10" s="62" t="s">
        <v>350</v>
      </c>
      <c r="B10" s="82">
        <v>417.73200000000003</v>
      </c>
      <c r="C10" s="83"/>
      <c r="D10" s="63"/>
      <c r="E10" s="64">
        <v>1</v>
      </c>
      <c r="F10" s="63"/>
      <c r="G10" s="65">
        <v>0.11409999999999999</v>
      </c>
      <c r="H10" s="69">
        <v>0.02</v>
      </c>
    </row>
    <row r="11" spans="1:8" x14ac:dyDescent="0.35">
      <c r="A11" s="62" t="s">
        <v>351</v>
      </c>
      <c r="B11" s="82">
        <v>7.73</v>
      </c>
      <c r="C11" s="83"/>
      <c r="D11" s="70">
        <v>0.89500000000000002</v>
      </c>
      <c r="E11" s="70">
        <f>1-D11</f>
        <v>0.10499999999999998</v>
      </c>
      <c r="F11" s="63"/>
      <c r="G11" s="65">
        <v>0.11409999999999999</v>
      </c>
      <c r="H11" s="69">
        <v>0</v>
      </c>
    </row>
    <row r="12" spans="1:8" x14ac:dyDescent="0.35">
      <c r="A12" s="62" t="s">
        <v>352</v>
      </c>
      <c r="B12" s="82">
        <v>0.45</v>
      </c>
      <c r="C12" s="83"/>
      <c r="D12" s="63"/>
      <c r="E12" s="64">
        <v>1</v>
      </c>
      <c r="F12" s="63"/>
      <c r="G12" s="65">
        <v>0.11409999999999999</v>
      </c>
      <c r="H12" s="69">
        <v>0</v>
      </c>
    </row>
    <row r="13" spans="1:8" x14ac:dyDescent="0.35">
      <c r="A13" s="61"/>
      <c r="B13" s="63"/>
      <c r="C13" s="63"/>
      <c r="D13" s="63"/>
      <c r="E13" s="63"/>
      <c r="F13" s="63"/>
      <c r="G13" s="63"/>
      <c r="H13" s="63"/>
    </row>
    <row r="14" spans="1:8" x14ac:dyDescent="0.35">
      <c r="A14" s="62"/>
      <c r="B14" s="68" t="s">
        <v>345</v>
      </c>
      <c r="C14" s="68" t="s">
        <v>346</v>
      </c>
      <c r="D14" s="68" t="s">
        <v>338</v>
      </c>
      <c r="E14" s="68" t="s">
        <v>339</v>
      </c>
      <c r="F14" s="68" t="s">
        <v>340</v>
      </c>
      <c r="G14" s="68" t="s">
        <v>341</v>
      </c>
      <c r="H14" s="62" t="s">
        <v>342</v>
      </c>
    </row>
    <row r="15" spans="1:8" x14ac:dyDescent="0.35">
      <c r="A15" s="62" t="s">
        <v>353</v>
      </c>
      <c r="B15" s="71">
        <v>50.38</v>
      </c>
      <c r="C15" s="71">
        <v>20.889521999999999</v>
      </c>
      <c r="D15" s="64">
        <v>1</v>
      </c>
      <c r="E15" s="63"/>
      <c r="F15" s="63"/>
      <c r="G15" s="65">
        <v>0.11409999999999999</v>
      </c>
      <c r="H15" s="65">
        <v>0</v>
      </c>
    </row>
  </sheetData>
  <mergeCells count="8">
    <mergeCell ref="B11:C11"/>
    <mergeCell ref="B12:C12"/>
    <mergeCell ref="B1:C1"/>
    <mergeCell ref="B2:C2"/>
    <mergeCell ref="B3:C3"/>
    <mergeCell ref="B8:C8"/>
    <mergeCell ref="B9:C9"/>
    <mergeCell ref="B10:C10"/>
  </mergeCells>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32</vt:i4>
      </vt:variant>
    </vt:vector>
  </HeadingPairs>
  <TitlesOfParts>
    <vt:vector size="50" baseType="lpstr">
      <vt:lpstr>Introduction</vt:lpstr>
      <vt:lpstr>Template</vt:lpstr>
      <vt:lpstr>SI - Payload</vt:lpstr>
      <vt:lpstr>SI - Resources</vt:lpstr>
      <vt:lpstr>SI - End Use</vt:lpstr>
      <vt:lpstr>SI - Units</vt:lpstr>
      <vt:lpstr>SI - Co-products</vt:lpstr>
      <vt:lpstr>Harvest and collection</vt:lpstr>
      <vt:lpstr>Field storage</vt:lpstr>
      <vt:lpstr>Transportation to depot</vt:lpstr>
      <vt:lpstr>Depot storage</vt:lpstr>
      <vt:lpstr>Preprocessing</vt:lpstr>
      <vt:lpstr>Handling</vt:lpstr>
      <vt:lpstr>Blending</vt:lpstr>
      <vt:lpstr>Transportation to biorefinery</vt:lpstr>
      <vt:lpstr>Fuel production</vt:lpstr>
      <vt:lpstr>Fuel distribution</vt:lpstr>
      <vt:lpstr>INL Data</vt:lpstr>
      <vt:lpstr>biomass_resource</vt:lpstr>
      <vt:lpstr>chemicals_resource</vt:lpstr>
      <vt:lpstr>diesel_end_use</vt:lpstr>
      <vt:lpstr>electricity_end_use</vt:lpstr>
      <vt:lpstr>electricity_resource</vt:lpstr>
      <vt:lpstr>electricity_units</vt:lpstr>
      <vt:lpstr>emission_resource</vt:lpstr>
      <vt:lpstr>fuel_resource</vt:lpstr>
      <vt:lpstr>infra_resource</vt:lpstr>
      <vt:lpstr>mass</vt:lpstr>
      <vt:lpstr>mass_energy</vt:lpstr>
      <vt:lpstr>mass_volume</vt:lpstr>
      <vt:lpstr>mass_volume_energy</vt:lpstr>
      <vt:lpstr>ng_end_use</vt:lpstr>
      <vt:lpstr>other_end_use</vt:lpstr>
      <vt:lpstr>other_resource</vt:lpstr>
      <vt:lpstr>p_electricity_units</vt:lpstr>
      <vt:lpstr>p_mass</vt:lpstr>
      <vt:lpstr>p_mass_energy</vt:lpstr>
      <vt:lpstr>p_mass_volume</vt:lpstr>
      <vt:lpstr>p_mass_volume_energy</vt:lpstr>
      <vt:lpstr>p_volume</vt:lpstr>
      <vt:lpstr>p_volume_energy</vt:lpstr>
      <vt:lpstr>payload_units</vt:lpstr>
      <vt:lpstr>placeholder_resource</vt:lpstr>
      <vt:lpstr>rd_end_use</vt:lpstr>
      <vt:lpstr>transport_resource</vt:lpstr>
      <vt:lpstr>transport_units</vt:lpstr>
      <vt:lpstr>volume</vt:lpstr>
      <vt:lpstr>volume_energy</vt:lpstr>
      <vt:lpstr>waste_resource</vt:lpstr>
      <vt:lpstr>water_resource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oulongwen</cp:lastModifiedBy>
  <dcterms:created xsi:type="dcterms:W3CDTF">2022-01-12T18:09:17Z</dcterms:created>
  <dcterms:modified xsi:type="dcterms:W3CDTF">2022-12-20T05:40:59Z</dcterms:modified>
</cp:coreProperties>
</file>