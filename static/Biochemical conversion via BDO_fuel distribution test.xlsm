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drawings/drawing12.xml" ContentType="application/vnd.openxmlformats-officedocument.drawing+xml"/>
  <Override PartName="/xl/ctrlProps/ctrlProp12.xml" ContentType="application/vnd.ms-excel.controlproperties+xml"/>
  <Override PartName="/xl/tables/table1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924D8866-924A-4845-8825-332F9A266B9D}" xr6:coauthVersionLast="47" xr6:coauthVersionMax="47" xr10:uidLastSave="{00000000-0000-0000-0000-000000000000}"/>
  <bookViews>
    <workbookView xWindow="33720" yWindow="2610" windowWidth="29040" windowHeight="15840" tabRatio="685" firstSheet="9" activeTab="17"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INL Data" sheetId="28" r:id="rId16"/>
    <sheet name="Fuel production" sheetId="37" r:id="rId17"/>
    <sheet name="Fuel distribution" sheetId="38" r:id="rId18"/>
  </sheets>
  <externalReferences>
    <externalReference r:id="rId19"/>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Resources'!$H$2:$H$10</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00" i="38" l="1"/>
  <c r="P100" i="38"/>
  <c r="M100" i="38"/>
  <c r="L100" i="38"/>
  <c r="I100" i="38"/>
  <c r="D100" i="38"/>
  <c r="C100" i="38"/>
  <c r="F100" i="38" s="1" a="1"/>
  <c r="F100" i="38" s="1"/>
  <c r="Q99" i="38"/>
  <c r="P99" i="38"/>
  <c r="M99" i="38"/>
  <c r="L99" i="38"/>
  <c r="I99" i="38"/>
  <c r="F99" i="38" a="1"/>
  <c r="F99" i="38" s="1"/>
  <c r="D99" i="38"/>
  <c r="C99" i="38"/>
  <c r="Q98" i="38"/>
  <c r="P98" i="38"/>
  <c r="M98" i="38"/>
  <c r="L98" i="38"/>
  <c r="I98" i="38"/>
  <c r="F98" i="38"/>
  <c r="F98" i="38" a="1"/>
  <c r="C98" i="38"/>
  <c r="D98" i="38" s="1"/>
  <c r="P97" i="38"/>
  <c r="Q97" i="38" s="1"/>
  <c r="M97" i="38"/>
  <c r="L97" i="38"/>
  <c r="I97" i="38"/>
  <c r="F97" i="38"/>
  <c r="F97" i="38" a="1"/>
  <c r="D97" i="38"/>
  <c r="C97" i="38"/>
  <c r="Q96" i="38"/>
  <c r="P96" i="38"/>
  <c r="M96" i="38"/>
  <c r="L96" i="38"/>
  <c r="I96" i="38"/>
  <c r="C96" i="38"/>
  <c r="F96" i="38" s="1" a="1"/>
  <c r="F96" i="38" s="1"/>
  <c r="P95" i="38"/>
  <c r="Q95" i="38" s="1"/>
  <c r="M95" i="38"/>
  <c r="L95" i="38"/>
  <c r="I95" i="38"/>
  <c r="F95" i="38" a="1"/>
  <c r="F95" i="38" s="1"/>
  <c r="D95" i="38"/>
  <c r="C95" i="38"/>
  <c r="P94" i="38"/>
  <c r="Q94" i="38" s="1"/>
  <c r="M94" i="38"/>
  <c r="L94" i="38"/>
  <c r="I94" i="38"/>
  <c r="F94" i="38" a="1"/>
  <c r="F94" i="38" s="1"/>
  <c r="D94" i="38"/>
  <c r="C94" i="38"/>
  <c r="Q93" i="38"/>
  <c r="P93" i="38"/>
  <c r="M93" i="38"/>
  <c r="L93" i="38"/>
  <c r="I93" i="38"/>
  <c r="C93" i="38"/>
  <c r="F93" i="38" s="1" a="1"/>
  <c r="F93" i="38" s="1"/>
  <c r="Q92" i="38"/>
  <c r="P92" i="38"/>
  <c r="M92" i="38"/>
  <c r="L92" i="38"/>
  <c r="I92" i="38"/>
  <c r="D92" i="38"/>
  <c r="C92" i="38"/>
  <c r="F92" i="38" s="1" a="1"/>
  <c r="F92" i="38" s="1"/>
  <c r="Q91" i="38"/>
  <c r="P91" i="38"/>
  <c r="M91" i="38"/>
  <c r="L91" i="38"/>
  <c r="I91" i="38"/>
  <c r="F91" i="38" a="1"/>
  <c r="F91" i="38" s="1"/>
  <c r="D91" i="38"/>
  <c r="C91" i="38"/>
  <c r="P90" i="38"/>
  <c r="Q90" i="38" s="1"/>
  <c r="M90" i="38"/>
  <c r="L90" i="38"/>
  <c r="I90" i="38"/>
  <c r="F90" i="38"/>
  <c r="F90" i="38" a="1"/>
  <c r="D90" i="38"/>
  <c r="C90" i="38"/>
  <c r="P89" i="38"/>
  <c r="Q89" i="38" s="1"/>
  <c r="M89" i="38"/>
  <c r="L89" i="38"/>
  <c r="I89" i="38"/>
  <c r="F89" i="38"/>
  <c r="F89" i="38" a="1"/>
  <c r="C89" i="38"/>
  <c r="D89" i="38" s="1"/>
  <c r="Q88" i="38"/>
  <c r="P88" i="38"/>
  <c r="M88" i="38"/>
  <c r="L88" i="38"/>
  <c r="I88" i="38"/>
  <c r="C88" i="38"/>
  <c r="F88" i="38" s="1" a="1"/>
  <c r="F88" i="38" s="1"/>
  <c r="Q87" i="38"/>
  <c r="P87" i="38"/>
  <c r="M87" i="38"/>
  <c r="L87" i="38"/>
  <c r="I87" i="38"/>
  <c r="F87" i="38" a="1"/>
  <c r="F87" i="38" s="1"/>
  <c r="D87" i="38"/>
  <c r="C87" i="38"/>
  <c r="P86" i="38"/>
  <c r="Q86" i="38" s="1"/>
  <c r="M86" i="38"/>
  <c r="L86" i="38"/>
  <c r="I86" i="38"/>
  <c r="F86" i="38" a="1"/>
  <c r="F86" i="38" s="1"/>
  <c r="D86" i="38"/>
  <c r="C86" i="38"/>
  <c r="Q85" i="38"/>
  <c r="P85" i="38"/>
  <c r="M85" i="38"/>
  <c r="L85" i="38"/>
  <c r="I85" i="38"/>
  <c r="C85" i="38"/>
  <c r="F85" i="38" s="1" a="1"/>
  <c r="F85" i="38" s="1"/>
  <c r="Q84" i="38"/>
  <c r="P84" i="38"/>
  <c r="M84" i="38"/>
  <c r="L84" i="38"/>
  <c r="I84" i="38"/>
  <c r="D84" i="38"/>
  <c r="C84" i="38"/>
  <c r="F84" i="38" s="1" a="1"/>
  <c r="F84" i="38" s="1"/>
  <c r="Q83" i="38"/>
  <c r="P83" i="38"/>
  <c r="M83" i="38"/>
  <c r="L83" i="38"/>
  <c r="I83" i="38"/>
  <c r="F83" i="38" a="1"/>
  <c r="F83" i="38" s="1"/>
  <c r="D83" i="38"/>
  <c r="C83" i="38"/>
  <c r="P82" i="38"/>
  <c r="Q82" i="38" s="1"/>
  <c r="M82" i="38"/>
  <c r="L82" i="38"/>
  <c r="I82" i="38"/>
  <c r="F82" i="38"/>
  <c r="F82" i="38" a="1"/>
  <c r="D82" i="38"/>
  <c r="C82" i="38"/>
  <c r="P81" i="38"/>
  <c r="Q81" i="38" s="1"/>
  <c r="M81" i="38"/>
  <c r="L81" i="38"/>
  <c r="I81" i="38"/>
  <c r="F81" i="38"/>
  <c r="F81" i="38" a="1"/>
  <c r="C81" i="38"/>
  <c r="D81" i="38" s="1"/>
  <c r="Q80" i="38"/>
  <c r="P80" i="38"/>
  <c r="M80" i="38"/>
  <c r="L80" i="38"/>
  <c r="I80" i="38"/>
  <c r="C80" i="38"/>
  <c r="F80" i="38" s="1" a="1"/>
  <c r="F80" i="38" s="1"/>
  <c r="Q79" i="38"/>
  <c r="P79" i="38"/>
  <c r="M79" i="38"/>
  <c r="L79" i="38"/>
  <c r="I79" i="38"/>
  <c r="F79" i="38" a="1"/>
  <c r="F79" i="38" s="1"/>
  <c r="D79" i="38"/>
  <c r="C79" i="38"/>
  <c r="P78" i="38"/>
  <c r="Q78" i="38" s="1"/>
  <c r="M78" i="38"/>
  <c r="L78" i="38"/>
  <c r="I78" i="38"/>
  <c r="F78" i="38" a="1"/>
  <c r="F78" i="38" s="1"/>
  <c r="D78" i="38"/>
  <c r="C78" i="38"/>
  <c r="Q77" i="38"/>
  <c r="P77" i="38"/>
  <c r="M77" i="38"/>
  <c r="L77" i="38"/>
  <c r="I77" i="38"/>
  <c r="C77" i="38"/>
  <c r="F77" i="38" s="1" a="1"/>
  <c r="F77" i="38" s="1"/>
  <c r="Q76" i="38"/>
  <c r="P76" i="38"/>
  <c r="M76" i="38"/>
  <c r="L76" i="38"/>
  <c r="I76" i="38"/>
  <c r="D76" i="38"/>
  <c r="C76" i="38"/>
  <c r="F76" i="38" s="1" a="1"/>
  <c r="F76" i="38" s="1"/>
  <c r="Q75" i="38"/>
  <c r="P75" i="38"/>
  <c r="M75" i="38"/>
  <c r="L75" i="38"/>
  <c r="I75" i="38"/>
  <c r="F75" i="38" a="1"/>
  <c r="F75" i="38" s="1"/>
  <c r="D75" i="38"/>
  <c r="C75" i="38"/>
  <c r="P74" i="38"/>
  <c r="Q74" i="38" s="1"/>
  <c r="M74" i="38"/>
  <c r="L74" i="38"/>
  <c r="I74" i="38"/>
  <c r="F74" i="38"/>
  <c r="F74" i="38" a="1"/>
  <c r="D74" i="38"/>
  <c r="C74" i="38"/>
  <c r="P73" i="38"/>
  <c r="Q73" i="38" s="1"/>
  <c r="M73" i="38"/>
  <c r="L73" i="38"/>
  <c r="I73" i="38"/>
  <c r="F73" i="38"/>
  <c r="F73" i="38" a="1"/>
  <c r="C73" i="38"/>
  <c r="D73" i="38" s="1"/>
  <c r="Q72" i="38"/>
  <c r="P72" i="38"/>
  <c r="M72" i="38"/>
  <c r="L72" i="38"/>
  <c r="I72" i="38"/>
  <c r="C72" i="38"/>
  <c r="F72" i="38" s="1" a="1"/>
  <c r="F72" i="38" s="1"/>
  <c r="Q71" i="38"/>
  <c r="P71" i="38"/>
  <c r="M71" i="38"/>
  <c r="L71" i="38"/>
  <c r="I71" i="38"/>
  <c r="F71" i="38" a="1"/>
  <c r="F71" i="38" s="1"/>
  <c r="D71" i="38"/>
  <c r="C71" i="38"/>
  <c r="P70" i="38"/>
  <c r="Q70" i="38" s="1"/>
  <c r="M70" i="38"/>
  <c r="L70" i="38"/>
  <c r="I70" i="38"/>
  <c r="F70" i="38" a="1"/>
  <c r="F70" i="38" s="1"/>
  <c r="D70" i="38"/>
  <c r="C70" i="38"/>
  <c r="Q69" i="38"/>
  <c r="P69" i="38"/>
  <c r="M69" i="38"/>
  <c r="L69" i="38"/>
  <c r="I69" i="38"/>
  <c r="C69" i="38"/>
  <c r="F69" i="38" s="1" a="1"/>
  <c r="F69" i="38" s="1"/>
  <c r="Q68" i="38"/>
  <c r="P68" i="38"/>
  <c r="M68" i="38"/>
  <c r="L68" i="38"/>
  <c r="I68" i="38"/>
  <c r="D68" i="38"/>
  <c r="C68" i="38"/>
  <c r="F68" i="38" s="1" a="1"/>
  <c r="F68" i="38" s="1"/>
  <c r="Q67" i="38"/>
  <c r="P67" i="38"/>
  <c r="M67" i="38"/>
  <c r="L67" i="38"/>
  <c r="I67" i="38"/>
  <c r="F67" i="38" a="1"/>
  <c r="F67" i="38" s="1"/>
  <c r="D67" i="38"/>
  <c r="C67" i="38"/>
  <c r="P66" i="38"/>
  <c r="Q66" i="38" s="1"/>
  <c r="M66" i="38"/>
  <c r="L66" i="38"/>
  <c r="I66" i="38"/>
  <c r="F66" i="38"/>
  <c r="F66" i="38" a="1"/>
  <c r="D66" i="38"/>
  <c r="C66" i="38"/>
  <c r="P65" i="38"/>
  <c r="Q65" i="38" s="1"/>
  <c r="M65" i="38"/>
  <c r="L65" i="38"/>
  <c r="I65" i="38"/>
  <c r="F65" i="38"/>
  <c r="F65" i="38" a="1"/>
  <c r="C65" i="38"/>
  <c r="D65" i="38" s="1"/>
  <c r="Q64" i="38"/>
  <c r="P64" i="38"/>
  <c r="M64" i="38"/>
  <c r="L64" i="38"/>
  <c r="I64" i="38"/>
  <c r="C64" i="38"/>
  <c r="F64" i="38" s="1" a="1"/>
  <c r="F64" i="38" s="1"/>
  <c r="Q63" i="38"/>
  <c r="P63" i="38"/>
  <c r="M63" i="38"/>
  <c r="L63" i="38"/>
  <c r="I63" i="38"/>
  <c r="F63" i="38" a="1"/>
  <c r="F63" i="38" s="1"/>
  <c r="D63" i="38"/>
  <c r="C63" i="38"/>
  <c r="P62" i="38"/>
  <c r="Q62" i="38" s="1"/>
  <c r="M62" i="38"/>
  <c r="L62" i="38"/>
  <c r="I62" i="38"/>
  <c r="F62" i="38" a="1"/>
  <c r="F62" i="38" s="1"/>
  <c r="D62" i="38"/>
  <c r="C62" i="38"/>
  <c r="Q61" i="38"/>
  <c r="P61" i="38"/>
  <c r="M61" i="38"/>
  <c r="L61" i="38"/>
  <c r="I61" i="38"/>
  <c r="C61" i="38"/>
  <c r="F61" i="38" s="1" a="1"/>
  <c r="F61" i="38" s="1"/>
  <c r="Q60" i="38"/>
  <c r="P60" i="38"/>
  <c r="M60" i="38"/>
  <c r="L60" i="38"/>
  <c r="I60" i="38"/>
  <c r="D60" i="38"/>
  <c r="C60" i="38"/>
  <c r="F60" i="38" s="1" a="1"/>
  <c r="F60" i="38" s="1"/>
  <c r="Q59" i="38"/>
  <c r="P59" i="38"/>
  <c r="M59" i="38"/>
  <c r="L59" i="38"/>
  <c r="I59" i="38"/>
  <c r="F59" i="38" a="1"/>
  <c r="F59" i="38" s="1"/>
  <c r="D59" i="38"/>
  <c r="C59" i="38"/>
  <c r="P58" i="38"/>
  <c r="Q58" i="38" s="1"/>
  <c r="M58" i="38"/>
  <c r="L58" i="38"/>
  <c r="I58" i="38"/>
  <c r="F58" i="38"/>
  <c r="F58" i="38" a="1"/>
  <c r="D58" i="38"/>
  <c r="C58" i="38"/>
  <c r="P57" i="38"/>
  <c r="Q57" i="38" s="1"/>
  <c r="M57" i="38"/>
  <c r="L57" i="38"/>
  <c r="I57" i="38"/>
  <c r="F57" i="38"/>
  <c r="F57" i="38" a="1"/>
  <c r="C57" i="38"/>
  <c r="D57" i="38" s="1"/>
  <c r="Q56" i="38"/>
  <c r="P56" i="38"/>
  <c r="M56" i="38"/>
  <c r="L56" i="38"/>
  <c r="I56" i="38"/>
  <c r="C56" i="38"/>
  <c r="F56" i="38" s="1" a="1"/>
  <c r="F56" i="38" s="1"/>
  <c r="Q55" i="38"/>
  <c r="P55" i="38"/>
  <c r="M55" i="38"/>
  <c r="L55" i="38"/>
  <c r="I55" i="38"/>
  <c r="F55" i="38" a="1"/>
  <c r="F55" i="38" s="1"/>
  <c r="D55" i="38"/>
  <c r="C55" i="38"/>
  <c r="P54" i="38"/>
  <c r="Q54" i="38" s="1"/>
  <c r="M54" i="38"/>
  <c r="L54" i="38"/>
  <c r="I54" i="38"/>
  <c r="F54" i="38" a="1"/>
  <c r="F54" i="38" s="1"/>
  <c r="D54" i="38"/>
  <c r="C54" i="38"/>
  <c r="Q53" i="38"/>
  <c r="P53" i="38"/>
  <c r="M53" i="38"/>
  <c r="L53" i="38"/>
  <c r="I53" i="38"/>
  <c r="C53" i="38"/>
  <c r="F53" i="38" s="1" a="1"/>
  <c r="F53" i="38" s="1"/>
  <c r="Q52" i="38"/>
  <c r="P52" i="38"/>
  <c r="M52" i="38"/>
  <c r="L52" i="38"/>
  <c r="I52" i="38"/>
  <c r="D52" i="38"/>
  <c r="C52" i="38"/>
  <c r="F52" i="38" s="1" a="1"/>
  <c r="F52" i="38" s="1"/>
  <c r="Q51" i="38"/>
  <c r="P51" i="38"/>
  <c r="M51" i="38"/>
  <c r="L51" i="38"/>
  <c r="I51" i="38"/>
  <c r="F51" i="38" a="1"/>
  <c r="F51" i="38" s="1"/>
  <c r="D51" i="38"/>
  <c r="C51" i="38"/>
  <c r="P50" i="38"/>
  <c r="Q50" i="38" s="1"/>
  <c r="M50" i="38"/>
  <c r="L50" i="38"/>
  <c r="I50" i="38"/>
  <c r="F50" i="38"/>
  <c r="F50" i="38" a="1"/>
  <c r="D50" i="38"/>
  <c r="C50" i="38"/>
  <c r="P49" i="38"/>
  <c r="Q49" i="38" s="1"/>
  <c r="M49" i="38"/>
  <c r="L49" i="38"/>
  <c r="I49" i="38"/>
  <c r="F49" i="38"/>
  <c r="F49" i="38" a="1"/>
  <c r="C49" i="38"/>
  <c r="D49" i="38" s="1"/>
  <c r="Q48" i="38"/>
  <c r="P48" i="38"/>
  <c r="M48" i="38"/>
  <c r="L48" i="38"/>
  <c r="I48" i="38"/>
  <c r="C48" i="38"/>
  <c r="F48" i="38" s="1" a="1"/>
  <c r="F48" i="38" s="1"/>
  <c r="Q47" i="38"/>
  <c r="P47" i="38"/>
  <c r="M47" i="38"/>
  <c r="L47" i="38"/>
  <c r="I47" i="38"/>
  <c r="F47" i="38" a="1"/>
  <c r="F47" i="38" s="1"/>
  <c r="D47" i="38"/>
  <c r="C47" i="38"/>
  <c r="P46" i="38"/>
  <c r="Q46" i="38" s="1"/>
  <c r="M46" i="38"/>
  <c r="L46" i="38"/>
  <c r="I46" i="38"/>
  <c r="F46" i="38" a="1"/>
  <c r="F46" i="38" s="1"/>
  <c r="D46" i="38"/>
  <c r="C46" i="38"/>
  <c r="Q45" i="38"/>
  <c r="P45" i="38"/>
  <c r="M45" i="38"/>
  <c r="L45" i="38"/>
  <c r="I45" i="38"/>
  <c r="C45" i="38"/>
  <c r="F45" i="38" s="1" a="1"/>
  <c r="F45" i="38" s="1"/>
  <c r="Q44" i="38"/>
  <c r="P44" i="38"/>
  <c r="M44" i="38"/>
  <c r="L44" i="38"/>
  <c r="I44" i="38"/>
  <c r="D44" i="38"/>
  <c r="C44" i="38"/>
  <c r="F44" i="38" s="1" a="1"/>
  <c r="F44" i="38" s="1"/>
  <c r="Q43" i="38"/>
  <c r="P43" i="38"/>
  <c r="M43" i="38"/>
  <c r="L43" i="38"/>
  <c r="I43" i="38"/>
  <c r="F43" i="38" a="1"/>
  <c r="F43" i="38" s="1"/>
  <c r="D43" i="38"/>
  <c r="C43" i="38"/>
  <c r="P42" i="38"/>
  <c r="Q42" i="38" s="1"/>
  <c r="M42" i="38"/>
  <c r="L42" i="38"/>
  <c r="I42" i="38"/>
  <c r="F42" i="38"/>
  <c r="F42" i="38" a="1"/>
  <c r="D42" i="38"/>
  <c r="C42" i="38"/>
  <c r="P41" i="38"/>
  <c r="Q41" i="38" s="1"/>
  <c r="M41" i="38"/>
  <c r="L41" i="38"/>
  <c r="I41" i="38"/>
  <c r="F41" i="38"/>
  <c r="F41" i="38" a="1"/>
  <c r="C41" i="38"/>
  <c r="D41" i="38" s="1"/>
  <c r="Q40" i="38"/>
  <c r="P40" i="38"/>
  <c r="M40" i="38"/>
  <c r="L40" i="38"/>
  <c r="I40" i="38"/>
  <c r="C40" i="38"/>
  <c r="F40" i="38" s="1" a="1"/>
  <c r="F40" i="38" s="1"/>
  <c r="Q39" i="38"/>
  <c r="P39" i="38"/>
  <c r="M39" i="38"/>
  <c r="L39" i="38"/>
  <c r="I39" i="38"/>
  <c r="F39" i="38" a="1"/>
  <c r="F39" i="38" s="1"/>
  <c r="D39" i="38"/>
  <c r="C39" i="38"/>
  <c r="P38" i="38"/>
  <c r="Q38" i="38" s="1"/>
  <c r="M38" i="38"/>
  <c r="L38" i="38"/>
  <c r="I38" i="38"/>
  <c r="F38" i="38" a="1"/>
  <c r="F38" i="38" s="1"/>
  <c r="D38" i="38"/>
  <c r="C38" i="38"/>
  <c r="Q37" i="38"/>
  <c r="P37" i="38"/>
  <c r="M37" i="38"/>
  <c r="L37" i="38"/>
  <c r="I37" i="38"/>
  <c r="C37" i="38"/>
  <c r="F37" i="38" s="1" a="1"/>
  <c r="F37" i="38" s="1"/>
  <c r="Q36" i="38"/>
  <c r="P36" i="38"/>
  <c r="M36" i="38"/>
  <c r="L36" i="38"/>
  <c r="I36" i="38"/>
  <c r="D36" i="38"/>
  <c r="C36" i="38"/>
  <c r="F36" i="38" s="1" a="1"/>
  <c r="F36" i="38" s="1"/>
  <c r="Q35" i="38"/>
  <c r="P35" i="38"/>
  <c r="M35" i="38"/>
  <c r="L35" i="38"/>
  <c r="I35" i="38"/>
  <c r="F35" i="38" a="1"/>
  <c r="F35" i="38" s="1"/>
  <c r="D35" i="38"/>
  <c r="C35" i="38"/>
  <c r="P34" i="38"/>
  <c r="Q34" i="38" s="1"/>
  <c r="M34" i="38"/>
  <c r="L34" i="38"/>
  <c r="I34" i="38"/>
  <c r="F34" i="38" a="1"/>
  <c r="F34" i="38" s="1"/>
  <c r="D34" i="38"/>
  <c r="C34" i="38"/>
  <c r="P33" i="38"/>
  <c r="Q33" i="38" s="1"/>
  <c r="M33" i="38"/>
  <c r="L33" i="38"/>
  <c r="I33" i="38"/>
  <c r="F33" i="38"/>
  <c r="F33" i="38" a="1"/>
  <c r="C33" i="38"/>
  <c r="D33" i="38" s="1"/>
  <c r="Q32" i="38"/>
  <c r="P32" i="38"/>
  <c r="M32" i="38"/>
  <c r="L32" i="38"/>
  <c r="I32" i="38"/>
  <c r="C32" i="38"/>
  <c r="F32" i="38" s="1" a="1"/>
  <c r="F32" i="38" s="1"/>
  <c r="Q31" i="38"/>
  <c r="P31" i="38"/>
  <c r="M31" i="38"/>
  <c r="L31" i="38"/>
  <c r="I31" i="38"/>
  <c r="F31" i="38" a="1"/>
  <c r="F31" i="38" s="1"/>
  <c r="D31" i="38"/>
  <c r="C31" i="38"/>
  <c r="P30" i="38"/>
  <c r="Q30" i="38" s="1"/>
  <c r="M30" i="38"/>
  <c r="L30" i="38"/>
  <c r="I30" i="38"/>
  <c r="F30" i="38" a="1"/>
  <c r="F30" i="38" s="1"/>
  <c r="D30" i="38"/>
  <c r="C30" i="38"/>
  <c r="P29" i="38"/>
  <c r="Q29" i="38" s="1"/>
  <c r="M29" i="38"/>
  <c r="L29" i="38"/>
  <c r="I29" i="38"/>
  <c r="C29" i="38"/>
  <c r="F29" i="38" s="1" a="1"/>
  <c r="F29" i="38" s="1"/>
  <c r="Q28" i="38"/>
  <c r="P28" i="38"/>
  <c r="M28" i="38"/>
  <c r="L28" i="38"/>
  <c r="I28" i="38"/>
  <c r="C28" i="38"/>
  <c r="D28" i="38" s="1"/>
  <c r="Q27" i="38"/>
  <c r="P27" i="38"/>
  <c r="M27" i="38"/>
  <c r="L27" i="38"/>
  <c r="I27" i="38"/>
  <c r="F27" i="38" a="1"/>
  <c r="F27" i="38" s="1"/>
  <c r="D27" i="38"/>
  <c r="C27" i="38"/>
  <c r="P26" i="38"/>
  <c r="Q26" i="38" s="1"/>
  <c r="M26" i="38"/>
  <c r="L26" i="38"/>
  <c r="I26" i="38"/>
  <c r="F26" i="38" a="1"/>
  <c r="F26" i="38" s="1"/>
  <c r="D26" i="38"/>
  <c r="C26" i="38"/>
  <c r="P25" i="38"/>
  <c r="Q25" i="38" s="1"/>
  <c r="M25" i="38"/>
  <c r="L25" i="38"/>
  <c r="I25" i="38"/>
  <c r="F25" i="38"/>
  <c r="F25" i="38" a="1"/>
  <c r="C25" i="38"/>
  <c r="D25" i="38" s="1"/>
  <c r="Q24" i="38"/>
  <c r="P24" i="38"/>
  <c r="M24" i="38"/>
  <c r="L24" i="38"/>
  <c r="I24" i="38"/>
  <c r="C24" i="38"/>
  <c r="F24" i="38" s="1" a="1"/>
  <c r="F24" i="38" s="1"/>
  <c r="Q23" i="38"/>
  <c r="P23" i="38"/>
  <c r="M23" i="38"/>
  <c r="L23" i="38"/>
  <c r="I23" i="38"/>
  <c r="F23" i="38" a="1"/>
  <c r="F23" i="38" s="1"/>
  <c r="D23" i="38"/>
  <c r="C23" i="38"/>
  <c r="P22" i="38"/>
  <c r="Q22" i="38" s="1"/>
  <c r="M22" i="38"/>
  <c r="L22" i="38"/>
  <c r="I22" i="38"/>
  <c r="F22" i="38" a="1"/>
  <c r="F22" i="38" s="1"/>
  <c r="D22" i="38"/>
  <c r="C22" i="38"/>
  <c r="P21" i="38"/>
  <c r="Q21" i="38" s="1"/>
  <c r="M21" i="38"/>
  <c r="L21" i="38"/>
  <c r="I21" i="38"/>
  <c r="C21" i="38"/>
  <c r="F21" i="38" s="1" a="1"/>
  <c r="F21" i="38" s="1"/>
  <c r="Q20" i="38"/>
  <c r="P20" i="38"/>
  <c r="M20" i="38"/>
  <c r="L20" i="38"/>
  <c r="I20" i="38"/>
  <c r="C20" i="38"/>
  <c r="D20" i="38" s="1"/>
  <c r="Q19" i="38"/>
  <c r="P19" i="38"/>
  <c r="M19" i="38"/>
  <c r="L19" i="38"/>
  <c r="I19" i="38"/>
  <c r="D19" i="38"/>
  <c r="C19" i="38"/>
  <c r="F19" i="38" s="1" a="1"/>
  <c r="F19" i="38" s="1"/>
  <c r="P18" i="38"/>
  <c r="Q18" i="38" s="1"/>
  <c r="M18" i="38"/>
  <c r="L18" i="38"/>
  <c r="I18" i="38"/>
  <c r="F18" i="38" a="1"/>
  <c r="F18" i="38" s="1"/>
  <c r="D18" i="38"/>
  <c r="C18" i="38"/>
  <c r="P17" i="38"/>
  <c r="Q17" i="38" s="1"/>
  <c r="M17" i="38"/>
  <c r="L17" i="38"/>
  <c r="I17" i="38"/>
  <c r="F17" i="38" a="1"/>
  <c r="F17" i="38" s="1"/>
  <c r="C17" i="38"/>
  <c r="D17" i="38" s="1"/>
  <c r="Q16" i="38"/>
  <c r="P16" i="38"/>
  <c r="M16" i="38"/>
  <c r="L16" i="38"/>
  <c r="I16" i="38"/>
  <c r="C16" i="38"/>
  <c r="F16" i="38" s="1" a="1"/>
  <c r="F16" i="38" s="1"/>
  <c r="Q15" i="38"/>
  <c r="P15" i="38"/>
  <c r="M15" i="38"/>
  <c r="L15" i="38"/>
  <c r="I15" i="38"/>
  <c r="F15" i="38" a="1"/>
  <c r="F15" i="38" s="1"/>
  <c r="D15" i="38"/>
  <c r="C15" i="38"/>
  <c r="P14" i="38"/>
  <c r="Q14" i="38" s="1"/>
  <c r="M14" i="38"/>
  <c r="L14" i="38"/>
  <c r="I14" i="38"/>
  <c r="F14" i="38" a="1"/>
  <c r="F14" i="38" s="1"/>
  <c r="D14" i="38"/>
  <c r="C14" i="38"/>
  <c r="P13" i="38"/>
  <c r="Q13" i="38" s="1"/>
  <c r="M13" i="38"/>
  <c r="L13" i="38"/>
  <c r="I13" i="38"/>
  <c r="C13" i="38"/>
  <c r="F13" i="38" s="1" a="1"/>
  <c r="F13" i="38" s="1"/>
  <c r="P12" i="38"/>
  <c r="Q12" i="38" s="1"/>
  <c r="M12" i="38"/>
  <c r="L12" i="38"/>
  <c r="I12" i="38"/>
  <c r="C12" i="38"/>
  <c r="D12" i="38" s="1"/>
  <c r="Q11" i="38"/>
  <c r="P11" i="38"/>
  <c r="M11" i="38"/>
  <c r="L11" i="38"/>
  <c r="I11" i="38"/>
  <c r="C11" i="38"/>
  <c r="F11" i="38" s="1" a="1"/>
  <c r="F11" i="38" s="1"/>
  <c r="P10" i="38"/>
  <c r="Q10" i="38" s="1"/>
  <c r="M10" i="38"/>
  <c r="L10" i="38"/>
  <c r="I10" i="38"/>
  <c r="F10" i="38" a="1"/>
  <c r="F10" i="38" s="1"/>
  <c r="D10" i="38"/>
  <c r="C10" i="38"/>
  <c r="Q100" i="37"/>
  <c r="P100" i="37"/>
  <c r="M100" i="37"/>
  <c r="L100" i="37"/>
  <c r="I100" i="37"/>
  <c r="C100" i="37"/>
  <c r="F100" i="37" s="1" a="1"/>
  <c r="F100" i="37" s="1"/>
  <c r="Q99" i="37"/>
  <c r="P99" i="37"/>
  <c r="M99" i="37"/>
  <c r="L99" i="37"/>
  <c r="I99" i="37"/>
  <c r="D99" i="37"/>
  <c r="C99" i="37"/>
  <c r="F99" i="37" s="1" a="1"/>
  <c r="F99" i="37" s="1"/>
  <c r="Q98" i="37"/>
  <c r="P98" i="37"/>
  <c r="M98" i="37"/>
  <c r="L98" i="37"/>
  <c r="I98" i="37"/>
  <c r="F98" i="37" a="1"/>
  <c r="F98" i="37" s="1"/>
  <c r="D98" i="37"/>
  <c r="C98" i="37"/>
  <c r="Q97" i="37"/>
  <c r="P97" i="37"/>
  <c r="M97" i="37"/>
  <c r="L97" i="37"/>
  <c r="I97" i="37"/>
  <c r="F97" i="37" a="1"/>
  <c r="F97" i="37" s="1"/>
  <c r="C97" i="37"/>
  <c r="D97" i="37" s="1"/>
  <c r="P96" i="37"/>
  <c r="Q96" i="37" s="1"/>
  <c r="M96" i="37"/>
  <c r="L96" i="37"/>
  <c r="I96" i="37"/>
  <c r="F96" i="37"/>
  <c r="F96" i="37" a="1"/>
  <c r="D96" i="37"/>
  <c r="C96" i="37"/>
  <c r="Q95" i="37"/>
  <c r="P95" i="37"/>
  <c r="M95" i="37"/>
  <c r="L95" i="37"/>
  <c r="I95" i="37"/>
  <c r="C95" i="37"/>
  <c r="F95" i="37" s="1" a="1"/>
  <c r="F95" i="37" s="1"/>
  <c r="Q94" i="37"/>
  <c r="P94" i="37"/>
  <c r="M94" i="37"/>
  <c r="L94" i="37"/>
  <c r="I94" i="37"/>
  <c r="D94" i="37"/>
  <c r="C94" i="37"/>
  <c r="F94" i="37" s="1" a="1"/>
  <c r="F94" i="37" s="1"/>
  <c r="P93" i="37"/>
  <c r="Q93" i="37" s="1"/>
  <c r="M93" i="37"/>
  <c r="L93" i="37"/>
  <c r="I93" i="37"/>
  <c r="F93" i="37" a="1"/>
  <c r="F93" i="37" s="1"/>
  <c r="D93" i="37"/>
  <c r="C93" i="37"/>
  <c r="P92" i="37"/>
  <c r="Q92" i="37" s="1"/>
  <c r="M92" i="37"/>
  <c r="L92" i="37"/>
  <c r="I92" i="37"/>
  <c r="C92" i="37"/>
  <c r="F92" i="37" s="1" a="1"/>
  <c r="F92" i="37" s="1"/>
  <c r="P91" i="37"/>
  <c r="Q91" i="37" s="1"/>
  <c r="M91" i="37"/>
  <c r="L91" i="37"/>
  <c r="I91" i="37"/>
  <c r="C91" i="37"/>
  <c r="F91" i="37" s="1" a="1"/>
  <c r="F91" i="37" s="1"/>
  <c r="Q90" i="37"/>
  <c r="P90" i="37"/>
  <c r="M90" i="37"/>
  <c r="L90" i="37"/>
  <c r="I90" i="37"/>
  <c r="C90" i="37"/>
  <c r="D90" i="37" s="1"/>
  <c r="Q89" i="37"/>
  <c r="P89" i="37"/>
  <c r="M89" i="37"/>
  <c r="L89" i="37"/>
  <c r="I89" i="37"/>
  <c r="F89" i="37" a="1"/>
  <c r="F89" i="37" s="1"/>
  <c r="D89" i="37"/>
  <c r="C89" i="37"/>
  <c r="P88" i="37"/>
  <c r="Q88" i="37" s="1"/>
  <c r="M88" i="37"/>
  <c r="L88" i="37"/>
  <c r="I88" i="37"/>
  <c r="F88" i="37" a="1"/>
  <c r="F88" i="37" s="1"/>
  <c r="D88" i="37"/>
  <c r="C88" i="37"/>
  <c r="Q87" i="37"/>
  <c r="P87" i="37"/>
  <c r="M87" i="37"/>
  <c r="L87" i="37"/>
  <c r="I87" i="37"/>
  <c r="C87" i="37"/>
  <c r="F87" i="37" s="1" a="1"/>
  <c r="F87" i="37" s="1"/>
  <c r="Q86" i="37"/>
  <c r="P86" i="37"/>
  <c r="M86" i="37"/>
  <c r="L86" i="37"/>
  <c r="I86" i="37"/>
  <c r="F86" i="37" a="1"/>
  <c r="F86" i="37" s="1"/>
  <c r="D86" i="37"/>
  <c r="C86" i="37"/>
  <c r="P85" i="37"/>
  <c r="Q85" i="37" s="1"/>
  <c r="M85" i="37"/>
  <c r="L85" i="37"/>
  <c r="I85" i="37"/>
  <c r="F85" i="37" a="1"/>
  <c r="F85" i="37" s="1"/>
  <c r="D85" i="37"/>
  <c r="C85" i="37"/>
  <c r="P84" i="37"/>
  <c r="Q84" i="37" s="1"/>
  <c r="M84" i="37"/>
  <c r="L84" i="37"/>
  <c r="I84" i="37"/>
  <c r="C84" i="37"/>
  <c r="F84" i="37" s="1" a="1"/>
  <c r="F84" i="37" s="1"/>
  <c r="P83" i="37"/>
  <c r="Q83" i="37" s="1"/>
  <c r="M83" i="37"/>
  <c r="L83" i="37"/>
  <c r="I83" i="37"/>
  <c r="C83" i="37"/>
  <c r="F83" i="37" s="1" a="1"/>
  <c r="F83" i="37" s="1"/>
  <c r="Q82" i="37"/>
  <c r="P82" i="37"/>
  <c r="M82" i="37"/>
  <c r="L82" i="37"/>
  <c r="I82" i="37"/>
  <c r="C82" i="37"/>
  <c r="F82" i="37" s="1" a="1"/>
  <c r="F82" i="37" s="1"/>
  <c r="P81" i="37"/>
  <c r="Q81" i="37" s="1"/>
  <c r="M81" i="37"/>
  <c r="L81" i="37"/>
  <c r="I81" i="37"/>
  <c r="F81" i="37" a="1"/>
  <c r="F81" i="37" s="1"/>
  <c r="D81" i="37"/>
  <c r="C81" i="37"/>
  <c r="P80" i="37"/>
  <c r="Q80" i="37" s="1"/>
  <c r="M80" i="37"/>
  <c r="L80" i="37"/>
  <c r="I80" i="37"/>
  <c r="F80" i="37" a="1"/>
  <c r="F80" i="37" s="1"/>
  <c r="C80" i="37"/>
  <c r="D80" i="37" s="1"/>
  <c r="Q79" i="37"/>
  <c r="P79" i="37"/>
  <c r="M79" i="37"/>
  <c r="L79" i="37"/>
  <c r="I79" i="37"/>
  <c r="C79" i="37"/>
  <c r="F79" i="37" s="1" a="1"/>
  <c r="F79" i="37" s="1"/>
  <c r="Q78" i="37"/>
  <c r="P78" i="37"/>
  <c r="M78" i="37"/>
  <c r="L78" i="37"/>
  <c r="I78" i="37"/>
  <c r="F78" i="37" a="1"/>
  <c r="F78" i="37" s="1"/>
  <c r="D78" i="37"/>
  <c r="C78" i="37"/>
  <c r="P77" i="37"/>
  <c r="Q77" i="37" s="1"/>
  <c r="M77" i="37"/>
  <c r="L77" i="37"/>
  <c r="I77" i="37"/>
  <c r="F77" i="37" a="1"/>
  <c r="F77" i="37" s="1"/>
  <c r="C77" i="37"/>
  <c r="D77" i="37" s="1"/>
  <c r="P76" i="37"/>
  <c r="Q76" i="37" s="1"/>
  <c r="M76" i="37"/>
  <c r="L76" i="37"/>
  <c r="I76" i="37"/>
  <c r="C76" i="37"/>
  <c r="F76" i="37" s="1" a="1"/>
  <c r="F76" i="37" s="1"/>
  <c r="P75" i="37"/>
  <c r="Q75" i="37" s="1"/>
  <c r="M75" i="37"/>
  <c r="L75" i="37"/>
  <c r="I75" i="37"/>
  <c r="C75" i="37"/>
  <c r="D75" i="37" s="1"/>
  <c r="Q74" i="37"/>
  <c r="P74" i="37"/>
  <c r="M74" i="37"/>
  <c r="L74" i="37"/>
  <c r="I74" i="37"/>
  <c r="C74" i="37"/>
  <c r="D74" i="37" s="1"/>
  <c r="P73" i="37"/>
  <c r="Q73" i="37" s="1"/>
  <c r="M73" i="37"/>
  <c r="L73" i="37"/>
  <c r="I73" i="37"/>
  <c r="F73" i="37" a="1"/>
  <c r="F73" i="37" s="1"/>
  <c r="D73" i="37"/>
  <c r="C73" i="37"/>
  <c r="P72" i="37"/>
  <c r="Q72" i="37" s="1"/>
  <c r="M72" i="37"/>
  <c r="L72" i="37"/>
  <c r="I72" i="37"/>
  <c r="F72" i="37" a="1"/>
  <c r="F72" i="37" s="1"/>
  <c r="C72" i="37"/>
  <c r="D72" i="37" s="1"/>
  <c r="Q71" i="37"/>
  <c r="P71" i="37"/>
  <c r="M71" i="37"/>
  <c r="L71" i="37"/>
  <c r="I71" i="37"/>
  <c r="C71" i="37"/>
  <c r="F71" i="37" s="1" a="1"/>
  <c r="F71" i="37" s="1"/>
  <c r="P70" i="37"/>
  <c r="Q70" i="37" s="1"/>
  <c r="M70" i="37"/>
  <c r="L70" i="37"/>
  <c r="I70" i="37"/>
  <c r="F70" i="37" a="1"/>
  <c r="F70" i="37" s="1"/>
  <c r="D70" i="37"/>
  <c r="C70" i="37"/>
  <c r="P69" i="37"/>
  <c r="Q69" i="37" s="1"/>
  <c r="M69" i="37"/>
  <c r="L69" i="37"/>
  <c r="I69" i="37"/>
  <c r="F69" i="37" a="1"/>
  <c r="F69" i="37" s="1"/>
  <c r="C69" i="37"/>
  <c r="D69" i="37" s="1"/>
  <c r="P68" i="37"/>
  <c r="Q68" i="37" s="1"/>
  <c r="M68" i="37"/>
  <c r="L68" i="37"/>
  <c r="I68" i="37"/>
  <c r="C68" i="37"/>
  <c r="F68" i="37" s="1" a="1"/>
  <c r="F68" i="37" s="1"/>
  <c r="P67" i="37"/>
  <c r="Q67" i="37" s="1"/>
  <c r="M67" i="37"/>
  <c r="L67" i="37"/>
  <c r="I67" i="37"/>
  <c r="C67" i="37"/>
  <c r="D67" i="37" s="1"/>
  <c r="Q66" i="37"/>
  <c r="P66" i="37"/>
  <c r="M66" i="37"/>
  <c r="L66" i="37"/>
  <c r="I66" i="37"/>
  <c r="C66" i="37"/>
  <c r="D66" i="37" s="1"/>
  <c r="P65" i="37"/>
  <c r="Q65" i="37" s="1"/>
  <c r="M65" i="37"/>
  <c r="L65" i="37"/>
  <c r="I65" i="37"/>
  <c r="F65" i="37" a="1"/>
  <c r="F65" i="37" s="1"/>
  <c r="D65" i="37"/>
  <c r="C65" i="37"/>
  <c r="P64" i="37"/>
  <c r="Q64" i="37" s="1"/>
  <c r="M64" i="37"/>
  <c r="L64" i="37"/>
  <c r="I64" i="37"/>
  <c r="F64" i="37" a="1"/>
  <c r="F64" i="37" s="1"/>
  <c r="C64" i="37"/>
  <c r="D64" i="37" s="1"/>
  <c r="Q63" i="37"/>
  <c r="P63" i="37"/>
  <c r="M63" i="37"/>
  <c r="L63" i="37"/>
  <c r="I63" i="37"/>
  <c r="C63" i="37"/>
  <c r="F63" i="37" s="1" a="1"/>
  <c r="F63" i="37" s="1"/>
  <c r="P62" i="37"/>
  <c r="Q62" i="37" s="1"/>
  <c r="M62" i="37"/>
  <c r="L62" i="37"/>
  <c r="I62" i="37"/>
  <c r="F62" i="37" a="1"/>
  <c r="F62" i="37" s="1"/>
  <c r="D62" i="37"/>
  <c r="C62" i="37"/>
  <c r="P61" i="37"/>
  <c r="Q61" i="37" s="1"/>
  <c r="M61" i="37"/>
  <c r="L61" i="37"/>
  <c r="I61" i="37"/>
  <c r="F61" i="37" a="1"/>
  <c r="F61" i="37" s="1"/>
  <c r="C61" i="37"/>
  <c r="D61" i="37" s="1"/>
  <c r="P60" i="37"/>
  <c r="Q60" i="37" s="1"/>
  <c r="M60" i="37"/>
  <c r="L60" i="37"/>
  <c r="I60" i="37"/>
  <c r="C60" i="37"/>
  <c r="F60" i="37" s="1" a="1"/>
  <c r="F60" i="37" s="1"/>
  <c r="P59" i="37"/>
  <c r="Q59" i="37" s="1"/>
  <c r="M59" i="37"/>
  <c r="L59" i="37"/>
  <c r="I59" i="37"/>
  <c r="C59" i="37"/>
  <c r="F59" i="37" s="1" a="1"/>
  <c r="F59" i="37" s="1"/>
  <c r="Q58" i="37"/>
  <c r="P58" i="37"/>
  <c r="M58" i="37"/>
  <c r="L58" i="37"/>
  <c r="I58" i="37"/>
  <c r="C58" i="37"/>
  <c r="D58" i="37" s="1"/>
  <c r="P57" i="37"/>
  <c r="Q57" i="37" s="1"/>
  <c r="M57" i="37"/>
  <c r="L57" i="37"/>
  <c r="I57" i="37"/>
  <c r="F57" i="37" a="1"/>
  <c r="F57" i="37" s="1"/>
  <c r="D57" i="37"/>
  <c r="C57" i="37"/>
  <c r="P56" i="37"/>
  <c r="Q56" i="37" s="1"/>
  <c r="M56" i="37"/>
  <c r="L56" i="37"/>
  <c r="I56" i="37"/>
  <c r="F56" i="37" a="1"/>
  <c r="F56" i="37" s="1"/>
  <c r="C56" i="37"/>
  <c r="D56" i="37" s="1"/>
  <c r="Q55" i="37"/>
  <c r="P55" i="37"/>
  <c r="M55" i="37"/>
  <c r="L55" i="37"/>
  <c r="I55" i="37"/>
  <c r="C55" i="37"/>
  <c r="F55" i="37" s="1" a="1"/>
  <c r="F55" i="37" s="1"/>
  <c r="P54" i="37"/>
  <c r="Q54" i="37" s="1"/>
  <c r="M54" i="37"/>
  <c r="L54" i="37"/>
  <c r="I54" i="37"/>
  <c r="F54" i="37" a="1"/>
  <c r="F54" i="37" s="1"/>
  <c r="D54" i="37"/>
  <c r="C54" i="37"/>
  <c r="P53" i="37"/>
  <c r="Q53" i="37" s="1"/>
  <c r="M53" i="37"/>
  <c r="L53" i="37"/>
  <c r="I53" i="37"/>
  <c r="F53" i="37" a="1"/>
  <c r="F53" i="37" s="1"/>
  <c r="C53" i="37"/>
  <c r="D53" i="37" s="1"/>
  <c r="P52" i="37"/>
  <c r="Q52" i="37" s="1"/>
  <c r="M52" i="37"/>
  <c r="L52" i="37"/>
  <c r="I52" i="37"/>
  <c r="C52" i="37"/>
  <c r="F52" i="37" s="1" a="1"/>
  <c r="F52" i="37" s="1"/>
  <c r="P51" i="37"/>
  <c r="Q51" i="37" s="1"/>
  <c r="M51" i="37"/>
  <c r="L51" i="37"/>
  <c r="I51" i="37"/>
  <c r="C51" i="37"/>
  <c r="F51" i="37" s="1" a="1"/>
  <c r="F51" i="37" s="1"/>
  <c r="Q50" i="37"/>
  <c r="P50" i="37"/>
  <c r="M50" i="37"/>
  <c r="L50" i="37"/>
  <c r="I50" i="37"/>
  <c r="C50" i="37"/>
  <c r="F50" i="37" s="1" a="1"/>
  <c r="F50" i="37" s="1"/>
  <c r="P49" i="37"/>
  <c r="Q49" i="37" s="1"/>
  <c r="M49" i="37"/>
  <c r="L49" i="37"/>
  <c r="I49" i="37"/>
  <c r="F49" i="37" a="1"/>
  <c r="F49" i="37" s="1"/>
  <c r="D49" i="37"/>
  <c r="C49" i="37"/>
  <c r="P48" i="37"/>
  <c r="Q48" i="37" s="1"/>
  <c r="M48" i="37"/>
  <c r="L48" i="37"/>
  <c r="I48" i="37"/>
  <c r="F48" i="37" a="1"/>
  <c r="F48" i="37" s="1"/>
  <c r="C48" i="37"/>
  <c r="D48" i="37" s="1"/>
  <c r="Q47" i="37"/>
  <c r="P47" i="37"/>
  <c r="M47" i="37"/>
  <c r="L47" i="37"/>
  <c r="I47" i="37"/>
  <c r="C47" i="37"/>
  <c r="F47" i="37" s="1" a="1"/>
  <c r="F47" i="37" s="1"/>
  <c r="P46" i="37"/>
  <c r="Q46" i="37" s="1"/>
  <c r="M46" i="37"/>
  <c r="L46" i="37"/>
  <c r="I46" i="37"/>
  <c r="F46" i="37" a="1"/>
  <c r="F46" i="37" s="1"/>
  <c r="D46" i="37"/>
  <c r="C46" i="37"/>
  <c r="P45" i="37"/>
  <c r="Q45" i="37" s="1"/>
  <c r="M45" i="37"/>
  <c r="L45" i="37"/>
  <c r="I45" i="37"/>
  <c r="F45" i="37" a="1"/>
  <c r="F45" i="37" s="1"/>
  <c r="C45" i="37"/>
  <c r="D45" i="37" s="1"/>
  <c r="P44" i="37"/>
  <c r="Q44" i="37" s="1"/>
  <c r="M44" i="37"/>
  <c r="L44" i="37"/>
  <c r="I44" i="37"/>
  <c r="C44" i="37"/>
  <c r="F44" i="37" s="1" a="1"/>
  <c r="F44" i="37" s="1"/>
  <c r="P43" i="37"/>
  <c r="Q43" i="37" s="1"/>
  <c r="M43" i="37"/>
  <c r="L43" i="37"/>
  <c r="I43" i="37"/>
  <c r="C43" i="37"/>
  <c r="D43" i="37" s="1"/>
  <c r="Q42" i="37"/>
  <c r="P42" i="37"/>
  <c r="M42" i="37"/>
  <c r="L42" i="37"/>
  <c r="I42" i="37"/>
  <c r="C42" i="37"/>
  <c r="D42" i="37" s="1"/>
  <c r="P41" i="37"/>
  <c r="Q41" i="37" s="1"/>
  <c r="M41" i="37"/>
  <c r="L41" i="37"/>
  <c r="I41" i="37"/>
  <c r="F41" i="37" a="1"/>
  <c r="F41" i="37" s="1"/>
  <c r="D41" i="37"/>
  <c r="C41" i="37"/>
  <c r="P40" i="37"/>
  <c r="Q40" i="37" s="1"/>
  <c r="M40" i="37"/>
  <c r="L40" i="37"/>
  <c r="I40" i="37"/>
  <c r="C40" i="37"/>
  <c r="F40" i="37" s="1" a="1"/>
  <c r="F40" i="37" s="1"/>
  <c r="Q39" i="37"/>
  <c r="P39" i="37"/>
  <c r="M39" i="37"/>
  <c r="L39" i="37"/>
  <c r="I39" i="37"/>
  <c r="C39" i="37"/>
  <c r="D39" i="37" s="1"/>
  <c r="Q38" i="37"/>
  <c r="P38" i="37"/>
  <c r="M38" i="37"/>
  <c r="L38" i="37"/>
  <c r="I38" i="37"/>
  <c r="F38" i="37" a="1"/>
  <c r="F38" i="37" s="1"/>
  <c r="D38" i="37"/>
  <c r="C38" i="37"/>
  <c r="P37" i="37"/>
  <c r="Q37" i="37" s="1"/>
  <c r="M37" i="37"/>
  <c r="L37" i="37"/>
  <c r="I37" i="37"/>
  <c r="F37" i="37" a="1"/>
  <c r="F37" i="37" s="1"/>
  <c r="D37" i="37"/>
  <c r="C37" i="37"/>
  <c r="P36" i="37"/>
  <c r="Q36" i="37" s="1"/>
  <c r="M36" i="37"/>
  <c r="L36" i="37"/>
  <c r="I36" i="37"/>
  <c r="C36" i="37"/>
  <c r="F36" i="37" s="1" a="1"/>
  <c r="F36" i="37" s="1"/>
  <c r="P35" i="37"/>
  <c r="Q35" i="37" s="1"/>
  <c r="M35" i="37"/>
  <c r="L35" i="37"/>
  <c r="I35" i="37"/>
  <c r="C35" i="37"/>
  <c r="F35" i="37" s="1" a="1"/>
  <c r="F35" i="37" s="1"/>
  <c r="Q34" i="37"/>
  <c r="P34" i="37"/>
  <c r="M34" i="37"/>
  <c r="L34" i="37"/>
  <c r="I34" i="37"/>
  <c r="C34" i="37"/>
  <c r="F34" i="37" s="1" a="1"/>
  <c r="F34" i="37" s="1"/>
  <c r="P33" i="37"/>
  <c r="Q33" i="37" s="1"/>
  <c r="M33" i="37"/>
  <c r="L33" i="37"/>
  <c r="I33" i="37"/>
  <c r="F33" i="37" a="1"/>
  <c r="F33" i="37" s="1"/>
  <c r="D33" i="37"/>
  <c r="C33" i="37"/>
  <c r="B18" i="24"/>
  <c r="B17" i="24"/>
  <c r="F12" i="38" l="1" a="1"/>
  <c r="F12" i="38" s="1"/>
  <c r="D13" i="38"/>
  <c r="F20" i="38" a="1"/>
  <c r="F20" i="38" s="1"/>
  <c r="D21" i="38"/>
  <c r="F28" i="38" a="1"/>
  <c r="F28" i="38" s="1"/>
  <c r="D29" i="38"/>
  <c r="D37" i="38"/>
  <c r="D45" i="38"/>
  <c r="D53" i="38"/>
  <c r="D61" i="38"/>
  <c r="D69" i="38"/>
  <c r="D77" i="38"/>
  <c r="D85" i="38"/>
  <c r="D93" i="38"/>
  <c r="D11" i="38"/>
  <c r="D24" i="38"/>
  <c r="D40" i="38"/>
  <c r="D56" i="38"/>
  <c r="D64" i="38"/>
  <c r="D72" i="38"/>
  <c r="D80" i="38"/>
  <c r="D88" i="38"/>
  <c r="D96" i="38"/>
  <c r="D16" i="38"/>
  <c r="D32" i="38"/>
  <c r="D48" i="38"/>
  <c r="D34" i="37"/>
  <c r="D50" i="37"/>
  <c r="D82" i="37"/>
  <c r="D35" i="37"/>
  <c r="D51" i="37"/>
  <c r="F58" i="37" a="1"/>
  <c r="F58" i="37" s="1"/>
  <c r="D59" i="37"/>
  <c r="D83" i="37"/>
  <c r="F90" i="37" a="1"/>
  <c r="F90" i="37" s="1"/>
  <c r="D91" i="37"/>
  <c r="D36" i="37"/>
  <c r="F43" i="37" a="1"/>
  <c r="F43" i="37" s="1"/>
  <c r="D44" i="37"/>
  <c r="D52" i="37"/>
  <c r="D60" i="37"/>
  <c r="F67" i="37" a="1"/>
  <c r="F67" i="37" s="1"/>
  <c r="D68" i="37"/>
  <c r="F75" i="37" a="1"/>
  <c r="F75" i="37" s="1"/>
  <c r="D76" i="37"/>
  <c r="D84" i="37"/>
  <c r="D92" i="37"/>
  <c r="D100" i="37"/>
  <c r="F42" i="37" a="1"/>
  <c r="F42" i="37" s="1"/>
  <c r="F66" i="37" a="1"/>
  <c r="F66" i="37" s="1"/>
  <c r="F74" i="37" a="1"/>
  <c r="F74" i="37" s="1"/>
  <c r="D87" i="37"/>
  <c r="D95" i="37"/>
  <c r="D47" i="37"/>
  <c r="D55" i="37"/>
  <c r="D63" i="37"/>
  <c r="D71" i="37"/>
  <c r="D79" i="37"/>
  <c r="F39" i="37" a="1"/>
  <c r="F39" i="37" s="1"/>
  <c r="D40" i="37"/>
  <c r="E10" i="27"/>
  <c r="E9" i="27"/>
  <c r="E8" i="27"/>
  <c r="E7" i="27"/>
  <c r="E10" i="30"/>
  <c r="E9" i="30"/>
  <c r="E8" i="30"/>
  <c r="E7" i="30"/>
  <c r="E8" i="31"/>
  <c r="E7" i="31"/>
  <c r="E10" i="32"/>
  <c r="E9" i="32"/>
  <c r="E8" i="32"/>
  <c r="E7" i="32"/>
  <c r="E10" i="33"/>
  <c r="E9" i="33"/>
  <c r="E8" i="33"/>
  <c r="E7" i="33"/>
  <c r="E10" i="34"/>
  <c r="E9" i="34"/>
  <c r="E8" i="34"/>
  <c r="E7" i="34"/>
  <c r="E10" i="35"/>
  <c r="E9" i="35"/>
  <c r="E8" i="35"/>
  <c r="E7" i="35"/>
  <c r="E8" i="36"/>
  <c r="E7" i="36"/>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C99" i="36"/>
  <c r="D99" i="36" s="1"/>
  <c r="Q98" i="36"/>
  <c r="P98" i="36"/>
  <c r="M98" i="36"/>
  <c r="I98" i="36"/>
  <c r="C98" i="36"/>
  <c r="F98" i="36" s="1" a="1"/>
  <c r="F98" i="36" s="1"/>
  <c r="P97" i="36"/>
  <c r="Q97" i="36" s="1"/>
  <c r="M97" i="36"/>
  <c r="I97" i="36"/>
  <c r="D97" i="36"/>
  <c r="C97" i="36"/>
  <c r="F97" i="36" s="1" a="1"/>
  <c r="F97" i="36" s="1"/>
  <c r="P96" i="36"/>
  <c r="Q96" i="36" s="1"/>
  <c r="M96" i="36"/>
  <c r="I96" i="36"/>
  <c r="C96" i="36"/>
  <c r="F96" i="36" s="1" a="1"/>
  <c r="F96" i="36" s="1"/>
  <c r="P95" i="36"/>
  <c r="Q95" i="36" s="1"/>
  <c r="M95" i="36"/>
  <c r="I95" i="36"/>
  <c r="C95" i="36"/>
  <c r="F95" i="36" s="1" a="1"/>
  <c r="F95" i="36" s="1"/>
  <c r="P94" i="36"/>
  <c r="Q94" i="36" s="1"/>
  <c r="M94" i="36"/>
  <c r="I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C91" i="36"/>
  <c r="F91" i="36" s="1" a="1"/>
  <c r="F91" i="36" s="1"/>
  <c r="Q90" i="36"/>
  <c r="P90" i="36"/>
  <c r="M90" i="36"/>
  <c r="I90" i="36"/>
  <c r="C90" i="36"/>
  <c r="F90" i="36" s="1" a="1"/>
  <c r="F90" i="36" s="1"/>
  <c r="P89" i="36"/>
  <c r="Q89" i="36" s="1"/>
  <c r="M89" i="36"/>
  <c r="I89" i="36"/>
  <c r="D89" i="36"/>
  <c r="C89" i="36"/>
  <c r="F89" i="36" s="1" a="1"/>
  <c r="F89" i="36" s="1"/>
  <c r="P88" i="36"/>
  <c r="Q88" i="36" s="1"/>
  <c r="M88" i="36"/>
  <c r="I88" i="36"/>
  <c r="C88" i="36"/>
  <c r="F88" i="36" s="1" a="1"/>
  <c r="F88" i="36" s="1"/>
  <c r="P87" i="36"/>
  <c r="Q87" i="36" s="1"/>
  <c r="M87" i="36"/>
  <c r="I87" i="36"/>
  <c r="C87" i="36"/>
  <c r="F87" i="36" s="1" a="1"/>
  <c r="F87" i="36" s="1"/>
  <c r="P86" i="36"/>
  <c r="Q86" i="36" s="1"/>
  <c r="M86" i="36"/>
  <c r="I86" i="36"/>
  <c r="C86" i="36"/>
  <c r="F86" i="36" s="1" a="1"/>
  <c r="F86" i="36" s="1"/>
  <c r="Q85" i="36"/>
  <c r="P85" i="36"/>
  <c r="M85" i="36"/>
  <c r="I85" i="36"/>
  <c r="C85" i="36"/>
  <c r="F85" i="36" s="1" a="1"/>
  <c r="F85" i="36" s="1"/>
  <c r="P84" i="36"/>
  <c r="Q84" i="36" s="1"/>
  <c r="M84" i="36"/>
  <c r="I84" i="36"/>
  <c r="C84" i="36"/>
  <c r="F84" i="36" s="1" a="1"/>
  <c r="F84" i="36" s="1"/>
  <c r="P83" i="36"/>
  <c r="Q83" i="36" s="1"/>
  <c r="M83" i="36"/>
  <c r="I83" i="36"/>
  <c r="D83" i="36"/>
  <c r="C83" i="36"/>
  <c r="F83" i="36" s="1" a="1"/>
  <c r="F83" i="36" s="1"/>
  <c r="P82" i="36"/>
  <c r="Q82" i="36" s="1"/>
  <c r="M82" i="36"/>
  <c r="I82" i="36"/>
  <c r="C82" i="36"/>
  <c r="F82" i="36" s="1" a="1"/>
  <c r="F82" i="36" s="1"/>
  <c r="P81" i="36"/>
  <c r="Q81" i="36" s="1"/>
  <c r="M81" i="36"/>
  <c r="I81" i="36"/>
  <c r="C81" i="36"/>
  <c r="F81" i="36" s="1" a="1"/>
  <c r="F81" i="36" s="1"/>
  <c r="P80" i="36"/>
  <c r="Q80" i="36" s="1"/>
  <c r="M80" i="36"/>
  <c r="I80" i="36"/>
  <c r="C80" i="36"/>
  <c r="D80" i="36" s="1"/>
  <c r="Q79" i="36"/>
  <c r="P79" i="36"/>
  <c r="M79" i="36"/>
  <c r="I79" i="36"/>
  <c r="C79" i="36"/>
  <c r="F79" i="36" s="1" a="1"/>
  <c r="F79" i="36" s="1"/>
  <c r="P78" i="36"/>
  <c r="Q78" i="36" s="1"/>
  <c r="M78" i="36"/>
  <c r="I78" i="36"/>
  <c r="D78" i="36"/>
  <c r="C78" i="36"/>
  <c r="F78" i="36" s="1" a="1"/>
  <c r="F78" i="36" s="1"/>
  <c r="P77" i="36"/>
  <c r="Q77" i="36" s="1"/>
  <c r="M77" i="36"/>
  <c r="I77" i="36"/>
  <c r="C77" i="36"/>
  <c r="F77" i="36" s="1" a="1"/>
  <c r="F77" i="36" s="1"/>
  <c r="Q76" i="36"/>
  <c r="P76" i="36"/>
  <c r="M76" i="36"/>
  <c r="I76" i="36"/>
  <c r="C76" i="36"/>
  <c r="F76" i="36" s="1" a="1"/>
  <c r="F76" i="36" s="1"/>
  <c r="P75" i="36"/>
  <c r="Q75" i="36" s="1"/>
  <c r="M75" i="36"/>
  <c r="I75" i="36"/>
  <c r="F75" i="36" a="1"/>
  <c r="F75" i="36" s="1"/>
  <c r="C75" i="36"/>
  <c r="D75" i="36" s="1"/>
  <c r="P74" i="36"/>
  <c r="Q74" i="36" s="1"/>
  <c r="M74" i="36"/>
  <c r="I74" i="36"/>
  <c r="C74" i="36"/>
  <c r="F74" i="36" s="1" a="1"/>
  <c r="F74" i="36" s="1"/>
  <c r="P73" i="36"/>
  <c r="Q73" i="36" s="1"/>
  <c r="M73" i="36"/>
  <c r="I73" i="36"/>
  <c r="C73" i="36"/>
  <c r="F73" i="36" s="1" a="1"/>
  <c r="F73" i="36" s="1"/>
  <c r="P72" i="36"/>
  <c r="Q72" i="36" s="1"/>
  <c r="M72" i="36"/>
  <c r="I72" i="36"/>
  <c r="F72" i="36" a="1"/>
  <c r="F72" i="36" s="1"/>
  <c r="C72" i="36"/>
  <c r="D72" i="36" s="1"/>
  <c r="P71" i="36"/>
  <c r="Q71" i="36" s="1"/>
  <c r="M71" i="36"/>
  <c r="I71" i="36"/>
  <c r="C71" i="36"/>
  <c r="F71" i="36" s="1" a="1"/>
  <c r="F71" i="36" s="1"/>
  <c r="P70" i="36"/>
  <c r="Q70" i="36" s="1"/>
  <c r="M70" i="36"/>
  <c r="I70" i="36"/>
  <c r="C70" i="36"/>
  <c r="F70" i="36" s="1" a="1"/>
  <c r="F70" i="36" s="1"/>
  <c r="Q69" i="36"/>
  <c r="P69" i="36"/>
  <c r="M69" i="36"/>
  <c r="I69" i="36"/>
  <c r="C69" i="36"/>
  <c r="F69" i="36" s="1" a="1"/>
  <c r="F69" i="36" s="1"/>
  <c r="P68" i="36"/>
  <c r="Q68" i="36" s="1"/>
  <c r="M68" i="36"/>
  <c r="I68" i="36"/>
  <c r="C68" i="36"/>
  <c r="F68" i="36" s="1" a="1"/>
  <c r="F68" i="36" s="1"/>
  <c r="P67" i="36"/>
  <c r="Q67" i="36" s="1"/>
  <c r="M67" i="36"/>
  <c r="I67" i="36"/>
  <c r="C67" i="36"/>
  <c r="F67" i="36" s="1" a="1"/>
  <c r="F67" i="36" s="1"/>
  <c r="P66" i="36"/>
  <c r="Q66" i="36" s="1"/>
  <c r="M66" i="36"/>
  <c r="I66" i="36"/>
  <c r="C66" i="36"/>
  <c r="F66" i="36" s="1" a="1"/>
  <c r="F66" i="36" s="1"/>
  <c r="P65" i="36"/>
  <c r="Q65" i="36" s="1"/>
  <c r="M65" i="36"/>
  <c r="I65" i="36"/>
  <c r="C65" i="36"/>
  <c r="F65" i="36" s="1" a="1"/>
  <c r="F65" i="36" s="1"/>
  <c r="P64" i="36"/>
  <c r="Q64" i="36" s="1"/>
  <c r="M64" i="36"/>
  <c r="I64" i="36"/>
  <c r="C64" i="36"/>
  <c r="D64" i="36" s="1"/>
  <c r="Q63" i="36"/>
  <c r="P63" i="36"/>
  <c r="M63" i="36"/>
  <c r="I63" i="36"/>
  <c r="C63" i="36"/>
  <c r="F63" i="36" s="1" a="1"/>
  <c r="F63" i="36" s="1"/>
  <c r="P62" i="36"/>
  <c r="Q62" i="36" s="1"/>
  <c r="M62" i="36"/>
  <c r="I62" i="36"/>
  <c r="D62" i="36"/>
  <c r="C62" i="36"/>
  <c r="F62" i="36" s="1" a="1"/>
  <c r="F62" i="36" s="1"/>
  <c r="P61" i="36"/>
  <c r="Q61" i="36" s="1"/>
  <c r="M61" i="36"/>
  <c r="I61" i="36"/>
  <c r="C61" i="36"/>
  <c r="F61" i="36" s="1" a="1"/>
  <c r="F61" i="36" s="1"/>
  <c r="P60" i="36"/>
  <c r="Q60" i="36" s="1"/>
  <c r="M60" i="36"/>
  <c r="I60" i="36"/>
  <c r="D60" i="36"/>
  <c r="C60" i="36"/>
  <c r="F60" i="36" s="1" a="1"/>
  <c r="F60" i="36" s="1"/>
  <c r="P59" i="36"/>
  <c r="Q59" i="36" s="1"/>
  <c r="M59" i="36"/>
  <c r="I59" i="36"/>
  <c r="F59" i="36" a="1"/>
  <c r="F59" i="36" s="1"/>
  <c r="C59" i="36"/>
  <c r="D59" i="36" s="1"/>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P55" i="36"/>
  <c r="Q55" i="36" s="1"/>
  <c r="M55" i="36"/>
  <c r="I55" i="36"/>
  <c r="C55" i="36"/>
  <c r="F55" i="36" s="1" a="1"/>
  <c r="F55" i="36" s="1"/>
  <c r="P54" i="36"/>
  <c r="Q54" i="36" s="1"/>
  <c r="M54" i="36"/>
  <c r="I54" i="36"/>
  <c r="C54" i="36"/>
  <c r="F54" i="36" s="1" a="1"/>
  <c r="F54" i="36" s="1"/>
  <c r="Q53" i="36"/>
  <c r="P53" i="36"/>
  <c r="M53" i="36"/>
  <c r="I53" i="36"/>
  <c r="C53" i="36"/>
  <c r="F53" i="36" s="1" a="1"/>
  <c r="F53" i="36" s="1"/>
  <c r="P52" i="36"/>
  <c r="Q52" i="36" s="1"/>
  <c r="M52" i="36"/>
  <c r="I52" i="36"/>
  <c r="C52" i="36"/>
  <c r="F52" i="36" s="1" a="1"/>
  <c r="F52" i="36" s="1"/>
  <c r="P51" i="36"/>
  <c r="Q51" i="36" s="1"/>
  <c r="M51" i="36"/>
  <c r="I51" i="36"/>
  <c r="D51" i="36"/>
  <c r="C51" i="36"/>
  <c r="F51" i="36" s="1" a="1"/>
  <c r="F51" i="36" s="1"/>
  <c r="P50" i="36"/>
  <c r="Q50" i="36" s="1"/>
  <c r="M50" i="36"/>
  <c r="I50" i="36"/>
  <c r="C50" i="36"/>
  <c r="F50" i="36" s="1" a="1"/>
  <c r="F50" i="36" s="1"/>
  <c r="P49" i="36"/>
  <c r="Q49" i="36" s="1"/>
  <c r="M49" i="36"/>
  <c r="I49" i="36"/>
  <c r="C49" i="36"/>
  <c r="F49" i="36" s="1" a="1"/>
  <c r="F49" i="36" s="1"/>
  <c r="P48" i="36"/>
  <c r="Q48" i="36" s="1"/>
  <c r="M48" i="36"/>
  <c r="I48" i="36"/>
  <c r="C48" i="36"/>
  <c r="D48" i="36" s="1"/>
  <c r="Q47" i="36"/>
  <c r="P47" i="36"/>
  <c r="M47" i="36"/>
  <c r="I47" i="36"/>
  <c r="C47" i="36"/>
  <c r="F47" i="36" s="1" a="1"/>
  <c r="F47" i="36" s="1"/>
  <c r="P46" i="36"/>
  <c r="Q46" i="36" s="1"/>
  <c r="M46" i="36"/>
  <c r="I46" i="36"/>
  <c r="D46" i="36"/>
  <c r="C46" i="36"/>
  <c r="F46" i="36" s="1" a="1"/>
  <c r="F46" i="36" s="1"/>
  <c r="P45" i="36"/>
  <c r="Q45" i="36" s="1"/>
  <c r="M45" i="36"/>
  <c r="I45" i="36"/>
  <c r="C45" i="36"/>
  <c r="F45" i="36" s="1" a="1"/>
  <c r="F45" i="36" s="1"/>
  <c r="Q44" i="36"/>
  <c r="P44" i="36"/>
  <c r="M44" i="36"/>
  <c r="I44" i="36"/>
  <c r="C44" i="36"/>
  <c r="F44" i="36" s="1" a="1"/>
  <c r="F44" i="36" s="1"/>
  <c r="P43" i="36"/>
  <c r="Q43" i="36" s="1"/>
  <c r="M43" i="36"/>
  <c r="I43" i="36"/>
  <c r="F43" i="36" a="1"/>
  <c r="F43" i="36" s="1"/>
  <c r="C43" i="36"/>
  <c r="D43" i="36" s="1"/>
  <c r="P42" i="36"/>
  <c r="Q42" i="36" s="1"/>
  <c r="M42" i="36"/>
  <c r="I42" i="36"/>
  <c r="C42" i="36"/>
  <c r="F42" i="36" s="1" a="1"/>
  <c r="F42" i="36" s="1"/>
  <c r="P41" i="36"/>
  <c r="Q41" i="36" s="1"/>
  <c r="M41" i="36"/>
  <c r="I41" i="36"/>
  <c r="C41" i="36"/>
  <c r="F41" i="36" s="1" a="1"/>
  <c r="F41" i="36" s="1"/>
  <c r="P40" i="36"/>
  <c r="Q40" i="36" s="1"/>
  <c r="M40" i="36"/>
  <c r="I40" i="36"/>
  <c r="F40" i="36" a="1"/>
  <c r="F40" i="36" s="1"/>
  <c r="C40" i="36"/>
  <c r="D40" i="36" s="1"/>
  <c r="P39" i="36"/>
  <c r="Q39" i="36" s="1"/>
  <c r="M39" i="36"/>
  <c r="I39" i="36"/>
  <c r="C39" i="36"/>
  <c r="F39" i="36" s="1" a="1"/>
  <c r="F39" i="36" s="1"/>
  <c r="P38" i="36"/>
  <c r="Q38" i="36" s="1"/>
  <c r="M38" i="36"/>
  <c r="I38" i="36"/>
  <c r="C38" i="36"/>
  <c r="F38" i="36" s="1" a="1"/>
  <c r="F38" i="36" s="1"/>
  <c r="Q37" i="36"/>
  <c r="P37" i="36"/>
  <c r="M37" i="36"/>
  <c r="I37" i="36"/>
  <c r="C37" i="36"/>
  <c r="F37" i="36" s="1" a="1"/>
  <c r="F37" i="36" s="1"/>
  <c r="P36" i="36"/>
  <c r="Q36" i="36" s="1"/>
  <c r="M36" i="36"/>
  <c r="I36" i="36"/>
  <c r="C36" i="36"/>
  <c r="F36" i="36" s="1" a="1"/>
  <c r="F36" i="36" s="1"/>
  <c r="P35" i="36"/>
  <c r="Q35" i="36" s="1"/>
  <c r="M35" i="36"/>
  <c r="I35" i="36"/>
  <c r="C35" i="36"/>
  <c r="F35" i="36" s="1" a="1"/>
  <c r="F35" i="36" s="1"/>
  <c r="P34" i="36"/>
  <c r="Q34" i="36" s="1"/>
  <c r="M34" i="36"/>
  <c r="I34" i="36"/>
  <c r="C34" i="36"/>
  <c r="F34" i="36" s="1" a="1"/>
  <c r="F34" i="36" s="1"/>
  <c r="P33" i="36"/>
  <c r="Q33" i="36" s="1"/>
  <c r="M33" i="36"/>
  <c r="I33" i="36"/>
  <c r="D33" i="36"/>
  <c r="C33" i="36"/>
  <c r="F33" i="36" s="1" a="1"/>
  <c r="F33" i="36" s="1"/>
  <c r="P32" i="36"/>
  <c r="Q32" i="36" s="1"/>
  <c r="M32" i="36"/>
  <c r="I32" i="36"/>
  <c r="F32" i="36" a="1"/>
  <c r="F32" i="36" s="1"/>
  <c r="C32" i="36"/>
  <c r="D32" i="36" s="1"/>
  <c r="P31" i="36"/>
  <c r="Q31" i="36" s="1"/>
  <c r="M31" i="36"/>
  <c r="I31" i="36"/>
  <c r="C31" i="36"/>
  <c r="F31" i="36" s="1" a="1"/>
  <c r="F31" i="36" s="1"/>
  <c r="P30" i="36"/>
  <c r="Q30" i="36" s="1"/>
  <c r="M30" i="36"/>
  <c r="I30" i="36"/>
  <c r="C30" i="36"/>
  <c r="F30" i="36" s="1" a="1"/>
  <c r="F30" i="36" s="1"/>
  <c r="Q29" i="36"/>
  <c r="P29" i="36"/>
  <c r="M29" i="36"/>
  <c r="I29" i="36"/>
  <c r="C29" i="36"/>
  <c r="F29" i="36" s="1" a="1"/>
  <c r="F29" i="36" s="1"/>
  <c r="P28" i="36"/>
  <c r="Q28" i="36" s="1"/>
  <c r="M28" i="36"/>
  <c r="I28" i="36"/>
  <c r="C28" i="36"/>
  <c r="F28" i="36" s="1" a="1"/>
  <c r="F28" i="36" s="1"/>
  <c r="P27" i="36"/>
  <c r="Q27" i="36" s="1"/>
  <c r="M27" i="36"/>
  <c r="I27" i="36"/>
  <c r="D27" i="36"/>
  <c r="C27" i="36"/>
  <c r="F27" i="36" s="1" a="1"/>
  <c r="F27" i="36" s="1"/>
  <c r="P26" i="36"/>
  <c r="Q26" i="36" s="1"/>
  <c r="M26" i="36"/>
  <c r="I26" i="36"/>
  <c r="C26" i="36"/>
  <c r="F26" i="36" s="1" a="1"/>
  <c r="F26" i="36" s="1"/>
  <c r="P25" i="36"/>
  <c r="Q25" i="36" s="1"/>
  <c r="M25" i="36"/>
  <c r="I25" i="36"/>
  <c r="C25" i="36"/>
  <c r="F25" i="36" s="1" a="1"/>
  <c r="F25" i="36" s="1"/>
  <c r="P24" i="36"/>
  <c r="Q24" i="36" s="1"/>
  <c r="M24" i="36"/>
  <c r="I24" i="36"/>
  <c r="F24" i="36" a="1"/>
  <c r="F24" i="36" s="1"/>
  <c r="C24" i="36"/>
  <c r="D24" i="36" s="1"/>
  <c r="P23" i="36"/>
  <c r="Q23" i="36" s="1"/>
  <c r="M23" i="36"/>
  <c r="I23" i="36"/>
  <c r="C23" i="36"/>
  <c r="F23" i="36" s="1" a="1"/>
  <c r="F23" i="36" s="1"/>
  <c r="P22" i="36"/>
  <c r="Q22" i="36" s="1"/>
  <c r="M22" i="36"/>
  <c r="I22" i="36"/>
  <c r="C22" i="36"/>
  <c r="F22" i="36" s="1" a="1"/>
  <c r="F22" i="36" s="1"/>
  <c r="Q21" i="36"/>
  <c r="P21" i="36"/>
  <c r="M21" i="36"/>
  <c r="I21" i="36"/>
  <c r="C21" i="36"/>
  <c r="F21" i="36" s="1" a="1"/>
  <c r="F21" i="36" s="1"/>
  <c r="P20" i="36"/>
  <c r="Q20" i="36" s="1"/>
  <c r="M20" i="36"/>
  <c r="I20" i="36"/>
  <c r="C20" i="36"/>
  <c r="F20" i="36" s="1" a="1"/>
  <c r="F20" i="36" s="1"/>
  <c r="P19" i="36"/>
  <c r="Q19" i="36" s="1"/>
  <c r="M19" i="36"/>
  <c r="I19" i="36"/>
  <c r="C19" i="36"/>
  <c r="F19" i="36" s="1" a="1"/>
  <c r="F19" i="36" s="1"/>
  <c r="P18" i="36"/>
  <c r="Q18" i="36" s="1"/>
  <c r="M18" i="36"/>
  <c r="I18" i="36"/>
  <c r="C18" i="36"/>
  <c r="F18" i="36" s="1" a="1"/>
  <c r="F18" i="36" s="1"/>
  <c r="P17" i="36"/>
  <c r="Q17" i="36" s="1"/>
  <c r="M17" i="36"/>
  <c r="I17" i="36"/>
  <c r="C17" i="36"/>
  <c r="F17" i="36" s="1" a="1"/>
  <c r="F17" i="36" s="1"/>
  <c r="P16" i="36"/>
  <c r="Q16" i="36" s="1"/>
  <c r="M16" i="36"/>
  <c r="I16" i="36"/>
  <c r="C16" i="36"/>
  <c r="D16" i="36" s="1"/>
  <c r="P15" i="36"/>
  <c r="Q15" i="36" s="1"/>
  <c r="M15" i="36"/>
  <c r="I15" i="36"/>
  <c r="C15" i="36"/>
  <c r="F15" i="36" s="1" a="1"/>
  <c r="F15" i="36" s="1"/>
  <c r="P14" i="36"/>
  <c r="Q14" i="36" s="1"/>
  <c r="M14" i="36"/>
  <c r="I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P10" i="36"/>
  <c r="Q10" i="36" s="1"/>
  <c r="M10" i="36"/>
  <c r="I10" i="36"/>
  <c r="C10" i="36"/>
  <c r="F10" i="36" s="1" a="1"/>
  <c r="F10" i="36" s="1"/>
  <c r="P9" i="36"/>
  <c r="Q9" i="36" s="1"/>
  <c r="M9" i="36"/>
  <c r="I9" i="36"/>
  <c r="D9" i="36"/>
  <c r="C9" i="36"/>
  <c r="F9" i="36" s="1" a="1"/>
  <c r="F9" i="36" s="1"/>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C99" i="35"/>
  <c r="D99" i="35" s="1"/>
  <c r="P98" i="35"/>
  <c r="Q98" i="35" s="1"/>
  <c r="M98" i="35"/>
  <c r="L98" i="35"/>
  <c r="I98" i="35"/>
  <c r="F98" i="35" a="1"/>
  <c r="F98" i="35" s="1"/>
  <c r="C98" i="35"/>
  <c r="D98" i="35" s="1"/>
  <c r="P97" i="35"/>
  <c r="Q97" i="35" s="1"/>
  <c r="M97" i="35"/>
  <c r="L97" i="35"/>
  <c r="I97" i="35"/>
  <c r="F97" i="35" a="1"/>
  <c r="F97" i="35" s="1"/>
  <c r="C97" i="35"/>
  <c r="D97" i="35" s="1"/>
  <c r="P96" i="35"/>
  <c r="Q96" i="35" s="1"/>
  <c r="M96" i="35"/>
  <c r="L96" i="35"/>
  <c r="I96" i="35"/>
  <c r="C96" i="35"/>
  <c r="F96" i="35" s="1" a="1"/>
  <c r="F96" i="35" s="1"/>
  <c r="Q95" i="35"/>
  <c r="P95" i="35"/>
  <c r="M95" i="35"/>
  <c r="L95" i="35"/>
  <c r="I95" i="35"/>
  <c r="C95" i="35"/>
  <c r="F95" i="35" s="1" a="1"/>
  <c r="F95" i="35" s="1"/>
  <c r="P94" i="35"/>
  <c r="Q94" i="35" s="1"/>
  <c r="M94" i="35"/>
  <c r="L94" i="35"/>
  <c r="I94" i="35"/>
  <c r="F94" i="35" a="1"/>
  <c r="F94" i="35" s="1"/>
  <c r="D94" i="35"/>
  <c r="C94" i="35"/>
  <c r="P93" i="35"/>
  <c r="Q93" i="35" s="1"/>
  <c r="M93" i="35"/>
  <c r="L93" i="35"/>
  <c r="I93" i="35"/>
  <c r="C93" i="35"/>
  <c r="F93" i="35" s="1" a="1"/>
  <c r="F93" i="35" s="1"/>
  <c r="Q92" i="35"/>
  <c r="P92" i="35"/>
  <c r="M92" i="35"/>
  <c r="L92" i="35"/>
  <c r="I92" i="35"/>
  <c r="C92" i="35"/>
  <c r="F92" i="35" s="1" a="1"/>
  <c r="F92" i="35" s="1"/>
  <c r="Q91" i="35"/>
  <c r="P91" i="35"/>
  <c r="M91" i="35"/>
  <c r="L91" i="35"/>
  <c r="I91" i="35"/>
  <c r="F91" i="35" a="1"/>
  <c r="F91" i="35" s="1"/>
  <c r="C91" i="35"/>
  <c r="D91" i="35" s="1"/>
  <c r="P90" i="35"/>
  <c r="Q90" i="35" s="1"/>
  <c r="M90" i="35"/>
  <c r="L90" i="35"/>
  <c r="I90" i="35"/>
  <c r="F90" i="35" a="1"/>
  <c r="F90" i="35" s="1"/>
  <c r="C90" i="35"/>
  <c r="D90" i="35" s="1"/>
  <c r="P89" i="35"/>
  <c r="Q89" i="35" s="1"/>
  <c r="M89" i="35"/>
  <c r="L89" i="35"/>
  <c r="I89" i="35"/>
  <c r="F89" i="35" a="1"/>
  <c r="F89" i="35" s="1"/>
  <c r="C89" i="35"/>
  <c r="D89" i="35" s="1"/>
  <c r="P88" i="35"/>
  <c r="Q88" i="35" s="1"/>
  <c r="M88" i="35"/>
  <c r="L88" i="35"/>
  <c r="I88" i="35"/>
  <c r="C88" i="35"/>
  <c r="F88" i="35" s="1" a="1"/>
  <c r="F88" i="35" s="1"/>
  <c r="Q87" i="35"/>
  <c r="P87" i="35"/>
  <c r="M87" i="35"/>
  <c r="L87" i="35"/>
  <c r="I87" i="35"/>
  <c r="C87" i="35"/>
  <c r="F87" i="35" s="1" a="1"/>
  <c r="F87" i="35" s="1"/>
  <c r="P86" i="35"/>
  <c r="Q86" i="35" s="1"/>
  <c r="M86" i="35"/>
  <c r="L86" i="35"/>
  <c r="I86" i="35"/>
  <c r="F86" i="35" a="1"/>
  <c r="F86" i="35" s="1"/>
  <c r="D86" i="35"/>
  <c r="C86" i="35"/>
  <c r="P85" i="35"/>
  <c r="Q85" i="35" s="1"/>
  <c r="M85" i="35"/>
  <c r="L85" i="35"/>
  <c r="I85" i="35"/>
  <c r="C85" i="35"/>
  <c r="F85" i="35" s="1" a="1"/>
  <c r="F85" i="35" s="1"/>
  <c r="Q84" i="35"/>
  <c r="P84" i="35"/>
  <c r="M84" i="35"/>
  <c r="L84" i="35"/>
  <c r="I84" i="35"/>
  <c r="C84" i="35"/>
  <c r="F84" i="35" s="1" a="1"/>
  <c r="F84" i="35" s="1"/>
  <c r="Q83" i="35"/>
  <c r="P83" i="35"/>
  <c r="M83" i="35"/>
  <c r="L83" i="35"/>
  <c r="I83" i="35"/>
  <c r="F83" i="35" a="1"/>
  <c r="F83" i="35" s="1"/>
  <c r="C83" i="35"/>
  <c r="D83" i="35" s="1"/>
  <c r="P82" i="35"/>
  <c r="Q82" i="35" s="1"/>
  <c r="M82" i="35"/>
  <c r="L82" i="35"/>
  <c r="I82" i="35"/>
  <c r="F82" i="35" a="1"/>
  <c r="F82" i="35" s="1"/>
  <c r="C82" i="35"/>
  <c r="D82" i="35" s="1"/>
  <c r="P81" i="35"/>
  <c r="Q81" i="35" s="1"/>
  <c r="M81" i="35"/>
  <c r="L81" i="35"/>
  <c r="I81" i="35"/>
  <c r="F81" i="35" a="1"/>
  <c r="F81" i="35" s="1"/>
  <c r="C81" i="35"/>
  <c r="D81" i="35" s="1"/>
  <c r="P80" i="35"/>
  <c r="Q80" i="35" s="1"/>
  <c r="M80" i="35"/>
  <c r="L80" i="35"/>
  <c r="I80" i="35"/>
  <c r="C80" i="35"/>
  <c r="F80" i="35" s="1" a="1"/>
  <c r="F80" i="35" s="1"/>
  <c r="Q79" i="35"/>
  <c r="P79" i="35"/>
  <c r="M79" i="35"/>
  <c r="L79" i="35"/>
  <c r="I79" i="35"/>
  <c r="C79" i="35"/>
  <c r="F79" i="35" s="1" a="1"/>
  <c r="F79" i="35" s="1"/>
  <c r="P78" i="35"/>
  <c r="Q78" i="35" s="1"/>
  <c r="M78" i="35"/>
  <c r="L78" i="35"/>
  <c r="I78" i="35"/>
  <c r="F78" i="35" a="1"/>
  <c r="F78" i="35" s="1"/>
  <c r="D78" i="35"/>
  <c r="C78" i="35"/>
  <c r="P77" i="35"/>
  <c r="Q77" i="35" s="1"/>
  <c r="M77" i="35"/>
  <c r="L77" i="35"/>
  <c r="I77" i="35"/>
  <c r="C77" i="35"/>
  <c r="F77" i="35" s="1" a="1"/>
  <c r="F77" i="35" s="1"/>
  <c r="Q76" i="35"/>
  <c r="P76" i="35"/>
  <c r="M76" i="35"/>
  <c r="L76" i="35"/>
  <c r="I76" i="35"/>
  <c r="C76" i="35"/>
  <c r="F76" i="35" s="1" a="1"/>
  <c r="F76" i="35" s="1"/>
  <c r="Q75" i="35"/>
  <c r="P75" i="35"/>
  <c r="M75" i="35"/>
  <c r="L75" i="35"/>
  <c r="I75" i="35"/>
  <c r="F75" i="35" a="1"/>
  <c r="F75" i="35" s="1"/>
  <c r="C75" i="35"/>
  <c r="D75" i="35" s="1"/>
  <c r="P74" i="35"/>
  <c r="Q74" i="35" s="1"/>
  <c r="M74" i="35"/>
  <c r="L74" i="35"/>
  <c r="I74" i="35"/>
  <c r="F74" i="35" a="1"/>
  <c r="F74" i="35" s="1"/>
  <c r="C74" i="35"/>
  <c r="D74" i="35" s="1"/>
  <c r="P73" i="35"/>
  <c r="Q73" i="35" s="1"/>
  <c r="M73" i="35"/>
  <c r="L73" i="35"/>
  <c r="I73" i="35"/>
  <c r="F73" i="35" a="1"/>
  <c r="F73" i="35" s="1"/>
  <c r="C73" i="35"/>
  <c r="D73" i="35" s="1"/>
  <c r="P72" i="35"/>
  <c r="Q72" i="35" s="1"/>
  <c r="M72" i="35"/>
  <c r="L72" i="35"/>
  <c r="I72" i="35"/>
  <c r="C72" i="35"/>
  <c r="F72" i="35" s="1" a="1"/>
  <c r="F72" i="35" s="1"/>
  <c r="Q71" i="35"/>
  <c r="P71" i="35"/>
  <c r="M71" i="35"/>
  <c r="L71" i="35"/>
  <c r="I71" i="35"/>
  <c r="C71" i="35"/>
  <c r="F71" i="35" s="1" a="1"/>
  <c r="F71" i="35" s="1"/>
  <c r="P70" i="35"/>
  <c r="Q70" i="35" s="1"/>
  <c r="M70" i="35"/>
  <c r="L70" i="35"/>
  <c r="I70" i="35"/>
  <c r="F70" i="35" a="1"/>
  <c r="F70" i="35" s="1"/>
  <c r="D70" i="35"/>
  <c r="C70" i="35"/>
  <c r="P69" i="35"/>
  <c r="Q69" i="35" s="1"/>
  <c r="M69" i="35"/>
  <c r="L69" i="35"/>
  <c r="I69" i="35"/>
  <c r="C69" i="35"/>
  <c r="F69" i="35" s="1" a="1"/>
  <c r="F69" i="35" s="1"/>
  <c r="Q68" i="35"/>
  <c r="P68" i="35"/>
  <c r="M68" i="35"/>
  <c r="L68" i="35"/>
  <c r="I68" i="35"/>
  <c r="C68" i="35"/>
  <c r="F68" i="35" s="1" a="1"/>
  <c r="F68" i="35" s="1"/>
  <c r="Q67" i="35"/>
  <c r="P67" i="35"/>
  <c r="M67" i="35"/>
  <c r="L67" i="35"/>
  <c r="I67" i="35"/>
  <c r="F67" i="35" a="1"/>
  <c r="F67" i="35" s="1"/>
  <c r="C67" i="35"/>
  <c r="D67" i="35" s="1"/>
  <c r="P66" i="35"/>
  <c r="Q66" i="35" s="1"/>
  <c r="M66" i="35"/>
  <c r="L66" i="35"/>
  <c r="I66" i="35"/>
  <c r="F66" i="35" a="1"/>
  <c r="F66" i="35" s="1"/>
  <c r="C66" i="35"/>
  <c r="D66" i="35" s="1"/>
  <c r="P65" i="35"/>
  <c r="Q65" i="35" s="1"/>
  <c r="M65" i="35"/>
  <c r="L65" i="35"/>
  <c r="I65" i="35"/>
  <c r="F65" i="35" a="1"/>
  <c r="F65" i="35" s="1"/>
  <c r="C65" i="35"/>
  <c r="D65" i="35" s="1"/>
  <c r="P64" i="35"/>
  <c r="Q64" i="35" s="1"/>
  <c r="M64" i="35"/>
  <c r="L64" i="35"/>
  <c r="I64" i="35"/>
  <c r="C64" i="35"/>
  <c r="F64" i="35" s="1" a="1"/>
  <c r="F64" i="35" s="1"/>
  <c r="Q63" i="35"/>
  <c r="P63" i="35"/>
  <c r="M63" i="35"/>
  <c r="L63" i="35"/>
  <c r="I63" i="35"/>
  <c r="C63" i="35"/>
  <c r="F63" i="35" s="1" a="1"/>
  <c r="F63" i="35" s="1"/>
  <c r="P62" i="35"/>
  <c r="Q62" i="35" s="1"/>
  <c r="M62" i="35"/>
  <c r="L62" i="35"/>
  <c r="I62" i="35"/>
  <c r="F62" i="35" a="1"/>
  <c r="F62" i="35" s="1"/>
  <c r="D62" i="35"/>
  <c r="C62" i="35"/>
  <c r="P61" i="35"/>
  <c r="Q61" i="35" s="1"/>
  <c r="M61" i="35"/>
  <c r="L61" i="35"/>
  <c r="I61" i="35"/>
  <c r="C61" i="35"/>
  <c r="F61" i="35" s="1" a="1"/>
  <c r="F61" i="35" s="1"/>
  <c r="P60" i="35"/>
  <c r="Q60" i="35" s="1"/>
  <c r="M60" i="35"/>
  <c r="L60" i="35"/>
  <c r="I60" i="35"/>
  <c r="D60" i="35"/>
  <c r="C60" i="35"/>
  <c r="F60" i="35" s="1" a="1"/>
  <c r="F60" i="35" s="1"/>
  <c r="P59" i="35"/>
  <c r="Q59" i="35" s="1"/>
  <c r="M59" i="35"/>
  <c r="L59" i="35"/>
  <c r="I59" i="35"/>
  <c r="C59" i="35"/>
  <c r="D59" i="35" s="1"/>
  <c r="P58" i="35"/>
  <c r="Q58" i="35" s="1"/>
  <c r="M58" i="35"/>
  <c r="L58" i="35"/>
  <c r="I58" i="35"/>
  <c r="C58" i="35"/>
  <c r="F58" i="35" s="1" a="1"/>
  <c r="F58" i="35" s="1"/>
  <c r="P57" i="35"/>
  <c r="Q57" i="35" s="1"/>
  <c r="M57" i="35"/>
  <c r="L57" i="35"/>
  <c r="I57" i="35"/>
  <c r="C57" i="35"/>
  <c r="D57" i="35" s="1"/>
  <c r="P56" i="35"/>
  <c r="Q56" i="35" s="1"/>
  <c r="M56" i="35"/>
  <c r="L56" i="35"/>
  <c r="I56" i="35"/>
  <c r="C56" i="35"/>
  <c r="F56" i="35" s="1" a="1"/>
  <c r="F56" i="35" s="1"/>
  <c r="P55" i="35"/>
  <c r="Q55" i="35" s="1"/>
  <c r="M55" i="35"/>
  <c r="L55" i="35"/>
  <c r="I55" i="35"/>
  <c r="C55" i="35"/>
  <c r="F55" i="35" s="1" a="1"/>
  <c r="F55" i="35" s="1"/>
  <c r="P54" i="35"/>
  <c r="Q54" i="35" s="1"/>
  <c r="M54" i="35"/>
  <c r="L54" i="35"/>
  <c r="I54" i="35"/>
  <c r="F54" i="35" a="1"/>
  <c r="F54" i="35" s="1"/>
  <c r="C54" i="35"/>
  <c r="D54" i="35" s="1"/>
  <c r="Q53" i="35"/>
  <c r="P53" i="35"/>
  <c r="M53" i="35"/>
  <c r="L53" i="35"/>
  <c r="I53" i="35"/>
  <c r="C53" i="35"/>
  <c r="F53" i="35" s="1" a="1"/>
  <c r="F53" i="35" s="1"/>
  <c r="P52" i="35"/>
  <c r="Q52" i="35" s="1"/>
  <c r="M52" i="35"/>
  <c r="L52" i="35"/>
  <c r="I52" i="35"/>
  <c r="C52" i="35"/>
  <c r="F52" i="35" s="1" a="1"/>
  <c r="F52" i="35" s="1"/>
  <c r="P51" i="35"/>
  <c r="Q51" i="35" s="1"/>
  <c r="M51" i="35"/>
  <c r="L51" i="35"/>
  <c r="I51" i="35"/>
  <c r="F51" i="35" a="1"/>
  <c r="F51" i="35" s="1"/>
  <c r="C51" i="35"/>
  <c r="D51" i="35" s="1"/>
  <c r="P50" i="35"/>
  <c r="Q50" i="35" s="1"/>
  <c r="M50" i="35"/>
  <c r="L50" i="35"/>
  <c r="I50" i="35"/>
  <c r="F50" i="35" a="1"/>
  <c r="F50" i="35" s="1"/>
  <c r="D50" i="35"/>
  <c r="C50" i="35"/>
  <c r="P49" i="35"/>
  <c r="Q49" i="35" s="1"/>
  <c r="M49" i="35"/>
  <c r="L49" i="35"/>
  <c r="I49" i="35"/>
  <c r="C49" i="35"/>
  <c r="D49" i="35" s="1"/>
  <c r="Q48" i="35"/>
  <c r="P48" i="35"/>
  <c r="M48" i="35"/>
  <c r="L48" i="35"/>
  <c r="I48" i="35"/>
  <c r="C48" i="35"/>
  <c r="F48" i="35" s="1" a="1"/>
  <c r="F48" i="35" s="1"/>
  <c r="P47" i="35"/>
  <c r="Q47" i="35" s="1"/>
  <c r="M47" i="35"/>
  <c r="L47" i="35"/>
  <c r="I47" i="35"/>
  <c r="C47" i="35"/>
  <c r="F47" i="35" s="1" a="1"/>
  <c r="F47" i="35" s="1"/>
  <c r="P46" i="35"/>
  <c r="Q46" i="35" s="1"/>
  <c r="M46" i="35"/>
  <c r="L46" i="35"/>
  <c r="I46" i="35"/>
  <c r="C46" i="35"/>
  <c r="D46" i="35" s="1"/>
  <c r="Q45" i="35"/>
  <c r="P45" i="35"/>
  <c r="M45" i="35"/>
  <c r="L45" i="35"/>
  <c r="I45" i="35"/>
  <c r="C45" i="35"/>
  <c r="F45" i="35" s="1" a="1"/>
  <c r="F45" i="35" s="1"/>
  <c r="P44" i="35"/>
  <c r="Q44" i="35" s="1"/>
  <c r="M44" i="35"/>
  <c r="L44" i="35"/>
  <c r="I44" i="35"/>
  <c r="C44" i="35"/>
  <c r="F44" i="35" s="1" a="1"/>
  <c r="F44" i="35" s="1"/>
  <c r="Q43" i="35"/>
  <c r="P43" i="35"/>
  <c r="M43" i="35"/>
  <c r="L43" i="35"/>
  <c r="I43" i="35"/>
  <c r="C43" i="35"/>
  <c r="D43" i="35" s="1"/>
  <c r="P42" i="35"/>
  <c r="Q42" i="35" s="1"/>
  <c r="M42" i="35"/>
  <c r="L42" i="35"/>
  <c r="I42" i="35"/>
  <c r="F42" i="35" a="1"/>
  <c r="F42" i="35" s="1"/>
  <c r="C42" i="35"/>
  <c r="D42" i="35" s="1"/>
  <c r="P41" i="35"/>
  <c r="Q41" i="35" s="1"/>
  <c r="M41" i="35"/>
  <c r="L41" i="35"/>
  <c r="I41" i="35"/>
  <c r="C41" i="35"/>
  <c r="D41" i="35" s="1"/>
  <c r="P40" i="35"/>
  <c r="Q40" i="35" s="1"/>
  <c r="M40" i="35"/>
  <c r="L40" i="35"/>
  <c r="I40" i="35"/>
  <c r="C40" i="35"/>
  <c r="F40" i="35" s="1" a="1"/>
  <c r="F40" i="35" s="1"/>
  <c r="P39" i="35"/>
  <c r="Q39" i="35" s="1"/>
  <c r="M39" i="35"/>
  <c r="L39" i="35"/>
  <c r="I39" i="35"/>
  <c r="D39" i="35"/>
  <c r="C39" i="35"/>
  <c r="F39" i="35" s="1" a="1"/>
  <c r="F39" i="35" s="1"/>
  <c r="P38" i="35"/>
  <c r="Q38" i="35" s="1"/>
  <c r="M38" i="35"/>
  <c r="L38" i="35"/>
  <c r="I38" i="35"/>
  <c r="D38" i="35"/>
  <c r="C38" i="35"/>
  <c r="F38" i="35" s="1" a="1"/>
  <c r="F38" i="35" s="1"/>
  <c r="P37" i="35"/>
  <c r="Q37" i="35" s="1"/>
  <c r="M37" i="35"/>
  <c r="L37" i="35"/>
  <c r="I37" i="35"/>
  <c r="C37" i="35"/>
  <c r="F37" i="35" s="1" a="1"/>
  <c r="F37" i="35" s="1"/>
  <c r="P36" i="35"/>
  <c r="Q36" i="35" s="1"/>
  <c r="M36" i="35"/>
  <c r="L36" i="35"/>
  <c r="I36" i="35"/>
  <c r="C36" i="35"/>
  <c r="F36" i="35" s="1" a="1"/>
  <c r="F36" i="35" s="1"/>
  <c r="P35" i="35"/>
  <c r="Q35" i="35" s="1"/>
  <c r="M35" i="35"/>
  <c r="L35" i="35"/>
  <c r="I35" i="35"/>
  <c r="C35" i="35"/>
  <c r="D35" i="35" s="1"/>
  <c r="P34" i="35"/>
  <c r="Q34" i="35" s="1"/>
  <c r="M34" i="35"/>
  <c r="L34" i="35"/>
  <c r="I34" i="35"/>
  <c r="C34" i="35"/>
  <c r="D34" i="35" s="1"/>
  <c r="P33" i="35"/>
  <c r="Q33" i="35" s="1"/>
  <c r="M33" i="35"/>
  <c r="L33" i="35"/>
  <c r="I33" i="35"/>
  <c r="F33" i="35" a="1"/>
  <c r="F33" i="35" s="1"/>
  <c r="C33" i="35"/>
  <c r="D33" i="35" s="1"/>
  <c r="P32" i="35"/>
  <c r="Q32" i="35" s="1"/>
  <c r="M32" i="35"/>
  <c r="L32" i="35"/>
  <c r="I32" i="35"/>
  <c r="C32" i="35"/>
  <c r="F32" i="35" s="1" a="1"/>
  <c r="F32" i="35" s="1"/>
  <c r="Q31" i="35"/>
  <c r="P31" i="35"/>
  <c r="M31" i="35"/>
  <c r="L31" i="35"/>
  <c r="I31" i="35"/>
  <c r="C31" i="35"/>
  <c r="F31" i="35" s="1" a="1"/>
  <c r="F31" i="35" s="1"/>
  <c r="P30" i="35"/>
  <c r="Q30" i="35" s="1"/>
  <c r="M30" i="35"/>
  <c r="L30" i="35"/>
  <c r="I30" i="35"/>
  <c r="F30" i="35" a="1"/>
  <c r="F30" i="35" s="1"/>
  <c r="D30" i="35"/>
  <c r="C30" i="35"/>
  <c r="P29" i="35"/>
  <c r="Q29" i="35" s="1"/>
  <c r="M29" i="35"/>
  <c r="L29" i="35"/>
  <c r="I29" i="35"/>
  <c r="C29" i="35"/>
  <c r="F29" i="35" s="1" a="1"/>
  <c r="F29" i="35" s="1"/>
  <c r="P28" i="35"/>
  <c r="Q28" i="35" s="1"/>
  <c r="M28" i="35"/>
  <c r="L28" i="35"/>
  <c r="I28" i="35"/>
  <c r="D28" i="35"/>
  <c r="C28" i="35"/>
  <c r="F28" i="35" s="1" a="1"/>
  <c r="F28" i="35" s="1"/>
  <c r="P27" i="35"/>
  <c r="Q27" i="35" s="1"/>
  <c r="M27" i="35"/>
  <c r="L27" i="35"/>
  <c r="I27" i="35"/>
  <c r="F27" i="35" a="1"/>
  <c r="F27" i="35" s="1"/>
  <c r="C27" i="35"/>
  <c r="D27" i="35" s="1"/>
  <c r="P26" i="35"/>
  <c r="Q26" i="35" s="1"/>
  <c r="M26" i="35"/>
  <c r="L26" i="35"/>
  <c r="I26" i="35"/>
  <c r="D26" i="35"/>
  <c r="C26" i="35"/>
  <c r="F26" i="35" s="1" a="1"/>
  <c r="F26" i="35" s="1"/>
  <c r="P25" i="35"/>
  <c r="Q25" i="35" s="1"/>
  <c r="M25" i="35"/>
  <c r="L25" i="35"/>
  <c r="I25" i="35"/>
  <c r="C25" i="35"/>
  <c r="D25" i="35" s="1"/>
  <c r="Q24" i="35"/>
  <c r="P24" i="35"/>
  <c r="M24" i="35"/>
  <c r="L24" i="35"/>
  <c r="I24" i="35"/>
  <c r="C24" i="35"/>
  <c r="F24" i="35" s="1" a="1"/>
  <c r="F24" i="35" s="1"/>
  <c r="P23" i="35"/>
  <c r="Q23" i="35" s="1"/>
  <c r="M23" i="35"/>
  <c r="L23" i="35"/>
  <c r="I23" i="35"/>
  <c r="C23" i="35"/>
  <c r="F23" i="35" s="1" a="1"/>
  <c r="F23" i="35" s="1"/>
  <c r="P22" i="35"/>
  <c r="Q22" i="35" s="1"/>
  <c r="M22" i="35"/>
  <c r="L22" i="35"/>
  <c r="I22" i="35"/>
  <c r="F22" i="35" a="1"/>
  <c r="F22" i="35" s="1"/>
  <c r="C22" i="35"/>
  <c r="D22" i="35" s="1"/>
  <c r="P21" i="35"/>
  <c r="Q21" i="35" s="1"/>
  <c r="M21" i="35"/>
  <c r="L21" i="35"/>
  <c r="I21" i="35"/>
  <c r="C21" i="35"/>
  <c r="F21" i="35" s="1" a="1"/>
  <c r="F21" i="35" s="1"/>
  <c r="P20" i="35"/>
  <c r="Q20" i="35" s="1"/>
  <c r="M20" i="35"/>
  <c r="L20" i="35"/>
  <c r="I20" i="35"/>
  <c r="C20" i="35"/>
  <c r="F20" i="35" s="1" a="1"/>
  <c r="F20" i="35" s="1"/>
  <c r="Q19" i="35"/>
  <c r="P19" i="35"/>
  <c r="M19" i="35"/>
  <c r="L19" i="35"/>
  <c r="I19" i="35"/>
  <c r="F19" i="35" a="1"/>
  <c r="F19" i="35" s="1"/>
  <c r="C19" i="35"/>
  <c r="D19" i="35" s="1"/>
  <c r="P18" i="35"/>
  <c r="Q18" i="35" s="1"/>
  <c r="M18" i="35"/>
  <c r="L18" i="35"/>
  <c r="I18" i="35"/>
  <c r="F18" i="35" a="1"/>
  <c r="F18" i="35" s="1"/>
  <c r="D18" i="35"/>
  <c r="C18" i="35"/>
  <c r="P17" i="35"/>
  <c r="Q17" i="35" s="1"/>
  <c r="M17" i="35"/>
  <c r="L17" i="35"/>
  <c r="I17" i="35"/>
  <c r="C17" i="35"/>
  <c r="D17" i="35" s="1"/>
  <c r="Q16" i="35"/>
  <c r="P16" i="35"/>
  <c r="M16" i="35"/>
  <c r="L16" i="35"/>
  <c r="I16" i="35"/>
  <c r="C16" i="35"/>
  <c r="F16" i="35" s="1" a="1"/>
  <c r="F16" i="35" s="1"/>
  <c r="P15" i="35"/>
  <c r="Q15" i="35" s="1"/>
  <c r="M15" i="35"/>
  <c r="L15" i="35"/>
  <c r="I15" i="35"/>
  <c r="D15" i="35"/>
  <c r="C15" i="35"/>
  <c r="F15" i="35" s="1" a="1"/>
  <c r="F15" i="35" s="1"/>
  <c r="P14" i="35"/>
  <c r="Q14" i="35" s="1"/>
  <c r="M14" i="35"/>
  <c r="L14" i="35"/>
  <c r="I14" i="35"/>
  <c r="C14" i="35"/>
  <c r="F14" i="35" s="1" a="1"/>
  <c r="F14" i="35" s="1"/>
  <c r="Q13" i="35"/>
  <c r="P13" i="35"/>
  <c r="M13" i="35"/>
  <c r="L13" i="35"/>
  <c r="I13" i="35"/>
  <c r="C13" i="35"/>
  <c r="F13" i="35" s="1" a="1"/>
  <c r="F13" i="35" s="1"/>
  <c r="P12" i="35"/>
  <c r="Q12" i="35" s="1"/>
  <c r="M12" i="35"/>
  <c r="L12" i="35"/>
  <c r="I12" i="35"/>
  <c r="C12" i="35"/>
  <c r="F12" i="35" s="1" a="1"/>
  <c r="F12" i="35" s="1"/>
  <c r="Q11" i="35"/>
  <c r="P11" i="35"/>
  <c r="M11" i="35"/>
  <c r="L11" i="35"/>
  <c r="I11" i="35"/>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C100" i="34"/>
  <c r="F100" i="34" s="1" a="1"/>
  <c r="F100" i="34" s="1"/>
  <c r="P99" i="34"/>
  <c r="Q99" i="34" s="1"/>
  <c r="M99" i="34"/>
  <c r="L99" i="34"/>
  <c r="I99" i="34"/>
  <c r="C99" i="34"/>
  <c r="D99" i="34" s="1"/>
  <c r="P98" i="34"/>
  <c r="Q98" i="34" s="1"/>
  <c r="M98" i="34"/>
  <c r="L98" i="34"/>
  <c r="I98" i="34"/>
  <c r="C98" i="34"/>
  <c r="F98" i="34" s="1" a="1"/>
  <c r="F98" i="34" s="1"/>
  <c r="P97" i="34"/>
  <c r="Q97" i="34" s="1"/>
  <c r="M97" i="34"/>
  <c r="L97" i="34"/>
  <c r="I97" i="34"/>
  <c r="C97" i="34"/>
  <c r="F97" i="34" s="1" a="1"/>
  <c r="F97" i="34" s="1"/>
  <c r="Q96" i="34"/>
  <c r="P96" i="34"/>
  <c r="M96" i="34"/>
  <c r="L96" i="34"/>
  <c r="I96" i="34"/>
  <c r="C96" i="34"/>
  <c r="F96" i="34" s="1" a="1"/>
  <c r="F96" i="34" s="1"/>
  <c r="P95" i="34"/>
  <c r="Q95" i="34" s="1"/>
  <c r="M95" i="34"/>
  <c r="L95" i="34"/>
  <c r="I95" i="34"/>
  <c r="F95" i="34" a="1"/>
  <c r="F95" i="34" s="1"/>
  <c r="D95" i="34"/>
  <c r="C95" i="34"/>
  <c r="P94" i="34"/>
  <c r="Q94" i="34" s="1"/>
  <c r="M94" i="34"/>
  <c r="L94" i="34"/>
  <c r="I94" i="34"/>
  <c r="C94" i="34"/>
  <c r="D94" i="34" s="1"/>
  <c r="P93" i="34"/>
  <c r="Q93" i="34" s="1"/>
  <c r="M93" i="34"/>
  <c r="L93" i="34"/>
  <c r="I93" i="34"/>
  <c r="C93" i="34"/>
  <c r="F93" i="34" s="1" a="1"/>
  <c r="F93" i="34" s="1"/>
  <c r="P92" i="34"/>
  <c r="Q92" i="34" s="1"/>
  <c r="M92" i="34"/>
  <c r="L92" i="34"/>
  <c r="I92" i="34"/>
  <c r="D92" i="34"/>
  <c r="C92" i="34"/>
  <c r="F92" i="34" s="1" a="1"/>
  <c r="F92" i="34" s="1"/>
  <c r="P91" i="34"/>
  <c r="Q91" i="34" s="1"/>
  <c r="M91" i="34"/>
  <c r="L91" i="34"/>
  <c r="I91" i="34"/>
  <c r="C91" i="34"/>
  <c r="D91" i="34" s="1"/>
  <c r="P90" i="34"/>
  <c r="Q90" i="34" s="1"/>
  <c r="M90" i="34"/>
  <c r="L90" i="34"/>
  <c r="I90" i="34"/>
  <c r="C90" i="34"/>
  <c r="F90" i="34" s="1" a="1"/>
  <c r="F90" i="34" s="1"/>
  <c r="P89" i="34"/>
  <c r="Q89" i="34" s="1"/>
  <c r="M89" i="34"/>
  <c r="L89" i="34"/>
  <c r="I89" i="34"/>
  <c r="C89" i="34"/>
  <c r="F89" i="34" s="1" a="1"/>
  <c r="F89" i="34" s="1"/>
  <c r="P88" i="34"/>
  <c r="Q88" i="34" s="1"/>
  <c r="M88" i="34"/>
  <c r="L88" i="34"/>
  <c r="I88" i="34"/>
  <c r="C88" i="34"/>
  <c r="F88" i="34" s="1" a="1"/>
  <c r="F88" i="34" s="1"/>
  <c r="P87" i="34"/>
  <c r="Q87" i="34" s="1"/>
  <c r="M87" i="34"/>
  <c r="L87" i="34"/>
  <c r="I87" i="34"/>
  <c r="F87" i="34" a="1"/>
  <c r="F87" i="34" s="1"/>
  <c r="D87" i="34"/>
  <c r="C87" i="34"/>
  <c r="P86" i="34"/>
  <c r="Q86" i="34" s="1"/>
  <c r="M86" i="34"/>
  <c r="L86" i="34"/>
  <c r="I86" i="34"/>
  <c r="C86" i="34"/>
  <c r="D86" i="34" s="1"/>
  <c r="Q85" i="34"/>
  <c r="P85" i="34"/>
  <c r="M85" i="34"/>
  <c r="L85" i="34"/>
  <c r="I85" i="34"/>
  <c r="C85" i="34"/>
  <c r="F85" i="34" s="1" a="1"/>
  <c r="F85" i="34" s="1"/>
  <c r="P84" i="34"/>
  <c r="Q84" i="34" s="1"/>
  <c r="M84" i="34"/>
  <c r="L84" i="34"/>
  <c r="I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C79" i="34"/>
  <c r="F79" i="34" s="1" a="1"/>
  <c r="F79" i="34" s="1"/>
  <c r="P78" i="34"/>
  <c r="Q78" i="34" s="1"/>
  <c r="M78" i="34"/>
  <c r="L78" i="34"/>
  <c r="I78" i="34"/>
  <c r="C78" i="34"/>
  <c r="D78" i="34" s="1"/>
  <c r="P77" i="34"/>
  <c r="Q77" i="34" s="1"/>
  <c r="M77" i="34"/>
  <c r="L77" i="34"/>
  <c r="I77" i="34"/>
  <c r="C77" i="34"/>
  <c r="F77" i="34" s="1" a="1"/>
  <c r="F77" i="34" s="1"/>
  <c r="P76" i="34"/>
  <c r="Q76" i="34" s="1"/>
  <c r="M76" i="34"/>
  <c r="L76" i="34"/>
  <c r="I76" i="34"/>
  <c r="C76" i="34"/>
  <c r="F76" i="34" s="1" a="1"/>
  <c r="F76" i="34" s="1"/>
  <c r="P75" i="34"/>
  <c r="Q75" i="34" s="1"/>
  <c r="M75" i="34"/>
  <c r="L75" i="34"/>
  <c r="I75" i="34"/>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C71" i="34"/>
  <c r="D71" i="34" s="1"/>
  <c r="P70" i="34"/>
  <c r="Q70" i="34" s="1"/>
  <c r="M70" i="34"/>
  <c r="L70" i="34"/>
  <c r="I70" i="34"/>
  <c r="F70" i="34" a="1"/>
  <c r="F70" i="34" s="1"/>
  <c r="C70" i="34"/>
  <c r="D70" i="34" s="1"/>
  <c r="P69" i="34"/>
  <c r="Q69" i="34" s="1"/>
  <c r="M69" i="34"/>
  <c r="L69" i="34"/>
  <c r="I69" i="34"/>
  <c r="C69" i="34"/>
  <c r="F69" i="34" s="1" a="1"/>
  <c r="F69" i="34" s="1"/>
  <c r="P68" i="34"/>
  <c r="Q68" i="34" s="1"/>
  <c r="M68" i="34"/>
  <c r="L68" i="34"/>
  <c r="I68" i="34"/>
  <c r="D68" i="34"/>
  <c r="C68" i="34"/>
  <c r="F68" i="34" s="1" a="1"/>
  <c r="F68" i="34" s="1"/>
  <c r="P67" i="34"/>
  <c r="Q67" i="34" s="1"/>
  <c r="M67" i="34"/>
  <c r="L67" i="34"/>
  <c r="I67" i="34"/>
  <c r="C67" i="34"/>
  <c r="D67" i="34" s="1"/>
  <c r="P66" i="34"/>
  <c r="Q66" i="34" s="1"/>
  <c r="M66" i="34"/>
  <c r="L66" i="34"/>
  <c r="I66" i="34"/>
  <c r="C66" i="34"/>
  <c r="F66" i="34" s="1" a="1"/>
  <c r="F66" i="34" s="1"/>
  <c r="P65" i="34"/>
  <c r="Q65" i="34" s="1"/>
  <c r="M65" i="34"/>
  <c r="L65" i="34"/>
  <c r="I65" i="34"/>
  <c r="C65" i="34"/>
  <c r="F65" i="34" s="1" a="1"/>
  <c r="F65" i="34" s="1"/>
  <c r="P64" i="34"/>
  <c r="Q64" i="34" s="1"/>
  <c r="M64" i="34"/>
  <c r="L64" i="34"/>
  <c r="I64" i="34"/>
  <c r="C64" i="34"/>
  <c r="F64" i="34" s="1" a="1"/>
  <c r="F64" i="34" s="1"/>
  <c r="P63" i="34"/>
  <c r="Q63" i="34" s="1"/>
  <c r="M63" i="34"/>
  <c r="L63" i="34"/>
  <c r="I63" i="34"/>
  <c r="F63" i="34" a="1"/>
  <c r="F63" i="34" s="1"/>
  <c r="C63" i="34"/>
  <c r="D63" i="34" s="1"/>
  <c r="P62" i="34"/>
  <c r="Q62" i="34" s="1"/>
  <c r="M62" i="34"/>
  <c r="L62" i="34"/>
  <c r="I62" i="34"/>
  <c r="F62" i="34" a="1"/>
  <c r="F62" i="34" s="1"/>
  <c r="C62" i="34"/>
  <c r="D62" i="34" s="1"/>
  <c r="P61" i="34"/>
  <c r="Q61" i="34" s="1"/>
  <c r="M61" i="34"/>
  <c r="L61" i="34"/>
  <c r="I61" i="34"/>
  <c r="C61" i="34"/>
  <c r="F61" i="34" s="1" a="1"/>
  <c r="F61" i="34" s="1"/>
  <c r="P60" i="34"/>
  <c r="Q60" i="34" s="1"/>
  <c r="M60" i="34"/>
  <c r="L60" i="34"/>
  <c r="I60" i="34"/>
  <c r="D60" i="34"/>
  <c r="C60" i="34"/>
  <c r="F60" i="34" s="1" a="1"/>
  <c r="F60" i="34" s="1"/>
  <c r="P59" i="34"/>
  <c r="Q59" i="34" s="1"/>
  <c r="M59" i="34"/>
  <c r="L59" i="34"/>
  <c r="I59" i="34"/>
  <c r="C59" i="34"/>
  <c r="D59" i="34" s="1"/>
  <c r="P58" i="34"/>
  <c r="Q58" i="34" s="1"/>
  <c r="M58" i="34"/>
  <c r="L58" i="34"/>
  <c r="I58" i="34"/>
  <c r="C58" i="34"/>
  <c r="F58" i="34" s="1" a="1"/>
  <c r="F58" i="34" s="1"/>
  <c r="P57" i="34"/>
  <c r="Q57" i="34" s="1"/>
  <c r="M57" i="34"/>
  <c r="L57" i="34"/>
  <c r="I57" i="34"/>
  <c r="C57" i="34"/>
  <c r="F57" i="34" s="1" a="1"/>
  <c r="F57" i="34" s="1"/>
  <c r="P56" i="34"/>
  <c r="Q56" i="34" s="1"/>
  <c r="M56" i="34"/>
  <c r="L56" i="34"/>
  <c r="I56" i="34"/>
  <c r="C56" i="34"/>
  <c r="F56" i="34" s="1" a="1"/>
  <c r="F56" i="34" s="1"/>
  <c r="P55" i="34"/>
  <c r="Q55" i="34" s="1"/>
  <c r="M55" i="34"/>
  <c r="L55" i="34"/>
  <c r="I55" i="34"/>
  <c r="F55" i="34" a="1"/>
  <c r="F55" i="34" s="1"/>
  <c r="D55" i="34"/>
  <c r="C55" i="34"/>
  <c r="P54" i="34"/>
  <c r="Q54" i="34" s="1"/>
  <c r="M54" i="34"/>
  <c r="L54" i="34"/>
  <c r="I54" i="34"/>
  <c r="C54" i="34"/>
  <c r="D54" i="34" s="1"/>
  <c r="Q53" i="34"/>
  <c r="P53" i="34"/>
  <c r="M53" i="34"/>
  <c r="L53" i="34"/>
  <c r="I53" i="34"/>
  <c r="C53" i="34"/>
  <c r="F53" i="34" s="1" a="1"/>
  <c r="F53" i="34" s="1"/>
  <c r="P52" i="34"/>
  <c r="Q52" i="34" s="1"/>
  <c r="M52" i="34"/>
  <c r="L52" i="34"/>
  <c r="I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D47" i="34"/>
  <c r="C47" i="34"/>
  <c r="F47" i="34" s="1" a="1"/>
  <c r="F47" i="34" s="1"/>
  <c r="P46" i="34"/>
  <c r="Q46" i="34" s="1"/>
  <c r="M46" i="34"/>
  <c r="L46" i="34"/>
  <c r="I46" i="34"/>
  <c r="C46" i="34"/>
  <c r="D46" i="34" s="1"/>
  <c r="Q45" i="34"/>
  <c r="P45" i="34"/>
  <c r="M45" i="34"/>
  <c r="L45" i="34"/>
  <c r="I45" i="34"/>
  <c r="C45" i="34"/>
  <c r="F45" i="34" s="1" a="1"/>
  <c r="F45" i="34" s="1"/>
  <c r="P44" i="34"/>
  <c r="Q44" i="34" s="1"/>
  <c r="M44" i="34"/>
  <c r="L44" i="34"/>
  <c r="I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C39" i="34"/>
  <c r="F39" i="34" s="1" a="1"/>
  <c r="F39" i="34" s="1"/>
  <c r="P38" i="34"/>
  <c r="Q38" i="34" s="1"/>
  <c r="M38" i="34"/>
  <c r="L38" i="34"/>
  <c r="I38" i="34"/>
  <c r="F38" i="34" a="1"/>
  <c r="F38" i="34" s="1"/>
  <c r="C38" i="34"/>
  <c r="D38" i="34" s="1"/>
  <c r="P37" i="34"/>
  <c r="Q37" i="34" s="1"/>
  <c r="M37" i="34"/>
  <c r="L37" i="34"/>
  <c r="I37" i="34"/>
  <c r="C37" i="34"/>
  <c r="F37" i="34" s="1" a="1"/>
  <c r="F37" i="34" s="1"/>
  <c r="P36" i="34"/>
  <c r="Q36" i="34" s="1"/>
  <c r="M36" i="34"/>
  <c r="L36" i="34"/>
  <c r="I36" i="34"/>
  <c r="D36" i="34"/>
  <c r="C36" i="34"/>
  <c r="F36" i="34" s="1" a="1"/>
  <c r="F36" i="34" s="1"/>
  <c r="P35" i="34"/>
  <c r="Q35" i="34" s="1"/>
  <c r="M35" i="34"/>
  <c r="L35" i="34"/>
  <c r="I35" i="34"/>
  <c r="C35" i="34"/>
  <c r="D35" i="34" s="1"/>
  <c r="P34" i="34"/>
  <c r="Q34" i="34" s="1"/>
  <c r="M34" i="34"/>
  <c r="L34" i="34"/>
  <c r="I34" i="34"/>
  <c r="C34" i="34"/>
  <c r="F34" i="34" s="1" a="1"/>
  <c r="F34" i="34" s="1"/>
  <c r="P33" i="34"/>
  <c r="Q33" i="34" s="1"/>
  <c r="M33" i="34"/>
  <c r="L33" i="34"/>
  <c r="I33" i="34"/>
  <c r="C33" i="34"/>
  <c r="F33" i="34" s="1" a="1"/>
  <c r="F33" i="34" s="1"/>
  <c r="P32" i="34"/>
  <c r="Q32" i="34" s="1"/>
  <c r="M32" i="34"/>
  <c r="L32" i="34"/>
  <c r="I32" i="34"/>
  <c r="C32" i="34"/>
  <c r="F32" i="34" s="1" a="1"/>
  <c r="F32" i="34" s="1"/>
  <c r="P31" i="34"/>
  <c r="Q31" i="34" s="1"/>
  <c r="M31" i="34"/>
  <c r="L31" i="34"/>
  <c r="I31" i="34"/>
  <c r="F31" i="34" a="1"/>
  <c r="F31" i="34" s="1"/>
  <c r="C31" i="34"/>
  <c r="D31" i="34" s="1"/>
  <c r="P30" i="34"/>
  <c r="Q30" i="34" s="1"/>
  <c r="M30" i="34"/>
  <c r="L30" i="34"/>
  <c r="I30" i="34"/>
  <c r="F30" i="34" a="1"/>
  <c r="F30" i="34" s="1"/>
  <c r="C30" i="34"/>
  <c r="D30" i="34" s="1"/>
  <c r="P29" i="34"/>
  <c r="Q29" i="34" s="1"/>
  <c r="M29" i="34"/>
  <c r="L29" i="34"/>
  <c r="I29" i="34"/>
  <c r="C29" i="34"/>
  <c r="F29" i="34" s="1" a="1"/>
  <c r="F29" i="34" s="1"/>
  <c r="P28" i="34"/>
  <c r="Q28" i="34" s="1"/>
  <c r="M28" i="34"/>
  <c r="L28" i="34"/>
  <c r="I28" i="34"/>
  <c r="D28" i="34"/>
  <c r="C28" i="34"/>
  <c r="F28" i="34" s="1" a="1"/>
  <c r="F28" i="34" s="1"/>
  <c r="P27" i="34"/>
  <c r="Q27" i="34" s="1"/>
  <c r="M27" i="34"/>
  <c r="L27" i="34"/>
  <c r="I27" i="34"/>
  <c r="C27" i="34"/>
  <c r="D27" i="34" s="1"/>
  <c r="P26" i="34"/>
  <c r="Q26" i="34" s="1"/>
  <c r="M26" i="34"/>
  <c r="L26" i="34"/>
  <c r="I26" i="34"/>
  <c r="C26" i="34"/>
  <c r="F26" i="34" s="1" a="1"/>
  <c r="F26" i="34" s="1"/>
  <c r="P25" i="34"/>
  <c r="Q25" i="34" s="1"/>
  <c r="M25" i="34"/>
  <c r="L25" i="34"/>
  <c r="I25" i="34"/>
  <c r="C25" i="34"/>
  <c r="F25" i="34" s="1" a="1"/>
  <c r="F25" i="34" s="1"/>
  <c r="P24" i="34"/>
  <c r="Q24" i="34" s="1"/>
  <c r="M24" i="34"/>
  <c r="L24" i="34"/>
  <c r="I24" i="34"/>
  <c r="C24" i="34"/>
  <c r="F24" i="34" s="1" a="1"/>
  <c r="F24" i="34" s="1"/>
  <c r="P23" i="34"/>
  <c r="Q23" i="34" s="1"/>
  <c r="M23" i="34"/>
  <c r="L23" i="34"/>
  <c r="I23" i="34"/>
  <c r="F23" i="34" a="1"/>
  <c r="F23" i="34" s="1"/>
  <c r="D23" i="34"/>
  <c r="C23" i="34"/>
  <c r="P22" i="34"/>
  <c r="Q22" i="34" s="1"/>
  <c r="M22" i="34"/>
  <c r="L22" i="34"/>
  <c r="I22" i="34"/>
  <c r="C22" i="34"/>
  <c r="D22" i="34" s="1"/>
  <c r="Q21" i="34"/>
  <c r="P21" i="34"/>
  <c r="M21" i="34"/>
  <c r="L21" i="34"/>
  <c r="I21" i="34"/>
  <c r="C21" i="34"/>
  <c r="F21" i="34" s="1" a="1"/>
  <c r="F21" i="34" s="1"/>
  <c r="P20" i="34"/>
  <c r="Q20" i="34" s="1"/>
  <c r="M20" i="34"/>
  <c r="L20" i="34"/>
  <c r="I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D15" i="34"/>
  <c r="C15" i="34"/>
  <c r="F15" i="34" s="1" a="1"/>
  <c r="F15" i="34" s="1"/>
  <c r="P14" i="34"/>
  <c r="Q14" i="34" s="1"/>
  <c r="M14" i="34"/>
  <c r="L14" i="34"/>
  <c r="I14" i="34"/>
  <c r="C14" i="34"/>
  <c r="D14" i="34" s="1"/>
  <c r="Q13" i="34"/>
  <c r="P13" i="34"/>
  <c r="M13" i="34"/>
  <c r="L13" i="34"/>
  <c r="I13" i="34"/>
  <c r="C13" i="34"/>
  <c r="F13" i="34" s="1" a="1"/>
  <c r="F13" i="34" s="1"/>
  <c r="P12" i="34"/>
  <c r="Q12" i="34" s="1"/>
  <c r="M12" i="34"/>
  <c r="L12" i="34"/>
  <c r="I12" i="34"/>
  <c r="C12" i="34"/>
  <c r="F12" i="34" s="1" a="1"/>
  <c r="F12" i="34" s="1"/>
  <c r="P11" i="34"/>
  <c r="Q11" i="34" s="1"/>
  <c r="M11" i="34"/>
  <c r="L11" i="34"/>
  <c r="I11" i="34"/>
  <c r="F11" i="34" a="1"/>
  <c r="F11" i="34" s="1"/>
  <c r="C11" i="34"/>
  <c r="D11" i="34" s="1"/>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C99" i="33"/>
  <c r="D99" i="33" s="1"/>
  <c r="P98" i="33"/>
  <c r="Q98" i="33" s="1"/>
  <c r="M98" i="33"/>
  <c r="L98" i="33"/>
  <c r="I98" i="33"/>
  <c r="D98" i="33"/>
  <c r="C98" i="33"/>
  <c r="F98" i="33" s="1" a="1"/>
  <c r="F98" i="33" s="1"/>
  <c r="P97" i="33"/>
  <c r="Q97" i="33" s="1"/>
  <c r="M97" i="33"/>
  <c r="L97" i="33"/>
  <c r="I97" i="33"/>
  <c r="C97" i="33"/>
  <c r="F97" i="33" s="1" a="1"/>
  <c r="F97" i="33" s="1"/>
  <c r="Q96" i="33"/>
  <c r="P96" i="33"/>
  <c r="M96" i="33"/>
  <c r="L96" i="33"/>
  <c r="I96" i="33"/>
  <c r="D96" i="33"/>
  <c r="C96" i="33"/>
  <c r="F96" i="33" s="1" a="1"/>
  <c r="F96" i="33" s="1"/>
  <c r="P95" i="33"/>
  <c r="Q95" i="33" s="1"/>
  <c r="M95" i="33"/>
  <c r="L95" i="33"/>
  <c r="I95" i="33"/>
  <c r="D95" i="33"/>
  <c r="C95" i="33"/>
  <c r="F95" i="33" s="1" a="1"/>
  <c r="F95" i="33" s="1"/>
  <c r="P94" i="33"/>
  <c r="Q94" i="33" s="1"/>
  <c r="M94" i="33"/>
  <c r="L94" i="33"/>
  <c r="I94" i="33"/>
  <c r="C94" i="33"/>
  <c r="D94" i="33" s="1"/>
  <c r="Q93" i="33"/>
  <c r="P93" i="33"/>
  <c r="M93" i="33"/>
  <c r="L93" i="33"/>
  <c r="I93" i="33"/>
  <c r="C93" i="33"/>
  <c r="F93" i="33" s="1" a="1"/>
  <c r="F93" i="33" s="1"/>
  <c r="P92" i="33"/>
  <c r="Q92" i="33" s="1"/>
  <c r="M92" i="33"/>
  <c r="L92" i="33"/>
  <c r="I92" i="33"/>
  <c r="D92" i="33"/>
  <c r="C92" i="33"/>
  <c r="F92" i="33" s="1" a="1"/>
  <c r="F92" i="33" s="1"/>
  <c r="P91" i="33"/>
  <c r="Q91" i="33" s="1"/>
  <c r="M91" i="33"/>
  <c r="L91" i="33"/>
  <c r="I91" i="33"/>
  <c r="C91" i="33"/>
  <c r="D91" i="33" s="1"/>
  <c r="P90" i="33"/>
  <c r="Q90" i="33" s="1"/>
  <c r="M90" i="33"/>
  <c r="L90" i="33"/>
  <c r="I90" i="33"/>
  <c r="C90" i="33"/>
  <c r="D90" i="33" s="1"/>
  <c r="Q89" i="33"/>
  <c r="P89" i="33"/>
  <c r="M89" i="33"/>
  <c r="L89" i="33"/>
  <c r="I89" i="33"/>
  <c r="C89" i="33"/>
  <c r="F89" i="33" s="1" a="1"/>
  <c r="F89" i="33" s="1"/>
  <c r="P88" i="33"/>
  <c r="Q88" i="33" s="1"/>
  <c r="M88" i="33"/>
  <c r="L88" i="33"/>
  <c r="I88" i="33"/>
  <c r="D88" i="33"/>
  <c r="C88" i="33"/>
  <c r="F88" i="33" s="1" a="1"/>
  <c r="F88" i="33" s="1"/>
  <c r="P87" i="33"/>
  <c r="Q87" i="33" s="1"/>
  <c r="M87" i="33"/>
  <c r="L87" i="33"/>
  <c r="I87" i="33"/>
  <c r="C87" i="33"/>
  <c r="F87" i="33" s="1" a="1"/>
  <c r="F87" i="33" s="1"/>
  <c r="P86" i="33"/>
  <c r="Q86" i="33" s="1"/>
  <c r="M86" i="33"/>
  <c r="L86" i="33"/>
  <c r="I86" i="33"/>
  <c r="C86" i="33"/>
  <c r="D86" i="33" s="1"/>
  <c r="Q85" i="33"/>
  <c r="P85" i="33"/>
  <c r="M85" i="33"/>
  <c r="L85" i="33"/>
  <c r="I85" i="33"/>
  <c r="C85" i="33"/>
  <c r="F85" i="33" s="1" a="1"/>
  <c r="F85" i="33" s="1"/>
  <c r="P84" i="33"/>
  <c r="Q84" i="33" s="1"/>
  <c r="M84" i="33"/>
  <c r="L84" i="33"/>
  <c r="I84" i="33"/>
  <c r="C84" i="33"/>
  <c r="F84" i="33" s="1" a="1"/>
  <c r="F84" i="33" s="1"/>
  <c r="Q83" i="33"/>
  <c r="P83" i="33"/>
  <c r="M83" i="33"/>
  <c r="L83" i="33"/>
  <c r="I83" i="33"/>
  <c r="C83" i="33"/>
  <c r="D83" i="33" s="1"/>
  <c r="P82" i="33"/>
  <c r="Q82" i="33" s="1"/>
  <c r="M82" i="33"/>
  <c r="L82" i="33"/>
  <c r="I82" i="33"/>
  <c r="C82" i="33"/>
  <c r="D82" i="33" s="1"/>
  <c r="Q81" i="33"/>
  <c r="P81" i="33"/>
  <c r="M81" i="33"/>
  <c r="L81" i="33"/>
  <c r="I81" i="33"/>
  <c r="C81" i="33"/>
  <c r="F81" i="33" s="1" a="1"/>
  <c r="F81" i="33" s="1"/>
  <c r="P80" i="33"/>
  <c r="Q80" i="33" s="1"/>
  <c r="M80" i="33"/>
  <c r="L80" i="33"/>
  <c r="I80" i="33"/>
  <c r="D80" i="33"/>
  <c r="C80" i="33"/>
  <c r="F80" i="33" s="1" a="1"/>
  <c r="F80" i="33" s="1"/>
  <c r="P79" i="33"/>
  <c r="Q79" i="33" s="1"/>
  <c r="M79" i="33"/>
  <c r="L79" i="33"/>
  <c r="I79" i="33"/>
  <c r="C79" i="33"/>
  <c r="F79" i="33" s="1" a="1"/>
  <c r="F79" i="33" s="1"/>
  <c r="P78" i="33"/>
  <c r="Q78" i="33" s="1"/>
  <c r="M78" i="33"/>
  <c r="L78" i="33"/>
  <c r="I78" i="33"/>
  <c r="C78" i="33"/>
  <c r="D78" i="33" s="1"/>
  <c r="Q77" i="33"/>
  <c r="P77" i="33"/>
  <c r="M77" i="33"/>
  <c r="L77" i="33"/>
  <c r="I77" i="33"/>
  <c r="C77" i="33"/>
  <c r="F77" i="33" s="1" a="1"/>
  <c r="F77" i="33" s="1"/>
  <c r="P76" i="33"/>
  <c r="Q76" i="33" s="1"/>
  <c r="M76" i="33"/>
  <c r="L76" i="33"/>
  <c r="I76" i="33"/>
  <c r="C76" i="33"/>
  <c r="F76" i="33" s="1" a="1"/>
  <c r="F76" i="33" s="1"/>
  <c r="Q75" i="33"/>
  <c r="P75" i="33"/>
  <c r="M75" i="33"/>
  <c r="L75" i="33"/>
  <c r="I75" i="33"/>
  <c r="C75" i="33"/>
  <c r="D75" i="33" s="1"/>
  <c r="P74" i="33"/>
  <c r="Q74" i="33" s="1"/>
  <c r="M74" i="33"/>
  <c r="L74" i="33"/>
  <c r="I74" i="33"/>
  <c r="C74" i="33"/>
  <c r="D74" i="33" s="1"/>
  <c r="Q73" i="33"/>
  <c r="P73" i="33"/>
  <c r="M73" i="33"/>
  <c r="L73" i="33"/>
  <c r="I73" i="33"/>
  <c r="C73" i="33"/>
  <c r="F73" i="33" s="1" a="1"/>
  <c r="F73" i="33" s="1"/>
  <c r="P72" i="33"/>
  <c r="Q72" i="33" s="1"/>
  <c r="M72" i="33"/>
  <c r="L72" i="33"/>
  <c r="I72" i="33"/>
  <c r="D72" i="33"/>
  <c r="C72" i="33"/>
  <c r="F72" i="33" s="1" a="1"/>
  <c r="F72" i="33" s="1"/>
  <c r="P71" i="33"/>
  <c r="Q71" i="33" s="1"/>
  <c r="M71" i="33"/>
  <c r="L71" i="33"/>
  <c r="I71" i="33"/>
  <c r="C71" i="33"/>
  <c r="F71" i="33" s="1" a="1"/>
  <c r="F71" i="33" s="1"/>
  <c r="P70" i="33"/>
  <c r="Q70" i="33" s="1"/>
  <c r="M70" i="33"/>
  <c r="L70" i="33"/>
  <c r="I70" i="33"/>
  <c r="C70" i="33"/>
  <c r="D70" i="33" s="1"/>
  <c r="Q69" i="33"/>
  <c r="P69" i="33"/>
  <c r="M69" i="33"/>
  <c r="L69" i="33"/>
  <c r="I69" i="33"/>
  <c r="C69" i="33"/>
  <c r="F69" i="33" s="1" a="1"/>
  <c r="F69" i="33" s="1"/>
  <c r="P68" i="33"/>
  <c r="Q68" i="33" s="1"/>
  <c r="M68" i="33"/>
  <c r="L68" i="33"/>
  <c r="I68" i="33"/>
  <c r="C68" i="33"/>
  <c r="F68" i="33" s="1" a="1"/>
  <c r="F68" i="33" s="1"/>
  <c r="Q67" i="33"/>
  <c r="P67" i="33"/>
  <c r="M67" i="33"/>
  <c r="L67" i="33"/>
  <c r="I67" i="33"/>
  <c r="C67" i="33"/>
  <c r="D67" i="33" s="1"/>
  <c r="P66" i="33"/>
  <c r="Q66" i="33" s="1"/>
  <c r="M66" i="33"/>
  <c r="L66" i="33"/>
  <c r="I66" i="33"/>
  <c r="C66" i="33"/>
  <c r="D66" i="33" s="1"/>
  <c r="Q65" i="33"/>
  <c r="P65" i="33"/>
  <c r="M65" i="33"/>
  <c r="L65" i="33"/>
  <c r="I65" i="33"/>
  <c r="C65" i="33"/>
  <c r="F65" i="33" s="1" a="1"/>
  <c r="F65" i="33" s="1"/>
  <c r="P64" i="33"/>
  <c r="Q64" i="33" s="1"/>
  <c r="M64" i="33"/>
  <c r="L64" i="33"/>
  <c r="I64" i="33"/>
  <c r="D64" i="33"/>
  <c r="C64" i="33"/>
  <c r="F64" i="33" s="1" a="1"/>
  <c r="F64" i="33" s="1"/>
  <c r="P63" i="33"/>
  <c r="Q63" i="33" s="1"/>
  <c r="M63" i="33"/>
  <c r="L63" i="33"/>
  <c r="I63" i="33"/>
  <c r="C63" i="33"/>
  <c r="F63" i="33" s="1" a="1"/>
  <c r="F63" i="33" s="1"/>
  <c r="P62" i="33"/>
  <c r="Q62" i="33" s="1"/>
  <c r="M62" i="33"/>
  <c r="L62" i="33"/>
  <c r="I62" i="33"/>
  <c r="C62" i="33"/>
  <c r="D62" i="33" s="1"/>
  <c r="Q61" i="33"/>
  <c r="P61" i="33"/>
  <c r="M61" i="33"/>
  <c r="L61" i="33"/>
  <c r="I61" i="33"/>
  <c r="C61" i="33"/>
  <c r="F61" i="33" s="1" a="1"/>
  <c r="F61" i="33" s="1"/>
  <c r="P60" i="33"/>
  <c r="Q60" i="33" s="1"/>
  <c r="M60" i="33"/>
  <c r="L60" i="33"/>
  <c r="I60" i="33"/>
  <c r="C60" i="33"/>
  <c r="F60" i="33" s="1" a="1"/>
  <c r="F60" i="33" s="1"/>
  <c r="Q59" i="33"/>
  <c r="P59" i="33"/>
  <c r="M59" i="33"/>
  <c r="L59" i="33"/>
  <c r="I59" i="33"/>
  <c r="C59" i="33"/>
  <c r="D59" i="33" s="1"/>
  <c r="P58" i="33"/>
  <c r="Q58" i="33" s="1"/>
  <c r="M58" i="33"/>
  <c r="L58" i="33"/>
  <c r="I58" i="33"/>
  <c r="C58" i="33"/>
  <c r="D58" i="33" s="1"/>
  <c r="Q57" i="33"/>
  <c r="P57" i="33"/>
  <c r="M57" i="33"/>
  <c r="L57" i="33"/>
  <c r="I57" i="33"/>
  <c r="C57" i="33"/>
  <c r="F57" i="33" s="1" a="1"/>
  <c r="F57" i="33" s="1"/>
  <c r="P56" i="33"/>
  <c r="Q56" i="33" s="1"/>
  <c r="M56" i="33"/>
  <c r="L56" i="33"/>
  <c r="I56" i="33"/>
  <c r="D56" i="33"/>
  <c r="C56" i="33"/>
  <c r="F56" i="33" s="1" a="1"/>
  <c r="F56" i="33" s="1"/>
  <c r="P55" i="33"/>
  <c r="Q55" i="33" s="1"/>
  <c r="M55" i="33"/>
  <c r="L55" i="33"/>
  <c r="I55" i="33"/>
  <c r="C55" i="33"/>
  <c r="F55" i="33" s="1" a="1"/>
  <c r="F55" i="33" s="1"/>
  <c r="P54" i="33"/>
  <c r="Q54" i="33" s="1"/>
  <c r="M54" i="33"/>
  <c r="L54" i="33"/>
  <c r="I54" i="33"/>
  <c r="C54" i="33"/>
  <c r="D54" i="33" s="1"/>
  <c r="Q53" i="33"/>
  <c r="P53" i="33"/>
  <c r="M53" i="33"/>
  <c r="L53" i="33"/>
  <c r="I53" i="33"/>
  <c r="C53" i="33"/>
  <c r="F53" i="33" s="1" a="1"/>
  <c r="F53" i="33" s="1"/>
  <c r="P52" i="33"/>
  <c r="Q52" i="33" s="1"/>
  <c r="M52" i="33"/>
  <c r="L52" i="33"/>
  <c r="I52" i="33"/>
  <c r="C52" i="33"/>
  <c r="F52" i="33" s="1" a="1"/>
  <c r="F52" i="33" s="1"/>
  <c r="Q51" i="33"/>
  <c r="P51" i="33"/>
  <c r="M51" i="33"/>
  <c r="L51" i="33"/>
  <c r="I51" i="33"/>
  <c r="C51" i="33"/>
  <c r="D51" i="33" s="1"/>
  <c r="P50" i="33"/>
  <c r="Q50" i="33" s="1"/>
  <c r="M50" i="33"/>
  <c r="L50" i="33"/>
  <c r="I50" i="33"/>
  <c r="C50" i="33"/>
  <c r="D50" i="33" s="1"/>
  <c r="Q49" i="33"/>
  <c r="P49" i="33"/>
  <c r="M49" i="33"/>
  <c r="L49" i="33"/>
  <c r="I49" i="33"/>
  <c r="C49" i="33"/>
  <c r="F49" i="33" s="1" a="1"/>
  <c r="F49" i="33" s="1"/>
  <c r="P48" i="33"/>
  <c r="Q48" i="33" s="1"/>
  <c r="M48" i="33"/>
  <c r="L48" i="33"/>
  <c r="I48" i="33"/>
  <c r="D48" i="33"/>
  <c r="C48" i="33"/>
  <c r="F48" i="33" s="1" a="1"/>
  <c r="F48" i="33" s="1"/>
  <c r="P47" i="33"/>
  <c r="Q47" i="33" s="1"/>
  <c r="M47" i="33"/>
  <c r="L47" i="33"/>
  <c r="I47" i="33"/>
  <c r="C47" i="33"/>
  <c r="F47" i="33" s="1" a="1"/>
  <c r="F47" i="33" s="1"/>
  <c r="P46" i="33"/>
  <c r="Q46" i="33" s="1"/>
  <c r="M46" i="33"/>
  <c r="L46" i="33"/>
  <c r="I46" i="33"/>
  <c r="C46" i="33"/>
  <c r="D46" i="33" s="1"/>
  <c r="Q45" i="33"/>
  <c r="P45" i="33"/>
  <c r="M45" i="33"/>
  <c r="L45" i="33"/>
  <c r="I45" i="33"/>
  <c r="C45" i="33"/>
  <c r="F45" i="33" s="1" a="1"/>
  <c r="F45" i="33" s="1"/>
  <c r="P44" i="33"/>
  <c r="Q44" i="33" s="1"/>
  <c r="M44" i="33"/>
  <c r="L44" i="33"/>
  <c r="I44" i="33"/>
  <c r="C44" i="33"/>
  <c r="F44" i="33" s="1" a="1"/>
  <c r="F44" i="33" s="1"/>
  <c r="Q43" i="33"/>
  <c r="P43" i="33"/>
  <c r="M43" i="33"/>
  <c r="L43" i="33"/>
  <c r="I43" i="33"/>
  <c r="C43" i="33"/>
  <c r="D43" i="33" s="1"/>
  <c r="P42" i="33"/>
  <c r="Q42" i="33" s="1"/>
  <c r="M42" i="33"/>
  <c r="L42" i="33"/>
  <c r="I42" i="33"/>
  <c r="C42" i="33"/>
  <c r="D42" i="33" s="1"/>
  <c r="Q41" i="33"/>
  <c r="P41" i="33"/>
  <c r="M41" i="33"/>
  <c r="L41" i="33"/>
  <c r="I41" i="33"/>
  <c r="C41" i="33"/>
  <c r="F41" i="33" s="1" a="1"/>
  <c r="F41" i="33" s="1"/>
  <c r="P40" i="33"/>
  <c r="Q40" i="33" s="1"/>
  <c r="M40" i="33"/>
  <c r="L40" i="33"/>
  <c r="I40" i="33"/>
  <c r="D40" i="33"/>
  <c r="C40" i="33"/>
  <c r="F40" i="33" s="1" a="1"/>
  <c r="F40" i="33" s="1"/>
  <c r="P39" i="33"/>
  <c r="Q39" i="33" s="1"/>
  <c r="M39" i="33"/>
  <c r="L39" i="33"/>
  <c r="I39" i="33"/>
  <c r="C39" i="33"/>
  <c r="F39" i="33" s="1" a="1"/>
  <c r="F39" i="33" s="1"/>
  <c r="P38" i="33"/>
  <c r="Q38" i="33" s="1"/>
  <c r="M38" i="33"/>
  <c r="L38" i="33"/>
  <c r="I38" i="33"/>
  <c r="F38" i="33" a="1"/>
  <c r="F38" i="33" s="1"/>
  <c r="C38" i="33"/>
  <c r="D38" i="33" s="1"/>
  <c r="P37" i="33"/>
  <c r="Q37" i="33" s="1"/>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D31" i="33"/>
  <c r="C31" i="33"/>
  <c r="F31" i="33" s="1" a="1"/>
  <c r="F31" i="33" s="1"/>
  <c r="P30" i="33"/>
  <c r="Q30" i="33" s="1"/>
  <c r="M30" i="33"/>
  <c r="L30" i="33"/>
  <c r="I30" i="33"/>
  <c r="F30" i="33" a="1"/>
  <c r="F30" i="33" s="1"/>
  <c r="C30" i="33"/>
  <c r="D30" i="33" s="1"/>
  <c r="Q29" i="33"/>
  <c r="P29" i="33"/>
  <c r="M29" i="33"/>
  <c r="L29" i="33"/>
  <c r="I29" i="33"/>
  <c r="C29" i="33"/>
  <c r="F29" i="33" s="1" a="1"/>
  <c r="F29" i="33" s="1"/>
  <c r="Q28" i="33"/>
  <c r="P28" i="33"/>
  <c r="M28" i="33"/>
  <c r="L28" i="33"/>
  <c r="I28" i="33"/>
  <c r="C28" i="33"/>
  <c r="F28" i="33" s="1" a="1"/>
  <c r="F28" i="33" s="1"/>
  <c r="Q27" i="33"/>
  <c r="P27" i="33"/>
  <c r="M27" i="33"/>
  <c r="L27" i="33"/>
  <c r="I27" i="33"/>
  <c r="C27" i="33"/>
  <c r="F27" i="33" s="1" a="1"/>
  <c r="F27" i="33" s="1"/>
  <c r="P26" i="33"/>
  <c r="Q26" i="33" s="1"/>
  <c r="M26" i="33"/>
  <c r="L26" i="33"/>
  <c r="I26" i="33"/>
  <c r="C26" i="33"/>
  <c r="F26" i="33" s="1" a="1"/>
  <c r="F26" i="33" s="1"/>
  <c r="P25" i="33"/>
  <c r="Q25" i="33" s="1"/>
  <c r="M25" i="33"/>
  <c r="L25" i="33"/>
  <c r="I25" i="33"/>
  <c r="C25" i="33"/>
  <c r="F25" i="33" s="1" a="1"/>
  <c r="F25" i="33" s="1"/>
  <c r="P24" i="33"/>
  <c r="Q24" i="33" s="1"/>
  <c r="M24" i="33"/>
  <c r="L24" i="33"/>
  <c r="I24" i="33"/>
  <c r="C24" i="33"/>
  <c r="D24" i="33" s="1"/>
  <c r="P23" i="33"/>
  <c r="Q23" i="33" s="1"/>
  <c r="M23" i="33"/>
  <c r="L23" i="33"/>
  <c r="I23" i="33"/>
  <c r="F23" i="33" a="1"/>
  <c r="F23" i="33" s="1"/>
  <c r="D23" i="33"/>
  <c r="C23" i="33"/>
  <c r="P22" i="33"/>
  <c r="Q22" i="33" s="1"/>
  <c r="M22" i="33"/>
  <c r="L22" i="33"/>
  <c r="I22" i="33"/>
  <c r="C22" i="33"/>
  <c r="D22" i="33" s="1"/>
  <c r="Q21" i="33"/>
  <c r="P21" i="33"/>
  <c r="M21" i="33"/>
  <c r="L21" i="33"/>
  <c r="I21" i="33"/>
  <c r="C21" i="33"/>
  <c r="F21" i="33" s="1" a="1"/>
  <c r="F21" i="33" s="1"/>
  <c r="P20" i="33"/>
  <c r="Q20" i="33" s="1"/>
  <c r="M20" i="33"/>
  <c r="L20" i="33"/>
  <c r="I20" i="33"/>
  <c r="D20" i="33"/>
  <c r="C20" i="33"/>
  <c r="F20" i="33" s="1" a="1"/>
  <c r="F20" i="33" s="1"/>
  <c r="P19" i="33"/>
  <c r="Q19" i="33" s="1"/>
  <c r="M19" i="33"/>
  <c r="L19" i="33"/>
  <c r="I19" i="33"/>
  <c r="D19" i="33"/>
  <c r="C19" i="33"/>
  <c r="F19" i="33" s="1" a="1"/>
  <c r="F19" i="33" s="1"/>
  <c r="P18" i="33"/>
  <c r="Q18" i="33" s="1"/>
  <c r="M18" i="33"/>
  <c r="L18" i="33"/>
  <c r="I18" i="33"/>
  <c r="D18" i="33"/>
  <c r="C18" i="33"/>
  <c r="F18" i="33" s="1" a="1"/>
  <c r="F18" i="33" s="1"/>
  <c r="P17" i="33"/>
  <c r="Q17" i="33" s="1"/>
  <c r="M17" i="33"/>
  <c r="L17" i="33"/>
  <c r="I17" i="33"/>
  <c r="C17" i="33"/>
  <c r="F17" i="33" s="1" a="1"/>
  <c r="F17" i="33" s="1"/>
  <c r="P16" i="33"/>
  <c r="Q16" i="33" s="1"/>
  <c r="M16" i="33"/>
  <c r="L16" i="33"/>
  <c r="I16" i="33"/>
  <c r="C16" i="33"/>
  <c r="F16" i="33" s="1" a="1"/>
  <c r="F16" i="33" s="1"/>
  <c r="P15" i="33"/>
  <c r="Q15" i="33" s="1"/>
  <c r="M15" i="33"/>
  <c r="L15" i="33"/>
  <c r="I15" i="33"/>
  <c r="F15" i="33" a="1"/>
  <c r="F15" i="33" s="1"/>
  <c r="C15" i="33"/>
  <c r="D15" i="33" s="1"/>
  <c r="P14" i="33"/>
  <c r="Q14" i="33" s="1"/>
  <c r="M14" i="33"/>
  <c r="L14" i="33"/>
  <c r="I14" i="33"/>
  <c r="F14" i="33" a="1"/>
  <c r="F14" i="33" s="1"/>
  <c r="C14" i="33"/>
  <c r="D14" i="33" s="1"/>
  <c r="P13" i="33"/>
  <c r="Q13" i="33" s="1"/>
  <c r="M13" i="33"/>
  <c r="L13" i="33"/>
  <c r="I13" i="33"/>
  <c r="C13" i="33"/>
  <c r="F13" i="33" s="1" a="1"/>
  <c r="F13" i="33" s="1"/>
  <c r="Q12" i="33"/>
  <c r="P12" i="33"/>
  <c r="M12" i="33"/>
  <c r="L12" i="33"/>
  <c r="I12" i="33"/>
  <c r="D12" i="33"/>
  <c r="C12" i="33"/>
  <c r="F12" i="33" s="1" a="1"/>
  <c r="F12" i="33" s="1"/>
  <c r="P11" i="33"/>
  <c r="Q11" i="33" s="1"/>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P99" i="32"/>
  <c r="Q99" i="32" s="1"/>
  <c r="M99" i="32"/>
  <c r="L99" i="32"/>
  <c r="I99" i="32"/>
  <c r="C99" i="32"/>
  <c r="D99" i="32" s="1"/>
  <c r="P98" i="32"/>
  <c r="Q98" i="32" s="1"/>
  <c r="M98" i="32"/>
  <c r="L98" i="32"/>
  <c r="I98" i="32"/>
  <c r="D98" i="32"/>
  <c r="C98" i="32"/>
  <c r="F98" i="32" s="1" a="1"/>
  <c r="F98" i="32" s="1"/>
  <c r="P97" i="32"/>
  <c r="Q97" i="32" s="1"/>
  <c r="M97" i="32"/>
  <c r="L97" i="32"/>
  <c r="I97" i="32"/>
  <c r="F97" i="32" a="1"/>
  <c r="F97" i="32" s="1"/>
  <c r="C97" i="32"/>
  <c r="D97" i="32" s="1"/>
  <c r="P96" i="32"/>
  <c r="Q96" i="32" s="1"/>
  <c r="M96" i="32"/>
  <c r="L96" i="32"/>
  <c r="I96" i="32"/>
  <c r="C96" i="32"/>
  <c r="F96" i="32" s="1" a="1"/>
  <c r="F96" i="32" s="1"/>
  <c r="Q95" i="32"/>
  <c r="P95" i="32"/>
  <c r="M95" i="32"/>
  <c r="L95" i="32"/>
  <c r="I95" i="32"/>
  <c r="C95" i="32"/>
  <c r="F95" i="32" s="1" a="1"/>
  <c r="F95" i="32" s="1"/>
  <c r="P94" i="32"/>
  <c r="Q94" i="32" s="1"/>
  <c r="M94" i="32"/>
  <c r="L94" i="32"/>
  <c r="I94" i="32"/>
  <c r="C94" i="32"/>
  <c r="D94" i="32" s="1"/>
  <c r="Q93" i="32"/>
  <c r="P93" i="32"/>
  <c r="M93" i="32"/>
  <c r="L93" i="32"/>
  <c r="I93" i="32"/>
  <c r="C93" i="32"/>
  <c r="F93" i="32" s="1" a="1"/>
  <c r="F93" i="32" s="1"/>
  <c r="P92" i="32"/>
  <c r="Q92" i="32" s="1"/>
  <c r="M92" i="32"/>
  <c r="L92" i="32"/>
  <c r="I92" i="32"/>
  <c r="C92" i="32"/>
  <c r="F92" i="32" s="1" a="1"/>
  <c r="F92" i="32" s="1"/>
  <c r="Q91" i="32"/>
  <c r="P91" i="32"/>
  <c r="M91" i="32"/>
  <c r="L91" i="32"/>
  <c r="I91" i="32"/>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D86" i="32"/>
  <c r="C86" i="32"/>
  <c r="F86" i="32" s="1" a="1"/>
  <c r="F86" i="32" s="1"/>
  <c r="P85" i="32"/>
  <c r="Q85" i="32" s="1"/>
  <c r="M85" i="32"/>
  <c r="L85" i="32"/>
  <c r="I85" i="32"/>
  <c r="C85" i="32"/>
  <c r="F85" i="32" s="1" a="1"/>
  <c r="F85" i="32" s="1"/>
  <c r="P84" i="32"/>
  <c r="Q84" i="32" s="1"/>
  <c r="M84" i="32"/>
  <c r="L84" i="32"/>
  <c r="I84" i="32"/>
  <c r="D84" i="32"/>
  <c r="C84" i="32"/>
  <c r="F84" i="32" s="1" a="1"/>
  <c r="F84" i="32" s="1"/>
  <c r="Q83" i="32"/>
  <c r="P83" i="32"/>
  <c r="M83" i="32"/>
  <c r="L83" i="32"/>
  <c r="I83" i="32"/>
  <c r="C83" i="32"/>
  <c r="D83" i="32" s="1"/>
  <c r="P82" i="32"/>
  <c r="Q82" i="32" s="1"/>
  <c r="M82" i="32"/>
  <c r="L82" i="32"/>
  <c r="I82" i="32"/>
  <c r="D82" i="32"/>
  <c r="C82" i="32"/>
  <c r="F82" i="32" s="1" a="1"/>
  <c r="F82" i="32" s="1"/>
  <c r="P81" i="32"/>
  <c r="Q81" i="32" s="1"/>
  <c r="M81" i="32"/>
  <c r="L81" i="32"/>
  <c r="I81" i="32"/>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P77" i="32"/>
  <c r="Q77" i="32" s="1"/>
  <c r="M77" i="32"/>
  <c r="L77" i="32"/>
  <c r="I77" i="32"/>
  <c r="C77" i="32"/>
  <c r="F77" i="32" s="1" a="1"/>
  <c r="F77" i="32" s="1"/>
  <c r="P76" i="32"/>
  <c r="Q76" i="32" s="1"/>
  <c r="M76" i="32"/>
  <c r="L76" i="32"/>
  <c r="I76" i="32"/>
  <c r="D76" i="32"/>
  <c r="C76" i="32"/>
  <c r="F76" i="32" s="1" a="1"/>
  <c r="F76" i="32" s="1"/>
  <c r="P75" i="32"/>
  <c r="Q75" i="32" s="1"/>
  <c r="M75" i="32"/>
  <c r="L75" i="32"/>
  <c r="I75" i="32"/>
  <c r="F75" i="32" a="1"/>
  <c r="F75" i="32" s="1"/>
  <c r="C75" i="32"/>
  <c r="D75" i="32" s="1"/>
  <c r="P74" i="32"/>
  <c r="Q74" i="32" s="1"/>
  <c r="M74" i="32"/>
  <c r="L74" i="32"/>
  <c r="I74" i="32"/>
  <c r="C74" i="32"/>
  <c r="F74" i="32" s="1" a="1"/>
  <c r="F74" i="32" s="1"/>
  <c r="P73" i="32"/>
  <c r="Q73" i="32" s="1"/>
  <c r="M73" i="32"/>
  <c r="L73" i="32"/>
  <c r="I73" i="32"/>
  <c r="F73" i="32" a="1"/>
  <c r="F73" i="32" s="1"/>
  <c r="C73" i="32"/>
  <c r="D73" i="32" s="1"/>
  <c r="P72" i="32"/>
  <c r="Q72" i="32" s="1"/>
  <c r="M72" i="32"/>
  <c r="L72" i="32"/>
  <c r="I72" i="32"/>
  <c r="C72" i="32"/>
  <c r="F72" i="32" s="1" a="1"/>
  <c r="F72" i="32" s="1"/>
  <c r="P71" i="32"/>
  <c r="Q71" i="32" s="1"/>
  <c r="M71" i="32"/>
  <c r="L71" i="32"/>
  <c r="I71" i="32"/>
  <c r="C71" i="32"/>
  <c r="F71" i="32" s="1" a="1"/>
  <c r="F71" i="32" s="1"/>
  <c r="P70" i="32"/>
  <c r="Q70" i="32" s="1"/>
  <c r="M70" i="32"/>
  <c r="L70" i="32"/>
  <c r="I70" i="32"/>
  <c r="F70" i="32" a="1"/>
  <c r="F70" i="32" s="1"/>
  <c r="C70" i="32"/>
  <c r="D70" i="32" s="1"/>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C62" i="32"/>
  <c r="F62" i="32" s="1" a="1"/>
  <c r="F62" i="32" s="1"/>
  <c r="Q61" i="32"/>
  <c r="P61" i="32"/>
  <c r="M61" i="32"/>
  <c r="L61" i="32"/>
  <c r="I61" i="32"/>
  <c r="C61" i="32"/>
  <c r="F61" i="32" s="1" a="1"/>
  <c r="F61" i="32" s="1"/>
  <c r="P60" i="32"/>
  <c r="Q60" i="32" s="1"/>
  <c r="M60" i="32"/>
  <c r="L60" i="32"/>
  <c r="I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D54" i="32"/>
  <c r="C54" i="32"/>
  <c r="F54" i="32" s="1" a="1"/>
  <c r="F54" i="32" s="1"/>
  <c r="Q53" i="32"/>
  <c r="P53" i="32"/>
  <c r="M53" i="32"/>
  <c r="L53" i="32"/>
  <c r="I53" i="32"/>
  <c r="C53" i="32"/>
  <c r="F53" i="32" s="1" a="1"/>
  <c r="F53" i="32" s="1"/>
  <c r="P52" i="32"/>
  <c r="Q52" i="32" s="1"/>
  <c r="M52" i="32"/>
  <c r="L52" i="32"/>
  <c r="I52" i="32"/>
  <c r="D52" i="32"/>
  <c r="C52" i="32"/>
  <c r="F52" i="32" s="1" a="1"/>
  <c r="F52" i="32" s="1"/>
  <c r="P51" i="32"/>
  <c r="Q51" i="32" s="1"/>
  <c r="M51" i="32"/>
  <c r="L51" i="32"/>
  <c r="I51" i="32"/>
  <c r="C51" i="32"/>
  <c r="D51" i="32" s="1"/>
  <c r="P50" i="32"/>
  <c r="Q50" i="32" s="1"/>
  <c r="M50" i="32"/>
  <c r="L50" i="32"/>
  <c r="I50" i="32"/>
  <c r="C50" i="32"/>
  <c r="D50" i="32" s="1"/>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C46" i="32"/>
  <c r="D46" i="32" s="1"/>
  <c r="Q45" i="32"/>
  <c r="P45" i="32"/>
  <c r="M45" i="32"/>
  <c r="L45" i="32"/>
  <c r="I45" i="32"/>
  <c r="C45" i="32"/>
  <c r="F45" i="32" s="1" a="1"/>
  <c r="F45" i="32" s="1"/>
  <c r="P44" i="32"/>
  <c r="Q44" i="32" s="1"/>
  <c r="M44" i="32"/>
  <c r="L44" i="32"/>
  <c r="I44" i="32"/>
  <c r="C44" i="32"/>
  <c r="F44" i="32" s="1" a="1"/>
  <c r="F44" i="32" s="1"/>
  <c r="Q43" i="32"/>
  <c r="P43" i="32"/>
  <c r="M43" i="32"/>
  <c r="L43" i="32"/>
  <c r="I43" i="32"/>
  <c r="C43" i="32"/>
  <c r="D43" i="32" s="1"/>
  <c r="P42" i="32"/>
  <c r="Q42" i="32" s="1"/>
  <c r="M42" i="32"/>
  <c r="L42" i="32"/>
  <c r="I42" i="32"/>
  <c r="F42" i="32" a="1"/>
  <c r="F42" i="32" s="1"/>
  <c r="C42" i="32"/>
  <c r="D42" i="32" s="1"/>
  <c r="P41" i="32"/>
  <c r="Q41" i="32" s="1"/>
  <c r="M41" i="32"/>
  <c r="L41" i="32"/>
  <c r="I41" i="32"/>
  <c r="C41" i="32"/>
  <c r="D41" i="32" s="1"/>
  <c r="P40" i="32"/>
  <c r="Q40" i="32" s="1"/>
  <c r="M40" i="32"/>
  <c r="L40" i="32"/>
  <c r="I40" i="32"/>
  <c r="C40" i="32"/>
  <c r="F40" i="32" s="1" a="1"/>
  <c r="F40" i="32" s="1"/>
  <c r="P39" i="32"/>
  <c r="Q39" i="32" s="1"/>
  <c r="M39" i="32"/>
  <c r="L39" i="32"/>
  <c r="I39" i="32"/>
  <c r="C39" i="32"/>
  <c r="F39" i="32" s="1" a="1"/>
  <c r="F39" i="32" s="1"/>
  <c r="P38" i="32"/>
  <c r="Q38" i="32" s="1"/>
  <c r="M38" i="32"/>
  <c r="L38" i="32"/>
  <c r="I38" i="32"/>
  <c r="F38" i="32" a="1"/>
  <c r="F38" i="32" s="1"/>
  <c r="C38" i="32"/>
  <c r="D38" i="32" s="1"/>
  <c r="Q37" i="32"/>
  <c r="P37" i="32"/>
  <c r="M37" i="32"/>
  <c r="L37" i="32"/>
  <c r="I37" i="32"/>
  <c r="C37" i="32"/>
  <c r="F37" i="32" s="1" a="1"/>
  <c r="F37" i="32" s="1"/>
  <c r="P36" i="32"/>
  <c r="Q36" i="32" s="1"/>
  <c r="M36" i="32"/>
  <c r="L36" i="32"/>
  <c r="I36" i="32"/>
  <c r="D36" i="32"/>
  <c r="C36" i="32"/>
  <c r="F36" i="32" s="1" a="1"/>
  <c r="F36" i="32" s="1"/>
  <c r="P35" i="32"/>
  <c r="Q35" i="32" s="1"/>
  <c r="M35" i="32"/>
  <c r="L35" i="32"/>
  <c r="I35" i="32"/>
  <c r="F35" i="32" a="1"/>
  <c r="F35" i="32" s="1"/>
  <c r="C35" i="32"/>
  <c r="D35" i="32" s="1"/>
  <c r="P34" i="32"/>
  <c r="Q34" i="32" s="1"/>
  <c r="M34" i="32"/>
  <c r="L34" i="32"/>
  <c r="I34" i="32"/>
  <c r="F34" i="32" a="1"/>
  <c r="F34" i="32" s="1"/>
  <c r="D34" i="32"/>
  <c r="C34" i="32"/>
  <c r="P33" i="32"/>
  <c r="Q33" i="32" s="1"/>
  <c r="M33" i="32"/>
  <c r="L33" i="32"/>
  <c r="I33" i="32"/>
  <c r="C33" i="32"/>
  <c r="D33" i="32" s="1"/>
  <c r="P32" i="32"/>
  <c r="Q32" i="32" s="1"/>
  <c r="M32" i="32"/>
  <c r="L32" i="32"/>
  <c r="I32" i="32"/>
  <c r="C32" i="32"/>
  <c r="F32" i="32" s="1" a="1"/>
  <c r="F32" i="32" s="1"/>
  <c r="P31" i="32"/>
  <c r="Q31" i="32" s="1"/>
  <c r="M31" i="32"/>
  <c r="L31" i="32"/>
  <c r="I31" i="32"/>
  <c r="C31" i="32"/>
  <c r="F31" i="32" s="1" a="1"/>
  <c r="F31" i="32" s="1"/>
  <c r="P30" i="32"/>
  <c r="Q30" i="32" s="1"/>
  <c r="M30" i="32"/>
  <c r="L30" i="32"/>
  <c r="I30" i="32"/>
  <c r="F30" i="32" a="1"/>
  <c r="F30" i="32" s="1"/>
  <c r="D30" i="32"/>
  <c r="C30" i="32"/>
  <c r="P29" i="32"/>
  <c r="Q29" i="32" s="1"/>
  <c r="M29" i="32"/>
  <c r="L29" i="32"/>
  <c r="I29" i="32"/>
  <c r="C29" i="32"/>
  <c r="F29" i="32" s="1" a="1"/>
  <c r="F29" i="32" s="1"/>
  <c r="P28" i="32"/>
  <c r="Q28" i="32" s="1"/>
  <c r="M28" i="32"/>
  <c r="L28" i="32"/>
  <c r="I28" i="32"/>
  <c r="D28" i="32"/>
  <c r="C28" i="32"/>
  <c r="F28" i="32" s="1" a="1"/>
  <c r="F28" i="32" s="1"/>
  <c r="P27" i="32"/>
  <c r="Q27" i="32" s="1"/>
  <c r="M27" i="32"/>
  <c r="L27" i="32"/>
  <c r="I27" i="32"/>
  <c r="C27" i="32"/>
  <c r="D27" i="32" s="1"/>
  <c r="P26" i="32"/>
  <c r="Q26" i="32" s="1"/>
  <c r="M26" i="32"/>
  <c r="L26" i="32"/>
  <c r="I26" i="32"/>
  <c r="C26" i="32"/>
  <c r="F26" i="32" s="1" a="1"/>
  <c r="F26" i="32" s="1"/>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C22" i="32"/>
  <c r="F22" i="32" s="1" a="1"/>
  <c r="F22" i="32" s="1"/>
  <c r="P21" i="32"/>
  <c r="Q21" i="32" s="1"/>
  <c r="M21" i="32"/>
  <c r="L21" i="32"/>
  <c r="I21" i="32"/>
  <c r="C21" i="32"/>
  <c r="F21" i="32" s="1" a="1"/>
  <c r="F21" i="32" s="1"/>
  <c r="P20" i="32"/>
  <c r="Q20" i="32" s="1"/>
  <c r="M20" i="32"/>
  <c r="L20" i="32"/>
  <c r="I20" i="32"/>
  <c r="D20" i="32"/>
  <c r="C20" i="32"/>
  <c r="F20" i="32" s="1" a="1"/>
  <c r="F20" i="32" s="1"/>
  <c r="Q19" i="32"/>
  <c r="P19" i="32"/>
  <c r="M19" i="32"/>
  <c r="L19" i="32"/>
  <c r="I19" i="32"/>
  <c r="C19" i="32"/>
  <c r="D19" i="32" s="1"/>
  <c r="P18" i="32"/>
  <c r="Q18" i="32" s="1"/>
  <c r="M18" i="32"/>
  <c r="L18" i="32"/>
  <c r="I18" i="32"/>
  <c r="C18" i="32"/>
  <c r="F18" i="32" s="1" a="1"/>
  <c r="F18" i="32" s="1"/>
  <c r="P17" i="32"/>
  <c r="Q17" i="32" s="1"/>
  <c r="M17" i="32"/>
  <c r="L17" i="32"/>
  <c r="I17" i="32"/>
  <c r="F17" i="32" a="1"/>
  <c r="F17" i="32" s="1"/>
  <c r="C17" i="32"/>
  <c r="D17" i="32" s="1"/>
  <c r="P16" i="32"/>
  <c r="Q16" i="32" s="1"/>
  <c r="M16" i="32"/>
  <c r="L16" i="32"/>
  <c r="I16" i="32"/>
  <c r="C16" i="32"/>
  <c r="F16" i="32" s="1" a="1"/>
  <c r="F16" i="32" s="1"/>
  <c r="P15" i="32"/>
  <c r="Q15" i="32" s="1"/>
  <c r="M15" i="32"/>
  <c r="L15" i="32"/>
  <c r="I15" i="32"/>
  <c r="C15" i="32"/>
  <c r="F15" i="32" s="1" a="1"/>
  <c r="F15" i="32" s="1"/>
  <c r="P14" i="32"/>
  <c r="Q14" i="32" s="1"/>
  <c r="M14" i="32"/>
  <c r="L14" i="32"/>
  <c r="I14" i="32"/>
  <c r="C14" i="32"/>
  <c r="F14" i="32" s="1" a="1"/>
  <c r="F14" i="32" s="1"/>
  <c r="Q13" i="32"/>
  <c r="P13" i="32"/>
  <c r="M13" i="32"/>
  <c r="L13" i="32"/>
  <c r="I13" i="32"/>
  <c r="C13" i="32"/>
  <c r="F13" i="32" s="1" a="1"/>
  <c r="F13" i="32" s="1"/>
  <c r="P12" i="32"/>
  <c r="Q12" i="32" s="1"/>
  <c r="M12" i="32"/>
  <c r="L12" i="32"/>
  <c r="I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C99" i="31"/>
  <c r="D99" i="31" s="1"/>
  <c r="P98" i="31"/>
  <c r="Q98" i="31" s="1"/>
  <c r="M98" i="31"/>
  <c r="I98" i="31"/>
  <c r="F98" i="31"/>
  <c r="F98" i="31" a="1"/>
  <c r="C98" i="31"/>
  <c r="D98" i="31" s="1"/>
  <c r="P97" i="31"/>
  <c r="Q97" i="31" s="1"/>
  <c r="M97" i="31"/>
  <c r="I97" i="31"/>
  <c r="C97" i="31"/>
  <c r="F97" i="31" s="1" a="1"/>
  <c r="F97" i="31" s="1"/>
  <c r="P96" i="31"/>
  <c r="Q96" i="31" s="1"/>
  <c r="M96" i="31"/>
  <c r="I96" i="31"/>
  <c r="C96" i="31"/>
  <c r="F96" i="31" s="1" a="1"/>
  <c r="F96" i="31" s="1"/>
  <c r="P95" i="31"/>
  <c r="Q95" i="31" s="1"/>
  <c r="M95" i="31"/>
  <c r="I95" i="31"/>
  <c r="D95" i="31"/>
  <c r="C95" i="31"/>
  <c r="F95" i="31" s="1" a="1"/>
  <c r="F95" i="31" s="1"/>
  <c r="P94" i="31"/>
  <c r="Q94" i="31" s="1"/>
  <c r="M94" i="31"/>
  <c r="I94" i="31"/>
  <c r="C94" i="31"/>
  <c r="F94" i="31" s="1" a="1"/>
  <c r="F94" i="31" s="1"/>
  <c r="P93" i="31"/>
  <c r="Q93" i="31" s="1"/>
  <c r="M93" i="31"/>
  <c r="I93" i="31"/>
  <c r="C93" i="31"/>
  <c r="D93" i="31" s="1"/>
  <c r="P92" i="31"/>
  <c r="Q92" i="31" s="1"/>
  <c r="M92" i="31"/>
  <c r="I92" i="31"/>
  <c r="D92" i="31"/>
  <c r="C92" i="31"/>
  <c r="F92" i="31" s="1" a="1"/>
  <c r="F92" i="31" s="1"/>
  <c r="P91" i="31"/>
  <c r="Q91" i="31" s="1"/>
  <c r="M91" i="31"/>
  <c r="I91" i="31"/>
  <c r="F91" i="31" a="1"/>
  <c r="F91" i="31" s="1"/>
  <c r="C91" i="31"/>
  <c r="D91" i="31" s="1"/>
  <c r="P90" i="31"/>
  <c r="Q90" i="31" s="1"/>
  <c r="M90" i="31"/>
  <c r="I90" i="31"/>
  <c r="C90" i="31"/>
  <c r="D90" i="31" s="1"/>
  <c r="P89" i="31"/>
  <c r="Q89" i="31" s="1"/>
  <c r="M89" i="31"/>
  <c r="I89" i="31"/>
  <c r="C89" i="31"/>
  <c r="F89" i="31" s="1" a="1"/>
  <c r="F89" i="31" s="1"/>
  <c r="P88" i="31"/>
  <c r="Q88" i="31" s="1"/>
  <c r="M88" i="31"/>
  <c r="I88" i="31"/>
  <c r="C88" i="31"/>
  <c r="F88" i="31" s="1" a="1"/>
  <c r="F88" i="31" s="1"/>
  <c r="P87" i="31"/>
  <c r="Q87" i="31" s="1"/>
  <c r="M87" i="31"/>
  <c r="I87" i="31"/>
  <c r="F87" i="31" a="1"/>
  <c r="F87" i="31" s="1"/>
  <c r="D87" i="31"/>
  <c r="C87" i="31"/>
  <c r="P86" i="31"/>
  <c r="Q86" i="31" s="1"/>
  <c r="M86" i="31"/>
  <c r="I86" i="31"/>
  <c r="C86" i="31"/>
  <c r="F86" i="31" s="1" a="1"/>
  <c r="F86" i="31" s="1"/>
  <c r="P85" i="31"/>
  <c r="Q85" i="31" s="1"/>
  <c r="M85" i="31"/>
  <c r="I85" i="31"/>
  <c r="C85" i="31"/>
  <c r="F85" i="31" s="1" a="1"/>
  <c r="F85" i="31" s="1"/>
  <c r="Q84" i="31"/>
  <c r="P84" i="31"/>
  <c r="M84" i="31"/>
  <c r="I84" i="31"/>
  <c r="F84" i="31" a="1"/>
  <c r="F84" i="31" s="1"/>
  <c r="D84" i="31"/>
  <c r="C84" i="31"/>
  <c r="P83" i="31"/>
  <c r="Q83" i="31" s="1"/>
  <c r="M83" i="31"/>
  <c r="I83" i="31"/>
  <c r="C83" i="31"/>
  <c r="D83" i="31" s="1"/>
  <c r="P82" i="31"/>
  <c r="Q82" i="31" s="1"/>
  <c r="M82" i="31"/>
  <c r="I82" i="31"/>
  <c r="F82" i="31"/>
  <c r="F82" i="31" a="1"/>
  <c r="C82" i="31"/>
  <c r="D82" i="31" s="1"/>
  <c r="P81" i="31"/>
  <c r="Q81" i="31" s="1"/>
  <c r="M81" i="31"/>
  <c r="I81" i="31"/>
  <c r="C81" i="31"/>
  <c r="F81" i="31" s="1" a="1"/>
  <c r="F81" i="31" s="1"/>
  <c r="Q80" i="31"/>
  <c r="P80" i="31"/>
  <c r="M80" i="31"/>
  <c r="I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D75" i="31"/>
  <c r="C75" i="31"/>
  <c r="F75" i="31" s="1" a="1"/>
  <c r="F75" i="31" s="1"/>
  <c r="P74" i="31"/>
  <c r="Q74" i="31" s="1"/>
  <c r="M74" i="31"/>
  <c r="I74" i="31"/>
  <c r="C74" i="31"/>
  <c r="D74" i="31" s="1"/>
  <c r="Q73" i="31"/>
  <c r="P73" i="31"/>
  <c r="M73" i="31"/>
  <c r="I73" i="31"/>
  <c r="C73" i="31"/>
  <c r="F73" i="31" s="1" a="1"/>
  <c r="F73" i="31" s="1"/>
  <c r="Q72" i="31"/>
  <c r="P72" i="31"/>
  <c r="M72" i="31"/>
  <c r="I72" i="31"/>
  <c r="D72" i="31"/>
  <c r="C72" i="31"/>
  <c r="F72" i="31" s="1" a="1"/>
  <c r="F72" i="31" s="1"/>
  <c r="P71" i="31"/>
  <c r="Q71" i="31" s="1"/>
  <c r="M71" i="31"/>
  <c r="I71" i="31"/>
  <c r="C71" i="31"/>
  <c r="F71" i="31" s="1" a="1"/>
  <c r="F71" i="31" s="1"/>
  <c r="P70" i="31"/>
  <c r="Q70" i="31" s="1"/>
  <c r="M70" i="31"/>
  <c r="I70" i="31"/>
  <c r="C70" i="31"/>
  <c r="F70" i="31" s="1" a="1"/>
  <c r="F70" i="31" s="1"/>
  <c r="Q69" i="31"/>
  <c r="P69" i="31"/>
  <c r="M69" i="31"/>
  <c r="I69" i="31"/>
  <c r="C69" i="31"/>
  <c r="F69" i="31" s="1" a="1"/>
  <c r="F69" i="31" s="1"/>
  <c r="Q68" i="31"/>
  <c r="P68" i="31"/>
  <c r="M68" i="31"/>
  <c r="I68" i="31"/>
  <c r="C68" i="31"/>
  <c r="F68" i="31" s="1" a="1"/>
  <c r="F68" i="31" s="1"/>
  <c r="P67" i="31"/>
  <c r="Q67" i="31" s="1"/>
  <c r="M67" i="31"/>
  <c r="I67" i="31"/>
  <c r="F67" i="31" a="1"/>
  <c r="F67" i="31" s="1"/>
  <c r="D67" i="31"/>
  <c r="C67" i="31"/>
  <c r="P66" i="31"/>
  <c r="Q66" i="31" s="1"/>
  <c r="M66" i="31"/>
  <c r="I66" i="31"/>
  <c r="C66" i="31"/>
  <c r="D66" i="31" s="1"/>
  <c r="Q65" i="31"/>
  <c r="P65" i="31"/>
  <c r="M65" i="31"/>
  <c r="I65" i="31"/>
  <c r="C65" i="31"/>
  <c r="F65" i="31" s="1" a="1"/>
  <c r="F65" i="31" s="1"/>
  <c r="Q64" i="31"/>
  <c r="P64" i="31"/>
  <c r="M64" i="31"/>
  <c r="I64" i="31"/>
  <c r="C64" i="31"/>
  <c r="F64" i="31" s="1" a="1"/>
  <c r="F64" i="31" s="1"/>
  <c r="P63" i="31"/>
  <c r="Q63" i="31" s="1"/>
  <c r="M63" i="31"/>
  <c r="I63" i="31"/>
  <c r="C63" i="31"/>
  <c r="F63" i="31" s="1" a="1"/>
  <c r="F63" i="31" s="1"/>
  <c r="P62" i="31"/>
  <c r="Q62" i="31" s="1"/>
  <c r="M62" i="31"/>
  <c r="I62" i="31"/>
  <c r="C62" i="31"/>
  <c r="F62" i="31" s="1" a="1"/>
  <c r="F62" i="31" s="1"/>
  <c r="Q61" i="31"/>
  <c r="P61" i="31"/>
  <c r="M61" i="31"/>
  <c r="I61" i="31"/>
  <c r="C61" i="31"/>
  <c r="D61" i="31" s="1"/>
  <c r="P60" i="31"/>
  <c r="Q60" i="31" s="1"/>
  <c r="M60" i="31"/>
  <c r="I60" i="31"/>
  <c r="C60" i="31"/>
  <c r="F60" i="31" s="1" a="1"/>
  <c r="F60" i="31" s="1"/>
  <c r="P59" i="31"/>
  <c r="Q59" i="31" s="1"/>
  <c r="M59" i="31"/>
  <c r="I59" i="31"/>
  <c r="F59" i="31" a="1"/>
  <c r="F59" i="31" s="1"/>
  <c r="D59" i="31"/>
  <c r="C59" i="31"/>
  <c r="P58" i="31"/>
  <c r="Q58" i="31" s="1"/>
  <c r="M58" i="31"/>
  <c r="I58" i="31"/>
  <c r="F58" i="31" a="1"/>
  <c r="F58" i="31" s="1"/>
  <c r="C58" i="31"/>
  <c r="D58" i="31" s="1"/>
  <c r="Q57" i="31"/>
  <c r="P57" i="31"/>
  <c r="M57" i="31"/>
  <c r="I57" i="31"/>
  <c r="C57" i="31"/>
  <c r="F57" i="31" s="1" a="1"/>
  <c r="F57" i="31" s="1"/>
  <c r="P56" i="31"/>
  <c r="Q56" i="31" s="1"/>
  <c r="M56" i="31"/>
  <c r="I56" i="31"/>
  <c r="C56" i="31"/>
  <c r="F56" i="31" s="1" a="1"/>
  <c r="F56" i="31" s="1"/>
  <c r="P55" i="31"/>
  <c r="Q55" i="31" s="1"/>
  <c r="M55" i="31"/>
  <c r="I55" i="31"/>
  <c r="F55" i="31" a="1"/>
  <c r="F55" i="31" s="1"/>
  <c r="D55" i="31"/>
  <c r="C55" i="31"/>
  <c r="P54" i="31"/>
  <c r="Q54" i="31" s="1"/>
  <c r="M54" i="31"/>
  <c r="I54" i="31"/>
  <c r="C54" i="31"/>
  <c r="F54" i="31" s="1" a="1"/>
  <c r="F54" i="31" s="1"/>
  <c r="P53" i="31"/>
  <c r="Q53" i="31" s="1"/>
  <c r="M53" i="31"/>
  <c r="I53" i="31"/>
  <c r="C53" i="31"/>
  <c r="F53" i="31" s="1" a="1"/>
  <c r="F53" i="31" s="1"/>
  <c r="P52" i="31"/>
  <c r="Q52" i="31" s="1"/>
  <c r="M52" i="31"/>
  <c r="I52" i="31"/>
  <c r="F52" i="31" a="1"/>
  <c r="F52" i="31" s="1"/>
  <c r="D52" i="31"/>
  <c r="C52" i="31"/>
  <c r="P51" i="31"/>
  <c r="Q51" i="31" s="1"/>
  <c r="M51" i="31"/>
  <c r="I51" i="31"/>
  <c r="C51" i="31"/>
  <c r="F51" i="31" s="1" a="1"/>
  <c r="F51" i="31" s="1"/>
  <c r="P50" i="31"/>
  <c r="Q50" i="31" s="1"/>
  <c r="M50" i="31"/>
  <c r="I50" i="31"/>
  <c r="F50" i="31" a="1"/>
  <c r="F50" i="31" s="1"/>
  <c r="C50" i="31"/>
  <c r="D50" i="31" s="1"/>
  <c r="P49" i="31"/>
  <c r="Q49" i="31" s="1"/>
  <c r="M49" i="31"/>
  <c r="I49" i="31"/>
  <c r="C49" i="31"/>
  <c r="F49" i="31" s="1" a="1"/>
  <c r="F49" i="31" s="1"/>
  <c r="P48" i="31"/>
  <c r="Q48" i="31" s="1"/>
  <c r="M48" i="31"/>
  <c r="I48" i="31"/>
  <c r="D48" i="31"/>
  <c r="C48" i="31"/>
  <c r="F48" i="31" s="1" a="1"/>
  <c r="F48" i="31" s="1"/>
  <c r="P47" i="31"/>
  <c r="Q47" i="31" s="1"/>
  <c r="M47" i="31"/>
  <c r="I47" i="31"/>
  <c r="F47" i="31" a="1"/>
  <c r="F47" i="31" s="1"/>
  <c r="C47" i="31"/>
  <c r="D47" i="31" s="1"/>
  <c r="P46" i="31"/>
  <c r="Q46" i="31" s="1"/>
  <c r="M46" i="31"/>
  <c r="I46" i="31"/>
  <c r="C46" i="31"/>
  <c r="F46" i="31" s="1" a="1"/>
  <c r="F46" i="31" s="1"/>
  <c r="P45" i="31"/>
  <c r="Q45" i="31" s="1"/>
  <c r="M45" i="31"/>
  <c r="I45" i="31"/>
  <c r="C45" i="31"/>
  <c r="D45" i="31" s="1"/>
  <c r="Q44" i="31"/>
  <c r="P44" i="31"/>
  <c r="M44" i="31"/>
  <c r="I44" i="31"/>
  <c r="F44" i="31" a="1"/>
  <c r="F44" i="31" s="1"/>
  <c r="C44" i="31"/>
  <c r="D44" i="31" s="1"/>
  <c r="P43" i="31"/>
  <c r="Q43" i="31" s="1"/>
  <c r="M43" i="31"/>
  <c r="I43" i="31"/>
  <c r="C43" i="31"/>
  <c r="F43" i="31" s="1" a="1"/>
  <c r="F43" i="31" s="1"/>
  <c r="P42" i="31"/>
  <c r="Q42" i="31" s="1"/>
  <c r="M42" i="31"/>
  <c r="I42" i="31"/>
  <c r="F42" i="31"/>
  <c r="F42" i="31" a="1"/>
  <c r="C42" i="31"/>
  <c r="D42" i="31" s="1"/>
  <c r="P41" i="31"/>
  <c r="Q41" i="31" s="1"/>
  <c r="M41" i="31"/>
  <c r="I41" i="31"/>
  <c r="C41" i="31"/>
  <c r="F41" i="31" s="1" a="1"/>
  <c r="F41" i="31" s="1"/>
  <c r="Q40" i="31"/>
  <c r="P40" i="31"/>
  <c r="M40" i="31"/>
  <c r="I40" i="31"/>
  <c r="D40" i="31"/>
  <c r="C40" i="31"/>
  <c r="F40" i="31" s="1" a="1"/>
  <c r="F40" i="31" s="1"/>
  <c r="P39" i="31"/>
  <c r="Q39" i="31" s="1"/>
  <c r="M39" i="31"/>
  <c r="I39" i="31"/>
  <c r="C39" i="31"/>
  <c r="D39" i="31" s="1"/>
  <c r="P38" i="31"/>
  <c r="Q38" i="31" s="1"/>
  <c r="M38" i="31"/>
  <c r="I38" i="31"/>
  <c r="C38" i="31"/>
  <c r="F38" i="31" s="1" a="1"/>
  <c r="F38" i="31" s="1"/>
  <c r="Q37" i="31"/>
  <c r="P37" i="31"/>
  <c r="M37" i="31"/>
  <c r="I37" i="31"/>
  <c r="C37" i="31"/>
  <c r="F37" i="31" s="1" a="1"/>
  <c r="F37" i="31" s="1"/>
  <c r="P36" i="31"/>
  <c r="Q36" i="31" s="1"/>
  <c r="M36" i="31"/>
  <c r="I36" i="31"/>
  <c r="C36" i="31"/>
  <c r="D36" i="31" s="1"/>
  <c r="P35" i="31"/>
  <c r="Q35" i="31" s="1"/>
  <c r="M35" i="31"/>
  <c r="I35" i="31"/>
  <c r="F35" i="31" a="1"/>
  <c r="F35" i="31" s="1"/>
  <c r="D35" i="31"/>
  <c r="C35" i="31"/>
  <c r="P34" i="31"/>
  <c r="Q34" i="31" s="1"/>
  <c r="M34" i="31"/>
  <c r="I34" i="31"/>
  <c r="C34" i="31"/>
  <c r="D34" i="31" s="1"/>
  <c r="Q33" i="31"/>
  <c r="P33" i="31"/>
  <c r="M33" i="31"/>
  <c r="I33" i="31"/>
  <c r="C33" i="31"/>
  <c r="F33" i="31" s="1" a="1"/>
  <c r="F33" i="31" s="1"/>
  <c r="P32" i="31"/>
  <c r="Q32" i="31" s="1"/>
  <c r="M32" i="31"/>
  <c r="I32" i="31"/>
  <c r="D32" i="31"/>
  <c r="C32" i="31"/>
  <c r="F32" i="31" s="1" a="1"/>
  <c r="F32" i="31" s="1"/>
  <c r="P31" i="31"/>
  <c r="Q31" i="31" s="1"/>
  <c r="M31" i="31"/>
  <c r="I31" i="31"/>
  <c r="D31" i="31"/>
  <c r="C31" i="31"/>
  <c r="F31" i="31" s="1" a="1"/>
  <c r="F31" i="31" s="1"/>
  <c r="P30" i="31"/>
  <c r="Q30" i="31" s="1"/>
  <c r="M30" i="31"/>
  <c r="I30" i="31"/>
  <c r="C30" i="31"/>
  <c r="F30" i="31" s="1" a="1"/>
  <c r="F30" i="31" s="1"/>
  <c r="P29" i="31"/>
  <c r="Q29" i="31" s="1"/>
  <c r="M29" i="31"/>
  <c r="I29" i="31"/>
  <c r="C29" i="31"/>
  <c r="D29" i="31" s="1"/>
  <c r="P28" i="31"/>
  <c r="Q28" i="31" s="1"/>
  <c r="M28" i="31"/>
  <c r="I28" i="31"/>
  <c r="D28" i="31"/>
  <c r="C28" i="31"/>
  <c r="F28" i="31" s="1" a="1"/>
  <c r="F28" i="31" s="1"/>
  <c r="P27" i="31"/>
  <c r="Q27" i="31" s="1"/>
  <c r="M27" i="31"/>
  <c r="I27" i="31"/>
  <c r="F27" i="31" a="1"/>
  <c r="F27" i="31" s="1"/>
  <c r="C27" i="31"/>
  <c r="D27" i="31" s="1"/>
  <c r="P26" i="31"/>
  <c r="Q26" i="31" s="1"/>
  <c r="M26" i="31"/>
  <c r="I26" i="31"/>
  <c r="C26" i="31"/>
  <c r="D26" i="31" s="1"/>
  <c r="P25" i="31"/>
  <c r="Q25" i="31" s="1"/>
  <c r="M25" i="31"/>
  <c r="I25" i="31"/>
  <c r="C25" i="31"/>
  <c r="F25" i="31" s="1" a="1"/>
  <c r="F25" i="31" s="1"/>
  <c r="P24" i="31"/>
  <c r="Q24" i="31" s="1"/>
  <c r="M24" i="31"/>
  <c r="I24" i="31"/>
  <c r="C24" i="31"/>
  <c r="F24" i="31" s="1" a="1"/>
  <c r="F24" i="31" s="1"/>
  <c r="P23" i="31"/>
  <c r="Q23" i="31" s="1"/>
  <c r="M23" i="31"/>
  <c r="I23" i="31"/>
  <c r="F23" i="31" a="1"/>
  <c r="F23" i="31" s="1"/>
  <c r="D23" i="31"/>
  <c r="C23" i="31"/>
  <c r="P22" i="31"/>
  <c r="Q22" i="31" s="1"/>
  <c r="M22" i="31"/>
  <c r="I22" i="31"/>
  <c r="C22" i="31"/>
  <c r="F22" i="31" s="1" a="1"/>
  <c r="F22" i="31" s="1"/>
  <c r="P21" i="31"/>
  <c r="Q21" i="31" s="1"/>
  <c r="M21" i="31"/>
  <c r="I21" i="31"/>
  <c r="C21" i="31"/>
  <c r="D21" i="31" s="1"/>
  <c r="Q20" i="31"/>
  <c r="P20" i="31"/>
  <c r="M20" i="31"/>
  <c r="I20" i="31"/>
  <c r="C20" i="31"/>
  <c r="F20" i="31" s="1" a="1"/>
  <c r="F20" i="31" s="1"/>
  <c r="P19" i="31"/>
  <c r="Q19" i="31" s="1"/>
  <c r="M19" i="31"/>
  <c r="I19" i="31"/>
  <c r="F19" i="31" a="1"/>
  <c r="F19" i="31" s="1"/>
  <c r="D19" i="31"/>
  <c r="C19" i="31"/>
  <c r="P18" i="31"/>
  <c r="Q18" i="31" s="1"/>
  <c r="M18" i="31"/>
  <c r="I18" i="31"/>
  <c r="F18" i="31" a="1"/>
  <c r="F18" i="31" s="1"/>
  <c r="C18" i="31"/>
  <c r="D18" i="31" s="1"/>
  <c r="Q17" i="31"/>
  <c r="P17" i="31"/>
  <c r="M17" i="31"/>
  <c r="I17" i="31"/>
  <c r="C17" i="31"/>
  <c r="F17" i="31" s="1" a="1"/>
  <c r="F17" i="31" s="1"/>
  <c r="P16" i="31"/>
  <c r="Q16" i="31" s="1"/>
  <c r="M16" i="31"/>
  <c r="I16" i="31"/>
  <c r="C16" i="31"/>
  <c r="F16" i="31" s="1" a="1"/>
  <c r="F16" i="31" s="1"/>
  <c r="P15" i="31"/>
  <c r="Q15" i="31" s="1"/>
  <c r="M15" i="31"/>
  <c r="I15" i="31"/>
  <c r="F15" i="31" a="1"/>
  <c r="F15" i="31" s="1"/>
  <c r="D15" i="31"/>
  <c r="C15" i="31"/>
  <c r="P14" i="31"/>
  <c r="Q14" i="31" s="1"/>
  <c r="M14" i="31"/>
  <c r="I14" i="31"/>
  <c r="C14" i="31"/>
  <c r="F14" i="31" s="1" a="1"/>
  <c r="F14" i="31" s="1"/>
  <c r="P13" i="31"/>
  <c r="Q13" i="31" s="1"/>
  <c r="M13" i="31"/>
  <c r="I13" i="31"/>
  <c r="C13" i="31"/>
  <c r="D13" i="31" s="1"/>
  <c r="P12" i="31"/>
  <c r="Q12" i="31" s="1"/>
  <c r="M12" i="31"/>
  <c r="I12" i="31"/>
  <c r="D12" i="31"/>
  <c r="C12" i="31"/>
  <c r="F12" i="31" s="1" a="1"/>
  <c r="F12" i="31" s="1"/>
  <c r="P11" i="31"/>
  <c r="Q11" i="31" s="1"/>
  <c r="M11" i="31"/>
  <c r="I11" i="31"/>
  <c r="F11" i="31" a="1"/>
  <c r="F11" i="31" s="1"/>
  <c r="C11" i="31"/>
  <c r="D11" i="31" s="1"/>
  <c r="P10" i="31"/>
  <c r="Q10" i="31" s="1"/>
  <c r="M10" i="31"/>
  <c r="I10" i="31"/>
  <c r="C10" i="31"/>
  <c r="D10" i="31" s="1"/>
  <c r="P9" i="31"/>
  <c r="Q9" i="31" s="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C99" i="30"/>
  <c r="D99" i="30" s="1"/>
  <c r="Q98" i="30"/>
  <c r="P98" i="30"/>
  <c r="M98" i="30"/>
  <c r="L98" i="30"/>
  <c r="I98" i="30"/>
  <c r="C98" i="30"/>
  <c r="F98" i="30" s="1" a="1"/>
  <c r="F98" i="30" s="1"/>
  <c r="P97" i="30"/>
  <c r="Q97" i="30" s="1"/>
  <c r="M97" i="30"/>
  <c r="L97" i="30"/>
  <c r="I97" i="30"/>
  <c r="C97" i="30"/>
  <c r="D97" i="30" s="1"/>
  <c r="Q96" i="30"/>
  <c r="P96" i="30"/>
  <c r="M96" i="30"/>
  <c r="L96" i="30"/>
  <c r="I96" i="30"/>
  <c r="C96" i="30"/>
  <c r="F96" i="30" s="1" a="1"/>
  <c r="F96" i="30" s="1"/>
  <c r="P95" i="30"/>
  <c r="Q95" i="30" s="1"/>
  <c r="M95" i="30"/>
  <c r="L95" i="30"/>
  <c r="I95" i="30"/>
  <c r="D95" i="30"/>
  <c r="C95" i="30"/>
  <c r="F95" i="30" s="1" a="1"/>
  <c r="F95" i="30" s="1"/>
  <c r="P94" i="30"/>
  <c r="Q94" i="30" s="1"/>
  <c r="M94" i="30"/>
  <c r="L94" i="30"/>
  <c r="I94" i="30"/>
  <c r="C94" i="30"/>
  <c r="F94" i="30" s="1" a="1"/>
  <c r="F94" i="30" s="1"/>
  <c r="Q93" i="30"/>
  <c r="P93" i="30"/>
  <c r="M93" i="30"/>
  <c r="L93" i="30"/>
  <c r="I93" i="30"/>
  <c r="C93" i="30"/>
  <c r="F93" i="30" s="1" a="1"/>
  <c r="F93" i="30" s="1"/>
  <c r="P92" i="30"/>
  <c r="Q92" i="30" s="1"/>
  <c r="M92" i="30"/>
  <c r="L92" i="30"/>
  <c r="I92" i="30"/>
  <c r="C92" i="30"/>
  <c r="F92" i="30" s="1" a="1"/>
  <c r="F92" i="30" s="1"/>
  <c r="Q91" i="30"/>
  <c r="P91" i="30"/>
  <c r="M91" i="30"/>
  <c r="L91" i="30"/>
  <c r="I91" i="30"/>
  <c r="F91" i="30" a="1"/>
  <c r="F91" i="30" s="1"/>
  <c r="C91" i="30"/>
  <c r="D91" i="30" s="1"/>
  <c r="P90" i="30"/>
  <c r="Q90" i="30" s="1"/>
  <c r="M90" i="30"/>
  <c r="L90" i="30"/>
  <c r="I90" i="30"/>
  <c r="D90" i="30"/>
  <c r="C90" i="30"/>
  <c r="F90" i="30" s="1" a="1"/>
  <c r="F90" i="30" s="1"/>
  <c r="P89" i="30"/>
  <c r="Q89" i="30" s="1"/>
  <c r="M89" i="30"/>
  <c r="L89" i="30"/>
  <c r="I89" i="30"/>
  <c r="D89" i="30"/>
  <c r="C89" i="30"/>
  <c r="F89" i="30" s="1" a="1"/>
  <c r="F89" i="30" s="1"/>
  <c r="Q88" i="30"/>
  <c r="P88" i="30"/>
  <c r="M88" i="30"/>
  <c r="L88" i="30"/>
  <c r="I88" i="30"/>
  <c r="C88" i="30"/>
  <c r="F88" i="30" s="1" a="1"/>
  <c r="F88" i="30" s="1"/>
  <c r="Q87" i="30"/>
  <c r="P87" i="30"/>
  <c r="M87" i="30"/>
  <c r="L87" i="30"/>
  <c r="I87" i="30"/>
  <c r="D87" i="30"/>
  <c r="C87" i="30"/>
  <c r="F87" i="30" s="1" a="1"/>
  <c r="F87" i="30" s="1"/>
  <c r="P86" i="30"/>
  <c r="Q86" i="30" s="1"/>
  <c r="M86" i="30"/>
  <c r="L86" i="30"/>
  <c r="I86" i="30"/>
  <c r="C86" i="30"/>
  <c r="F86" i="30" s="1" a="1"/>
  <c r="F86" i="30" s="1"/>
  <c r="P85" i="30"/>
  <c r="Q85" i="30" s="1"/>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P82" i="30"/>
  <c r="Q82" i="30" s="1"/>
  <c r="M82" i="30"/>
  <c r="L82" i="30"/>
  <c r="I82" i="30"/>
  <c r="C82" i="30"/>
  <c r="F82" i="30" s="1" a="1"/>
  <c r="F82" i="30" s="1"/>
  <c r="P81" i="30"/>
  <c r="Q81" i="30" s="1"/>
  <c r="M81" i="30"/>
  <c r="L81" i="30"/>
  <c r="I81" i="30"/>
  <c r="C81" i="30"/>
  <c r="F81" i="30" s="1" a="1"/>
  <c r="F81" i="30" s="1"/>
  <c r="Q80" i="30"/>
  <c r="P80" i="30"/>
  <c r="M80" i="30"/>
  <c r="L80" i="30"/>
  <c r="I80" i="30"/>
  <c r="C80" i="30"/>
  <c r="F80" i="30" s="1" a="1"/>
  <c r="F80" i="30" s="1"/>
  <c r="P79" i="30"/>
  <c r="Q79" i="30" s="1"/>
  <c r="M79" i="30"/>
  <c r="L79" i="30"/>
  <c r="I79" i="30"/>
  <c r="C79" i="30"/>
  <c r="F79" i="30" s="1" a="1"/>
  <c r="F79" i="30" s="1"/>
  <c r="P78" i="30"/>
  <c r="Q78" i="30" s="1"/>
  <c r="M78" i="30"/>
  <c r="L78" i="30"/>
  <c r="I78" i="30"/>
  <c r="C78" i="30"/>
  <c r="D78" i="30" s="1"/>
  <c r="Q77" i="30"/>
  <c r="P77" i="30"/>
  <c r="M77" i="30"/>
  <c r="L77" i="30"/>
  <c r="I77" i="30"/>
  <c r="C77" i="30"/>
  <c r="F77" i="30" s="1" a="1"/>
  <c r="F77" i="30" s="1"/>
  <c r="P76" i="30"/>
  <c r="Q76" i="30" s="1"/>
  <c r="M76" i="30"/>
  <c r="L76" i="30"/>
  <c r="I76" i="30"/>
  <c r="F76" i="30" a="1"/>
  <c r="F76" i="30" s="1"/>
  <c r="D76" i="30"/>
  <c r="C76" i="30"/>
  <c r="P75" i="30"/>
  <c r="Q75" i="30" s="1"/>
  <c r="M75" i="30"/>
  <c r="L75" i="30"/>
  <c r="I75" i="30"/>
  <c r="C75" i="30"/>
  <c r="D75" i="30" s="1"/>
  <c r="Q74" i="30"/>
  <c r="P74" i="30"/>
  <c r="M74" i="30"/>
  <c r="L74" i="30"/>
  <c r="I74" i="30"/>
  <c r="C74" i="30"/>
  <c r="F74" i="30" s="1" a="1"/>
  <c r="F74" i="30" s="1"/>
  <c r="P73" i="30"/>
  <c r="Q73" i="30" s="1"/>
  <c r="M73" i="30"/>
  <c r="L73" i="30"/>
  <c r="I73" i="30"/>
  <c r="F73" i="30" a="1"/>
  <c r="F73" i="30" s="1"/>
  <c r="C73" i="30"/>
  <c r="D73" i="30" s="1"/>
  <c r="P72" i="30"/>
  <c r="Q72" i="30" s="1"/>
  <c r="M72" i="30"/>
  <c r="L72" i="30"/>
  <c r="I72" i="30"/>
  <c r="C72" i="30"/>
  <c r="F72" i="30" s="1" a="1"/>
  <c r="F72" i="30" s="1"/>
  <c r="P71" i="30"/>
  <c r="Q71" i="30" s="1"/>
  <c r="M71" i="30"/>
  <c r="L71" i="30"/>
  <c r="I71" i="30"/>
  <c r="C71" i="30"/>
  <c r="F71" i="30" s="1" a="1"/>
  <c r="F71" i="30" s="1"/>
  <c r="P70" i="30"/>
  <c r="Q70" i="30" s="1"/>
  <c r="M70" i="30"/>
  <c r="L70" i="30"/>
  <c r="I70" i="30"/>
  <c r="F70" i="30" a="1"/>
  <c r="F70" i="30" s="1"/>
  <c r="D70" i="30"/>
  <c r="C70" i="30"/>
  <c r="P69" i="30"/>
  <c r="Q69" i="30" s="1"/>
  <c r="M69" i="30"/>
  <c r="L69" i="30"/>
  <c r="I69" i="30"/>
  <c r="C69" i="30"/>
  <c r="F69" i="30" s="1" a="1"/>
  <c r="F69" i="30" s="1"/>
  <c r="P68" i="30"/>
  <c r="Q68" i="30" s="1"/>
  <c r="M68" i="30"/>
  <c r="L68" i="30"/>
  <c r="I68" i="30"/>
  <c r="C68" i="30"/>
  <c r="F68" i="30" s="1" a="1"/>
  <c r="F68" i="30" s="1"/>
  <c r="Q67" i="30"/>
  <c r="P67" i="30"/>
  <c r="M67" i="30"/>
  <c r="L67" i="30"/>
  <c r="I67" i="30"/>
  <c r="C67" i="30"/>
  <c r="D67" i="30" s="1"/>
  <c r="P66" i="30"/>
  <c r="Q66" i="30" s="1"/>
  <c r="M66" i="30"/>
  <c r="L66" i="30"/>
  <c r="I66" i="30"/>
  <c r="D66" i="30"/>
  <c r="C66" i="30"/>
  <c r="F66" i="30" s="1" a="1"/>
  <c r="F66" i="30" s="1"/>
  <c r="P65" i="30"/>
  <c r="Q65" i="30" s="1"/>
  <c r="M65" i="30"/>
  <c r="L65" i="30"/>
  <c r="I65" i="30"/>
  <c r="C65" i="30"/>
  <c r="F65" i="30" s="1" a="1"/>
  <c r="F65" i="30" s="1"/>
  <c r="P64" i="30"/>
  <c r="Q64" i="30" s="1"/>
  <c r="M64" i="30"/>
  <c r="L64" i="30"/>
  <c r="I64" i="30"/>
  <c r="C64" i="30"/>
  <c r="F64" i="30" s="1" a="1"/>
  <c r="F64" i="30" s="1"/>
  <c r="P63" i="30"/>
  <c r="Q63" i="30" s="1"/>
  <c r="M63" i="30"/>
  <c r="L63" i="30"/>
  <c r="I63" i="30"/>
  <c r="C63" i="30"/>
  <c r="F63" i="30" s="1" a="1"/>
  <c r="F63" i="30" s="1"/>
  <c r="P62" i="30"/>
  <c r="Q62" i="30" s="1"/>
  <c r="M62" i="30"/>
  <c r="L62" i="30"/>
  <c r="I62" i="30"/>
  <c r="C62" i="30"/>
  <c r="D62" i="30" s="1"/>
  <c r="P61" i="30"/>
  <c r="Q61" i="30" s="1"/>
  <c r="M61" i="30"/>
  <c r="L61" i="30"/>
  <c r="I61" i="30"/>
  <c r="C61" i="30"/>
  <c r="F61" i="30" s="1" a="1"/>
  <c r="F61" i="30" s="1"/>
  <c r="P60" i="30"/>
  <c r="Q60" i="30" s="1"/>
  <c r="M60" i="30"/>
  <c r="L60" i="30"/>
  <c r="I60" i="30"/>
  <c r="C60" i="30"/>
  <c r="D60" i="30" s="1"/>
  <c r="Q59" i="30"/>
  <c r="P59" i="30"/>
  <c r="M59" i="30"/>
  <c r="L59" i="30"/>
  <c r="I59" i="30"/>
  <c r="F59" i="30" a="1"/>
  <c r="F59" i="30" s="1"/>
  <c r="C59" i="30"/>
  <c r="D59" i="30" s="1"/>
  <c r="P58" i="30"/>
  <c r="Q58" i="30" s="1"/>
  <c r="M58" i="30"/>
  <c r="L58" i="30"/>
  <c r="I58" i="30"/>
  <c r="D58" i="30"/>
  <c r="C58" i="30"/>
  <c r="F58" i="30" s="1" a="1"/>
  <c r="F58" i="30" s="1"/>
  <c r="P57" i="30"/>
  <c r="Q57" i="30" s="1"/>
  <c r="M57" i="30"/>
  <c r="L57" i="30"/>
  <c r="I57" i="30"/>
  <c r="C57" i="30"/>
  <c r="F57" i="30" s="1" a="1"/>
  <c r="F57" i="30" s="1"/>
  <c r="Q56" i="30"/>
  <c r="P56" i="30"/>
  <c r="M56" i="30"/>
  <c r="L56" i="30"/>
  <c r="I56" i="30"/>
  <c r="C56" i="30"/>
  <c r="F56" i="30" s="1" a="1"/>
  <c r="F56" i="30" s="1"/>
  <c r="P55" i="30"/>
  <c r="Q55" i="30" s="1"/>
  <c r="M55" i="30"/>
  <c r="L55" i="30"/>
  <c r="I55" i="30"/>
  <c r="C55" i="30"/>
  <c r="F55" i="30" s="1" a="1"/>
  <c r="F55" i="30" s="1"/>
  <c r="P54" i="30"/>
  <c r="Q54" i="30" s="1"/>
  <c r="M54" i="30"/>
  <c r="L54" i="30"/>
  <c r="I54" i="30"/>
  <c r="F54" i="30" a="1"/>
  <c r="F54" i="30" s="1"/>
  <c r="C54" i="30"/>
  <c r="D54" i="30" s="1"/>
  <c r="P53" i="30"/>
  <c r="Q53" i="30" s="1"/>
  <c r="M53" i="30"/>
  <c r="L53" i="30"/>
  <c r="I53" i="30"/>
  <c r="C53" i="30"/>
  <c r="F53" i="30" s="1" a="1"/>
  <c r="F53" i="30" s="1"/>
  <c r="P52" i="30"/>
  <c r="Q52" i="30" s="1"/>
  <c r="M52" i="30"/>
  <c r="L52" i="30"/>
  <c r="I52" i="30"/>
  <c r="C52" i="30"/>
  <c r="F52" i="30" s="1" a="1"/>
  <c r="F52" i="30" s="1"/>
  <c r="Q51" i="30"/>
  <c r="P51" i="30"/>
  <c r="M51" i="30"/>
  <c r="L51" i="30"/>
  <c r="I51" i="30"/>
  <c r="C51" i="30"/>
  <c r="D51" i="30" s="1"/>
  <c r="P50" i="30"/>
  <c r="Q50" i="30" s="1"/>
  <c r="M50" i="30"/>
  <c r="L50" i="30"/>
  <c r="I50" i="30"/>
  <c r="D50" i="30"/>
  <c r="C50" i="30"/>
  <c r="F50" i="30" s="1" a="1"/>
  <c r="F50" i="30" s="1"/>
  <c r="P49" i="30"/>
  <c r="Q49" i="30" s="1"/>
  <c r="M49" i="30"/>
  <c r="L49" i="30"/>
  <c r="I49" i="30"/>
  <c r="C49" i="30"/>
  <c r="F49" i="30" s="1" a="1"/>
  <c r="F49" i="30" s="1"/>
  <c r="P48" i="30"/>
  <c r="Q48" i="30" s="1"/>
  <c r="M48" i="30"/>
  <c r="L48" i="30"/>
  <c r="I48" i="30"/>
  <c r="C48" i="30"/>
  <c r="F48" i="30" s="1" a="1"/>
  <c r="F48" i="30" s="1"/>
  <c r="P47" i="30"/>
  <c r="Q47" i="30" s="1"/>
  <c r="M47" i="30"/>
  <c r="L47" i="30"/>
  <c r="I47" i="30"/>
  <c r="C47" i="30"/>
  <c r="F47" i="30" s="1" a="1"/>
  <c r="F47" i="30" s="1"/>
  <c r="P46" i="30"/>
  <c r="Q46" i="30" s="1"/>
  <c r="M46" i="30"/>
  <c r="L46" i="30"/>
  <c r="I46" i="30"/>
  <c r="C46" i="30"/>
  <c r="D46" i="30" s="1"/>
  <c r="P45" i="30"/>
  <c r="Q45" i="30" s="1"/>
  <c r="M45" i="30"/>
  <c r="L45" i="30"/>
  <c r="I45" i="30"/>
  <c r="C45" i="30"/>
  <c r="F45" i="30" s="1" a="1"/>
  <c r="F45" i="30" s="1"/>
  <c r="P44" i="30"/>
  <c r="Q44" i="30" s="1"/>
  <c r="M44" i="30"/>
  <c r="L44" i="30"/>
  <c r="I44" i="30"/>
  <c r="C44" i="30"/>
  <c r="D44" i="30" s="1"/>
  <c r="Q43" i="30"/>
  <c r="P43" i="30"/>
  <c r="M43" i="30"/>
  <c r="L43" i="30"/>
  <c r="I43" i="30"/>
  <c r="F43" i="30" a="1"/>
  <c r="F43" i="30" s="1"/>
  <c r="C43" i="30"/>
  <c r="D43" i="30" s="1"/>
  <c r="P42" i="30"/>
  <c r="Q42" i="30" s="1"/>
  <c r="M42" i="30"/>
  <c r="L42" i="30"/>
  <c r="I42" i="30"/>
  <c r="D42" i="30"/>
  <c r="C42" i="30"/>
  <c r="F42" i="30" s="1" a="1"/>
  <c r="F42" i="30" s="1"/>
  <c r="P41" i="30"/>
  <c r="Q41" i="30" s="1"/>
  <c r="M41" i="30"/>
  <c r="L41" i="30"/>
  <c r="I41" i="30"/>
  <c r="C41" i="30"/>
  <c r="F41" i="30" s="1" a="1"/>
  <c r="F41" i="30" s="1"/>
  <c r="Q40" i="30"/>
  <c r="P40" i="30"/>
  <c r="M40" i="30"/>
  <c r="L40" i="30"/>
  <c r="I40" i="30"/>
  <c r="C40" i="30"/>
  <c r="F40" i="30" s="1" a="1"/>
  <c r="F40" i="30" s="1"/>
  <c r="P39" i="30"/>
  <c r="Q39" i="30" s="1"/>
  <c r="M39" i="30"/>
  <c r="L39" i="30"/>
  <c r="I39" i="30"/>
  <c r="C39" i="30"/>
  <c r="F39" i="30" s="1" a="1"/>
  <c r="F39" i="30" s="1"/>
  <c r="P38" i="30"/>
  <c r="Q38" i="30" s="1"/>
  <c r="M38" i="30"/>
  <c r="L38" i="30"/>
  <c r="I38" i="30"/>
  <c r="F38" i="30" a="1"/>
  <c r="F38" i="30" s="1"/>
  <c r="C38" i="30"/>
  <c r="D38" i="30" s="1"/>
  <c r="P37" i="30"/>
  <c r="Q37" i="30" s="1"/>
  <c r="M37" i="30"/>
  <c r="L37" i="30"/>
  <c r="I37" i="30"/>
  <c r="C37" i="30"/>
  <c r="F37" i="30" s="1" a="1"/>
  <c r="F37" i="30" s="1"/>
  <c r="P36" i="30"/>
  <c r="Q36" i="30" s="1"/>
  <c r="M36" i="30"/>
  <c r="L36" i="30"/>
  <c r="I36" i="30"/>
  <c r="C36" i="30"/>
  <c r="F36" i="30" s="1" a="1"/>
  <c r="F36" i="30" s="1"/>
  <c r="Q35" i="30"/>
  <c r="P35" i="30"/>
  <c r="M35" i="30"/>
  <c r="L35" i="30"/>
  <c r="I35" i="30"/>
  <c r="C35" i="30"/>
  <c r="D35" i="30" s="1"/>
  <c r="P34" i="30"/>
  <c r="Q34" i="30" s="1"/>
  <c r="M34" i="30"/>
  <c r="L34" i="30"/>
  <c r="I34" i="30"/>
  <c r="D34" i="30"/>
  <c r="C34" i="30"/>
  <c r="F34" i="30" s="1" a="1"/>
  <c r="F34" i="30" s="1"/>
  <c r="P33" i="30"/>
  <c r="Q33" i="30" s="1"/>
  <c r="M33" i="30"/>
  <c r="L33" i="30"/>
  <c r="I33" i="30"/>
  <c r="C33" i="30"/>
  <c r="F33" i="30" s="1" a="1"/>
  <c r="F33" i="30" s="1"/>
  <c r="P32" i="30"/>
  <c r="Q32" i="30" s="1"/>
  <c r="M32" i="30"/>
  <c r="L32" i="30"/>
  <c r="I32" i="30"/>
  <c r="C32" i="30"/>
  <c r="F32" i="30" s="1" a="1"/>
  <c r="F32" i="30" s="1"/>
  <c r="P31" i="30"/>
  <c r="Q31" i="30" s="1"/>
  <c r="M31" i="30"/>
  <c r="L31" i="30"/>
  <c r="I31" i="30"/>
  <c r="C31" i="30"/>
  <c r="F31" i="30" s="1" a="1"/>
  <c r="F31" i="30" s="1"/>
  <c r="P30" i="30"/>
  <c r="Q30" i="30" s="1"/>
  <c r="M30" i="30"/>
  <c r="L30" i="30"/>
  <c r="I30" i="30"/>
  <c r="C30" i="30"/>
  <c r="D30" i="30" s="1"/>
  <c r="P29" i="30"/>
  <c r="Q29" i="30" s="1"/>
  <c r="M29" i="30"/>
  <c r="L29" i="30"/>
  <c r="I29" i="30"/>
  <c r="C29" i="30"/>
  <c r="F29" i="30" s="1" a="1"/>
  <c r="F29" i="30" s="1"/>
  <c r="P28" i="30"/>
  <c r="Q28" i="30" s="1"/>
  <c r="M28" i="30"/>
  <c r="L28" i="30"/>
  <c r="I28" i="30"/>
  <c r="C28" i="30"/>
  <c r="D28" i="30" s="1"/>
  <c r="Q27" i="30"/>
  <c r="P27" i="30"/>
  <c r="M27" i="30"/>
  <c r="L27" i="30"/>
  <c r="I27" i="30"/>
  <c r="F27" i="30" a="1"/>
  <c r="F27" i="30" s="1"/>
  <c r="C27" i="30"/>
  <c r="D27" i="30" s="1"/>
  <c r="P26" i="30"/>
  <c r="Q26" i="30" s="1"/>
  <c r="M26" i="30"/>
  <c r="L26" i="30"/>
  <c r="I26" i="30"/>
  <c r="D26" i="30"/>
  <c r="C26" i="30"/>
  <c r="F26" i="30" s="1" a="1"/>
  <c r="F26" i="30" s="1"/>
  <c r="P25" i="30"/>
  <c r="Q25" i="30" s="1"/>
  <c r="M25" i="30"/>
  <c r="L25" i="30"/>
  <c r="I25" i="30"/>
  <c r="C25" i="30"/>
  <c r="F25" i="30" s="1" a="1"/>
  <c r="F25" i="30" s="1"/>
  <c r="Q24" i="30"/>
  <c r="P24" i="30"/>
  <c r="M24" i="30"/>
  <c r="L24" i="30"/>
  <c r="I24" i="30"/>
  <c r="C24" i="30"/>
  <c r="F24" i="30" s="1" a="1"/>
  <c r="F24" i="30" s="1"/>
  <c r="P23" i="30"/>
  <c r="Q23" i="30" s="1"/>
  <c r="M23" i="30"/>
  <c r="L23" i="30"/>
  <c r="I23" i="30"/>
  <c r="C23" i="30"/>
  <c r="F23" i="30" s="1" a="1"/>
  <c r="F23" i="30" s="1"/>
  <c r="P22" i="30"/>
  <c r="Q22" i="30" s="1"/>
  <c r="M22" i="30"/>
  <c r="L22" i="30"/>
  <c r="I22" i="30"/>
  <c r="F22" i="30" a="1"/>
  <c r="F22" i="30" s="1"/>
  <c r="C22" i="30"/>
  <c r="D22" i="30" s="1"/>
  <c r="P21" i="30"/>
  <c r="Q21" i="30" s="1"/>
  <c r="M21" i="30"/>
  <c r="L21" i="30"/>
  <c r="I21" i="30"/>
  <c r="C21" i="30"/>
  <c r="F21" i="30" s="1" a="1"/>
  <c r="F21" i="30" s="1"/>
  <c r="P20" i="30"/>
  <c r="Q20" i="30" s="1"/>
  <c r="M20" i="30"/>
  <c r="L20" i="30"/>
  <c r="I20" i="30"/>
  <c r="C20" i="30"/>
  <c r="F20" i="30" s="1" a="1"/>
  <c r="F20" i="30" s="1"/>
  <c r="Q19" i="30"/>
  <c r="P19" i="30"/>
  <c r="M19" i="30"/>
  <c r="L19" i="30"/>
  <c r="I19" i="30"/>
  <c r="C19" i="30"/>
  <c r="D19" i="30" s="1"/>
  <c r="P18" i="30"/>
  <c r="Q18" i="30" s="1"/>
  <c r="M18" i="30"/>
  <c r="L18" i="30"/>
  <c r="I18" i="30"/>
  <c r="D18" i="30"/>
  <c r="C18" i="30"/>
  <c r="F18" i="30" s="1" a="1"/>
  <c r="F18" i="30" s="1"/>
  <c r="P17" i="30"/>
  <c r="Q17" i="30" s="1"/>
  <c r="M17" i="30"/>
  <c r="L17" i="30"/>
  <c r="I17" i="30"/>
  <c r="C17" i="30"/>
  <c r="F17" i="30" s="1" a="1"/>
  <c r="F17" i="30" s="1"/>
  <c r="P16" i="30"/>
  <c r="Q16" i="30" s="1"/>
  <c r="M16" i="30"/>
  <c r="L16" i="30"/>
  <c r="I16" i="30"/>
  <c r="C16" i="30"/>
  <c r="F16" i="30" s="1" a="1"/>
  <c r="F16" i="30" s="1"/>
  <c r="P15" i="30"/>
  <c r="Q15" i="30" s="1"/>
  <c r="M15" i="30"/>
  <c r="L15" i="30"/>
  <c r="I15" i="30"/>
  <c r="C15" i="30"/>
  <c r="F15" i="30" s="1" a="1"/>
  <c r="F15" i="30" s="1"/>
  <c r="P14" i="30"/>
  <c r="Q14" i="30" s="1"/>
  <c r="M14" i="30"/>
  <c r="L14" i="30"/>
  <c r="I14" i="30"/>
  <c r="C14" i="30"/>
  <c r="D14" i="30" s="1"/>
  <c r="P13" i="30"/>
  <c r="Q13" i="30" s="1"/>
  <c r="M13" i="30"/>
  <c r="L13" i="30"/>
  <c r="I13" i="30"/>
  <c r="C13" i="30"/>
  <c r="F13" i="30" s="1" a="1"/>
  <c r="F13" i="30" s="1"/>
  <c r="P12" i="30"/>
  <c r="Q12" i="30" s="1"/>
  <c r="M12" i="30"/>
  <c r="L12" i="30"/>
  <c r="I12" i="30"/>
  <c r="C12" i="30"/>
  <c r="D12" i="30" s="1"/>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C100" i="27"/>
  <c r="F100" i="27" s="1" a="1"/>
  <c r="F100" i="27" s="1"/>
  <c r="P99" i="27"/>
  <c r="Q99" i="27" s="1"/>
  <c r="M99" i="27"/>
  <c r="L99" i="27"/>
  <c r="I99" i="27"/>
  <c r="F99" i="27" a="1"/>
  <c r="F99" i="27" s="1"/>
  <c r="D99" i="27"/>
  <c r="C99" i="27"/>
  <c r="P98" i="27"/>
  <c r="Q98" i="27" s="1"/>
  <c r="M98" i="27"/>
  <c r="L98" i="27"/>
  <c r="I98" i="27"/>
  <c r="F98" i="27" a="1"/>
  <c r="F98" i="27" s="1"/>
  <c r="C98" i="27"/>
  <c r="D98" i="27" s="1"/>
  <c r="P97" i="27"/>
  <c r="Q97" i="27" s="1"/>
  <c r="M97" i="27"/>
  <c r="L97" i="27"/>
  <c r="I97" i="27"/>
  <c r="F97" i="27" a="1"/>
  <c r="F97" i="27" s="1"/>
  <c r="D97" i="27"/>
  <c r="C97" i="27"/>
  <c r="P96" i="27"/>
  <c r="Q96" i="27" s="1"/>
  <c r="M96" i="27"/>
  <c r="L96" i="27"/>
  <c r="I96" i="27"/>
  <c r="C96" i="27"/>
  <c r="D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F93" i="27" s="1" a="1"/>
  <c r="F93" i="27" s="1"/>
  <c r="Q92" i="27"/>
  <c r="P92" i="27"/>
  <c r="M92" i="27"/>
  <c r="L92" i="27"/>
  <c r="I92" i="27"/>
  <c r="C92" i="27"/>
  <c r="D92" i="27" s="1"/>
  <c r="P91" i="27"/>
  <c r="Q91" i="27" s="1"/>
  <c r="M91" i="27"/>
  <c r="L91" i="27"/>
  <c r="I91" i="27"/>
  <c r="C91" i="27"/>
  <c r="F91" i="27" s="1" a="1"/>
  <c r="F91" i="27" s="1"/>
  <c r="P90" i="27"/>
  <c r="Q90" i="27" s="1"/>
  <c r="M90" i="27"/>
  <c r="L90" i="27"/>
  <c r="I90" i="27"/>
  <c r="C90" i="27"/>
  <c r="D90" i="27" s="1"/>
  <c r="Q89" i="27"/>
  <c r="P89" i="27"/>
  <c r="M89" i="27"/>
  <c r="L89" i="27"/>
  <c r="I89" i="27"/>
  <c r="C89" i="27"/>
  <c r="F89" i="27" s="1" a="1"/>
  <c r="F89" i="27" s="1"/>
  <c r="P88" i="27"/>
  <c r="Q88" i="27" s="1"/>
  <c r="M88" i="27"/>
  <c r="L88" i="27"/>
  <c r="I88" i="27"/>
  <c r="C88" i="27"/>
  <c r="F88" i="27" s="1" a="1"/>
  <c r="F88" i="27" s="1"/>
  <c r="P87" i="27"/>
  <c r="Q87" i="27" s="1"/>
  <c r="M87" i="27"/>
  <c r="L87" i="27"/>
  <c r="I87" i="27"/>
  <c r="C87" i="27"/>
  <c r="D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D84" i="27" s="1"/>
  <c r="P83" i="27"/>
  <c r="Q83" i="27" s="1"/>
  <c r="M83" i="27"/>
  <c r="L83" i="27"/>
  <c r="I83" i="27"/>
  <c r="F83" i="27" a="1"/>
  <c r="F83" i="27" s="1"/>
  <c r="D83" i="27"/>
  <c r="C83" i="27"/>
  <c r="P82" i="27"/>
  <c r="Q82" i="27" s="1"/>
  <c r="M82" i="27"/>
  <c r="L82" i="27"/>
  <c r="I82" i="27"/>
  <c r="F82" i="27" a="1"/>
  <c r="F82" i="27" s="1"/>
  <c r="C82" i="27"/>
  <c r="D82" i="27" s="1"/>
  <c r="P81" i="27"/>
  <c r="Q81" i="27" s="1"/>
  <c r="M81" i="27"/>
  <c r="L81" i="27"/>
  <c r="I81" i="27"/>
  <c r="C81" i="27"/>
  <c r="F81" i="27" s="1" a="1"/>
  <c r="F81" i="27" s="1"/>
  <c r="Q80" i="27"/>
  <c r="P80" i="27"/>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D76" i="27" s="1"/>
  <c r="P75" i="27"/>
  <c r="Q75" i="27" s="1"/>
  <c r="M75" i="27"/>
  <c r="L75" i="27"/>
  <c r="I75" i="27"/>
  <c r="C75" i="27"/>
  <c r="F75" i="27" s="1" a="1"/>
  <c r="F75" i="27" s="1"/>
  <c r="Q74" i="27"/>
  <c r="P74" i="27"/>
  <c r="M74" i="27"/>
  <c r="L74" i="27"/>
  <c r="I74" i="27"/>
  <c r="C74" i="27"/>
  <c r="D74" i="27" s="1"/>
  <c r="P73" i="27"/>
  <c r="Q73" i="27" s="1"/>
  <c r="M73" i="27"/>
  <c r="L73" i="27"/>
  <c r="I73" i="27"/>
  <c r="D73" i="27"/>
  <c r="C73" i="27"/>
  <c r="F73" i="27" s="1" a="1"/>
  <c r="F73" i="27" s="1"/>
  <c r="P72" i="27"/>
  <c r="Q72" i="27" s="1"/>
  <c r="M72" i="27"/>
  <c r="L72" i="27"/>
  <c r="I72" i="27"/>
  <c r="F72" i="27" a="1"/>
  <c r="F72" i="27" s="1"/>
  <c r="D72" i="27"/>
  <c r="C72" i="27"/>
  <c r="P71" i="27"/>
  <c r="Q71" i="27" s="1"/>
  <c r="M71" i="27"/>
  <c r="L71" i="27"/>
  <c r="I71" i="27"/>
  <c r="F71" i="27" a="1"/>
  <c r="F71" i="27" s="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C67" i="27"/>
  <c r="F67" i="27" s="1" a="1"/>
  <c r="F67" i="27" s="1"/>
  <c r="P66" i="27"/>
  <c r="Q66" i="27" s="1"/>
  <c r="M66" i="27"/>
  <c r="L66" i="27"/>
  <c r="I66" i="27"/>
  <c r="C66" i="27"/>
  <c r="D66" i="27" s="1"/>
  <c r="Q65" i="27"/>
  <c r="P65" i="27"/>
  <c r="M65" i="27"/>
  <c r="L65" i="27"/>
  <c r="I65" i="27"/>
  <c r="D65" i="27"/>
  <c r="C65" i="27"/>
  <c r="F65" i="27" s="1" a="1"/>
  <c r="F65" i="27" s="1"/>
  <c r="P64" i="27"/>
  <c r="Q64" i="27" s="1"/>
  <c r="M64" i="27"/>
  <c r="L64" i="27"/>
  <c r="I64" i="27"/>
  <c r="F64" i="27" a="1"/>
  <c r="F64" i="27" s="1"/>
  <c r="D64" i="27"/>
  <c r="C64" i="27"/>
  <c r="P63" i="27"/>
  <c r="Q63" i="27" s="1"/>
  <c r="M63" i="27"/>
  <c r="L63" i="27"/>
  <c r="I63" i="27"/>
  <c r="F63" i="27" a="1"/>
  <c r="F63" i="27" s="1"/>
  <c r="D63" i="27"/>
  <c r="C63" i="27"/>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F59" i="27" a="1"/>
  <c r="F59" i="27" s="1"/>
  <c r="D59" i="27"/>
  <c r="C59" i="27"/>
  <c r="P58" i="27"/>
  <c r="Q58" i="27" s="1"/>
  <c r="M58" i="27"/>
  <c r="L58" i="27"/>
  <c r="I58" i="27"/>
  <c r="C58" i="27"/>
  <c r="D58" i="27" s="1"/>
  <c r="Q57" i="27"/>
  <c r="P57" i="27"/>
  <c r="M57" i="27"/>
  <c r="L57" i="27"/>
  <c r="I57" i="27"/>
  <c r="C57" i="27"/>
  <c r="F57" i="27" s="1" a="1"/>
  <c r="F57" i="27" s="1"/>
  <c r="Q56" i="27"/>
  <c r="P56" i="27"/>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D52" i="27" s="1"/>
  <c r="P51" i="27"/>
  <c r="Q51" i="27" s="1"/>
  <c r="M51" i="27"/>
  <c r="L51" i="27"/>
  <c r="I51" i="27"/>
  <c r="F51" i="27" a="1"/>
  <c r="F51" i="27" s="1"/>
  <c r="C51" i="27"/>
  <c r="D51" i="27" s="1"/>
  <c r="P50" i="27"/>
  <c r="Q50" i="27" s="1"/>
  <c r="M50" i="27"/>
  <c r="L50" i="27"/>
  <c r="I50" i="27"/>
  <c r="F50" i="27" a="1"/>
  <c r="F50" i="27" s="1"/>
  <c r="C50" i="27"/>
  <c r="D50" i="27" s="1"/>
  <c r="P49" i="27"/>
  <c r="Q49" i="27" s="1"/>
  <c r="M49" i="27"/>
  <c r="L49" i="27"/>
  <c r="I49" i="27"/>
  <c r="C49" i="27"/>
  <c r="F49" i="27" s="1" a="1"/>
  <c r="F49" i="27" s="1"/>
  <c r="Q48" i="27"/>
  <c r="P48" i="27"/>
  <c r="M48" i="27"/>
  <c r="L48" i="27"/>
  <c r="I48" i="27"/>
  <c r="C48" i="27"/>
  <c r="D48" i="27" s="1"/>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P44" i="27"/>
  <c r="Q44" i="27" s="1"/>
  <c r="M44" i="27"/>
  <c r="L44" i="27"/>
  <c r="I44" i="27"/>
  <c r="C44" i="27"/>
  <c r="F44" i="27" s="1" a="1"/>
  <c r="F44" i="27" s="1"/>
  <c r="P43" i="27"/>
  <c r="Q43" i="27" s="1"/>
  <c r="M43" i="27"/>
  <c r="L43" i="27"/>
  <c r="I43" i="27"/>
  <c r="F43" i="27" a="1"/>
  <c r="F43" i="27" s="1"/>
  <c r="D43" i="27"/>
  <c r="C43" i="27"/>
  <c r="P42" i="27"/>
  <c r="Q42" i="27" s="1"/>
  <c r="M42" i="27"/>
  <c r="L42" i="27"/>
  <c r="I42" i="27"/>
  <c r="C42" i="27"/>
  <c r="D42" i="27" s="1"/>
  <c r="Q41" i="27"/>
  <c r="P41" i="27"/>
  <c r="M41" i="27"/>
  <c r="L41" i="27"/>
  <c r="I41" i="27"/>
  <c r="C41" i="27"/>
  <c r="F41" i="27" s="1" a="1"/>
  <c r="F41" i="27" s="1"/>
  <c r="P40" i="27"/>
  <c r="Q40" i="27" s="1"/>
  <c r="M40" i="27"/>
  <c r="L40" i="27"/>
  <c r="I40" i="27"/>
  <c r="F40" i="27" a="1"/>
  <c r="F40" i="27" s="1"/>
  <c r="D40" i="27"/>
  <c r="C40" i="27"/>
  <c r="P39" i="27"/>
  <c r="Q39" i="27" s="1"/>
  <c r="M39" i="27"/>
  <c r="L39" i="27"/>
  <c r="I39" i="27"/>
  <c r="C39" i="27"/>
  <c r="F39" i="27" s="1" a="1"/>
  <c r="F39" i="27" s="1"/>
  <c r="P38" i="27"/>
  <c r="Q38" i="27" s="1"/>
  <c r="M38" i="27"/>
  <c r="L38" i="27"/>
  <c r="I38" i="27"/>
  <c r="C38" i="27"/>
  <c r="F38" i="27" s="1" a="1"/>
  <c r="F38" i="27" s="1"/>
  <c r="P37" i="27"/>
  <c r="Q37" i="27" s="1"/>
  <c r="M37" i="27"/>
  <c r="L37" i="27"/>
  <c r="I37" i="27"/>
  <c r="C37" i="27"/>
  <c r="F37" i="27" s="1" a="1"/>
  <c r="F37" i="27" s="1"/>
  <c r="P36" i="27"/>
  <c r="Q36" i="27" s="1"/>
  <c r="M36" i="27"/>
  <c r="L36" i="27"/>
  <c r="I36" i="27"/>
  <c r="C36" i="27"/>
  <c r="F36" i="27" s="1" a="1"/>
  <c r="F36" i="27" s="1"/>
  <c r="P35" i="27"/>
  <c r="Q35" i="27" s="1"/>
  <c r="M35" i="27"/>
  <c r="L35" i="27"/>
  <c r="I35" i="27"/>
  <c r="C35" i="27"/>
  <c r="D35" i="27" s="1"/>
  <c r="P34" i="27"/>
  <c r="Q34" i="27" s="1"/>
  <c r="M34" i="27"/>
  <c r="L34" i="27"/>
  <c r="I34" i="27"/>
  <c r="F34" i="27" a="1"/>
  <c r="F34" i="27" s="1"/>
  <c r="C34" i="27"/>
  <c r="D34" i="27" s="1"/>
  <c r="P33" i="27"/>
  <c r="Q33" i="27" s="1"/>
  <c r="M33" i="27"/>
  <c r="L33" i="27"/>
  <c r="I33" i="27"/>
  <c r="C33" i="27"/>
  <c r="F33" i="27" s="1" a="1"/>
  <c r="F33" i="27" s="1"/>
  <c r="Q32" i="27"/>
  <c r="P32" i="27"/>
  <c r="M32" i="27"/>
  <c r="L32" i="27"/>
  <c r="I32" i="27"/>
  <c r="C32" i="27"/>
  <c r="F32" i="27" s="1" a="1"/>
  <c r="F32" i="27" s="1"/>
  <c r="P31" i="27"/>
  <c r="Q31" i="27" s="1"/>
  <c r="M31" i="27"/>
  <c r="L31" i="27"/>
  <c r="I31" i="27"/>
  <c r="F31" i="27" a="1"/>
  <c r="F31" i="27" s="1"/>
  <c r="C31" i="27"/>
  <c r="D31" i="27" s="1"/>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C26" i="27"/>
  <c r="D26" i="27" s="1"/>
  <c r="Q25" i="27"/>
  <c r="P25" i="27"/>
  <c r="M25" i="27"/>
  <c r="L25" i="27"/>
  <c r="I25" i="27"/>
  <c r="C25" i="27"/>
  <c r="F25" i="27" s="1" a="1"/>
  <c r="F25" i="27" s="1"/>
  <c r="P24" i="27"/>
  <c r="Q24" i="27" s="1"/>
  <c r="M24" i="27"/>
  <c r="L24" i="27"/>
  <c r="I24" i="27"/>
  <c r="F24" i="27" a="1"/>
  <c r="F24" i="27" s="1"/>
  <c r="D24" i="27"/>
  <c r="C24" i="27"/>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D20" i="27" s="1"/>
  <c r="P19" i="27"/>
  <c r="Q19" i="27" s="1"/>
  <c r="M19" i="27"/>
  <c r="L19" i="27"/>
  <c r="I19" i="27"/>
  <c r="C19" i="27"/>
  <c r="F19" i="27" s="1" a="1"/>
  <c r="F19" i="27" s="1"/>
  <c r="P18" i="27"/>
  <c r="Q18" i="27" s="1"/>
  <c r="M18" i="27"/>
  <c r="L18" i="27"/>
  <c r="I18" i="27"/>
  <c r="F18" i="27" a="1"/>
  <c r="F18" i="27" s="1"/>
  <c r="C18" i="27"/>
  <c r="D18" i="27" s="1"/>
  <c r="P17" i="27"/>
  <c r="Q17" i="27" s="1"/>
  <c r="M17" i="27"/>
  <c r="L17" i="27"/>
  <c r="I17" i="27"/>
  <c r="C17" i="27"/>
  <c r="F17" i="27" s="1" a="1"/>
  <c r="F17" i="27" s="1"/>
  <c r="Q16" i="27"/>
  <c r="P16" i="27"/>
  <c r="M16" i="27"/>
  <c r="L16" i="27"/>
  <c r="I16" i="27"/>
  <c r="C16" i="27"/>
  <c r="D16" i="27" s="1"/>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P12" i="27"/>
  <c r="Q12" i="27" s="1"/>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D88" i="27" l="1"/>
  <c r="D91" i="27"/>
  <c r="D95" i="27"/>
  <c r="F96" i="27" a="1"/>
  <c r="F96" i="27" s="1"/>
  <c r="F16" i="27" a="1"/>
  <c r="F16" i="27" s="1"/>
  <c r="F35" i="27" a="1"/>
  <c r="F35" i="27" s="1"/>
  <c r="F48" i="27" a="1"/>
  <c r="F48" i="27" s="1"/>
  <c r="F87" i="27" a="1"/>
  <c r="F87" i="27" s="1"/>
  <c r="F12" i="30" a="1"/>
  <c r="F12" i="30" s="1"/>
  <c r="F28" i="30" a="1"/>
  <c r="F28" i="30" s="1"/>
  <c r="F44" i="30" a="1"/>
  <c r="F44" i="30" s="1"/>
  <c r="F60" i="30" a="1"/>
  <c r="F60" i="30" s="1"/>
  <c r="F78" i="30" a="1"/>
  <c r="F78" i="30" s="1"/>
  <c r="F97" i="30" a="1"/>
  <c r="F97" i="30" s="1"/>
  <c r="F36" i="31" a="1"/>
  <c r="F36" i="31" s="1"/>
  <c r="F39" i="31" a="1"/>
  <c r="F39" i="31" s="1"/>
  <c r="F83" i="31" a="1"/>
  <c r="F83" i="31" s="1"/>
  <c r="F99" i="31" a="1"/>
  <c r="F99" i="31" s="1"/>
  <c r="F46" i="32" a="1"/>
  <c r="F46" i="32" s="1"/>
  <c r="F50" i="32" a="1"/>
  <c r="F50" i="32" s="1"/>
  <c r="F94" i="32" a="1"/>
  <c r="F94" i="32" s="1"/>
  <c r="F42" i="33" a="1"/>
  <c r="F42" i="33" s="1"/>
  <c r="F43" i="33" a="1"/>
  <c r="F43" i="33" s="1"/>
  <c r="F50" i="33" a="1"/>
  <c r="F50" i="33" s="1"/>
  <c r="F51" i="33" a="1"/>
  <c r="F51" i="33" s="1"/>
  <c r="F58" i="33" a="1"/>
  <c r="F58" i="33" s="1"/>
  <c r="F59" i="33" a="1"/>
  <c r="F59" i="33" s="1"/>
  <c r="F66" i="33" a="1"/>
  <c r="F66" i="33" s="1"/>
  <c r="F67" i="33" a="1"/>
  <c r="F67" i="33" s="1"/>
  <c r="F74" i="33" a="1"/>
  <c r="F74" i="33" s="1"/>
  <c r="F75" i="33" a="1"/>
  <c r="F75" i="33" s="1"/>
  <c r="F82" i="33" a="1"/>
  <c r="F82" i="33" s="1"/>
  <c r="F83" i="33" a="1"/>
  <c r="F83" i="33" s="1"/>
  <c r="F90" i="33" a="1"/>
  <c r="F90" i="33" s="1"/>
  <c r="F14" i="34" a="1"/>
  <c r="F14" i="34" s="1"/>
  <c r="D44" i="34"/>
  <c r="F59" i="34" a="1"/>
  <c r="F59" i="34" s="1"/>
  <c r="F71" i="34" a="1"/>
  <c r="F71" i="34" s="1"/>
  <c r="F78" i="34" a="1"/>
  <c r="F78" i="34" s="1"/>
  <c r="F11" i="35" a="1"/>
  <c r="F11" i="35" s="1"/>
  <c r="F34" i="35" a="1"/>
  <c r="F34" i="35" s="1"/>
  <c r="F46" i="35" a="1"/>
  <c r="F46" i="35" s="1"/>
  <c r="D52" i="35"/>
  <c r="F57" i="35" a="1"/>
  <c r="F57" i="35" s="1"/>
  <c r="D63" i="35"/>
  <c r="D71" i="35"/>
  <c r="D79" i="35"/>
  <c r="D87" i="35"/>
  <c r="D95" i="35"/>
  <c r="D28" i="36"/>
  <c r="D49" i="36"/>
  <c r="D52" i="36"/>
  <c r="D81" i="36"/>
  <c r="D84" i="36"/>
  <c r="D23" i="27"/>
  <c r="D25" i="30"/>
  <c r="D57" i="30"/>
  <c r="D63" i="30"/>
  <c r="F75" i="30" a="1"/>
  <c r="F75" i="30" s="1"/>
  <c r="F58" i="27" a="1"/>
  <c r="F58" i="27" s="1"/>
  <c r="D79" i="27"/>
  <c r="D80" i="27"/>
  <c r="D81" i="27"/>
  <c r="D15" i="30"/>
  <c r="D41" i="30"/>
  <c r="D82" i="30"/>
  <c r="D55" i="27"/>
  <c r="D75" i="27"/>
  <c r="D20" i="30"/>
  <c r="D36" i="30"/>
  <c r="D52" i="30"/>
  <c r="D68" i="30"/>
  <c r="D74" i="30"/>
  <c r="D81" i="30"/>
  <c r="D94" i="30"/>
  <c r="D24" i="31"/>
  <c r="F34" i="31" a="1"/>
  <c r="F34" i="31" s="1"/>
  <c r="D51" i="31"/>
  <c r="D68" i="31"/>
  <c r="D71" i="31"/>
  <c r="D88" i="31"/>
  <c r="D14" i="32"/>
  <c r="D18" i="32"/>
  <c r="F19" i="32" a="1"/>
  <c r="F19" i="32" s="1"/>
  <c r="F33" i="32" a="1"/>
  <c r="F33" i="32" s="1"/>
  <c r="D44" i="32"/>
  <c r="D62" i="32"/>
  <c r="D66" i="32"/>
  <c r="F83" i="32" a="1"/>
  <c r="F83" i="32" s="1"/>
  <c r="D92" i="32"/>
  <c r="F22" i="33" a="1"/>
  <c r="F22" i="33" s="1"/>
  <c r="D26" i="33"/>
  <c r="D27" i="33"/>
  <c r="D28" i="33"/>
  <c r="D39" i="33"/>
  <c r="D47" i="33"/>
  <c r="D55" i="33"/>
  <c r="D63" i="33"/>
  <c r="D71" i="33"/>
  <c r="D79" i="33"/>
  <c r="D87" i="33"/>
  <c r="F94" i="33" a="1"/>
  <c r="F94" i="33" s="1"/>
  <c r="D12" i="34"/>
  <c r="D20" i="34"/>
  <c r="F35" i="34" a="1"/>
  <c r="F35" i="34" s="1"/>
  <c r="D39" i="34"/>
  <c r="F54" i="34" a="1"/>
  <c r="F54" i="34" s="1"/>
  <c r="D84" i="34"/>
  <c r="D14" i="35"/>
  <c r="D44" i="35"/>
  <c r="F49" i="35" a="1"/>
  <c r="F49" i="35" s="1"/>
  <c r="D55" i="35"/>
  <c r="D17" i="36"/>
  <c r="D30" i="36"/>
  <c r="F48" i="36" a="1"/>
  <c r="F48" i="36" s="1"/>
  <c r="D54" i="36"/>
  <c r="F80" i="36" a="1"/>
  <c r="F80" i="36" s="1"/>
  <c r="D86" i="36"/>
  <c r="D91" i="36"/>
  <c r="D31" i="30"/>
  <c r="D47" i="30"/>
  <c r="D19" i="27"/>
  <c r="D32" i="27"/>
  <c r="F42" i="27" a="1"/>
  <c r="F42" i="27" s="1"/>
  <c r="D56" i="27"/>
  <c r="D57" i="27"/>
  <c r="F74" i="27" a="1"/>
  <c r="F74" i="27" s="1"/>
  <c r="D100" i="27"/>
  <c r="F14" i="30" a="1"/>
  <c r="F14" i="30" s="1"/>
  <c r="F19" i="30" a="1"/>
  <c r="F19" i="30" s="1"/>
  <c r="F30" i="30" a="1"/>
  <c r="F30" i="30" s="1"/>
  <c r="F35" i="30" a="1"/>
  <c r="F35" i="30" s="1"/>
  <c r="F46" i="30" a="1"/>
  <c r="F46" i="30" s="1"/>
  <c r="F51" i="30" a="1"/>
  <c r="F51" i="30" s="1"/>
  <c r="F62" i="30" a="1"/>
  <c r="F62" i="30" s="1"/>
  <c r="F67" i="30" a="1"/>
  <c r="F67" i="30" s="1"/>
  <c r="F99" i="30" a="1"/>
  <c r="F99" i="30" s="1"/>
  <c r="D64" i="31"/>
  <c r="F74" i="31" a="1"/>
  <c r="F74" i="31" s="1"/>
  <c r="F43" i="32" a="1"/>
  <c r="F43" i="32" s="1"/>
  <c r="F57" i="32" a="1"/>
  <c r="F57" i="32" s="1"/>
  <c r="D74" i="32"/>
  <c r="F91" i="32" a="1"/>
  <c r="F91" i="32" s="1"/>
  <c r="D96" i="32"/>
  <c r="F46" i="33" a="1"/>
  <c r="F46" i="33" s="1"/>
  <c r="F54" i="33" a="1"/>
  <c r="F54" i="33" s="1"/>
  <c r="F62" i="33" a="1"/>
  <c r="F62" i="33" s="1"/>
  <c r="F70" i="33" a="1"/>
  <c r="F70" i="33" s="1"/>
  <c r="F78" i="33" a="1"/>
  <c r="F78" i="33" s="1"/>
  <c r="F86" i="33" a="1"/>
  <c r="F86" i="33" s="1"/>
  <c r="F99" i="33" a="1"/>
  <c r="F99" i="33" s="1"/>
  <c r="F27" i="34" a="1"/>
  <c r="F27" i="34" s="1"/>
  <c r="F46" i="34" a="1"/>
  <c r="F46" i="34" s="1"/>
  <c r="D76" i="34"/>
  <c r="F91" i="34" a="1"/>
  <c r="F91" i="34" s="1"/>
  <c r="D96" i="34"/>
  <c r="D100" i="34"/>
  <c r="D20" i="35"/>
  <c r="F25" i="35" a="1"/>
  <c r="F25" i="35" s="1"/>
  <c r="D31" i="35"/>
  <c r="F43" i="35" a="1"/>
  <c r="F43" i="35" s="1"/>
  <c r="D68" i="35"/>
  <c r="D76" i="35"/>
  <c r="D84" i="35"/>
  <c r="D92" i="35"/>
  <c r="F99" i="35" a="1"/>
  <c r="F99" i="35" s="1"/>
  <c r="D14" i="36"/>
  <c r="D20" i="36"/>
  <c r="D36" i="36"/>
  <c r="D65" i="36"/>
  <c r="D68" i="36"/>
  <c r="D94" i="36"/>
  <c r="D39" i="27"/>
  <c r="D67" i="27"/>
  <c r="D89" i="27"/>
  <c r="D49" i="30"/>
  <c r="D55" i="30"/>
  <c r="D65" i="30"/>
  <c r="D79" i="30"/>
  <c r="D20" i="31"/>
  <c r="F26" i="31" a="1"/>
  <c r="F26" i="31" s="1"/>
  <c r="D43" i="31"/>
  <c r="D60" i="31"/>
  <c r="D63" i="31"/>
  <c r="D80" i="31"/>
  <c r="D22" i="32"/>
  <c r="F41" i="32" a="1"/>
  <c r="F41" i="32" s="1"/>
  <c r="F75" i="34" a="1"/>
  <c r="F75" i="34" s="1"/>
  <c r="D79" i="34"/>
  <c r="F94" i="34" a="1"/>
  <c r="F94" i="34" s="1"/>
  <c r="F99" i="34" a="1"/>
  <c r="F99" i="34" s="1"/>
  <c r="D36" i="35"/>
  <c r="F41" i="35" a="1"/>
  <c r="F41" i="35" s="1"/>
  <c r="D47" i="35"/>
  <c r="D58" i="35"/>
  <c r="F59" i="35" a="1"/>
  <c r="F59" i="35" s="1"/>
  <c r="F16" i="36" a="1"/>
  <c r="F16" i="36" s="1"/>
  <c r="D19" i="36"/>
  <c r="D25" i="36"/>
  <c r="D35" i="36"/>
  <c r="D41" i="36"/>
  <c r="D44" i="36"/>
  <c r="D67" i="36"/>
  <c r="D73" i="36"/>
  <c r="D76" i="36"/>
  <c r="D17" i="30"/>
  <c r="D23" i="30"/>
  <c r="D33" i="30"/>
  <c r="D39" i="30"/>
  <c r="D86" i="30"/>
  <c r="F10" i="31" a="1"/>
  <c r="F10" i="31" s="1"/>
  <c r="F90" i="31" a="1"/>
  <c r="F90" i="31" s="1"/>
  <c r="D26" i="32"/>
  <c r="F27" i="32" a="1"/>
  <c r="F27" i="32" s="1"/>
  <c r="F26" i="27" a="1"/>
  <c r="F26" i="27" s="1"/>
  <c r="F66" i="27" a="1"/>
  <c r="F66" i="27" s="1"/>
  <c r="F90" i="27" a="1"/>
  <c r="F90" i="27" s="1"/>
  <c r="D71" i="30"/>
  <c r="D92" i="30"/>
  <c r="D16" i="31"/>
  <c r="D56" i="31"/>
  <c r="F66" i="31" a="1"/>
  <c r="F66" i="31" s="1"/>
  <c r="D12" i="32"/>
  <c r="F51" i="32" a="1"/>
  <c r="F51" i="32" s="1"/>
  <c r="D60" i="32"/>
  <c r="F81" i="32" a="1"/>
  <c r="F81" i="32" s="1"/>
  <c r="F99" i="32" a="1"/>
  <c r="F99" i="32" s="1"/>
  <c r="D44" i="33"/>
  <c r="D52" i="33"/>
  <c r="D60" i="33"/>
  <c r="D68" i="33"/>
  <c r="D76" i="33"/>
  <c r="D84" i="33"/>
  <c r="F91" i="33" a="1"/>
  <c r="F91" i="33" s="1"/>
  <c r="F22" i="34" a="1"/>
  <c r="F22" i="34" s="1"/>
  <c r="D52" i="34"/>
  <c r="F67" i="34" a="1"/>
  <c r="F67" i="34" s="1"/>
  <c r="F86" i="34" a="1"/>
  <c r="F86" i="34" s="1"/>
  <c r="D12" i="35"/>
  <c r="F17" i="35" a="1"/>
  <c r="F17" i="35" s="1"/>
  <c r="D23" i="35"/>
  <c r="F35" i="35" a="1"/>
  <c r="F35" i="35" s="1"/>
  <c r="D22" i="36"/>
  <c r="D38" i="36"/>
  <c r="F64" i="36" a="1"/>
  <c r="F64" i="36" s="1"/>
  <c r="D70" i="36"/>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20" i="24"/>
  <c r="B21" i="24"/>
  <c r="B22" i="24"/>
  <c r="B23" i="24"/>
  <c r="B24" i="24"/>
  <c r="B25" i="24"/>
  <c r="B26" i="24"/>
  <c r="B27" i="24"/>
  <c r="B28" i="24"/>
  <c r="B29" i="24"/>
  <c r="B30" i="24"/>
  <c r="B31" i="24"/>
  <c r="B32" i="24"/>
  <c r="B33" i="24"/>
  <c r="B34" i="24"/>
  <c r="B35" i="24"/>
  <c r="B36" i="24"/>
  <c r="B37" i="24"/>
  <c r="B40" i="24"/>
  <c r="B19"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<sst xmlns="http://schemas.openxmlformats.org/spreadsheetml/2006/main" count="1547" uniqueCount="367">
  <si>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</si>
  <si>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</si>
  <si>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</si>
  <si>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</si>
  <si>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</si>
  <si>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</si>
  <si>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</si>
  <si>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</si>
  <si>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</si>
  <si>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</si>
  <si>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</si>
  <si>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</si>
  <si>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</si>
  <si>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</si>
  <si>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</si>
  <si>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</si>
  <si>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</si>
  <si>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</si>
  <si>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</si>
  <si>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</si>
  <si>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</si>
  <si>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</si>
  <si>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</si>
  <si>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</si>
  <si>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</si>
  <si>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</si>
  <si>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</si>
  <si>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</si>
  <si>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</si>
  <si>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</si>
  <si>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</si>
  <si>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</si>
  <si>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</si>
  <si>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</si>
  <si>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</si>
  <si>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</si>
  <si>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</si>
  <si>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</si>
  <si>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</si>
  <si>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</si>
  <si>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</si>
  <si>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</si>
  <si>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</si>
  <si>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</si>
  <si>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</si>
  <si>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</si>
  <si>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</si>
  <si>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</si>
  <si>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</si>
  <si>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</si>
  <si>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</si>
  <si>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</si>
  <si>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</si>
  <si>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</si>
  <si>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</si>
  <si>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</si>
  <si>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</si>
  <si>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</si>
  <si>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</si>
  <si>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</si>
  <si>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</si>
  <si>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</si>
  <si>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</si>
  <si>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</si>
  <si>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</si>
  <si>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</si>
  <si>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</si>
  <si>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</si>
  <si>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</si>
  <si>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</si>
  <si>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</si>
  <si>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</si>
  <si>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</si>
  <si>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</si>
  <si>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</si>
  <si>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</si>
  <si>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</si>
  <si>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</si>
  <si>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</si>
  <si>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</si>
  <si>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</si>
  <si>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</si>
  <si>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</si>
  <si>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</si>
  <si>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</si>
  <si>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</si>
  <si>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</si>
  <si>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</si>
  <si>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</si>
  <si>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</si>
  <si>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</si>
  <si>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</si>
  <si>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</si>
  <si>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</si>
  <si>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</si>
  <si>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</si>
  <si>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</si>
  <si>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</si>
  <si>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</si>
  <si>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</si>
  <si>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</si>
  <si>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</si>
  <si>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</si>
  <si>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</si>
  <si>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</si>
  <si>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</si>
  <si>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</si>
  <si>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</si>
  <si>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</si>
  <si>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</si>
  <si>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</si>
  <si>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</si>
  <si>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</si>
  <si>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</si>
  <si>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</si>
  <si>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</si>
  <si>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</si>
  <si>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</si>
  <si>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</si>
  <si>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</si>
  <si>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</si>
  <si>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</si>
  <si>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</si>
  <si>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</si>
  <si>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</si>
  <si>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</si>
  <si>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</si>
  <si>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</si>
  <si>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</si>
  <si>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</si>
  <si>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</si>
  <si>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</si>
  <si>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</si>
  <si>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</si>
  <si>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</si>
  <si>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</si>
  <si>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</si>
  <si>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</si>
  <si>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</si>
  <si>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</si>
  <si>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</si>
  <si>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</si>
  <si>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</si>
  <si>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</si>
  <si>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</si>
  <si>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</si>
  <si>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</si>
  <si>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</si>
  <si>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</si>
  <si>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</si>
  <si>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</si>
  <si>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</si>
  <si>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</si>
  <si>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</si>
  <si>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</si>
  <si>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</si>
  <si>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</si>
  <si>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</si>
  <si>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</si>
  <si>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</si>
  <si>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</si>
  <si>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</si>
  <si>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</si>
  <si>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</si>
  <si>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</si>
  <si>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</si>
  <si>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</si>
  <si>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</si>
  <si>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</si>
  <si>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</si>
  <si>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</si>
  <si>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</si>
  <si>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</si>
  <si>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</si>
  <si>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</si>
  <si>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</si>
  <si>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</si>
  <si>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</si>
  <si>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</si>
  <si>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</si>
  <si>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</si>
  <si>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</si>
  <si>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</si>
  <si>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</si>
  <si>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</si>
  <si>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</si>
  <si>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</si>
  <si>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</si>
  <si>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</si>
  <si>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</si>
  <si>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</si>
  <si>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</si>
  <si>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</si>
  <si>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</si>
  <si>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</si>
  <si>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</si>
  <si>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</si>
  <si>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</si>
  <si>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</si>
  <si>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</si>
  <si>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</si>
  <si>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</si>
  <si>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</si>
  <si>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</si>
  <si>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</si>
  <si>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</si>
  <si>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</si>
  <si>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</si>
  <si>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</si>
  <si>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</si>
  <si>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</si>
  <si>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</si>
  <si>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</si>
  <si>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</si>
  <si>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</si>
  <si>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</si>
  <si>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</si>
  <si>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</si>
  <si>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</si>
  <si>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</si>
  <si>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</si>
  <si>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</si>
  <si>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</si>
  <si>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</si>
  <si>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</si>
  <si>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</si>
  <si>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</si>
  <si>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</si>
  <si>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</si>
  <si>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</si>
  <si>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</si>
  <si>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</si>
  <si>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</si>
  <si>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</si>
  <si>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</si>
  <si>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</si>
  <si>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</si>
  <si>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</si>
  <si>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</si>
  <si>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</si>
  <si>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</si>
  <si>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</si>
  <si>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</si>
  <si>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</si>
  <si>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</si>
  <si>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</si>
  <si>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</si>
  <si>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</si>
  <si>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</si>
  <si>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</si>
  <si>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</si>
  <si>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</si>
  <si>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</si>
  <si>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</si>
  <si>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</si>
  <si>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</si>
  <si>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</si>
  <si>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</si>
  <si>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</si>
  <si>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</si>
  <si>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</si>
  <si>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</si>
  <si>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</si>
  <si>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</si>
  <si>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</si>
  <si>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</si>
  <si>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</si>
  <si>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</si>
  <si>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</si>
  <si>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</si>
  <si>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</si>
  <si>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</si>
  <si>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</si>
  <si>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</si>
  <si>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</si>
  <si>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</si>
  <si>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</si>
  <si>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</si>
  <si>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</si>
  <si>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</si>
  <si>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</si>
  <si>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</si>
  <si>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</si>
  <si>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</si>
  <si>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</si>
  <si>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</si>
  <si>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</si>
  <si>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</si>
  <si>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</si>
  <si>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</si>
  <si>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</si>
  <si>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</si>
  <si>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</si>
  <si>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</si>
  <si>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</si>
  <si>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</si>
  <si>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</si>
  <si>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</si>
  <si>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</si>
  <si>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</si>
  <si>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</si>
  <si>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</si>
  <si>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</si>
  <si>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</si>
  <si>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</si>
  <si>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</si>
  <si>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</si>
  <si>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</si>
  <si>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</si>
  <si>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</si>
  <si>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</si>
  <si>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</si>
  <si>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</si>
  <si>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</si>
  <si>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</si>
  <si>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</si>
  <si>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</si>
  <si>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</si>
  <si>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</si>
  <si>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</si>
  <si>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</si>
  <si>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</si>
  <si>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</si>
  <si>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</si>
  <si>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</si>
  <si>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</si>
  <si>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</si>
  <si>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</si>
  <si>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</si>
  <si>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</si>
  <si>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</si>
  <si>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</si>
  <si>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</si>
  <si>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</si>
  <si>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</si>
  <si>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</si>
  <si>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</si>
  <si>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</si>
  <si>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</si>
  <si>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</si>
  <si>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</si>
  <si>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</si>
  <si>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</si>
  <si>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</si>
  <si>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</si>
  <si>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</si>
  <si>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</si>
  <si>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</si>
  <si>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</si>
  <si>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</si>
  <si>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</si>
  <si>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</si>
  <si>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</si>
  <si>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</si>
  <si>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</si>
  <si>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</si>
  <si>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</si>
  <si>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</si>
  <si>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</si>
  <si>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</si>
  <si>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</si>
  <si>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</si>
  <si>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</si>
  <si>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$/mmBTU</t>
  </si>
  <si>
    <t>Sequestration</t>
  </si>
  <si>
    <t>$/kg</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</si>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</sst>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00_);_(* \(#,##0.0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5">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xf numFmtId="168" fontId="0" fillId="0" borderId="2" xfId="1" applyNumberFormat="1" applyFont="1" applyBorder="1"/>
  </cellXfs>
  <cellStyles count="3">
    <cellStyle name="Comma" xfId="1" builtinId="3"/>
    <cellStyle name="Normal" xfId="0" builtinId="0"/>
    <cellStyle name="Percent" xfId="2" builtinId="5"/>
  </cellStyles>
  <dxfs count="2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9BFE4C97-8768-4E98-883C-E65F0BCF71B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4DDC3623-8721-4BEF-A066-68D7C29EF44C}"/>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89" dataDxfId="288" tableBorderDxfId="287" dataCellStyle="Percent">
  <autoFilter ref="A5:T100" xr:uid="{1644AED8-49DE-4A1D-989C-1566C9A522B9}"/>
  <tableColumns count="20">
    <tableColumn id="1" xr3:uid="{3C4E83C1-4DAF-4B93-AE9A-B658DBA43631}" name="Type" dataDxfId="286"/>
    <tableColumn id="2" xr3:uid="{7AC9B54E-C457-49EC-A7D6-0ED656B6CFE9}" name="Category" dataDxfId="285"/>
    <tableColumn id="3" xr3:uid="{350F9A14-F368-49FE-AF21-19555EB999FB}" name="Resource" dataDxfId="284">
      <calculatedColumnFormula>_xlfn.XLOOKUP($B6,'SI - Resources'!$A$1:$J$1,'SI - Resources'!$A$2:$J$2, "")</calculatedColumnFormula>
    </tableColumn>
    <tableColumn id="4" xr3:uid="{A0B55D89-6640-4C29-88AC-93188C5097C5}" name="End Use" dataDxfId="283">
      <calculatedColumnFormula>IF(_xlfn.XLOOKUP($C6,'SI - End Use'!$B$2:$B$6,'SI - End Use'!$C$2:$C$6, "")="", "", _xlfn.XLOOKUP($C6,'SI - End Use'!$B$2:$B$6,'SI - End Use'!$C$2:$C$6, ""))</calculatedColumnFormula>
    </tableColumn>
    <tableColumn id="5" xr3:uid="{5ADDDF1D-4510-4428-A882-8D5C8F52BE8C}" name="Amount" dataDxfId="282" dataCellStyle="Comma"/>
    <tableColumn id="6" xr3:uid="{341D427F-5F42-4F22-98AD-9D6883E4330B}" name="Unit" dataDxfId="281">
      <calculatedColumnFormula array="1">IF($B6="Transportation",  'SI - Units'!$B$9:$B$9, _xlfn.XLOOKUP(_xlfn.XLOOKUP($C6,'SI - Units'!$B$24:$B$109,'SI - Units'!$C$24:$C$109, ""),'SI - Units'!$A$2:$A$8,'SI - Units'!$B$2:$B$8, ""))</calculatedColumnFormula>
    </tableColumn>
    <tableColumn id="7" xr3:uid="{515C4DB0-B187-40B1-8F47-45FF3483AEC1}" name="Moisture" dataDxfId="280" dataCellStyle="Percent"/>
    <tableColumn id="8" xr3:uid="{294BC856-42BB-4049-BD49-6A865E88E771}" name="Previous Stage" dataDxfId="279" dataCellStyle="Percent"/>
    <tableColumn id="9" xr3:uid="{CDA23678-EB57-4035-9101-F29AA45C63EE}" name="Always Use Displacement Method for Co-Product?" dataDxfId="278" dataCellStyle="Percent">
      <calculatedColumnFormula>IF(Table1[[#This Row],[Type]]="Co-product", "No", "")</calculatedColumnFormula>
    </tableColumn>
    <tableColumn id="19" xr3:uid="{9ACBBA67-4B7F-43A7-9CF8-0FBB7B61A832}" name="Urban Share" dataDxfId="277" dataCellStyle="Percent"/>
    <tableColumn id="10" xr3:uid="{0E5BF4B8-8667-40EE-B9EF-BC9E06D72AAB}" name="Product Train" dataDxfId="276"/>
    <tableColumn id="14" xr3:uid="{D99A9C54-A8C3-4803-A70D-4659D5193A9A}" name="Payload" dataDxfId="275">
      <calculatedColumnFormula>IF(Table1[[#This Row],[Category]]="Transportation", _xlfn.XLOOKUP(Table1[[#This Row],[Resource]], 'SI - Payload'!$A$10:$A$40,'SI - Payload'!$B$10:$B$40,"",0), "")</calculatedColumnFormula>
    </tableColumn>
    <tableColumn id="15" xr3:uid="{3BF278AE-6D04-4ABA-AACE-E651957B5676}" name="Payload Unit" dataDxfId="274">
      <calculatedColumnFormula>IF(Table1[[#This Row],[Category]]="Transportation", "ton", "")</calculatedColumnFormula>
    </tableColumn>
    <tableColumn id="16" xr3:uid="{B4587E16-116C-48C2-B897-34EA45D2B5E2}" name="Market Price" dataDxfId="273"/>
    <tableColumn id="17" xr3:uid="{CFF030DD-8740-4448-85CE-69419CA7344D}" name="Market Price Unit" dataDxfId="272"/>
    <tableColumn id="12" xr3:uid="{0A5A1CE9-5C17-482C-ACCA-BB3BA789761E}" name="Incumbent Product" dataDxfId="271">
      <calculatedColumnFormula>IF(OR(Table1[[#This Row],[Type]]="Main Product", Table1[[#This Row],[Type]]="Co-Product"), Table1[[#This Row],[Resource]], "")</calculatedColumnFormula>
    </tableColumn>
    <tableColumn id="13" xr3:uid="{A8C514D4-4EE9-4BFC-A5D9-1A3B1C61CAF3}" name="End Use of Incumbent Product" dataDxfId="270">
      <calculatedColumnFormula>IF(_xlfn.XLOOKUP($P6,'SI - End Use'!$B$2:$B$6,'SI - End Use'!$C$2:$C$6, "")="", "", _xlfn.XLOOKUP($C6,'SI - End Use'!$B$2:$B$6,'SI - End Use'!$C$2:$C$6, ""))</calculatedColumnFormula>
    </tableColumn>
    <tableColumn id="20" xr3:uid="{3D510D5D-99B7-4EB4-8590-3620FE598E5C}" name="Surrogate For" dataDxfId="269"/>
    <tableColumn id="18" xr3:uid="{1AFBF91D-E45D-442D-BA06-D58B0AE7953E}" name="Process" dataDxfId="268"/>
    <tableColumn id="11" xr3:uid="{34D8D993-53F9-46B7-8FE9-32F1A6F2DFD2}" name="Note" dataDxfId="2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66" dataDxfId="265">
  <autoFilter ref="A1:K53" xr:uid="{BF352F56-F627-4A8D-9B22-DA497E2644FC}"/>
  <tableColumns count="11">
    <tableColumn id="1" xr3:uid="{B4C1BEA4-EC08-4542-9BC0-5CAC3303F1DE}" name="Biomass" dataDxfId="264"/>
    <tableColumn id="8" xr3:uid="{CA09F49F-4D37-4D57-9F64-66042BBFCAF3}" name="Waste" dataDxfId="263"/>
    <tableColumn id="2" xr3:uid="{16936180-7E0F-4E08-BEC7-75346859C647}" name="Process fuel" dataDxfId="262"/>
    <tableColumn id="6" xr3:uid="{8ABA29FD-C6B0-4B51-8840-E17193E077EC}" name="Electricity" dataDxfId="261"/>
    <tableColumn id="3" xr3:uid="{C1A34163-30E4-47F2-BE75-A919CC80E9BF}" name="Chemicals and catalysts" dataDxfId="260"/>
    <tableColumn id="4" xr3:uid="{CA7E12F4-CA42-4C30-8167-75EC0AE0646A}" name="Water" dataDxfId="259"/>
    <tableColumn id="9" xr3:uid="{6ADE4401-0F6C-4911-9721-036C8287FC6F}" name="Infrastructure" dataDxfId="258"/>
    <tableColumn id="7" xr3:uid="{C235CCC4-A94E-464B-AE35-96309F90FA7A}" name="Transportation" dataDxfId="257"/>
    <tableColumn id="10" xr3:uid="{C8DE9AE9-442D-497B-B981-79FAEF638C23}" name="Other" dataDxfId="256"/>
    <tableColumn id="5" xr3:uid="{FBD24046-BCD6-418A-8FDF-2918685E10CE}" name="Emissions and sequestration" dataDxfId="255"/>
    <tableColumn id="11" xr3:uid="{B559EE47-EDB5-47AD-9A10-77802A08495D}" name="Placeholder" dataDxfId="25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53"/>
    <tableColumn id="4" xr3:uid="{066E5028-FE97-46DD-94DD-3F5362889CC8}" name="Column4" dataDxfId="252"/>
    <tableColumn id="5" xr3:uid="{518CF11D-9FC1-41DC-A48E-08F72F35ADAA}" name="Column5" dataDxfId="25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50">
  <autoFilter ref="A1:R10" xr:uid="{A38095DD-9874-4EE7-A8C2-2706165CCEBD}"/>
  <tableColumns count="18">
    <tableColumn id="1" xr3:uid="{65B7BBF3-4BCE-43A4-9B03-83AE412598EC}" name="Column1"/>
    <tableColumn id="2" xr3:uid="{FFDF068B-D532-4DC4-904E-48D00A60A52E}" name="Column2" dataDxfId="249"/>
    <tableColumn id="3" xr3:uid="{22885E79-E7D2-4EEE-B0A6-74B1C5779681}" name="Column3" dataDxfId="248"/>
    <tableColumn id="4" xr3:uid="{C1DEFD79-EA05-47FD-8251-B29B3BCC06B2}" name="Column4" dataDxfId="247"/>
    <tableColumn id="5" xr3:uid="{29AEEBB1-E43B-4691-B73C-A8FA6D80443C}" name="Column5" dataDxfId="246"/>
    <tableColumn id="6" xr3:uid="{CC08C1F9-C485-4200-A0F9-C8E59BA65B97}" name="Column6" dataDxfId="245"/>
    <tableColumn id="7" xr3:uid="{6C28381F-6253-4E2E-A800-FF075582292A}" name="Column7" dataDxfId="244"/>
    <tableColumn id="8" xr3:uid="{CA3D0B6B-B24F-4751-A1CE-28D7D0B98174}" name="Column8" dataDxfId="243"/>
    <tableColumn id="9" xr3:uid="{7057E753-ED12-407E-950F-CC59E808A2BF}" name="Column9" dataDxfId="24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41">
  <autoFilter ref="B23:C109" xr:uid="{09147A22-E822-45D3-B3C2-ABDDF48EE5E6}"/>
  <tableColumns count="2">
    <tableColumn id="1" xr3:uid="{CDC0A0AC-3BED-4650-82CE-403A1BF28367}" name="Column1" dataDxfId="240"/>
    <tableColumn id="2" xr3:uid="{B6F8A3B9-3868-4A35-8F6E-BA3E60A1529E}" name="Column2" dataDxfId="2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38">
  <autoFilter ref="A12:R20" xr:uid="{B01EA81C-1645-4ED3-BEC5-6C5396237E43}"/>
  <tableColumns count="18">
    <tableColumn id="1" xr3:uid="{821EE498-6278-4E39-82EF-1F47FBA85A36}" name="Column1"/>
    <tableColumn id="2" xr3:uid="{E81954FF-60B7-4ABD-BC14-40676F73AA3E}" name="Column2" dataDxfId="237">
      <calculatedColumnFormula>IF(B2&lt;&gt;"","$/"&amp;B2, "")</calculatedColumnFormula>
    </tableColumn>
    <tableColumn id="3" xr3:uid="{A15329FC-BC0D-46AE-9A0E-F4CFE0FF184A}" name="Column3" dataDxfId="236">
      <calculatedColumnFormula>IF(C2&lt;&gt;"","$/"&amp;C2, "")</calculatedColumnFormula>
    </tableColumn>
    <tableColumn id="4" xr3:uid="{2197BCF8-40A1-4D22-B05E-D0E1CBFBA215}" name="Column4" dataDxfId="235">
      <calculatedColumnFormula>IF(D2&lt;&gt;"","$/"&amp;D2, "")</calculatedColumnFormula>
    </tableColumn>
    <tableColumn id="5" xr3:uid="{3DAF72F2-745A-4FCF-BD44-BDC825984018}" name="Column5" dataDxfId="234">
      <calculatedColumnFormula>IF(E2&lt;&gt;"","$/"&amp;E2, "")</calculatedColumnFormula>
    </tableColumn>
    <tableColumn id="6" xr3:uid="{820E7353-19C6-4D63-B444-F7CAC7BF01AA}" name="Column6" dataDxfId="233">
      <calculatedColumnFormula>IF(F2&lt;&gt;"","$/"&amp;F2, "")</calculatedColumnFormula>
    </tableColumn>
    <tableColumn id="7" xr3:uid="{91F510E8-B638-43EB-BA78-D4632DA66CD4}" name="Column7" dataDxfId="232">
      <calculatedColumnFormula>IF(G2&lt;&gt;"","$/"&amp;G2, "")</calculatedColumnFormula>
    </tableColumn>
    <tableColumn id="8" xr3:uid="{9CD4EFF6-953E-4257-A2B2-041DCDDBD0BB}" name="Column8" dataDxfId="231">
      <calculatedColumnFormula>IF(H2&lt;&gt;"","$/"&amp;H2, "")</calculatedColumnFormula>
    </tableColumn>
    <tableColumn id="9" xr3:uid="{E1D1E2ED-A567-4428-8C9E-5EE867B5D225}" name="Column9" dataDxfId="23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29" dataDxfId="228" tableBorderDxfId="227" dataCellStyle="Percent">
  <autoFilter ref="A5:T100" xr:uid="{1644AED8-49DE-4A1D-989C-1566C9A522B9}"/>
  <tableColumns count="20">
    <tableColumn id="1" xr3:uid="{9535865E-709A-41AE-B631-BFAF783D54E5}" name="Type" dataDxfId="226"/>
    <tableColumn id="2" xr3:uid="{437B0100-0BB4-4A76-B925-0BEF339A9767}" name="Category" dataDxfId="225"/>
    <tableColumn id="3" xr3:uid="{BB46F042-27B6-49DB-BDFA-DE62AE728E1B}" name="Resource" dataDxfId="224">
      <calculatedColumnFormula>_xlfn.XLOOKUP($B6,'SI - Resources'!$A$1:$J$1,'SI - Resources'!$A$2:$J$2, "")</calculatedColumnFormula>
    </tableColumn>
    <tableColumn id="4" xr3:uid="{41364872-B004-4925-A014-C8462B190715}" name="End Use" dataDxfId="223">
      <calculatedColumnFormula>IF(_xlfn.XLOOKUP($C6,'SI - End Use'!$B$2:$B$6,'SI - End Use'!$C$2:$C$6, "")="", "", _xlfn.XLOOKUP($C6,'SI - End Use'!$B$2:$B$6,'SI - End Use'!$C$2:$C$6, ""))</calculatedColumnFormula>
    </tableColumn>
    <tableColumn id="5" xr3:uid="{0D15F347-D039-4526-B96A-FEE121B461FF}" name="Amount" dataDxfId="222" dataCellStyle="Comma"/>
    <tableColumn id="6" xr3:uid="{465AEEAD-2E4D-4A2E-A6A1-198085C4C0B3}" name="Unit" dataDxfId="221">
      <calculatedColumnFormula array="1">IF($B6="Transportation",  'SI - Units'!$B$9:$B$9, _xlfn.XLOOKUP(_xlfn.XLOOKUP($C6,'SI - Units'!$B$24:$B$109,'SI - Units'!$C$24:$C$109, ""),'SI - Units'!$A$2:$A$8,'SI - Units'!$B$2:$B$8, ""))</calculatedColumnFormula>
    </tableColumn>
    <tableColumn id="7" xr3:uid="{1A3E1219-549C-44B8-8578-358D68379327}" name="Moisture" dataDxfId="220" dataCellStyle="Percent"/>
    <tableColumn id="8" xr3:uid="{EA44BD9A-B1A7-4D44-A164-59446874586D}" name="Previous Stage" dataDxfId="219" dataCellStyle="Percent"/>
    <tableColumn id="9" xr3:uid="{A79D1BCA-ED34-4521-A1A6-BD3E61F0E83B}" name="Always Use Displacement Method for Co-Product?" dataDxfId="218" dataCellStyle="Percent">
      <calculatedColumnFormula>IF(Table18[[#This Row],[Type]]="Co-product", "No", "")</calculatedColumnFormula>
    </tableColumn>
    <tableColumn id="19" xr3:uid="{8339D9CA-C9E7-4412-9C50-6161B4903142}" name="Urban Share" dataDxfId="217" dataCellStyle="Percent"/>
    <tableColumn id="10" xr3:uid="{269C7D37-2160-4B8C-956B-854566733406}" name="Product Train" dataDxfId="216"/>
    <tableColumn id="14" xr3:uid="{F1288353-2FDD-4988-958E-C1DD49C20BB2}" name="Payload" dataDxfId="215">
      <calculatedColumnFormula>IF(Table18[[#This Row],[Category]]="Transportation", _xlfn.XLOOKUP(Table18[[#This Row],[Resource]], 'SI - Payload'!$A$10:$A$40,'SI - Payload'!$B$10:$B$40,"",0), "")</calculatedColumnFormula>
    </tableColumn>
    <tableColumn id="15" xr3:uid="{FD4731AE-6E9A-4512-A46F-5F0415EFF916}" name="Payload Unit" dataDxfId="214">
      <calculatedColumnFormula>IF(Table18[[#This Row],[Category]]="Transportation", "ton", "")</calculatedColumnFormula>
    </tableColumn>
    <tableColumn id="16" xr3:uid="{31C7DAF3-4A03-4FF0-AC1F-0DBA194A1EE5}" name="Market Price" dataDxfId="213"/>
    <tableColumn id="17" xr3:uid="{635DCDD3-CE63-4C77-B97A-EF41C964E84A}" name="Market Price Unit" dataDxfId="212"/>
    <tableColumn id="12" xr3:uid="{2F5658BA-B30D-45A6-8051-364052B301E5}" name="Incumbent Product" dataDxfId="211">
      <calculatedColumnFormula>IF(OR(Table18[[#This Row],[Type]]="Main Product", Table18[[#This Row],[Type]]="Co-Product"), Table18[[#This Row],[Resource]], "")</calculatedColumnFormula>
    </tableColumn>
    <tableColumn id="13" xr3:uid="{2F1A9F3D-B531-4700-ACE0-B24098DD3363}" name="End Use of Incumbent Product" dataDxfId="210">
      <calculatedColumnFormula>IF(_xlfn.XLOOKUP($P6,'SI - End Use'!$B$2:$B$6,'SI - End Use'!$C$2:$C$6, "")="", "", _xlfn.XLOOKUP($C6,'SI - End Use'!$B$2:$B$6,'SI - End Use'!$C$2:$C$6, ""))</calculatedColumnFormula>
    </tableColumn>
    <tableColumn id="20" xr3:uid="{BDAD77A7-4EA5-495A-A214-CD5627B99A6F}" name="Surrogate For" dataDxfId="209"/>
    <tableColumn id="18" xr3:uid="{37AACBC9-DBCE-4DE1-8D2B-7C56866795D3}" name="Process" dataDxfId="208"/>
    <tableColumn id="11" xr3:uid="{3CA3507D-2874-498B-91AB-8DB67C9F4F98}" name="Note" dataDxfId="20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206" dataDxfId="205" tableBorderDxfId="204" dataCellStyle="Percent">
  <autoFilter ref="A5:T100" xr:uid="{1644AED8-49DE-4A1D-989C-1566C9A522B9}"/>
  <tableColumns count="20">
    <tableColumn id="1" xr3:uid="{6322F41F-9A8B-401B-A46D-044CD164898F}" name="Type" dataDxfId="203"/>
    <tableColumn id="2" xr3:uid="{73F7017E-4B51-4490-BE6C-FCDA337893FC}" name="Category" dataDxfId="202"/>
    <tableColumn id="3" xr3:uid="{9DCA14A4-3D75-437A-999E-AABEEDA33F3E}" name="Resource" dataDxfId="201">
      <calculatedColumnFormula>_xlfn.XLOOKUP($B6,'SI - Resources'!$A$1:$J$1,'SI - Resources'!$A$2:$J$2, "")</calculatedColumnFormula>
    </tableColumn>
    <tableColumn id="4" xr3:uid="{481A9B2B-8E7B-41ED-9CA6-46AE504061C6}" name="End Use" dataDxfId="200">
      <calculatedColumnFormula>IF(_xlfn.XLOOKUP($C6,'SI - End Use'!$B$2:$B$6,'SI - End Use'!$C$2:$C$6, "")="", "", _xlfn.XLOOKUP($C6,'SI - End Use'!$B$2:$B$6,'SI - End Use'!$C$2:$C$6, ""))</calculatedColumnFormula>
    </tableColumn>
    <tableColumn id="5" xr3:uid="{31CA7997-33E4-4D95-9FD5-D54BA5DF1A9E}" name="Amount" dataDxfId="199" dataCellStyle="Comma"/>
    <tableColumn id="6" xr3:uid="{E35DBA3D-332E-4B94-95E2-3D4842521E0A}" name="Unit" dataDxfId="198">
      <calculatedColumnFormula array="1">IF($B6="Transportation",  'SI - Units'!$B$9:$B$9, _xlfn.XLOOKUP(_xlfn.XLOOKUP($C6,'SI - Units'!$B$24:$B$109,'SI - Units'!$C$24:$C$109, ""),'SI - Units'!$A$2:$A$8,'SI - Units'!$B$2:$B$8, ""))</calculatedColumnFormula>
    </tableColumn>
    <tableColumn id="7" xr3:uid="{5719503B-72BD-4378-9FF3-E18FCFC9974F}" name="Moisture" dataDxfId="197" dataCellStyle="Percent"/>
    <tableColumn id="8" xr3:uid="{14A2394D-34C2-42BB-9EE9-6860F9D80ECA}" name="Previous Stage" dataDxfId="196" dataCellStyle="Percent"/>
    <tableColumn id="9" xr3:uid="{449E739F-AEF5-48FF-88E6-D47041BAF264}" name="Always Use Displacement Method for Co-Product?" dataDxfId="195" dataCellStyle="Percent">
      <calculatedColumnFormula>IF(Table111[[#This Row],[Type]]="Co-product", "No", "")</calculatedColumnFormula>
    </tableColumn>
    <tableColumn id="19" xr3:uid="{8E3FC031-FCCF-40CD-9AFB-599B3A81DB2D}" name="Urban Share" dataDxfId="194" dataCellStyle="Percent"/>
    <tableColumn id="10" xr3:uid="{998FDF4F-613F-4B32-85A5-C322298A73D3}" name="Product Train" dataDxfId="193"/>
    <tableColumn id="14" xr3:uid="{CF9F2FB7-7003-4217-8EE7-942241ED1E61}" name="Payload" dataDxfId="192">
      <calculatedColumnFormula>IF(Table111[[#This Row],[Category]]="Transportation", _xlfn.XLOOKUP(Table111[[#This Row],[Resource]], 'SI - Payload'!$A$10:$A$40,'SI - Payload'!$B$10:$B$40,"",0), "")</calculatedColumnFormula>
    </tableColumn>
    <tableColumn id="15" xr3:uid="{C9FF0B3D-E625-4389-A3BB-2481F39E9149}" name="Payload Unit" dataDxfId="191">
      <calculatedColumnFormula>IF(Table111[[#This Row],[Category]]="Transportation", "ton", "")</calculatedColumnFormula>
    </tableColumn>
    <tableColumn id="16" xr3:uid="{E30A5615-50EB-4C61-A180-AC57EE7E1010}" name="Market Price" dataDxfId="190"/>
    <tableColumn id="17" xr3:uid="{CF1EE811-DC68-42BC-BDC4-68909EFFCF08}" name="Market Price Unit" dataDxfId="189"/>
    <tableColumn id="12" xr3:uid="{2FEF7091-BEC1-417F-83AE-109AB3465734}" name="Incumbent Product" dataDxfId="188">
      <calculatedColumnFormula>IF(OR(Table111[[#This Row],[Type]]="Main Product", Table111[[#This Row],[Type]]="Co-Product"), Table111[[#This Row],[Resource]], "")</calculatedColumnFormula>
    </tableColumn>
    <tableColumn id="13" xr3:uid="{5ACB1F70-92DC-4717-8588-70FCA8745F19}" name="End Use of Incumbent Product" dataDxfId="187">
      <calculatedColumnFormula>IF(_xlfn.XLOOKUP($P6,'SI - End Use'!$B$2:$B$6,'SI - End Use'!$C$2:$C$6, "")="", "", _xlfn.XLOOKUP($C6,'SI - End Use'!$B$2:$B$6,'SI - End Use'!$C$2:$C$6, ""))</calculatedColumnFormula>
    </tableColumn>
    <tableColumn id="20" xr3:uid="{B6332C94-DDBC-4A2A-B9ED-2B5E9CD8FB61}" name="Surrogate For" dataDxfId="186"/>
    <tableColumn id="18" xr3:uid="{8F9841EF-6316-46A0-B962-41F3CFD5CB5A}" name="Process" dataDxfId="185"/>
    <tableColumn id="11" xr3:uid="{04D8C37B-478C-48C2-BB4C-784343BCC6BE}" name="Note"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83" dataDxfId="182" tableBorderDxfId="181" dataCellStyle="Percent">
  <autoFilter ref="A5:T100" xr:uid="{1644AED8-49DE-4A1D-989C-1566C9A522B9}"/>
  <tableColumns count="20">
    <tableColumn id="1" xr3:uid="{BD115871-8F84-401E-8F09-6BB4FEA7D63D}" name="Type" dataDxfId="180"/>
    <tableColumn id="2" xr3:uid="{1D5D507E-405C-44F5-A63B-D1C5FD9347D4}" name="Category" dataDxfId="179"/>
    <tableColumn id="3" xr3:uid="{3D1152E8-3470-4C34-AE29-57CB7B615990}" name="Resource" dataDxfId="178">
      <calculatedColumnFormula>_xlfn.XLOOKUP($B6,'SI - Resources'!$A$1:$J$1,'SI - Resources'!$A$2:$J$2, "")</calculatedColumnFormula>
    </tableColumn>
    <tableColumn id="4" xr3:uid="{2A2CEF73-B993-4CD5-8608-7E588874A59B}" name="End Use" dataDxfId="177">
      <calculatedColumnFormula>IF(_xlfn.XLOOKUP($C6,'SI - End Use'!$B$2:$B$6,'SI - End Use'!$C$2:$C$6, "")="", "", _xlfn.XLOOKUP($C6,'SI - End Use'!$B$2:$B$6,'SI - End Use'!$C$2:$C$6, ""))</calculatedColumnFormula>
    </tableColumn>
    <tableColumn id="5" xr3:uid="{5D2B6C0F-D86A-4C2C-9C5D-DBED2E228B43}" name="Amount" dataDxfId="176" dataCellStyle="Comma"/>
    <tableColumn id="6" xr3:uid="{02713FF7-DAAD-4392-8998-6C9F0E8E7BF2}" name="Unit" dataDxfId="175">
      <calculatedColumnFormula array="1">IF($B6="Transportation",  'SI - Units'!$B$9:$B$9, _xlfn.XLOOKUP(_xlfn.XLOOKUP($C6,'SI - Units'!$B$24:$B$109,'SI - Units'!$C$24:$C$109, ""),'SI - Units'!$A$2:$A$8,'SI - Units'!$B$2:$B$8, ""))</calculatedColumnFormula>
    </tableColumn>
    <tableColumn id="7" xr3:uid="{AEF8DAD9-ED34-410B-85FE-1EF964DC7808}" name="Moisture" dataDxfId="174" dataCellStyle="Percent"/>
    <tableColumn id="8" xr3:uid="{73D7234F-4119-499F-88F6-B3DF897E39D6}" name="Previous Stage" dataDxfId="173" dataCellStyle="Percent"/>
    <tableColumn id="9" xr3:uid="{D3B01245-A676-4DAD-9928-0698A549F235}" name="Always Use Displacement Method for Co-Product?" dataDxfId="172" dataCellStyle="Percent">
      <calculatedColumnFormula>IF(Table112[[#This Row],[Type]]="Co-product", "No", "")</calculatedColumnFormula>
    </tableColumn>
    <tableColumn id="19" xr3:uid="{80D632D2-C160-48D5-A75B-39571B1E9C79}" name="Urban Share" dataDxfId="171" dataCellStyle="Percent"/>
    <tableColumn id="10" xr3:uid="{A065B628-BADF-4ABF-A2D0-F59A267D8A44}" name="Product Train" dataDxfId="170"/>
    <tableColumn id="14" xr3:uid="{24A383DA-B36C-457A-8F94-FABFADBC709F}" name="Payload" dataDxfId="169">
      <calculatedColumnFormula>IF(Table112[[#This Row],[Category]]="Transportation", _xlfn.XLOOKUP(Table112[[#This Row],[Resource]], 'SI - Payload'!$A$10:$A$40,'SI - Payload'!$B$10:$B$40,"",0), "")</calculatedColumnFormula>
    </tableColumn>
    <tableColumn id="15" xr3:uid="{F3719C73-4BA2-4FC1-B7EF-FA0FC5209934}" name="Payload Unit" dataDxfId="168">
      <calculatedColumnFormula>IF(Table112[[#This Row],[Category]]="Transportation", "ton", "")</calculatedColumnFormula>
    </tableColumn>
    <tableColumn id="16" xr3:uid="{7F17F931-A5B2-4FD3-8BEE-C99954288ED8}" name="Market Price" dataDxfId="167"/>
    <tableColumn id="17" xr3:uid="{566F0CCD-2DBD-4DD5-87D0-F67CE1EF6500}" name="Market Price Unit" dataDxfId="166"/>
    <tableColumn id="12" xr3:uid="{62BA0E37-09BD-4CA7-9E8C-3C93B66039E0}" name="Incumbent Product" dataDxfId="165">
      <calculatedColumnFormula>IF(OR(Table112[[#This Row],[Type]]="Main Product", Table112[[#This Row],[Type]]="Co-Product"), Table112[[#This Row],[Resource]], "")</calculatedColumnFormula>
    </tableColumn>
    <tableColumn id="13" xr3:uid="{337519D2-3DFB-43F5-936D-907E1490DD88}" name="End Use of Incumbent Product" dataDxfId="164">
      <calculatedColumnFormula>IF(_xlfn.XLOOKUP($P6,'SI - End Use'!$B$2:$B$6,'SI - End Use'!$C$2:$C$6, "")="", "", _xlfn.XLOOKUP($C6,'SI - End Use'!$B$2:$B$6,'SI - End Use'!$C$2:$C$6, ""))</calculatedColumnFormula>
    </tableColumn>
    <tableColumn id="20" xr3:uid="{63464B6C-C1CE-4C75-AF10-664D71A285DF}" name="Surrogate For" dataDxfId="163"/>
    <tableColumn id="18" xr3:uid="{B0F7AF78-3295-45F2-A96B-607987534C7E}" name="Process" dataDxfId="162"/>
    <tableColumn id="11" xr3:uid="{D9F3BCED-29F3-4B61-951D-AC365AFFCD21}" name="Note" dataDxfId="16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60" dataDxfId="159" tableBorderDxfId="158" dataCellStyle="Percent">
  <autoFilter ref="A5:T100" xr:uid="{1644AED8-49DE-4A1D-989C-1566C9A522B9}"/>
  <tableColumns count="20">
    <tableColumn id="1" xr3:uid="{922FEC1D-8817-48F3-BB85-DF40E3A90D7F}" name="Type" dataDxfId="157"/>
    <tableColumn id="2" xr3:uid="{71708FDA-454B-442F-89F4-DF17A6CE0E9E}" name="Category" dataDxfId="156"/>
    <tableColumn id="3" xr3:uid="{B7126C3F-6502-41E8-AE6F-DEB26C408AE1}" name="Resource" dataDxfId="155">
      <calculatedColumnFormula>_xlfn.XLOOKUP($B6,'SI - Resources'!$A$1:$J$1,'SI - Resources'!$A$2:$J$2, "")</calculatedColumnFormula>
    </tableColumn>
    <tableColumn id="4" xr3:uid="{BA5347AC-2131-4095-907D-E6B137C6AC11}" name="End Use" dataDxfId="154">
      <calculatedColumnFormula>IF(_xlfn.XLOOKUP($C6,'SI - End Use'!$B$2:$B$6,'SI - End Use'!$C$2:$C$6, "")="", "", _xlfn.XLOOKUP($C6,'SI - End Use'!$B$2:$B$6,'SI - End Use'!$C$2:$C$6, ""))</calculatedColumnFormula>
    </tableColumn>
    <tableColumn id="5" xr3:uid="{A9A8762B-417C-4DEA-AB37-C13FB45EBE02}" name="Amount" dataDxfId="153" dataCellStyle="Comma"/>
    <tableColumn id="6" xr3:uid="{DD7B78B0-A7D1-4DB6-A234-216E45BA7E8D}" name="Unit" dataDxfId="152">
      <calculatedColumnFormula array="1">IF($B6="Transportation",  'SI - Units'!$B$9:$B$9, _xlfn.XLOOKUP(_xlfn.XLOOKUP($C6,'SI - Units'!$B$24:$B$109,'SI - Units'!$C$24:$C$109, ""),'SI - Units'!$A$2:$A$8,'SI - Units'!$B$2:$B$8, ""))</calculatedColumnFormula>
    </tableColumn>
    <tableColumn id="7" xr3:uid="{E81282F8-A5E9-4150-B4F6-89C87A50B64E}" name="Moisture" dataDxfId="151" dataCellStyle="Percent"/>
    <tableColumn id="8" xr3:uid="{C117B667-AFC5-495E-92E1-6C5CA87E2CF4}" name="Previous Stage" dataDxfId="150" dataCellStyle="Percent"/>
    <tableColumn id="9" xr3:uid="{FA20D407-A044-4EC0-8A45-563B7731C3C7}" name="Always Use Displacement Method for Co-Product?" dataDxfId="149" dataCellStyle="Percent">
      <calculatedColumnFormula>IF(Table113[[#This Row],[Type]]="Co-product", "No", "")</calculatedColumnFormula>
    </tableColumn>
    <tableColumn id="19" xr3:uid="{8444765F-213D-44E6-BF00-C698B69D54D8}" name="Urban Share" dataDxfId="148" dataCellStyle="Percent"/>
    <tableColumn id="10" xr3:uid="{8661558F-BDD7-46B5-9D32-13178CEC46F3}" name="Product Train" dataDxfId="147"/>
    <tableColumn id="14" xr3:uid="{C7AB403E-52C8-4343-AA83-0C65A09691F8}" name="Payload" dataDxfId="146">
      <calculatedColumnFormula>IF(Table113[[#This Row],[Category]]="Transportation", _xlfn.XLOOKUP(Table113[[#This Row],[Resource]], 'SI - Payload'!$A$10:$A$40,'SI - Payload'!$B$10:$B$40,"",0), "")</calculatedColumnFormula>
    </tableColumn>
    <tableColumn id="15" xr3:uid="{F5DFDAD7-3625-4AE6-A467-BF2F6D7E3DD1}" name="Payload Unit" dataDxfId="145">
      <calculatedColumnFormula>IF(Table113[[#This Row],[Category]]="Transportation", "ton", "")</calculatedColumnFormula>
    </tableColumn>
    <tableColumn id="16" xr3:uid="{773C84BB-8F64-4059-A047-6C83198F6BCD}" name="Market Price" dataDxfId="144"/>
    <tableColumn id="17" xr3:uid="{ACCC6C75-7F35-491C-A7AB-FD5EF7963840}" name="Market Price Unit" dataDxfId="143"/>
    <tableColumn id="12" xr3:uid="{7EDB9F54-02EC-4F25-BD60-B6F6ACA44863}" name="Incumbent Product" dataDxfId="142">
      <calculatedColumnFormula>IF(OR(Table113[[#This Row],[Type]]="Main Product", Table113[[#This Row],[Type]]="Co-Product"), Table113[[#This Row],[Resource]], "")</calculatedColumnFormula>
    </tableColumn>
    <tableColumn id="13" xr3:uid="{A24F8CAE-EA68-4192-B0E7-0BB467C17EC9}" name="End Use of Incumbent Product" dataDxfId="141">
      <calculatedColumnFormula>IF(_xlfn.XLOOKUP($P6,'SI - End Use'!$B$2:$B$6,'SI - End Use'!$C$2:$C$6, "")="", "", _xlfn.XLOOKUP($C6,'SI - End Use'!$B$2:$B$6,'SI - End Use'!$C$2:$C$6, ""))</calculatedColumnFormula>
    </tableColumn>
    <tableColumn id="20" xr3:uid="{07240AC8-B202-4D37-82D7-2497AB410B98}" name="Surrogate For" dataDxfId="140"/>
    <tableColumn id="18" xr3:uid="{F876A068-2395-4E67-9562-AE0145AB0B40}" name="Process" dataDxfId="139"/>
    <tableColumn id="11" xr3:uid="{343DAC88-0C83-4C42-B91F-C313D081A371}" name="Note" dataDxfId="13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37" dataDxfId="136" tableBorderDxfId="135" dataCellStyle="Percent">
  <autoFilter ref="A5:T100" xr:uid="{1644AED8-49DE-4A1D-989C-1566C9A522B9}"/>
  <tableColumns count="20">
    <tableColumn id="1" xr3:uid="{3D683A32-0C8D-4D3F-BDA9-3C9BD298A310}" name="Type" dataDxfId="134"/>
    <tableColumn id="2" xr3:uid="{57B29FA5-1A9A-4182-B2B4-8F7049CD1828}" name="Category" dataDxfId="133"/>
    <tableColumn id="3" xr3:uid="{991C2FAD-20B7-4B3F-A41D-517CB4430E70}" name="Resource" dataDxfId="132">
      <calculatedColumnFormula>_xlfn.XLOOKUP($B6,'SI - Resources'!$A$1:$J$1,'SI - Resources'!$A$2:$J$2, "")</calculatedColumnFormula>
    </tableColumn>
    <tableColumn id="4" xr3:uid="{E56598DB-44C7-4C25-8B77-CC485D1C4540}" name="End Use" dataDxfId="131">
      <calculatedColumnFormula>IF(_xlfn.XLOOKUP($C6,'SI - End Use'!$B$2:$B$6,'SI - End Use'!$C$2:$C$6, "")="", "", _xlfn.XLOOKUP($C6,'SI - End Use'!$B$2:$B$6,'SI - End Use'!$C$2:$C$6, ""))</calculatedColumnFormula>
    </tableColumn>
    <tableColumn id="5" xr3:uid="{B3A0FB9F-458E-44C7-9D4D-21CB25E1BDD8}" name="Amount" dataDxfId="130" dataCellStyle="Comma"/>
    <tableColumn id="6" xr3:uid="{05123F8F-4235-4393-A36B-71A3BB6E18FB}" name="Unit" dataDxfId="129">
      <calculatedColumnFormula array="1">IF($B6="Transportation",  'SI - Units'!$B$9:$B$9, _xlfn.XLOOKUP(_xlfn.XLOOKUP($C6,'SI - Units'!$B$24:$B$109,'SI - Units'!$C$24:$C$109, ""),'SI - Units'!$A$2:$A$8,'SI - Units'!$B$2:$B$8, ""))</calculatedColumnFormula>
    </tableColumn>
    <tableColumn id="7" xr3:uid="{7E2EB858-FCDF-4EE3-88B9-3E3313C9CAF8}" name="Moisture" dataDxfId="128" dataCellStyle="Percent"/>
    <tableColumn id="8" xr3:uid="{0E6867F0-3850-4A04-9CB4-C2D1AA9FCC9F}" name="Previous Stage" dataDxfId="127" dataCellStyle="Percent"/>
    <tableColumn id="9" xr3:uid="{BF94AE1B-49A2-473E-B9A9-78BFD685E377}" name="Always Use Displacement Method for Co-Product?" dataDxfId="126" dataCellStyle="Percent">
      <calculatedColumnFormula>IF(Table114[[#This Row],[Type]]="Co-product", "No", "")</calculatedColumnFormula>
    </tableColumn>
    <tableColumn id="19" xr3:uid="{12DEDAA3-28EE-4CF3-A3D2-28C45A62C7CA}" name="Urban Share" dataDxfId="125" dataCellStyle="Percent"/>
    <tableColumn id="10" xr3:uid="{E792F433-6ED5-4B66-926A-68A35C9FDBE5}" name="Product Train" dataDxfId="124"/>
    <tableColumn id="14" xr3:uid="{F2B7E888-CC84-4AB3-A539-867686087A0B}" name="Payload" dataDxfId="123">
      <calculatedColumnFormula>IF(Table114[[#This Row],[Category]]="Transportation", _xlfn.XLOOKUP(Table114[[#This Row],[Resource]], 'SI - Payload'!$A$10:$A$40,'SI - Payload'!$B$10:$B$40,"",0), "")</calculatedColumnFormula>
    </tableColumn>
    <tableColumn id="15" xr3:uid="{1E378CA8-586B-4529-A63B-F690C59539A9}" name="Payload Unit" dataDxfId="122">
      <calculatedColumnFormula>IF(Table114[[#This Row],[Category]]="Transportation", "ton", "")</calculatedColumnFormula>
    </tableColumn>
    <tableColumn id="16" xr3:uid="{3C67F1C0-A8A1-4354-8ECF-CF8E77ABEA11}" name="Market Price" dataDxfId="121"/>
    <tableColumn id="17" xr3:uid="{B02DD5A5-9DFE-40F9-894F-D9673ADDAA93}" name="Market Price Unit" dataDxfId="120"/>
    <tableColumn id="12" xr3:uid="{BC90FA6E-6C81-4B63-BD92-C61576AD58E9}" name="Incumbent Product" dataDxfId="119">
      <calculatedColumnFormula>IF(OR(Table114[[#This Row],[Type]]="Main Product", Table114[[#This Row],[Type]]="Co-Product"), Table114[[#This Row],[Resource]], "")</calculatedColumnFormula>
    </tableColumn>
    <tableColumn id="13" xr3:uid="{C2C50AD7-FE23-4169-B8DF-12D9C0D65A04}" name="End Use of Incumbent Product" dataDxfId="118">
      <calculatedColumnFormula>IF(_xlfn.XLOOKUP($P6,'SI - End Use'!$B$2:$B$6,'SI - End Use'!$C$2:$C$6, "")="", "", _xlfn.XLOOKUP($C6,'SI - End Use'!$B$2:$B$6,'SI - End Use'!$C$2:$C$6, ""))</calculatedColumnFormula>
    </tableColumn>
    <tableColumn id="20" xr3:uid="{DEADE759-037B-4113-A225-F8FC77173798}" name="Surrogate For" dataDxfId="117"/>
    <tableColumn id="18" xr3:uid="{0C96803B-3EB3-4AE9-9D7E-E74CCCB650B0}" name="Process" dataDxfId="116"/>
    <tableColumn id="11" xr3:uid="{DBD0ADA5-C020-4411-8395-68860EE8C797}" name="Note" dataDxfId="11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114" dataDxfId="113" tableBorderDxfId="112" dataCellStyle="Percent">
  <autoFilter ref="A5:T100" xr:uid="{1644AED8-49DE-4A1D-989C-1566C9A522B9}"/>
  <tableColumns count="20">
    <tableColumn id="1" xr3:uid="{3C38D66F-2EC3-4ADC-9042-D67110173361}" name="Type" dataDxfId="111"/>
    <tableColumn id="2" xr3:uid="{FC261E78-6E38-485E-87E6-57B3D8097227}" name="Category" dataDxfId="110"/>
    <tableColumn id="3" xr3:uid="{BC36BD5A-D9A2-45D8-BE62-E79CC3DE930F}" name="Resource" dataDxfId="109">
      <calculatedColumnFormula>_xlfn.XLOOKUP($B6,'SI - Resources'!$A$1:$J$1,'SI - Resources'!$A$2:$J$2, "")</calculatedColumnFormula>
    </tableColumn>
    <tableColumn id="4" xr3:uid="{72C110B9-1F2A-4E50-8234-B903A4500553}" name="End Use" dataDxfId="108">
      <calculatedColumnFormula>IF(_xlfn.XLOOKUP($C6,'SI - End Use'!$B$2:$B$6,'SI - End Use'!$C$2:$C$6, "")="", "", _xlfn.XLOOKUP($C6,'SI - End Use'!$B$2:$B$6,'SI - End Use'!$C$2:$C$6, ""))</calculatedColumnFormula>
    </tableColumn>
    <tableColumn id="5" xr3:uid="{3C28DD07-3681-44FC-AF7E-D9A64806AC79}" name="Amount" dataDxfId="107" dataCellStyle="Comma"/>
    <tableColumn id="6" xr3:uid="{4143DD8D-B7FB-4F5E-B91E-F8E0AF7CCD26}" name="Unit" dataDxfId="106">
      <calculatedColumnFormula array="1">IF($B6="Transportation",  'SI - Units'!$B$9:$B$9, _xlfn.XLOOKUP(_xlfn.XLOOKUP($C6,'SI - Units'!$B$24:$B$109,'SI - Units'!$C$24:$C$109, ""),'SI - Units'!$A$2:$A$8,'SI - Units'!$B$2:$B$8, ""))</calculatedColumnFormula>
    </tableColumn>
    <tableColumn id="7" xr3:uid="{BC2188FA-7791-4313-9D90-84B0E5BAD594}" name="Moisture" dataDxfId="105" dataCellStyle="Percent"/>
    <tableColumn id="8" xr3:uid="{79347065-376E-40C1-A548-C440C1113AAF}" name="Previous Stage" dataDxfId="104" dataCellStyle="Percent"/>
    <tableColumn id="9" xr3:uid="{9293D945-9900-41C4-BA0B-06081E9D119F}" name="Always Use Displacement Method for Co-Product?" dataDxfId="103" dataCellStyle="Percent">
      <calculatedColumnFormula>IF(Table115[[#This Row],[Type]]="Co-product", "No", "")</calculatedColumnFormula>
    </tableColumn>
    <tableColumn id="19" xr3:uid="{34D13EA4-2F4C-4554-A161-1B3A68F02827}" name="Urban Share" dataDxfId="102" dataCellStyle="Percent"/>
    <tableColumn id="10" xr3:uid="{0365CCCF-E221-45D0-A6CA-2C7063FC4C09}" name="Product Train" dataDxfId="101"/>
    <tableColumn id="14" xr3:uid="{E21DA34E-96AD-4CE4-85F4-BE9E95A51C17}" name="Payload" dataDxfId="100">
      <calculatedColumnFormula>IF(Table115[[#This Row],[Category]]="Transportation", _xlfn.XLOOKUP(Table115[[#This Row],[Resource]], 'SI - Payload'!$A$10:$A$40,'SI - Payload'!$B$10:$B$40,"",0), "")</calculatedColumnFormula>
    </tableColumn>
    <tableColumn id="15" xr3:uid="{D2D1540A-EE2F-4904-92C4-13489C1FC2AF}" name="Payload Unit" dataDxfId="99">
      <calculatedColumnFormula>IF(Table115[[#This Row],[Category]]="Transportation", "ton", "")</calculatedColumnFormula>
    </tableColumn>
    <tableColumn id="16" xr3:uid="{58325AD4-9EBC-42E3-905B-E03136FE10B9}" name="Market Price" dataDxfId="98"/>
    <tableColumn id="17" xr3:uid="{FD9AAF59-1DC8-41C0-B071-6EC9A8CE6615}" name="Market Price Unit" dataDxfId="97"/>
    <tableColumn id="12" xr3:uid="{55E85BFB-0317-4797-9D6F-0554C51AE7F9}" name="Incumbent Product" dataDxfId="96">
      <calculatedColumnFormula>IF(OR(Table115[[#This Row],[Type]]="Main Product", Table115[[#This Row],[Type]]="Co-Product"), Table115[[#This Row],[Resource]], "")</calculatedColumnFormula>
    </tableColumn>
    <tableColumn id="13" xr3:uid="{1E5141A6-D713-4091-873A-9864193D7ECC}" name="End Use of Incumbent Product" dataDxfId="95">
      <calculatedColumnFormula>IF(_xlfn.XLOOKUP($P6,'SI - End Use'!$B$2:$B$6,'SI - End Use'!$C$2:$C$6, "")="", "", _xlfn.XLOOKUP($C6,'SI - End Use'!$B$2:$B$6,'SI - End Use'!$C$2:$C$6, ""))</calculatedColumnFormula>
    </tableColumn>
    <tableColumn id="20" xr3:uid="{0E187295-C534-4C8F-B6AA-80F7CF39A608}" name="Surrogate For" dataDxfId="94"/>
    <tableColumn id="18" xr3:uid="{8455D568-7087-404C-81AB-B8547DB835CB}" name="Process" dataDxfId="93"/>
    <tableColumn id="11" xr3:uid="{40B2B83F-C8C4-486B-AF6A-7323BDC8CCFE}" name="Note" dataDxfId="9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91" dataDxfId="90" tableBorderDxfId="89" dataCellStyle="Percent">
  <autoFilter ref="A5:T100" xr:uid="{1644AED8-49DE-4A1D-989C-1566C9A522B9}"/>
  <tableColumns count="20">
    <tableColumn id="1" xr3:uid="{267E8A30-959C-452C-A6CC-D6C057F24543}" name="Type" dataDxfId="88"/>
    <tableColumn id="2" xr3:uid="{07E5344F-F415-4CAB-A649-6C35315EF5B7}" name="Category" dataDxfId="87"/>
    <tableColumn id="3" xr3:uid="{C09C5A40-063E-452B-A093-23FB4FA8086B}" name="Resource" dataDxfId="86">
      <calculatedColumnFormula>_xlfn.XLOOKUP($B6,'SI - Resources'!$A$1:$J$1,'SI - Resources'!$A$2:$J$2, "")</calculatedColumnFormula>
    </tableColumn>
    <tableColumn id="4" xr3:uid="{AA9A4A88-0172-49D3-96EA-55F32D6BAB91}" name="End Use" dataDxfId="85">
      <calculatedColumnFormula>IF(_xlfn.XLOOKUP($C6,'SI - End Use'!$B$2:$B$6,'SI - End Use'!$C$2:$C$6, "")="", "", _xlfn.XLOOKUP($C6,'SI - End Use'!$B$2:$B$6,'SI - End Use'!$C$2:$C$6, ""))</calculatedColumnFormula>
    </tableColumn>
    <tableColumn id="5" xr3:uid="{1AA4EF4A-5725-47E2-B9EE-C54F0D72DC13}" name="Amount" dataDxfId="84" dataCellStyle="Comma"/>
    <tableColumn id="6" xr3:uid="{B99294AF-16AB-4D4C-88A6-B972A98F31AE}" name="Unit" dataDxfId="83">
      <calculatedColumnFormula array="1">IF($B6="Transportation",  'SI - Units'!$B$9:$B$9, _xlfn.XLOOKUP(_xlfn.XLOOKUP($C6,'SI - Units'!$B$24:$B$109,'SI - Units'!$C$24:$C$109, ""),'SI - Units'!$A$2:$A$8,'SI - Units'!$B$2:$B$8, ""))</calculatedColumnFormula>
    </tableColumn>
    <tableColumn id="7" xr3:uid="{35C6737C-6381-45D5-BB1F-62660D37158A}" name="Moisture" dataDxfId="82" dataCellStyle="Percent"/>
    <tableColumn id="8" xr3:uid="{5A915426-D154-405B-85EA-20D604C2DC96}" name="Previous Stage" dataDxfId="81" dataCellStyle="Percent"/>
    <tableColumn id="9" xr3:uid="{DA069634-EA62-4D00-B776-F52E30B37700}" name="Always Use Displacement Method for Co-Product?" dataDxfId="80" dataCellStyle="Percent">
      <calculatedColumnFormula>IF(Table116[[#This Row],[Type]]="Co-product", "No", "")</calculatedColumnFormula>
    </tableColumn>
    <tableColumn id="19" xr3:uid="{A2FE0DBA-BA56-437F-8017-8F35B66080EA}" name="Urban Share" dataDxfId="79" dataCellStyle="Percent"/>
    <tableColumn id="10" xr3:uid="{3FC1D276-6044-43EA-8FFE-6330C18AAAEA}" name="Product Train" dataDxfId="78"/>
    <tableColumn id="14" xr3:uid="{F39A9E14-47FB-437A-874D-1CE4D6F486BD}" name="Payload" dataDxfId="77">
      <calculatedColumnFormula>IF(Table116[[#This Row],[Category]]="Transportation", _xlfn.XLOOKUP(Table116[[#This Row],[Resource]], 'SI - Payload'!$A$10:$A$40,'SI - Payload'!$B$10:$B$40,"",0), "")</calculatedColumnFormula>
    </tableColumn>
    <tableColumn id="15" xr3:uid="{6A16A909-B4F9-4008-8D8C-A21FD5344F33}" name="Payload Unit" dataDxfId="76">
      <calculatedColumnFormula>IF(Table116[[#This Row],[Category]]="Transportation", "ton", "")</calculatedColumnFormula>
    </tableColumn>
    <tableColumn id="16" xr3:uid="{7ACFF5A1-530E-4574-8CCF-6014A17DED1F}" name="Market Price" dataDxfId="75"/>
    <tableColumn id="17" xr3:uid="{10CC7E25-16C3-4487-9020-2364320BB0F6}" name="Market Price Unit" dataDxfId="74"/>
    <tableColumn id="12" xr3:uid="{E491674C-1C98-45D7-83FC-555A3096D908}" name="Incumbent Product" dataDxfId="73">
      <calculatedColumnFormula>IF(OR(Table116[[#This Row],[Type]]="Main Product", Table116[[#This Row],[Type]]="Co-Product"), Table116[[#This Row],[Resource]], "")</calculatedColumnFormula>
    </tableColumn>
    <tableColumn id="13" xr3:uid="{856720A5-3900-4615-BB7A-57514C89726D}" name="End Use of Incumbent Product" dataDxfId="72">
      <calculatedColumnFormula>IF(_xlfn.XLOOKUP($P6,'SI - End Use'!$B$2:$B$6,'SI - End Use'!$C$2:$C$6, "")="", "", _xlfn.XLOOKUP($C6,'SI - End Use'!$B$2:$B$6,'SI - End Use'!$C$2:$C$6, ""))</calculatedColumnFormula>
    </tableColumn>
    <tableColumn id="20" xr3:uid="{5A90943D-16D5-4BDA-962C-19A13F6E8AB8}" name="Surrogate For" dataDxfId="71"/>
    <tableColumn id="18" xr3:uid="{CF6EBF07-BA8B-43CE-82C3-59E29FEF9D74}" name="Process" dataDxfId="70"/>
    <tableColumn id="11" xr3:uid="{19B3CDDE-677F-4341-B2BF-5A637D5F6385}" name="Note" dataDxfId="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68" dataDxfId="67" tableBorderDxfId="66" dataCellStyle="Percent">
  <autoFilter ref="A5:T100" xr:uid="{1644AED8-49DE-4A1D-989C-1566C9A522B9}"/>
  <tableColumns count="20">
    <tableColumn id="1" xr3:uid="{2C7BD698-AF81-4FF8-929B-FA65C95AB055}" name="Type" dataDxfId="65"/>
    <tableColumn id="2" xr3:uid="{8ABE79B0-EB47-434F-9597-1E5E0ADB71DC}" name="Category" dataDxfId="64"/>
    <tableColumn id="3" xr3:uid="{69D78EC1-407B-4DFE-AC99-A38B57A2C09E}" name="Resource" dataDxfId="63">
      <calculatedColumnFormula>_xlfn.XLOOKUP($B6,'SI - Resources'!$A$1:$J$1,'SI - Resources'!$A$2:$J$2, "")</calculatedColumnFormula>
    </tableColumn>
    <tableColumn id="4" xr3:uid="{52F75706-D18E-4442-BFC4-410DC293AAA3}" name="End Use" dataDxfId="62">
      <calculatedColumnFormula>IF(_xlfn.XLOOKUP($C6,'SI - End Use'!$B$2:$B$6,'SI - End Use'!$C$2:$C$6, "")="", "", _xlfn.XLOOKUP($C6,'SI - End Use'!$B$2:$B$6,'SI - End Use'!$C$2:$C$6, ""))</calculatedColumnFormula>
    </tableColumn>
    <tableColumn id="5" xr3:uid="{9F38E5ED-CDF5-4F83-890D-24FB06E235FC}" name="Amount" dataDxfId="61" dataCellStyle="Comma"/>
    <tableColumn id="6" xr3:uid="{3ACEA781-8167-43A0-A833-46625CC99CBE}" name="Unit" dataDxfId="60">
      <calculatedColumnFormula array="1">IF($B6="Transportation",  'SI - Units'!$B$9:$B$9, _xlfn.XLOOKUP(_xlfn.XLOOKUP($C6,'SI - Units'!$B$24:$B$109,'SI - Units'!$C$24:$C$109, ""),'SI - Units'!$A$2:$A$8,'SI - Units'!$B$2:$B$8, ""))</calculatedColumnFormula>
    </tableColumn>
    <tableColumn id="7" xr3:uid="{B5C83816-A716-4C88-8E16-9100286A1C6F}" name="Moisture" dataDxfId="59" dataCellStyle="Percent"/>
    <tableColumn id="8" xr3:uid="{961A9FAE-AD98-485E-B669-B4C538DA0995}" name="Previous Stage" dataDxfId="58" dataCellStyle="Percent"/>
    <tableColumn id="9" xr3:uid="{60E7FA53-9DF4-4D04-BFA2-AD3E323325F3}" name="Always Use Displacement Method for Co-Product?" dataDxfId="57" dataCellStyle="Percent">
      <calculatedColumnFormula>IF(Table117[[#This Row],[Type]]="Co-product", "No", "")</calculatedColumnFormula>
    </tableColumn>
    <tableColumn id="19" xr3:uid="{4410DE15-CD0A-43E3-BF1B-26946EDD4937}" name="Urban Share" dataDxfId="56" dataCellStyle="Percent"/>
    <tableColumn id="10" xr3:uid="{465CE46E-54E8-4FE9-B164-133479785B61}" name="Product Train" dataDxfId="55"/>
    <tableColumn id="14" xr3:uid="{C64B9C10-A92F-4D3E-9E49-F202FF99E30C}" name="Payload" dataDxfId="54">
      <calculatedColumnFormula>IF(Table117[[#This Row],[Category]]="Transportation", _xlfn.XLOOKUP(Table117[[#This Row],[Resource]], 'SI - Payload'!$A$10:$A$40,'SI - Payload'!$B$10:$B$40,"",0), "")</calculatedColumnFormula>
    </tableColumn>
    <tableColumn id="15" xr3:uid="{B2C6C9FF-AF37-4C49-8B8F-6DEA98EBF439}" name="Payload Unit" dataDxfId="53">
      <calculatedColumnFormula>IF(Table117[[#This Row],[Category]]="Transportation", "ton", "")</calculatedColumnFormula>
    </tableColumn>
    <tableColumn id="16" xr3:uid="{B9643C62-FDA6-4407-BDFB-10192C826E3A}" name="Market Price" dataDxfId="52"/>
    <tableColumn id="17" xr3:uid="{BFADB77B-6181-4E0A-9A94-8646D6882E21}" name="Market Price Unit" dataDxfId="51"/>
    <tableColumn id="12" xr3:uid="{0AABAEB9-8482-432F-93D1-2C5764D984A9}" name="Incumbent Product" dataDxfId="50">
      <calculatedColumnFormula>IF(OR(Table117[[#This Row],[Type]]="Main Product", Table117[[#This Row],[Type]]="Co-Product"), Table117[[#This Row],[Resource]], "")</calculatedColumnFormula>
    </tableColumn>
    <tableColumn id="13" xr3:uid="{ABEEA1D9-5769-4EC6-87EC-2F86E4D4BFE1}" name="End Use of Incumbent Product" dataDxfId="49">
      <calculatedColumnFormula>IF(_xlfn.XLOOKUP($P6,'SI - End Use'!$B$2:$B$6,'SI - End Use'!$C$2:$C$6, "")="", "", _xlfn.XLOOKUP($C6,'SI - End Use'!$B$2:$B$6,'SI - End Use'!$C$2:$C$6, ""))</calculatedColumnFormula>
    </tableColumn>
    <tableColumn id="20" xr3:uid="{B78E94FF-F088-4CC4-8EC6-5C0AEFC572C4}" name="Surrogate For" dataDxfId="48"/>
    <tableColumn id="18" xr3:uid="{9EC012AC-619E-4FBF-90F7-699244F53C6D}" name="Process" dataDxfId="47"/>
    <tableColumn id="11" xr3:uid="{6C9CCC6B-ACAC-4023-B69D-D41E81C4CC41}" name="Note" dataDxfId="4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3DA06AA-323F-4D5A-9D39-234EF81B05D3}" name="Table13" displayName="Table13" ref="A5:T100" totalsRowShown="0" headerRowDxfId="45" dataDxfId="44" tableBorderDxfId="43" dataCellStyle="Percent">
  <autoFilter ref="A5:T100" xr:uid="{1644AED8-49DE-4A1D-989C-1566C9A522B9}"/>
  <tableColumns count="20">
    <tableColumn id="1" xr3:uid="{4D3FDA20-CD4E-4880-8A5E-0368D0E07C3A}" name="Type" dataDxfId="42"/>
    <tableColumn id="2" xr3:uid="{134B6E41-0DC2-463E-997F-94F64C81D6A1}" name="Category" dataDxfId="41"/>
    <tableColumn id="3" xr3:uid="{6B95AD89-1020-40DD-A76D-35B2C2AF2126}" name="Resource" dataDxfId="40">
      <calculatedColumnFormula>_xlfn.XLOOKUP($B6,'SI - Resources'!$A$1:$J$1,'SI - Resources'!$A$2:$J$2, "")</calculatedColumnFormula>
    </tableColumn>
    <tableColumn id="4" xr3:uid="{F351CF2B-97F8-4A93-8859-F09583BB524F}" name="End Use" dataDxfId="39">
      <calculatedColumnFormula>IF(_xlfn.XLOOKUP($C6,'SI - End Use'!$B$2:$B$6,'SI - End Use'!$C$2:$C$6, "")="", "", _xlfn.XLOOKUP($C6,'SI - End Use'!$B$2:$B$6,'SI - End Use'!$C$2:$C$6, ""))</calculatedColumnFormula>
    </tableColumn>
    <tableColumn id="5" xr3:uid="{E62E2F38-1ECE-4345-A290-240711939FEF}" name="Amount" dataDxfId="38" dataCellStyle="Comma"/>
    <tableColumn id="6" xr3:uid="{042CDCFF-AFDA-4E91-A6F2-E3F547DF184C}" name="Unit" dataDxfId="37">
      <calculatedColumnFormula array="1">IF($B6="Transportation",  'SI - Units'!$B$9:$B$9, _xlfn.XLOOKUP(_xlfn.XLOOKUP($C6,'SI - Units'!$B$24:$B$109,'SI - Units'!$C$24:$C$109, ""),'SI - Units'!$A$2:$A$8,'SI - Units'!$B$2:$B$8, ""))</calculatedColumnFormula>
    </tableColumn>
    <tableColumn id="7" xr3:uid="{CB917DF4-BA14-4957-9D3E-E0F3C62C6781}" name="Moisture" dataDxfId="36" dataCellStyle="Percent"/>
    <tableColumn id="8" xr3:uid="{9544980E-CACB-420B-8A50-5360EC33CEA0}" name="Previous Stage" dataDxfId="35" dataCellStyle="Percent"/>
    <tableColumn id="9" xr3:uid="{CA9EF501-9BC5-47FA-AE5D-C521C04977A1}" name="Always Use Displacement Method for Co-Product?" dataDxfId="34" dataCellStyle="Percent">
      <calculatedColumnFormula>IF(Table13[[#This Row],[Type]]="Co-product", "No", "")</calculatedColumnFormula>
    </tableColumn>
    <tableColumn id="19" xr3:uid="{0972DF32-9952-4F55-B95A-DDB90B6DB8C3}" name="Urban Share" dataDxfId="33" dataCellStyle="Percent"/>
    <tableColumn id="10" xr3:uid="{1927D74C-D8FA-4511-AF0F-3A72A27336FC}" name="Product Train" dataDxfId="32"/>
    <tableColumn id="14" xr3:uid="{CFA224ED-EFF4-4E1D-A548-C21BF740B7FA}" name="Payload" dataDxfId="31">
      <calculatedColumnFormula>IF(Table13[[#This Row],[Category]]="Transportation", _xlfn.XLOOKUP(Table13[[#This Row],[Resource]], 'SI - Payload'!$A$10:$A$40,'SI - Payload'!$B$10:$B$40,"",0), "")</calculatedColumnFormula>
    </tableColumn>
    <tableColumn id="15" xr3:uid="{D1B138B8-001E-4355-935D-521DFE5D5B2A}" name="Payload Unit" dataDxfId="30">
      <calculatedColumnFormula>IF(Table13[[#This Row],[Category]]="Transportation", "ton", "")</calculatedColumnFormula>
    </tableColumn>
    <tableColumn id="16" xr3:uid="{ED87E621-7414-4F91-9E7F-05926BE85BD8}" name="Market Price" dataDxfId="29"/>
    <tableColumn id="17" xr3:uid="{37416807-6253-4CF0-A4B5-11B7504DBFEB}" name="Market Price Unit" dataDxfId="28"/>
    <tableColumn id="12" xr3:uid="{0A4A6F3E-2453-4306-BC7C-10829FE4C550}" name="Incumbent Product" dataDxfId="27">
      <calculatedColumnFormula>IF(OR(Table13[[#This Row],[Type]]="Main Product", Table13[[#This Row],[Type]]="Co-Product"), Table13[[#This Row],[Resource]], "")</calculatedColumnFormula>
    </tableColumn>
    <tableColumn id="13" xr3:uid="{D68281E9-C171-4B33-979D-8B01236545D8}" name="End Use of Incumbent Product" dataDxfId="26">
      <calculatedColumnFormula>IF(_xlfn.XLOOKUP($P6,'SI - End Use'!$B$2:$B$6,'SI - End Use'!$C$2:$C$6, "")="", "", _xlfn.XLOOKUP($C6,'SI - End Use'!$B$2:$B$6,'SI - End Use'!$C$2:$C$6, ""))</calculatedColumnFormula>
    </tableColumn>
    <tableColumn id="20" xr3:uid="{D047AFE5-CF83-418C-93DF-D7534BE7B79B}" name="Surrogate For" dataDxfId="25"/>
    <tableColumn id="18" xr3:uid="{37A5C27E-BF45-4E19-BA87-4719F0135D94}" name="Process" dataDxfId="24"/>
    <tableColumn id="11" xr3:uid="{0C0D7471-FD87-400E-9657-7072FB5859D0}" name="Note" dataDxfId="23"/>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63C1EF-43EA-4545-B384-84989EFABE27}" name="Table16" displayName="Table16" ref="A5:T100" totalsRowShown="0" headerRowDxfId="22" dataDxfId="21" tableBorderDxfId="20" dataCellStyle="Percent">
  <autoFilter ref="A5:T100" xr:uid="{1644AED8-49DE-4A1D-989C-1566C9A522B9}"/>
  <tableColumns count="20">
    <tableColumn id="1" xr3:uid="{174EFB65-A008-4FD4-8FEB-88E3CB547CE2}" name="Type" dataDxfId="19"/>
    <tableColumn id="2" xr3:uid="{DD305101-C25A-406A-9E96-2F6A186DF975}" name="Category" dataDxfId="18"/>
    <tableColumn id="3" xr3:uid="{640AB70D-07CD-4B5A-9CFB-47F9A1006566}" name="Resource" dataDxfId="17">
      <calculatedColumnFormula>_xlfn.XLOOKUP($B6,'SI - Resources'!$A$1:$J$1,'SI - Resources'!$A$2:$J$2, "")</calculatedColumnFormula>
    </tableColumn>
    <tableColumn id="4" xr3:uid="{98ACA83B-0BD5-4458-A803-5EA949BDD1A9}" name="End Use" dataDxfId="16">
      <calculatedColumnFormula>IF(_xlfn.XLOOKUP($C6,'SI - End Use'!$B$2:$B$6,'SI - End Use'!$C$2:$C$6, "")="", "", _xlfn.XLOOKUP($C6,'SI - End Use'!$B$2:$B$6,'SI - End Use'!$C$2:$C$6, ""))</calculatedColumnFormula>
    </tableColumn>
    <tableColumn id="5" xr3:uid="{7DD588EE-41F2-4865-BB36-485595B4FEB8}" name="Amount" dataDxfId="15" dataCellStyle="Comma"/>
    <tableColumn id="6" xr3:uid="{44086C19-4888-46F0-8C9F-02839D2857DE}" name="Unit" dataDxfId="14">
      <calculatedColumnFormula array="1">IF($B6="Transportation",  'SI - Units'!$B$9:$B$9, _xlfn.XLOOKUP(_xlfn.XLOOKUP($C6,'SI - Units'!$B$24:$B$109,'SI - Units'!$C$24:$C$109, ""),'SI - Units'!$A$2:$A$8,'SI - Units'!$B$2:$B$8, ""))</calculatedColumnFormula>
    </tableColumn>
    <tableColumn id="7" xr3:uid="{54B6D015-D213-4674-BE8E-E7DBFAD05162}" name="Moisture" dataDxfId="13" dataCellStyle="Percent"/>
    <tableColumn id="8" xr3:uid="{A2F4A9A6-9C20-4446-9551-28444B819509}" name="Previous Stage" dataDxfId="12" dataCellStyle="Percent"/>
    <tableColumn id="9" xr3:uid="{5311759B-A125-48C2-97CF-1A655BEC8471}" name="Always Use Displacement Method for Co-Product?" dataDxfId="11" dataCellStyle="Percent">
      <calculatedColumnFormula>IF(Table16[[#This Row],[Type]]="Co-product", "No", "")</calculatedColumnFormula>
    </tableColumn>
    <tableColumn id="19" xr3:uid="{85F70A9C-B4B1-4B85-A34E-2FE4F45D5580}" name="Urban Share" dataDxfId="10" dataCellStyle="Percent"/>
    <tableColumn id="10" xr3:uid="{0C62D344-8835-495A-95EE-BE7085E87B05}" name="Product Train" dataDxfId="9"/>
    <tableColumn id="14" xr3:uid="{B540A90C-2667-409E-B23A-5C8C35ACF4B9}" name="Payload" dataDxfId="8">
      <calculatedColumnFormula>IF(Table16[[#This Row],[Category]]="Transportation", _xlfn.XLOOKUP(Table16[[#This Row],[Resource]], 'SI - Payload'!$A$10:$A$40,'SI - Payload'!$B$10:$B$40,"",0), "")</calculatedColumnFormula>
    </tableColumn>
    <tableColumn id="15" xr3:uid="{4AA05644-2D0D-48F0-BB84-1A1EF5CBEB45}" name="Payload Unit" dataDxfId="7">
      <calculatedColumnFormula>IF(Table16[[#This Row],[Category]]="Transportation", "ton", "")</calculatedColumnFormula>
    </tableColumn>
    <tableColumn id="16" xr3:uid="{85C8F61B-258F-48E0-8A34-0E2A9979E2FD}" name="Market Price" dataDxfId="6"/>
    <tableColumn id="17" xr3:uid="{DCD4D218-526D-4BE6-8D73-2E82B5F2D94D}" name="Market Price Unit" dataDxfId="5"/>
    <tableColumn id="12" xr3:uid="{C4D157E9-64BE-45CC-9F8B-F6BF629825EA}" name="Incumbent Product" dataDxfId="4">
      <calculatedColumnFormula>IF(OR(Table16[[#This Row],[Type]]="Main Product", Table16[[#This Row],[Type]]="Co-Product"), Table16[[#This Row],[Resource]], "")</calculatedColumnFormula>
    </tableColumn>
    <tableColumn id="13" xr3:uid="{462DF6D4-0735-46F9-B92E-F6447F96FD2E}" name="End Use of Incumbent Product" dataDxfId="3">
      <calculatedColumnFormula>IF(_xlfn.XLOOKUP($P6,'SI - End Use'!$B$2:$B$6,'SI - End Use'!$C$2:$C$6, "")="", "", _xlfn.XLOOKUP($C6,'SI - End Use'!$B$2:$B$6,'SI - End Use'!$C$2:$C$6, ""))</calculatedColumnFormula>
    </tableColumn>
    <tableColumn id="20" xr3:uid="{5CC5F02F-6312-4056-ACAA-B7CCAC2E44BF}" name="Surrogate For" dataDxfId="2"/>
    <tableColumn id="18" xr3:uid="{85F5BFEC-2519-43F1-B762-2B36B752F25C}" name="Process" dataDxfId="1"/>
    <tableColumn id="11" xr3:uid="{7D20A1BD-04C4-4329-9C39-9E3F70D177DA}"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table" Target="../tables/table16.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6" t="s">
        <v>261</v>
      </c>
      <c r="B2" s="76"/>
    </row>
    <row r="3" spans="1:3" ht="29.15" customHeight="1" x14ac:dyDescent="0.35">
      <c r="A3" s="78" t="s">
        <v>274</v>
      </c>
      <c r="B3" s="78"/>
    </row>
    <row r="4" spans="1:3" ht="28" customHeight="1" x14ac:dyDescent="0.35">
      <c r="A4" s="19"/>
      <c r="B4" s="19"/>
    </row>
    <row r="5" spans="1:3" ht="28" customHeight="1" x14ac:dyDescent="0.35">
      <c r="A5" s="77" t="s">
        <v>260</v>
      </c>
      <c r="B5" s="77"/>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Payload'!$A$10:$A$40,'SI - Payload'!$B$10:$B$40,"",0),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Payload'!$A$10:$A$40,'SI - Payload'!$B$10:$B$40,"",0),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Payload'!$A$10:$A$40,'SI - Payload'!$B$10:$B$40,"",0),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Payload'!$A$10:$A$40,'SI - Payload'!$B$10:$B$40,"",0),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Payload'!$A$10:$A$40,'SI - Payload'!$B$10:$B$40,"",0),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Payload'!$A$10:$A$40,'SI - Payload'!$B$10:$B$40,"",0),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Payload'!$A$10:$A$40,'SI - Payload'!$B$10:$B$40,"",0),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Payload'!$A$10:$A$40,'SI - Payload'!$B$10:$B$40,"",0),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Payload'!$A$10:$A$40,'SI - Payload'!$B$10:$B$40,"",0),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Payload'!$A$10:$A$40,'SI - Payload'!$B$10:$B$40,"",0),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Payload'!$A$10:$A$40,'SI - Payload'!$B$10:$B$40,"",0),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Payload'!$A$10:$A$40,'SI - Payload'!$B$10:$B$40,"",0),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Payload'!$A$10:$A$40,'SI - Payload'!$B$10:$B$40,"",0),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Payload'!$A$10:$A$40,'SI - Payload'!$B$10:$B$40,"",0),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Payload'!$A$10:$A$40,'SI - Payload'!$B$10:$B$40,"",0),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Payload'!$A$10:$A$40,'SI - Payload'!$B$10:$B$40,"",0),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Payload'!$A$10:$A$40,'SI - Payload'!$B$10:$B$40,"",0),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Payload'!$A$10:$A$40,'SI - Payload'!$B$10:$B$40,"",0),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Payload'!$A$10:$A$40,'SI - Payload'!$B$10:$B$40,"",0),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Payload'!$A$10:$A$40,'SI - Payload'!$B$10:$B$40,"",0),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Payload'!$A$10:$A$40,'SI - Payload'!$B$10:$B$40,"",0),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Payload'!$A$10:$A$40,'SI - Payload'!$B$10:$B$40,"",0),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Payload'!$A$10:$A$40,'SI - Payload'!$B$10:$B$40,"",0),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Payload'!$A$10:$A$40,'SI - Payload'!$B$10:$B$40,"",0),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Payload'!$A$10:$A$40,'SI - Payload'!$B$10:$B$40,"",0),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Payload'!$A$10:$A$40,'SI - Payload'!$B$10:$B$40,"",0),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Payload'!$A$10:$A$40,'SI - Payload'!$B$10:$B$40,"",0),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Payload'!$A$10:$A$40,'SI - Payload'!$B$10:$B$40,"",0),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Payload'!$A$10:$A$40,'SI - Payload'!$B$10:$B$40,"",0),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Payload'!$A$10:$A$40,'SI - Payload'!$B$10:$B$40,"",0),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Payload'!$A$10:$A$40,'SI - Payload'!$B$10:$B$40,"",0),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Payload'!$A$10:$A$40,'SI - Payload'!$B$10:$B$40,"",0),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Payload'!$A$10:$A$40,'SI - Payload'!$B$10:$B$40,"",0),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Payload'!$A$10:$A$40,'SI - Payload'!$B$10:$B$40,"",0),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Payload'!$A$10:$A$40,'SI - Payload'!$B$10:$B$40,"",0),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Payload'!$A$10:$A$40,'SI - Payload'!$B$10:$B$40,"",0),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Payload'!$A$10:$A$40,'SI - Payload'!$B$10:$B$40,"",0),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Payload'!$A$10:$A$40,'SI - Payload'!$B$10:$B$40,"",0),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Payload'!$A$10:$A$40,'SI - Payload'!$B$10:$B$40,"",0),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Payload'!$A$10:$A$40,'SI - Payload'!$B$10:$B$40,"",0),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Payload'!$A$10:$A$40,'SI - Payload'!$B$10:$B$40,"",0),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Payload'!$A$10:$A$40,'SI - Payload'!$B$10:$B$40,"",0),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Payload'!$A$10:$A$40,'SI - Payload'!$B$10:$B$40,"",0),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Payload'!$A$10:$A$40,'SI - Payload'!$B$10:$B$40,"",0),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Payload'!$A$10:$A$40,'SI - Payload'!$B$10:$B$40,"",0),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Payload'!$A$10:$A$40,'SI - Payload'!$B$10:$B$40,"",0),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Payload'!$A$10:$A$40,'SI - Payload'!$B$10:$B$40,"",0),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Payload'!$A$10:$A$40,'SI - Payload'!$B$10:$B$40,"",0),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Payload'!$A$10:$A$40,'SI - Payload'!$B$10:$B$40,"",0),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Payload'!$A$10:$A$40,'SI - Payload'!$B$10:$B$40,"",0),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Payload'!$A$10:$A$40,'SI - Payload'!$B$10:$B$40,"",0),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Payload'!$A$10:$A$40,'SI - Payload'!$B$10:$B$40,"",0),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Payload'!$A$10:$A$40,'SI - Payload'!$B$10:$B$40,"",0),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Payload'!$A$10:$A$40,'SI - Payload'!$B$10:$B$40,"",0),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Payload'!$A$10:$A$40,'SI - Payload'!$B$10:$B$40,"",0),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Payload'!$A$10:$A$40,'SI - Payload'!$B$10:$B$40,"",0),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Payload'!$A$10:$A$40,'SI - Payload'!$B$10:$B$40,"",0),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Payload'!$A$10:$A$40,'SI - Payload'!$B$10:$B$40,"",0),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Payload'!$A$10:$A$40,'SI - Payload'!$B$10:$B$40,"",0),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Payload'!$A$10:$A$40,'SI - Payload'!$B$10:$B$40,"",0),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Payload'!$A$10:$A$40,'SI - Payload'!$B$10:$B$40,"",0),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Payload'!$A$10:$A$40,'SI - Payload'!$B$10:$B$40,"",0),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Payload'!$A$10:$A$40,'SI - Payload'!$B$10:$B$40,"",0),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Payload'!$A$10:$A$40,'SI - Payload'!$B$10:$B$40,"",0),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Payload'!$A$10:$A$40,'SI - Payload'!$B$10:$B$40,"",0),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Payload'!$A$10:$A$40,'SI - Payload'!$B$10:$B$40,"",0),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Payload'!$A$10:$A$40,'SI - Payload'!$B$10:$B$40,"",0),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Payload'!$A$10:$A$40,'SI - Payload'!$B$10:$B$40,"",0),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Payload'!$A$10:$A$40,'SI - Payload'!$B$10:$B$40,"",0),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Payload'!$A$10:$A$40,'SI - Payload'!$B$10:$B$40,"",0),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Payload'!$A$10:$A$40,'SI - Payload'!$B$10:$B$40,"",0),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Payload'!$A$10:$A$40,'SI - Payload'!$B$10:$B$40,"",0),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Payload'!$A$10:$A$40,'SI - Payload'!$B$10:$B$40,"",0),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Payload'!$A$10:$A$40,'SI - Payload'!$B$10:$B$40,"",0),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Payload'!$A$10:$A$40,'SI - Payload'!$B$10:$B$40,"",0),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Payload'!$A$10:$A$40,'SI - Payload'!$B$10:$B$40,"",0),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Payload'!$A$10:$A$40,'SI - Payload'!$B$10:$B$40,"",0),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Payload'!$A$10:$A$40,'SI - Payload'!$B$10:$B$40,"",0),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Payload'!$A$10:$A$40,'SI - Payload'!$B$10:$B$40,"",0),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Payload'!$A$10:$A$40,'SI - Payload'!$B$10:$B$40,"",0),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Payload'!$A$10:$A$40,'SI - Payload'!$B$10:$B$40,"",0),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Payload'!$A$10:$A$40,'SI - Payload'!$B$10:$B$40,"",0),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Payload'!$A$10:$A$40,'SI - Payload'!$B$10:$B$40,"",0),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Payload'!$A$10:$A$40,'SI - Payload'!$B$10:$B$40,"",0),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Payload'!$A$10:$A$40,'SI - Payload'!$B$10:$B$40,"",0),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Payload'!$A$10:$A$40,'SI - Payload'!$B$10:$B$40,"",0),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Payload'!$A$10:$A$40,'SI - Payload'!$B$10:$B$40,"",0),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Payload'!$A$10:$A$40,'SI - Payload'!$B$10:$B$40,"",0),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Payload'!$A$10:$A$40,'SI - Payload'!$B$10:$B$40,"",0),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Payload'!$A$10:$A$40,'SI - Payload'!$B$10:$B$40,"",0),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Payload'!$A$10:$A$40,'SI - Payload'!$B$10:$B$40,"",0),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Payload'!$A$10:$A$40,'SI - Payload'!$B$10:$B$40,"",0),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Payload'!$A$10:$A$40,'SI - Payload'!$B$10:$B$40,"",0),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Payload'!$A$10:$A$40,'SI - Payload'!$B$10:$B$40,"",0),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Payload'!$A$10:$A$40,'SI - Payload'!$B$10:$B$40,"",0),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40"/>
  <sheetViews>
    <sheetView workbookViewId="0">
      <selection activeCell="E19" sqref="E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s="50" t="s">
        <v>312</v>
      </c>
      <c r="B17" s="50">
        <f>W6</f>
        <v>0</v>
      </c>
    </row>
    <row r="18" spans="1:2" x14ac:dyDescent="0.35">
      <c r="A18" s="50" t="s">
        <v>313</v>
      </c>
      <c r="B18" s="50">
        <f>W6</f>
        <v>0</v>
      </c>
    </row>
    <row r="19" spans="1:2" x14ac:dyDescent="0.35">
      <c r="A19" t="s">
        <v>13</v>
      </c>
      <c r="B19" s="50">
        <f>$Y$4</f>
        <v>22.5</v>
      </c>
    </row>
    <row r="20" spans="1:2" x14ac:dyDescent="0.35">
      <c r="A20" t="s">
        <v>14</v>
      </c>
      <c r="B20" s="50">
        <f t="shared" ref="B20:B40" si="0">$Y$4</f>
        <v>22.5</v>
      </c>
    </row>
    <row r="21" spans="1:2" x14ac:dyDescent="0.35">
      <c r="A21" t="s">
        <v>15</v>
      </c>
      <c r="B21" s="50">
        <f t="shared" si="0"/>
        <v>22.5</v>
      </c>
    </row>
    <row r="22" spans="1:2" x14ac:dyDescent="0.35">
      <c r="A22" t="s">
        <v>16</v>
      </c>
      <c r="B22" s="50">
        <f t="shared" si="0"/>
        <v>22.5</v>
      </c>
    </row>
    <row r="23" spans="1:2" x14ac:dyDescent="0.35">
      <c r="A23" t="s">
        <v>17</v>
      </c>
      <c r="B23" s="50">
        <f t="shared" si="0"/>
        <v>22.5</v>
      </c>
    </row>
    <row r="24" spans="1:2" x14ac:dyDescent="0.35">
      <c r="A24" t="s">
        <v>18</v>
      </c>
      <c r="B24" s="50">
        <f t="shared" si="0"/>
        <v>22.5</v>
      </c>
    </row>
    <row r="25" spans="1:2" x14ac:dyDescent="0.35">
      <c r="A25" t="s">
        <v>19</v>
      </c>
      <c r="B25" s="50">
        <f t="shared" si="0"/>
        <v>22.5</v>
      </c>
    </row>
    <row r="26" spans="1:2" x14ac:dyDescent="0.35">
      <c r="A26" t="s">
        <v>107</v>
      </c>
      <c r="B26" s="50">
        <f t="shared" si="0"/>
        <v>22.5</v>
      </c>
    </row>
    <row r="27" spans="1:2" x14ac:dyDescent="0.35">
      <c r="A27" t="s">
        <v>106</v>
      </c>
      <c r="B27" s="50">
        <f t="shared" si="0"/>
        <v>22.5</v>
      </c>
    </row>
    <row r="28" spans="1:2" x14ac:dyDescent="0.35">
      <c r="A28" t="s">
        <v>21</v>
      </c>
      <c r="B28" s="50">
        <f t="shared" si="0"/>
        <v>22.5</v>
      </c>
    </row>
    <row r="29" spans="1:2" x14ac:dyDescent="0.35">
      <c r="A29" t="s">
        <v>36</v>
      </c>
      <c r="B29" s="50">
        <f t="shared" si="0"/>
        <v>22.5</v>
      </c>
    </row>
    <row r="30" spans="1:2" x14ac:dyDescent="0.35">
      <c r="A30" t="s">
        <v>23</v>
      </c>
      <c r="B30" s="50">
        <f t="shared" si="0"/>
        <v>22.5</v>
      </c>
    </row>
    <row r="31" spans="1:2" x14ac:dyDescent="0.35">
      <c r="A31" t="s">
        <v>25</v>
      </c>
      <c r="B31" s="50">
        <f t="shared" si="0"/>
        <v>22.5</v>
      </c>
    </row>
    <row r="32" spans="1:2" x14ac:dyDescent="0.35">
      <c r="A32" t="s">
        <v>26</v>
      </c>
      <c r="B32" s="50">
        <f t="shared" si="0"/>
        <v>22.5</v>
      </c>
    </row>
    <row r="33" spans="1:2" x14ac:dyDescent="0.35">
      <c r="A33" t="s">
        <v>30</v>
      </c>
      <c r="B33" s="50">
        <f t="shared" si="0"/>
        <v>22.5</v>
      </c>
    </row>
    <row r="34" spans="1:2" x14ac:dyDescent="0.35">
      <c r="A34" t="s">
        <v>21</v>
      </c>
      <c r="B34" s="50">
        <f t="shared" si="0"/>
        <v>22.5</v>
      </c>
    </row>
    <row r="35" spans="1:2" x14ac:dyDescent="0.35">
      <c r="A35" t="s">
        <v>20</v>
      </c>
      <c r="B35" s="50">
        <f t="shared" si="0"/>
        <v>22.5</v>
      </c>
    </row>
    <row r="36" spans="1:2" x14ac:dyDescent="0.35">
      <c r="A36" t="s">
        <v>36</v>
      </c>
      <c r="B36" s="50">
        <f t="shared" si="0"/>
        <v>22.5</v>
      </c>
    </row>
    <row r="37" spans="1:2" x14ac:dyDescent="0.35">
      <c r="A37" t="s">
        <v>25</v>
      </c>
      <c r="B37" s="50">
        <f t="shared" si="0"/>
        <v>22.5</v>
      </c>
    </row>
    <row r="38" spans="1:2" x14ac:dyDescent="0.35">
      <c r="A38" t="s">
        <v>239</v>
      </c>
      <c r="B38" s="50">
        <v>23</v>
      </c>
    </row>
    <row r="39" spans="1:2" x14ac:dyDescent="0.35">
      <c r="A39" t="s">
        <v>243</v>
      </c>
      <c r="B39" s="50">
        <v>23</v>
      </c>
    </row>
    <row r="40" spans="1:2" x14ac:dyDescent="0.35">
      <c r="A40" t="s">
        <v>51</v>
      </c>
      <c r="B40"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H5" sqref="H5"/>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71</v>
      </c>
      <c r="J4" t="s">
        <v>220</v>
      </c>
      <c r="R4" t="s">
        <v>3</v>
      </c>
      <c r="S4" t="s">
        <v>323</v>
      </c>
    </row>
    <row r="5" spans="1:19" x14ac:dyDescent="0.35">
      <c r="C5" s="1" t="s">
        <v>309</v>
      </c>
      <c r="D5" s="1"/>
      <c r="E5" s="1" t="s">
        <v>36</v>
      </c>
      <c r="G5" t="s">
        <v>286</v>
      </c>
      <c r="H5" t="s">
        <v>276</v>
      </c>
      <c r="J5" t="s">
        <v>221</v>
      </c>
      <c r="R5" t="s">
        <v>37</v>
      </c>
      <c r="S5" t="s">
        <v>327</v>
      </c>
    </row>
    <row r="6" spans="1:19" x14ac:dyDescent="0.35">
      <c r="C6" t="s">
        <v>71</v>
      </c>
      <c r="E6" s="1" t="s">
        <v>13</v>
      </c>
      <c r="H6" t="s">
        <v>277</v>
      </c>
      <c r="J6" t="s">
        <v>222</v>
      </c>
      <c r="R6" t="s">
        <v>29</v>
      </c>
      <c r="S6" t="s">
        <v>324</v>
      </c>
    </row>
    <row r="7" spans="1:19" x14ac:dyDescent="0.35">
      <c r="C7" t="s">
        <v>276</v>
      </c>
      <c r="E7" s="1" t="s">
        <v>235</v>
      </c>
      <c r="H7" t="s">
        <v>312</v>
      </c>
      <c r="J7" t="s">
        <v>223</v>
      </c>
      <c r="R7" t="s">
        <v>282</v>
      </c>
      <c r="S7" t="s">
        <v>328</v>
      </c>
    </row>
    <row r="8" spans="1:19" x14ac:dyDescent="0.35">
      <c r="C8" t="s">
        <v>277</v>
      </c>
      <c r="E8" s="1" t="s">
        <v>25</v>
      </c>
      <c r="H8" t="s">
        <v>313</v>
      </c>
      <c r="J8" t="s">
        <v>224</v>
      </c>
      <c r="R8" t="s">
        <v>33</v>
      </c>
      <c r="S8" t="s">
        <v>333</v>
      </c>
    </row>
    <row r="9" spans="1:19" x14ac:dyDescent="0.35">
      <c r="C9" t="s">
        <v>312</v>
      </c>
      <c r="E9" s="1" t="s">
        <v>279</v>
      </c>
      <c r="H9" t="s">
        <v>243</v>
      </c>
      <c r="J9" t="s">
        <v>225</v>
      </c>
      <c r="R9" t="s">
        <v>217</v>
      </c>
      <c r="S9" t="s">
        <v>325</v>
      </c>
    </row>
    <row r="10" spans="1:19" x14ac:dyDescent="0.35">
      <c r="C10" t="s">
        <v>313</v>
      </c>
      <c r="E10" s="1" t="s">
        <v>15</v>
      </c>
      <c r="H10" t="s">
        <v>288</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Payload'!$A$10:$A$40,'SI - Payload'!$B$10:$B$40,"",0),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Payload'!$A$10:$A$40,'SI - Payload'!$B$10:$B$40,"",0),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Payload'!$A$10:$A$40,'SI - Payload'!$B$10:$B$40,"",0),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Payload'!$A$10:$A$40,'SI - Payload'!$B$10:$B$40,"",0),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Payload'!$A$10:$A$40,'SI - Payload'!$B$10:$B$40,"",0),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Payload'!$A$10:$A$40,'SI - Payload'!$B$10:$B$40,"",0),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Payload'!$A$10:$A$40,'SI - Payload'!$B$10:$B$40,"",0),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Payload'!$A$10:$A$40,'SI - Payload'!$B$10:$B$40,"",0),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Payload'!$A$10:$A$40,'SI - Payload'!$B$10:$B$40,"",0),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Payload'!$A$10:$A$40,'SI - Payload'!$B$10:$B$40,"",0),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Payload'!$A$10:$A$40,'SI - Payload'!$B$10:$B$40,"",0),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Payload'!$A$10:$A$40,'SI - Payload'!$B$10:$B$40,"",0),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Payload'!$A$10:$A$40,'SI - Payload'!$B$10:$B$40,"",0),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Payload'!$A$10:$A$40,'SI - Payload'!$B$10:$B$40,"",0),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Payload'!$A$10:$A$40,'SI - Payload'!$B$10:$B$40,"",0),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Payload'!$A$10:$A$40,'SI - Payload'!$B$10:$B$40,"",0),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Payload'!$A$10:$A$40,'SI - Payload'!$B$10:$B$40,"",0),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Payload'!$A$10:$A$40,'SI - Payload'!$B$10:$B$40,"",0),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Payload'!$A$10:$A$40,'SI - Payload'!$B$10:$B$40,"",0),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Payload'!$A$10:$A$40,'SI - Payload'!$B$10:$B$40,"",0),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Payload'!$A$10:$A$40,'SI - Payload'!$B$10:$B$40,"",0),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Payload'!$A$10:$A$40,'SI - Payload'!$B$10:$B$40,"",0),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Payload'!$A$10:$A$40,'SI - Payload'!$B$10:$B$40,"",0),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Payload'!$A$10:$A$40,'SI - Payload'!$B$10:$B$40,"",0),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Payload'!$A$10:$A$40,'SI - Payload'!$B$10:$B$40,"",0),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Payload'!$A$10:$A$40,'SI - Payload'!$B$10:$B$40,"",0),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Payload'!$A$10:$A$40,'SI - Payload'!$B$10:$B$40,"",0),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Payload'!$A$10:$A$40,'SI - Payload'!$B$10:$B$40,"",0),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Payload'!$A$10:$A$40,'SI - Payload'!$B$10:$B$40,"",0),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Payload'!$A$10:$A$40,'SI - Payload'!$B$10:$B$40,"",0),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Payload'!$A$10:$A$40,'SI - Payload'!$B$10:$B$40,"",0),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Payload'!$A$10:$A$40,'SI - Payload'!$B$10:$B$40,"",0),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Payload'!$A$10:$A$40,'SI - Payload'!$B$10:$B$40,"",0),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Payload'!$A$10:$A$40,'SI - Payload'!$B$10:$B$40,"",0),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Payload'!$A$10:$A$40,'SI - Payload'!$B$10:$B$40,"",0),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Payload'!$A$10:$A$40,'SI - Payload'!$B$10:$B$40,"",0),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Payload'!$A$10:$A$40,'SI - Payload'!$B$10:$B$40,"",0),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Payload'!$A$10:$A$40,'SI - Payload'!$B$10:$B$40,"",0),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Payload'!$A$10:$A$40,'SI - Payload'!$B$10:$B$40,"",0),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Payload'!$A$10:$A$40,'SI - Payload'!$B$10:$B$40,"",0),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Payload'!$A$10:$A$40,'SI - Payload'!$B$10:$B$40,"",0),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Payload'!$A$10:$A$40,'SI - Payload'!$B$10:$B$40,"",0),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Payload'!$A$10:$A$40,'SI - Payload'!$B$10:$B$40,"",0),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Payload'!$A$10:$A$40,'SI - Payload'!$B$10:$B$40,"",0),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Payload'!$A$10:$A$40,'SI - Payload'!$B$10:$B$40,"",0),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Payload'!$A$10:$A$40,'SI - Payload'!$B$10:$B$40,"",0),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Payload'!$A$10:$A$40,'SI - Payload'!$B$10:$B$40,"",0),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Payload'!$A$10:$A$40,'SI - Payload'!$B$10:$B$40,"",0),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Payload'!$A$10:$A$40,'SI - Payload'!$B$10:$B$40,"",0),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Payload'!$A$10:$A$40,'SI - Payload'!$B$10:$B$40,"",0),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Payload'!$A$10:$A$40,'SI - Payload'!$B$10:$B$40,"",0),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Payload'!$A$10:$A$40,'SI - Payload'!$B$10:$B$40,"",0),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Payload'!$A$10:$A$40,'SI - Payload'!$B$10:$B$40,"",0),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Payload'!$A$10:$A$40,'SI - Payload'!$B$10:$B$40,"",0),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Payload'!$A$10:$A$40,'SI - Payload'!$B$10:$B$40,"",0),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Payload'!$A$10:$A$40,'SI - Payload'!$B$10:$B$40,"",0),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Payload'!$A$10:$A$40,'SI - Payload'!$B$10:$B$40,"",0),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Payload'!$A$10:$A$40,'SI - Payload'!$B$10:$B$40,"",0),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Payload'!$A$10:$A$40,'SI - Payload'!$B$10:$B$40,"",0),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Payload'!$A$10:$A$40,'SI - Payload'!$B$10:$B$40,"",0),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Payload'!$A$10:$A$40,'SI - Payload'!$B$10:$B$40,"",0),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Payload'!$A$10:$A$40,'SI - Payload'!$B$10:$B$40,"",0),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Payload'!$A$10:$A$40,'SI - Payload'!$B$10:$B$40,"",0),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Payload'!$A$10:$A$40,'SI - Payload'!$B$10:$B$40,"",0),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Payload'!$A$10:$A$40,'SI - Payload'!$B$10:$B$40,"",0),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Payload'!$A$10:$A$40,'SI - Payload'!$B$10:$B$40,"",0),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Payload'!$A$10:$A$40,'SI - Payload'!$B$10:$B$40,"",0),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Payload'!$A$10:$A$40,'SI - Payload'!$B$10:$B$40,"",0),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Payload'!$A$10:$A$40,'SI - Payload'!$B$10:$B$40,"",0),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Payload'!$A$10:$A$40,'SI - Payload'!$B$10:$B$40,"",0),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Payload'!$A$10:$A$40,'SI - Payload'!$B$10:$B$40,"",0),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Payload'!$A$10:$A$40,'SI - Payload'!$B$10:$B$40,"",0),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Payload'!$A$10:$A$40,'SI - Payload'!$B$10:$B$40,"",0),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Payload'!$A$10:$A$40,'SI - Payload'!$B$10:$B$40,"",0),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Payload'!$A$10:$A$40,'SI - Payload'!$B$10:$B$40,"",0),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Payload'!$A$10:$A$40,'SI - Payload'!$B$10:$B$40,"",0),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Payload'!$A$10:$A$40,'SI - Payload'!$B$10:$B$40,"",0),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Payload'!$A$10:$A$40,'SI - Payload'!$B$10:$B$40,"",0),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Payload'!$A$10:$A$40,'SI - Payload'!$B$10:$B$40,"",0),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Payload'!$A$10:$A$40,'SI - Payload'!$B$10:$B$40,"",0),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Payload'!$A$10:$A$40,'SI - Payload'!$B$10:$B$40,"",0),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Payload'!$A$10:$A$40,'SI - Payload'!$B$10:$B$40,"",0),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Payload'!$A$10:$A$40,'SI - Payload'!$B$10:$B$40,"",0),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Payload'!$A$10:$A$40,'SI - Payload'!$B$10:$B$40,"",0),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Payload'!$A$10:$A$40,'SI - Payload'!$B$10:$B$40,"",0),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Payload'!$A$10:$A$40,'SI - Payload'!$B$10:$B$40,"",0),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Payload'!$A$10:$A$40,'SI - Payload'!$B$10:$B$40,"",0),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Payload'!$A$10:$A$40,'SI - Payload'!$B$10:$B$40,"",0),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Payload'!$A$10:$A$40,'SI - Payload'!$B$10:$B$40,"",0),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Payload'!$A$10:$A$40,'SI - Payload'!$B$10:$B$40,"",0),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Payload'!$A$10:$A$40,'SI - Payload'!$B$10:$B$40,"",0),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Payload'!$A$10:$A$40,'SI - Payload'!$B$10:$B$40,"",0),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Payload'!$A$10:$A$40,'SI - Payload'!$B$10:$B$40,"",0),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Payload'!$A$10:$A$40,'SI - Payload'!$B$10:$B$40,"",0),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Payload'!$A$10:$A$40,'SI - Payload'!$B$10:$B$40,"",0),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Payload'!$A$10:$A$40,'SI - Payload'!$B$10:$B$40,"",0),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Payload'!$A$10:$A$40,'SI - Payload'!$B$10:$B$40,"",0),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Payload'!$A$10:$A$40,'SI - Payload'!$B$10:$B$40,"",0),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Payload'!$A$10:$A$40,'SI - Payload'!$B$10:$B$40,"",0),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Payload'!$A$10:$A$40,'SI - Payload'!$B$10:$B$40,"",0),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Payload'!$A$10:$A$40,'SI - Payload'!$B$10:$B$40,"",0),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Payload'!$A$10:$A$40,'SI - Payload'!$B$10:$B$40,"",0),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Payload'!$A$10:$A$40,'SI - Payload'!$B$10:$B$40,"",0),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Payload'!$A$10:$A$40,'SI - Payload'!$B$10:$B$40,"",0),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Payload'!$A$10:$A$40,'SI - Payload'!$B$10:$B$40,"",0),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Payload'!$A$10:$A$40,'SI - Payload'!$B$10:$B$40,"",0),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Payload'!$A$10:$A$40,'SI - Payload'!$B$10:$B$40,"",0),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Payload'!$A$10:$A$40,'SI - Payload'!$B$10:$B$40,"",0),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Payload'!$A$10:$A$40,'SI - Payload'!$B$10:$B$40,"",0),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Payload'!$A$10:$A$40,'SI - Payload'!$B$10:$B$40,"",0),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Payload'!$A$10:$A$40,'SI - Payload'!$B$10:$B$40,"",0),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Payload'!$A$10:$A$40,'SI - Payload'!$B$10:$B$40,"",0),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Payload'!$A$10:$A$40,'SI - Payload'!$B$10:$B$40,"",0),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Payload'!$A$10:$A$40,'SI - Payload'!$B$10:$B$40,"",0),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Payload'!$A$10:$A$40,'SI - Payload'!$B$10:$B$40,"",0),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Payload'!$A$10:$A$40,'SI - Payload'!$B$10:$B$40,"",0),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Payload'!$A$10:$A$40,'SI - Payload'!$B$10:$B$40,"",0),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Payload'!$A$10:$A$40,'SI - Payload'!$B$10:$B$40,"",0),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Payload'!$A$10:$A$40,'SI - Payload'!$B$10:$B$40,"",0),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Payload'!$A$10:$A$40,'SI - Payload'!$B$10:$B$40,"",0),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Payload'!$A$10:$A$40,'SI - Payload'!$B$10:$B$40,"",0),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Payload'!$A$10:$A$40,'SI - Payload'!$B$10:$B$40,"",0),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Payload'!$A$10:$A$40,'SI - Payload'!$B$10:$B$40,"",0),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Payload'!$A$10:$A$40,'SI - Payload'!$B$10:$B$40,"",0),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Payload'!$A$10:$A$40,'SI - Payload'!$B$10:$B$40,"",0),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Payload'!$A$10:$A$40,'SI - Payload'!$B$10:$B$40,"",0),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Payload'!$A$10:$A$40,'SI - Payload'!$B$10:$B$40,"",0),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Payload'!$A$10:$A$40,'SI - Payload'!$B$10:$B$40,"",0),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Payload'!$A$10:$A$40,'SI - Payload'!$B$10:$B$40,"",0),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Payload'!$A$10:$A$40,'SI - Payload'!$B$10:$B$40,"",0),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Payload'!$A$10:$A$40,'SI - Payload'!$B$10:$B$40,"",0),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Payload'!$A$10:$A$40,'SI - Payload'!$B$10:$B$40,"",0),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Payload'!$A$10:$A$40,'SI - Payload'!$B$10:$B$40,"",0),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Payload'!$A$10:$A$40,'SI - Payload'!$B$10:$B$40,"",0),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Payload'!$A$10:$A$40,'SI - Payload'!$B$10:$B$40,"",0),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Payload'!$A$10:$A$40,'SI - Payload'!$B$10:$B$40,"",0),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Payload'!$A$10:$A$40,'SI - Payload'!$B$10:$B$40,"",0),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Payload'!$A$10:$A$40,'SI - Payload'!$B$10:$B$40,"",0),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Payload'!$A$10:$A$40,'SI - Payload'!$B$10:$B$40,"",0),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Payload'!$A$10:$A$40,'SI - Payload'!$B$10:$B$40,"",0),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Payload'!$A$10:$A$40,'SI - Payload'!$B$10:$B$40,"",0),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Payload'!$A$10:$A$40,'SI - Payload'!$B$10:$B$40,"",0),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Payload'!$A$10:$A$40,'SI - Payload'!$B$10:$B$40,"",0),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Payload'!$A$10:$A$40,'SI - Payload'!$B$10:$B$40,"",0),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Payload'!$A$10:$A$40,'SI - Payload'!$B$10:$B$40,"",0),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Payload'!$A$10:$A$40,'SI - Payload'!$B$10:$B$40,"",0),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Payload'!$A$10:$A$40,'SI - Payload'!$B$10:$B$40,"",0),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Payload'!$A$10:$A$40,'SI - Payload'!$B$10:$B$40,"",0),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Payload'!$A$10:$A$40,'SI - Payload'!$B$10:$B$40,"",0),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Payload'!$A$10:$A$40,'SI - Payload'!$B$10:$B$40,"",0),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Payload'!$A$10:$A$40,'SI - Payload'!$B$10:$B$40,"",0),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Payload'!$A$10:$A$40,'SI - Payload'!$B$10:$B$40,"",0),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Payload'!$A$10:$A$40,'SI - Payload'!$B$10:$B$40,"",0),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Payload'!$A$10:$A$40,'SI - Payload'!$B$10:$B$40,"",0),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Payload'!$A$10:$A$40,'SI - Payload'!$B$10:$B$40,"",0),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Payload'!$A$10:$A$40,'SI - Payload'!$B$10:$B$40,"",0),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Payload'!$A$10:$A$40,'SI - Payload'!$B$10:$B$40,"",0),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Payload'!$A$10:$A$40,'SI - Payload'!$B$10:$B$40,"",0),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Payload'!$A$10:$A$40,'SI - Payload'!$B$10:$B$40,"",0),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Payload'!$A$10:$A$40,'SI - Payload'!$B$10:$B$40,"",0),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Payload'!$A$10:$A$40,'SI - Payload'!$B$10:$B$40,"",0),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Payload'!$A$10:$A$40,'SI - Payload'!$B$10:$B$40,"",0),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Payload'!$A$10:$A$40,'SI - Payload'!$B$10:$B$40,"",0),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Payload'!$A$10:$A$40,'SI - Payload'!$B$10:$B$40,"",0),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Payload'!$A$10:$A$40,'SI - Payload'!$B$10:$B$40,"",0),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Payload'!$A$10:$A$40,'SI - Payload'!$B$10:$B$40,"",0),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Payload'!$A$10:$A$40,'SI - Payload'!$B$10:$B$40,"",0),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Payload'!$A$10:$A$40,'SI - Payload'!$B$10:$B$40,"",0),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Payload'!$A$10:$A$40,'SI - Payload'!$B$10:$B$40,"",0),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Payload'!$A$10:$A$40,'SI - Payload'!$B$10:$B$40,"",0),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Payload'!$A$10:$A$40,'SI - Payload'!$B$10:$B$40,"",0),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Payload'!$A$10:$A$40,'SI - Payload'!$B$10:$B$40,"",0),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Payload'!$A$10:$A$40,'SI - Payload'!$B$10:$B$40,"",0),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Payload'!$A$10:$A$40,'SI - Payload'!$B$10:$B$40,"",0),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Payload'!$A$10:$A$40,'SI - Payload'!$B$10:$B$40,"",0),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Payload'!$A$10:$A$40,'SI - Payload'!$B$10:$B$40,"",0),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Payload'!$A$10:$A$40,'SI - Payload'!$B$10:$B$40,"",0),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Payload'!$A$10:$A$40,'SI - Payload'!$B$10:$B$40,"",0),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Payload'!$A$10:$A$40,'SI - Payload'!$B$10:$B$40,"",0),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Payload'!$A$10:$A$40,'SI - Payload'!$B$10:$B$40,"",0),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Payload'!$A$10:$A$40,'SI - Payload'!$B$10:$B$40,"",0),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Payload'!$A$10:$A$40,'SI - Payload'!$B$10:$B$40,"",0),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Payload'!$A$10:$A$40,'SI - Payload'!$B$10:$B$40,"",0),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Payload'!$A$10:$A$40,'SI - Payload'!$B$10:$B$40,"",0),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Payload'!$A$10:$A$40,'SI - Payload'!$B$10:$B$40,"",0),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Payload'!$A$10:$A$40,'SI - Payload'!$B$10:$B$40,"",0),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Payload'!$A$10:$A$40,'SI - Payload'!$B$10:$B$40,"",0),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Payload'!$A$10:$A$40,'SI - Payload'!$B$10:$B$40,"",0),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Payload'!$A$10:$A$40,'SI - Payload'!$B$10:$B$40,"",0),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Payload'!$A$10:$A$40,'SI - Payload'!$B$10:$B$40,"",0),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workbookViewId="0">
      <pane ySplit="5" topLeftCell="A6" activePane="bottomLeft" state="frozen"/>
      <selection activeCell="C19" sqref="C19"/>
      <selection pane="bottomLeft" activeCell="C4" sqref="C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Payload'!$A$10:$A$40,'SI - Payload'!$B$10:$B$40,"",0),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Payload'!$A$10:$A$40,'SI - Payload'!$B$10:$B$40,"",0),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Payload'!$A$10:$A$40,'SI - Payload'!$B$10:$B$40,"",0),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Payload'!$A$10:$A$40,'SI - Payload'!$B$10:$B$40,"",0),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Payload'!$A$10:$A$40,'SI - Payload'!$B$10:$B$40,"",0),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Payload'!$A$10:$A$40,'SI - Payload'!$B$10:$B$40,"",0),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Payload'!$A$10:$A$40,'SI - Payload'!$B$10:$B$40,"",0),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Payload'!$A$10:$A$40,'SI - Payload'!$B$10:$B$40,"",0),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Payload'!$A$10:$A$40,'SI - Payload'!$B$10:$B$40,"",0),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Payload'!$A$10:$A$40,'SI - Payload'!$B$10:$B$40,"",0),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Payload'!$A$10:$A$40,'SI - Payload'!$B$10:$B$40,"",0),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Payload'!$A$10:$A$40,'SI - Payload'!$B$10:$B$40,"",0),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Payload'!$A$10:$A$40,'SI - Payload'!$B$10:$B$40,"",0),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Payload'!$A$10:$A$40,'SI - Payload'!$B$10:$B$40,"",0),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Payload'!$A$10:$A$40,'SI - Payload'!$B$10:$B$40,"",0),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Payload'!$A$10:$A$40,'SI - Payload'!$B$10:$B$40,"",0),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Payload'!$A$10:$A$40,'SI - Payload'!$B$10:$B$40,"",0),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Payload'!$A$10:$A$40,'SI - Payload'!$B$10:$B$40,"",0),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Payload'!$A$10:$A$40,'SI - Payload'!$B$10:$B$40,"",0),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Payload'!$A$10:$A$40,'SI - Payload'!$B$10:$B$40,"",0),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Payload'!$A$10:$A$40,'SI - Payload'!$B$10:$B$40,"",0),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Payload'!$A$10:$A$40,'SI - Payload'!$B$10:$B$40,"",0),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Payload'!$A$10:$A$40,'SI - Payload'!$B$10:$B$40,"",0),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Payload'!$A$10:$A$40,'SI - Payload'!$B$10:$B$40,"",0),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Payload'!$A$10:$A$40,'SI - Payload'!$B$10:$B$40,"",0),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Payload'!$A$10:$A$40,'SI - Payload'!$B$10:$B$40,"",0),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Payload'!$A$10:$A$40,'SI - Payload'!$B$10:$B$40,"",0),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Payload'!$A$10:$A$40,'SI - Payload'!$B$10:$B$40,"",0),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Payload'!$A$10:$A$40,'SI - Payload'!$B$10:$B$40,"",0),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Payload'!$A$10:$A$40,'SI - Payload'!$B$10:$B$40,"",0),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Payload'!$A$10:$A$40,'SI - Payload'!$B$10:$B$40,"",0),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Payload'!$A$10:$A$40,'SI - Payload'!$B$10:$B$40,"",0),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Payload'!$A$10:$A$40,'SI - Payload'!$B$10:$B$40,"",0),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Payload'!$A$10:$A$40,'SI - Payload'!$B$10:$B$40,"",0),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Payload'!$A$10:$A$40,'SI - Payload'!$B$10:$B$40,"",0),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Payload'!$A$10:$A$40,'SI - Payload'!$B$10:$B$40,"",0),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Payload'!$A$10:$A$40,'SI - Payload'!$B$10:$B$40,"",0),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Payload'!$A$10:$A$40,'SI - Payload'!$B$10:$B$40,"",0),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Payload'!$A$10:$A$40,'SI - Payload'!$B$10:$B$40,"",0),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Payload'!$A$10:$A$40,'SI - Payload'!$B$10:$B$40,"",0),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Payload'!$A$10:$A$40,'SI - Payload'!$B$10:$B$40,"",0),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Payload'!$A$10:$A$40,'SI - Payload'!$B$10:$B$40,"",0),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Payload'!$A$10:$A$40,'SI - Payload'!$B$10:$B$40,"",0),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Payload'!$A$10:$A$40,'SI - Payload'!$B$10:$B$40,"",0),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Payload'!$A$10:$A$40,'SI - Payload'!$B$10:$B$40,"",0),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Payload'!$A$10:$A$40,'SI - Payload'!$B$10:$B$40,"",0),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Payload'!$A$10:$A$40,'SI - Payload'!$B$10:$B$40,"",0),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Payload'!$A$10:$A$40,'SI - Payload'!$B$10:$B$40,"",0),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Payload'!$A$10:$A$40,'SI - Payload'!$B$10:$B$40,"",0),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Payload'!$A$10:$A$40,'SI - Payload'!$B$10:$B$40,"",0),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Payload'!$A$10:$A$40,'SI - Payload'!$B$10:$B$40,"",0),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Payload'!$A$10:$A$40,'SI - Payload'!$B$10:$B$40,"",0),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Payload'!$A$10:$A$40,'SI - Payload'!$B$10:$B$40,"",0),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Payload'!$A$10:$A$40,'SI - Payload'!$B$10:$B$40,"",0),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Payload'!$A$10:$A$40,'SI - Payload'!$B$10:$B$40,"",0),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Payload'!$A$10:$A$40,'SI - Payload'!$B$10:$B$40,"",0),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Payload'!$A$10:$A$40,'SI - Payload'!$B$10:$B$40,"",0),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Payload'!$A$10:$A$40,'SI - Payload'!$B$10:$B$40,"",0),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Payload'!$A$10:$A$40,'SI - Payload'!$B$10:$B$40,"",0),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Payload'!$A$10:$A$40,'SI - Payload'!$B$10:$B$40,"",0),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Payload'!$A$10:$A$40,'SI - Payload'!$B$10:$B$40,"",0),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Payload'!$A$10:$A$40,'SI - Payload'!$B$10:$B$40,"",0),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Payload'!$A$10:$A$40,'SI - Payload'!$B$10:$B$40,"",0),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Payload'!$A$10:$A$40,'SI - Payload'!$B$10:$B$40,"",0),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Payload'!$A$10:$A$40,'SI - Payload'!$B$10:$B$40,"",0),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Payload'!$A$10:$A$40,'SI - Payload'!$B$10:$B$40,"",0),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Payload'!$A$10:$A$40,'SI - Payload'!$B$10:$B$40,"",0),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Payload'!$A$10:$A$40,'SI - Payload'!$B$10:$B$40,"",0),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Payload'!$A$10:$A$40,'SI - Payload'!$B$10:$B$40,"",0),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Payload'!$A$10:$A$40,'SI - Payload'!$B$10:$B$40,"",0),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Payload'!$A$10:$A$40,'SI - Payload'!$B$10:$B$40,"",0),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Payload'!$A$10:$A$40,'SI - Payload'!$B$10:$B$40,"",0),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Payload'!$A$10:$A$40,'SI - Payload'!$B$10:$B$40,"",0),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Payload'!$A$10:$A$40,'SI - Payload'!$B$10:$B$40,"",0),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Payload'!$A$10:$A$40,'SI - Payload'!$B$10:$B$40,"",0),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Payload'!$A$10:$A$40,'SI - Payload'!$B$10:$B$40,"",0),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Payload'!$A$10:$A$40,'SI - Payload'!$B$10:$B$40,"",0),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Payload'!$A$10:$A$40,'SI - Payload'!$B$10:$B$40,"",0),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Payload'!$A$10:$A$40,'SI - Payload'!$B$10:$B$40,"",0),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Payload'!$A$10:$A$40,'SI - Payload'!$B$10:$B$40,"",0),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Payload'!$A$10:$A$40,'SI - Payload'!$B$10:$B$40,"",0),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Payload'!$A$10:$A$40,'SI - Payload'!$B$10:$B$40,"",0),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Payload'!$A$10:$A$40,'SI - Payload'!$B$10:$B$40,"",0),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Payload'!$A$10:$A$40,'SI - Payload'!$B$10:$B$40,"",0),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Payload'!$A$10:$A$40,'SI - Payload'!$B$10:$B$40,"",0),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Payload'!$A$10:$A$40,'SI - Payload'!$B$10:$B$40,"",0),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Payload'!$A$10:$A$40,'SI - Payload'!$B$10:$B$40,"",0),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Payload'!$A$10:$A$40,'SI - Payload'!$B$10:$B$40,"",0),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Payload'!$A$10:$A$40,'SI - Payload'!$B$10:$B$40,"",0),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Payload'!$A$10:$A$40,'SI - Payload'!$B$10:$B$40,"",0),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Payload'!$A$10:$A$40,'SI - Payload'!$B$10:$B$40,"",0),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Payload'!$A$10:$A$40,'SI - Payload'!$B$10:$B$40,"",0),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Payload'!$A$10:$A$40,'SI - Payload'!$B$10:$B$40,"",0),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Payload'!$A$10:$A$40,'SI - Payload'!$B$10:$B$40,"",0),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Payload'!$A$10:$A$40,'SI - Payload'!$B$10:$B$40,"",0),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Payload'!$A$10:$A$40,'SI - Payload'!$B$10:$B$40,"",0),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Payload'!$A$10:$A$40,'SI - Payload'!$B$10:$B$40,"",0),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Payload'!$A$10:$A$40,'SI - Payload'!$B$10:$B$40,"",0),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Payload'!$A$10:$A$40,'SI - Payload'!$B$10:$B$40,"",0),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Payload'!$A$10:$A$40,'SI - Payload'!$B$10:$B$40,"",0),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Payload'!$A$10:$A$40,'SI - Payload'!$B$10:$B$40,"",0),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Payload'!$A$10:$A$40,'SI - Payload'!$B$10:$B$40,"",0),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Payload'!$A$10:$A$40,'SI - Payload'!$B$10:$B$40,"",0),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Payload'!$A$10:$A$40,'SI - Payload'!$B$10:$B$40,"",0),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Payload'!$A$10:$A$40,'SI - Payload'!$B$10:$B$40,"",0),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Payload'!$A$10:$A$40,'SI - Payload'!$B$10:$B$40,"",0),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Payload'!$A$10:$A$40,'SI - Payload'!$B$10:$B$40,"",0),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Payload'!$A$10:$A$40,'SI - Payload'!$B$10:$B$40,"",0),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Payload'!$A$10:$A$40,'SI - Payload'!$B$10:$B$40,"",0),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Payload'!$A$10:$A$40,'SI - Payload'!$B$10:$B$40,"",0),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Payload'!$A$10:$A$40,'SI - Payload'!$B$10:$B$40,"",0),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Payload'!$A$10:$A$40,'SI - Payload'!$B$10:$B$40,"",0),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Payload'!$A$10:$A$40,'SI - Payload'!$B$10:$B$40,"",0),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Payload'!$A$10:$A$40,'SI - Payload'!$B$10:$B$40,"",0),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Payload'!$A$10:$A$40,'SI - Payload'!$B$10:$B$40,"",0),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Payload'!$A$10:$A$40,'SI - Payload'!$B$10:$B$40,"",0),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Payload'!$A$10:$A$40,'SI - Payload'!$B$10:$B$40,"",0),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Payload'!$A$10:$A$40,'SI - Payload'!$B$10:$B$40,"",0),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Payload'!$A$10:$A$40,'SI - Payload'!$B$10:$B$40,"",0),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Payload'!$A$10:$A$40,'SI - Payload'!$B$10:$B$40,"",0),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Payload'!$A$10:$A$40,'SI - Payload'!$B$10:$B$40,"",0),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Payload'!$A$10:$A$40,'SI - Payload'!$B$10:$B$40,"",0),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Payload'!$A$10:$A$40,'SI - Payload'!$B$10:$B$40,"",0),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Payload'!$A$10:$A$40,'SI - Payload'!$B$10:$B$40,"",0),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Payload'!$A$10:$A$40,'SI - Payload'!$B$10:$B$40,"",0),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Payload'!$A$10:$A$40,'SI - Payload'!$B$10:$B$40,"",0),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Payload'!$A$10:$A$40,'SI - Payload'!$B$10:$B$40,"",0),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Payload'!$A$10:$A$40,'SI - Payload'!$B$10:$B$40,"",0),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Payload'!$A$10:$A$40,'SI - Payload'!$B$10:$B$40,"",0),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Payload'!$A$10:$A$40,'SI - Payload'!$B$10:$B$40,"",0),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Payload'!$A$10:$A$40,'SI - Payload'!$B$10:$B$40,"",0),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Payload'!$A$10:$A$40,'SI - Payload'!$B$10:$B$40,"",0),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Payload'!$A$10:$A$40,'SI - Payload'!$B$10:$B$40,"",0),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Payload'!$A$10:$A$40,'SI - Payload'!$B$10:$B$40,"",0),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Payload'!$A$10:$A$40,'SI - Payload'!$B$10:$B$40,"",0),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Payload'!$A$10:$A$40,'SI - Payload'!$B$10:$B$40,"",0),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Payload'!$A$10:$A$40,'SI - Payload'!$B$10:$B$40,"",0),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Payload'!$A$10:$A$40,'SI - Payload'!$B$10:$B$40,"",0),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Payload'!$A$10:$A$40,'SI - Payload'!$B$10:$B$40,"",0),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Payload'!$A$10:$A$40,'SI - Payload'!$B$10:$B$40,"",0),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Payload'!$A$10:$A$40,'SI - Payload'!$B$10:$B$40,"",0),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Payload'!$A$10:$A$40,'SI - Payload'!$B$10:$B$40,"",0),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Payload'!$A$10:$A$40,'SI - Payload'!$B$10:$B$40,"",0),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Payload'!$A$10:$A$40,'SI - Payload'!$B$10:$B$40,"",0),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Payload'!$A$10:$A$40,'SI - Payload'!$B$10:$B$40,"",0),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Payload'!$A$10:$A$40,'SI - Payload'!$B$10:$B$40,"",0),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Payload'!$A$10:$A$40,'SI - Payload'!$B$10:$B$40,"",0),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Payload'!$A$10:$A$40,'SI - Payload'!$B$10:$B$40,"",0),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Payload'!$A$10:$A$40,'SI - Payload'!$B$10:$B$40,"",0),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Payload'!$A$10:$A$40,'SI - Payload'!$B$10:$B$40,"",0),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Payload'!$A$10:$A$40,'SI - Payload'!$B$10:$B$40,"",0),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Payload'!$A$10:$A$40,'SI - Payload'!$B$10:$B$40,"",0),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Payload'!$A$10:$A$40,'SI - Payload'!$B$10:$B$40,"",0),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Payload'!$A$10:$A$40,'SI - Payload'!$B$10:$B$40,"",0),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Payload'!$A$10:$A$40,'SI - Payload'!$B$10:$B$40,"",0),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Payload'!$A$10:$A$40,'SI - Payload'!$B$10:$B$40,"",0),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Payload'!$A$10:$A$40,'SI - Payload'!$B$10:$B$40,"",0),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Payload'!$A$10:$A$40,'SI - Payload'!$B$10:$B$40,"",0),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Payload'!$A$10:$A$40,'SI - Payload'!$B$10:$B$40,"",0),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Payload'!$A$10:$A$40,'SI - Payload'!$B$10:$B$40,"",0),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Payload'!$A$10:$A$40,'SI - Payload'!$B$10:$B$40,"",0),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Payload'!$A$10:$A$40,'SI - Payload'!$B$10:$B$40,"",0),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Payload'!$A$10:$A$40,'SI - Payload'!$B$10:$B$40,"",0),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Payload'!$A$10:$A$40,'SI - Payload'!$B$10:$B$40,"",0),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Payload'!$A$10:$A$40,'SI - Payload'!$B$10:$B$40,"",0),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Payload'!$A$10:$A$40,'SI - Payload'!$B$10:$B$40,"",0),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Payload'!$A$10:$A$40,'SI - Payload'!$B$10:$B$40,"",0),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Payload'!$A$10:$A$40,'SI - Payload'!$B$10:$B$40,"",0),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Payload'!$A$10:$A$40,'SI - Payload'!$B$10:$B$40,"",0),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Payload'!$A$10:$A$40,'SI - Payload'!$B$10:$B$40,"",0),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Payload'!$A$10:$A$40,'SI - Payload'!$B$10:$B$40,"",0),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Payload'!$A$10:$A$40,'SI - Payload'!$B$10:$B$40,"",0),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Payload'!$A$10:$A$40,'SI - Payload'!$B$10:$B$40,"",0),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Payload'!$A$10:$A$40,'SI - Payload'!$B$10:$B$40,"",0),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Payload'!$A$10:$A$40,'SI - Payload'!$B$10:$B$40,"",0),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Payload'!$A$10:$A$40,'SI - Payload'!$B$10:$B$40,"",0),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Payload'!$A$10:$A$40,'SI - Payload'!$B$10:$B$40,"",0),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Payload'!$A$10:$A$40,'SI - Payload'!$B$10:$B$40,"",0),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Payload'!$A$10:$A$40,'SI - Payload'!$B$10:$B$40,"",0),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Payload'!$A$10:$A$40,'SI - Payload'!$B$10:$B$40,"",0),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Payload'!$A$10:$A$40,'SI - Payload'!$B$10:$B$40,"",0),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Payload'!$A$10:$A$40,'SI - Payload'!$B$10:$B$40,"",0),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Payload'!$A$10:$A$40,'SI - Payload'!$B$10:$B$40,"",0),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Payload'!$A$10:$A$40,'SI - Payload'!$B$10:$B$40,"",0),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Payload'!$A$10:$A$40,'SI - Payload'!$B$10:$B$40,"",0),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Payload'!$A$10:$A$40,'SI - Payload'!$B$10:$B$40,"",0),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Payload'!$A$10:$A$40,'SI - Payload'!$B$10:$B$40,"",0),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Payload'!$A$10:$A$40,'SI - Payload'!$B$10:$B$40,"",0),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Payload'!$A$10:$A$40,'SI - Payload'!$B$10:$B$40,"",0),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Payload'!$A$10:$A$40,'SI - Payload'!$B$10:$B$40,"",0),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Payload'!$A$10:$A$40,'SI - Payload'!$B$10:$B$40,"",0),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Payload'!$A$10:$A$40,'SI - Payload'!$B$10:$B$40,"",0),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Payload'!$A$10:$A$40,'SI - Payload'!$B$10:$B$40,"",0),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Payload'!$A$10:$A$40,'SI - Payload'!$B$10:$B$40,"",0),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Payload'!$A$10:$A$40,'SI - Payload'!$B$10:$B$40,"",0),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Payload'!$A$10:$A$40,'SI - Payload'!$B$10:$B$40,"",0),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Payload'!$A$10:$A$40,'SI - Payload'!$B$10:$B$40,"",0),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Payload'!$A$10:$A$40,'SI - Payload'!$B$10:$B$40,"",0),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Payload'!$A$10:$A$40,'SI - Payload'!$B$10:$B$40,"",0),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Payload'!$A$10:$A$40,'SI - Payload'!$B$10:$B$40,"",0),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Payload'!$A$10:$A$40,'SI - Payload'!$B$10:$B$40,"",0),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Payload'!$A$10:$A$40,'SI - Payload'!$B$10:$B$40,"",0),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Payload'!$A$10:$A$40,'SI - Payload'!$B$10:$B$40,"",0),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Payload'!$A$10:$A$40,'SI - Payload'!$B$10:$B$40,"",0),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Payload'!$A$10:$A$40,'SI - Payload'!$B$10:$B$40,"",0),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Payload'!$A$10:$A$40,'SI - Payload'!$B$10:$B$40,"",0),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Payload'!$A$10:$A$40,'SI - Payload'!$B$10:$B$40,"",0),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Payload'!$A$10:$A$40,'SI - Payload'!$B$10:$B$40,"",0),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Payload'!$A$10:$A$40,'SI - Payload'!$B$10:$B$40,"",0),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Payload'!$A$10:$A$40,'SI - Payload'!$B$10:$B$40,"",0),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Payload'!$A$10:$A$40,'SI - Payload'!$B$10:$B$40,"",0),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Payload'!$A$10:$A$40,'SI - Payload'!$B$10:$B$40,"",0),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Payload'!$A$10:$A$40,'SI - Payload'!$B$10:$B$40,"",0),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Payload'!$A$10:$A$40,'SI - Payload'!$B$10:$B$40,"",0),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Payload'!$A$10:$A$40,'SI - Payload'!$B$10:$B$40,"",0),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Payload'!$A$10:$A$40,'SI - Payload'!$B$10:$B$40,"",0),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Payload'!$A$10:$A$40,'SI - Payload'!$B$10:$B$40,"",0),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Payload'!$A$10:$A$40,'SI - Payload'!$B$10:$B$40,"",0),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Payload'!$A$10:$A$40,'SI - Payload'!$B$10:$B$40,"",0),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Payload'!$A$10:$A$40,'SI - Payload'!$B$10:$B$40,"",0),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Payload'!$A$10:$A$40,'SI - Payload'!$B$10:$B$40,"",0),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Payload'!$A$10:$A$40,'SI - Payload'!$B$10:$B$40,"",0),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Payload'!$A$10:$A$40,'SI - Payload'!$B$10:$B$40,"",0),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Payload'!$A$10:$A$40,'SI - Payload'!$B$10:$B$40,"",0),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Payload'!$A$10:$A$40,'SI - Payload'!$B$10:$B$40,"",0),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Payload'!$A$10:$A$40,'SI - Payload'!$B$10:$B$40,"",0),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Payload'!$A$10:$A$40,'SI - Payload'!$B$10:$B$40,"",0),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Payload'!$A$10:$A$40,'SI - Payload'!$B$10:$B$40,"",0),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Payload'!$A$10:$A$40,'SI - Payload'!$B$10:$B$40,"",0),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Payload'!$A$10:$A$40,'SI - Payload'!$B$10:$B$40,"",0),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Payload'!$A$10:$A$40,'SI - Payload'!$B$10:$B$40,"",0),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Payload'!$A$10:$A$40,'SI - Payload'!$B$10:$B$40,"",0),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Payload'!$A$10:$A$40,'SI - Payload'!$B$10:$B$40,"",0),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Payload'!$A$10:$A$40,'SI - Payload'!$B$10:$B$40,"",0),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Payload'!$A$10:$A$40,'SI - Payload'!$B$10:$B$40,"",0),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Payload'!$A$10:$A$40,'SI - Payload'!$B$10:$B$40,"",0),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Payload'!$A$10:$A$40,'SI - Payload'!$B$10:$B$40,"",0),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Payload'!$A$10:$A$40,'SI - Payload'!$B$10:$B$40,"",0),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Payload'!$A$10:$A$40,'SI - Payload'!$B$10:$B$40,"",0),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Payload'!$A$10:$A$40,'SI - Payload'!$B$10:$B$40,"",0),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Payload'!$A$10:$A$40,'SI - Payload'!$B$10:$B$40,"",0),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Payload'!$A$10:$A$40,'SI - Payload'!$B$10:$B$40,"",0),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Payload'!$A$10:$A$40,'SI - Payload'!$B$10:$B$40,"",0),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Payload'!$A$10:$A$40,'SI - Payload'!$B$10:$B$40,"",0),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Payload'!$A$10:$A$40,'SI - Payload'!$B$10:$B$40,"",0),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Payload'!$A$10:$A$40,'SI - Payload'!$B$10:$B$40,"",0),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Payload'!$A$10:$A$40,'SI - Payload'!$B$10:$B$40,"",0),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Payload'!$A$10:$A$40,'SI - Payload'!$B$10:$B$40,"",0),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Payload'!$A$10:$A$40,'SI - Payload'!$B$10:$B$40,"",0),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Payload'!$A$10:$A$40,'SI - Payload'!$B$10:$B$40,"",0),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Payload'!$A$10:$A$40,'SI - Payload'!$B$10:$B$40,"",0),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Payload'!$A$10:$A$40,'SI - Payload'!$B$10:$B$40,"",0),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Payload'!$A$10:$A$40,'SI - Payload'!$B$10:$B$40,"",0),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Payload'!$A$10:$A$40,'SI - Payload'!$B$10:$B$40,"",0),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Payload'!$A$10:$A$40,'SI - Payload'!$B$10:$B$40,"",0),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Payload'!$A$10:$A$40,'SI - Payload'!$B$10:$B$40,"",0),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Payload'!$A$10:$A$40,'SI - Payload'!$B$10:$B$40,"",0),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Payload'!$A$10:$A$40,'SI - Payload'!$B$10:$B$40,"",0),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Payload'!$A$10:$A$40,'SI - Payload'!$B$10:$B$40,"",0),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Payload'!$A$10:$A$40,'SI - Payload'!$B$10:$B$40,"",0),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Payload'!$A$10:$A$40,'SI - Payload'!$B$10:$B$40,"",0),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Payload'!$A$10:$A$40,'SI - Payload'!$B$10:$B$40,"",0),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Payload'!$A$10:$A$40,'SI - Payload'!$B$10:$B$40,"",0),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Payload'!$A$10:$A$40,'SI - Payload'!$B$10:$B$40,"",0),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Payload'!$A$10:$A$40,'SI - Payload'!$B$10:$B$40,"",0),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Payload'!$A$10:$A$40,'SI - Payload'!$B$10:$B$40,"",0),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Payload'!$A$10:$A$40,'SI - Payload'!$B$10:$B$40,"",0),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Payload'!$A$10:$A$40,'SI - Payload'!$B$10:$B$40,"",0),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Payload'!$A$10:$A$40,'SI - Payload'!$B$10:$B$40,"",0),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Payload'!$A$10:$A$40,'SI - Payload'!$B$10:$B$40,"",0),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Payload'!$A$10:$A$40,'SI - Payload'!$B$10:$B$40,"",0),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Payload'!$A$10:$A$40,'SI - Payload'!$B$10:$B$40,"",0),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Payload'!$A$10:$A$40,'SI - Payload'!$B$10:$B$40,"",0),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Payload'!$A$10:$A$40,'SI - Payload'!$B$10:$B$40,"",0),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Payload'!$A$10:$A$40,'SI - Payload'!$B$10:$B$40,"",0),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Payload'!$A$10:$A$40,'SI - Payload'!$B$10:$B$40,"",0),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Payload'!$A$10:$A$40,'SI - Payload'!$B$10:$B$40,"",0),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Payload'!$A$10:$A$40,'SI - Payload'!$B$10:$B$40,"",0),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Payload'!$A$10:$A$40,'SI - Payload'!$B$10:$B$40,"",0),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Payload'!$A$10:$A$40,'SI - Payload'!$B$10:$B$40,"",0),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Payload'!$A$10:$A$40,'SI - Payload'!$B$10:$B$40,"",0),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Payload'!$A$10:$A$40,'SI - Payload'!$B$10:$B$40,"",0),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Payload'!$A$10:$A$40,'SI - Payload'!$B$10:$B$40,"",0),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Payload'!$A$10:$A$40,'SI - Payload'!$B$10:$B$40,"",0),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Payload'!$A$10:$A$40,'SI - Payload'!$B$10:$B$40,"",0),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Payload'!$A$10:$A$40,'SI - Payload'!$B$10:$B$40,"",0),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Payload'!$A$10:$A$40,'SI - Payload'!$B$10:$B$40,"",0),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Payload'!$A$10:$A$40,'SI - Payload'!$B$10:$B$40,"",0),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Payload'!$A$10:$A$40,'SI - Payload'!$B$10:$B$40,"",0),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Payload'!$A$10:$A$40,'SI - Payload'!$B$10:$B$40,"",0),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Payload'!$A$10:$A$40,'SI - Payload'!$B$10:$B$40,"",0),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Payload'!$A$10:$A$40,'SI - Payload'!$B$10:$B$40,"",0),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Payload'!$A$10:$A$40,'SI - Payload'!$B$10:$B$40,"",0),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Payload'!$A$10:$A$40,'SI - Payload'!$B$10:$B$40,"",0),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Payload'!$A$10:$A$40,'SI - Payload'!$B$10:$B$40,"",0),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Payload'!$A$10:$A$40,'SI - Payload'!$B$10:$B$40,"",0),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Payload'!$A$10:$A$40,'SI - Payload'!$B$10:$B$40,"",0),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Payload'!$A$10:$A$40,'SI - Payload'!$B$10:$B$40,"",0),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Payload'!$A$10:$A$40,'SI - Payload'!$B$10:$B$40,"",0),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Payload'!$A$10:$A$40,'SI - Payload'!$B$10:$B$40,"",0),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Payload'!$A$10:$A$40,'SI - Payload'!$B$10:$B$40,"",0),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Payload'!$A$10:$A$40,'SI - Payload'!$B$10:$B$40,"",0),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Payload'!$A$10:$A$40,'SI - Payload'!$B$10:$B$40,"",0),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Payload'!$A$10:$A$40,'SI - Payload'!$B$10:$B$40,"",0),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Payload'!$A$10:$A$40,'SI - Payload'!$B$10:$B$40,"",0),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Payload'!$A$10:$A$40,'SI - Payload'!$B$10:$B$40,"",0),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Payload'!$A$10:$A$40,'SI - Payload'!$B$10:$B$40,"",0),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Payload'!$A$10:$A$40,'SI - Payload'!$B$10:$B$40,"",0),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Payload'!$A$10:$A$40,'SI - Payload'!$B$10:$B$40,"",0),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Payload'!$A$10:$A$40,'SI - Payload'!$B$10:$B$40,"",0),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Payload'!$A$10:$A$40,'SI - Payload'!$B$10:$B$40,"",0),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Payload'!$A$10:$A$40,'SI - Payload'!$B$10:$B$40,"",0),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Payload'!$A$10:$A$40,'SI - Payload'!$B$10:$B$40,"",0),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Payload'!$A$10:$A$40,'SI - Payload'!$B$10:$B$40,"",0),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Payload'!$A$10:$A$40,'SI - Payload'!$B$10:$B$40,"",0),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Payload'!$A$10:$A$40,'SI - Payload'!$B$10:$B$40,"",0),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Payload'!$A$10:$A$40,'SI - Payload'!$B$10:$B$40,"",0),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Payload'!$A$10:$A$40,'SI - Payload'!$B$10:$B$40,"",0),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Payload'!$A$10:$A$40,'SI - Payload'!$B$10:$B$40,"",0),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Payload'!$A$10:$A$40,'SI - Payload'!$B$10:$B$40,"",0),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Payload'!$A$10:$A$40,'SI - Payload'!$B$10:$B$40,"",0),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Payload'!$A$10:$A$40,'SI - Payload'!$B$10:$B$40,"",0),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Payload'!$A$10:$A$40,'SI - Payload'!$B$10:$B$40,"",0),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Payload'!$A$10:$A$40,'SI - Payload'!$B$10:$B$40,"",0),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Payload'!$A$10:$A$40,'SI - Payload'!$B$10:$B$40,"",0),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Payload'!$A$10:$A$40,'SI - Payload'!$B$10:$B$40,"",0),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Payload'!$A$10:$A$40,'SI - Payload'!$B$10:$B$40,"",0),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Payload'!$A$10:$A$40,'SI - Payload'!$B$10:$B$40,"",0),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Payload'!$A$10:$A$40,'SI - Payload'!$B$10:$B$40,"",0),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Payload'!$A$10:$A$40,'SI - Payload'!$B$10:$B$40,"",0),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Payload'!$A$10:$A$40,'SI - Payload'!$B$10:$B$40,"",0),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Payload'!$A$10:$A$40,'SI - Payload'!$B$10:$B$40,"",0),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Payload'!$A$10:$A$40,'SI - Payload'!$B$10:$B$40,"",0),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Payload'!$A$10:$A$40,'SI - Payload'!$B$10:$B$40,"",0),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Payload'!$A$10:$A$40,'SI - Payload'!$B$10:$B$40,"",0),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Payload'!$A$10:$A$40,'SI - Payload'!$B$10:$B$40,"",0),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Payload'!$A$10:$A$40,'SI - Payload'!$B$10:$B$40,"",0),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Payload'!$A$10:$A$40,'SI - Payload'!$B$10:$B$40,"",0),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Payload'!$A$10:$A$40,'SI - Payload'!$B$10:$B$40,"",0),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Payload'!$A$10:$A$40,'SI - Payload'!$B$10:$B$40,"",0),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Payload'!$A$10:$A$40,'SI - Payload'!$B$10:$B$40,"",0),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Payload'!$A$10:$A$40,'SI - Payload'!$B$10:$B$40,"",0),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Payload'!$A$10:$A$40,'SI - Payload'!$B$10:$B$40,"",0),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Payload'!$A$10:$A$40,'SI - Payload'!$B$10:$B$40,"",0),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Payload'!$A$10:$A$40,'SI - Payload'!$B$10:$B$40,"",0),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Payload'!$A$10:$A$40,'SI - Payload'!$B$10:$B$40,"",0),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Payload'!$A$10:$A$40,'SI - Payload'!$B$10:$B$40,"",0),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Payload'!$A$10:$A$40,'SI - Payload'!$B$10:$B$40,"",0),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Payload'!$A$10:$A$40,'SI - Payload'!$B$10:$B$40,"",0),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Payload'!$A$10:$A$40,'SI - Payload'!$B$10:$B$40,"",0),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Payload'!$A$10:$A$40,'SI - Payload'!$B$10:$B$40,"",0),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Payload'!$A$10:$A$40,'SI - Payload'!$B$10:$B$40,"",0),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Payload'!$A$10:$A$40,'SI - Payload'!$B$10:$B$40,"",0),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Payload'!$A$10:$A$40,'SI - Payload'!$B$10:$B$40,"",0),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Payload'!$A$10:$A$40,'SI - Payload'!$B$10:$B$40,"",0),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Payload'!$A$10:$A$40,'SI - Payload'!$B$10:$B$40,"",0),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Payload'!$A$10:$A$40,'SI - Payload'!$B$10:$B$40,"",0),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Payload'!$A$10:$A$40,'SI - Payload'!$B$10:$B$40,"",0),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Payload'!$A$10:$A$40,'SI - Payload'!$B$10:$B$40,"",0),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Payload'!$A$10:$A$40,'SI - Payload'!$B$10:$B$40,"",0),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Payload'!$A$10:$A$40,'SI - Payload'!$B$10:$B$40,"",0),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Payload'!$A$10:$A$40,'SI - Payload'!$B$10:$B$40,"",0),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Payload'!$A$10:$A$40,'SI - Payload'!$B$10:$B$40,"",0),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Payload'!$A$10:$A$40,'SI - Payload'!$B$10:$B$40,"",0),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Payload'!$A$10:$A$40,'SI - Payload'!$B$10:$B$40,"",0),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Payload'!$A$10:$A$40,'SI - Payload'!$B$10:$B$40,"",0),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Payload'!$A$10:$A$40,'SI - Payload'!$B$10:$B$40,"",0),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Payload'!$A$10:$A$40,'SI - Payload'!$B$10:$B$40,"",0),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Payload'!$A$10:$A$40,'SI - Payload'!$B$10:$B$40,"",0),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Payload'!$A$10:$A$40,'SI - Payload'!$B$10:$B$40,"",0),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Payload'!$A$10:$A$40,'SI - Payload'!$B$10:$B$40,"",0),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Payload'!$A$10:$A$40,'SI - Payload'!$B$10:$B$40,"",0),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Payload'!$A$10:$A$40,'SI - Payload'!$B$10:$B$40,"",0),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Payload'!$A$10:$A$40,'SI - Payload'!$B$10:$B$40,"",0),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Payload'!$A$10:$A$40,'SI - Payload'!$B$10:$B$40,"",0),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Payload'!$A$10:$A$40,'SI - Payload'!$B$10:$B$40,"",0),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Payload'!$A$10:$A$40,'SI - Payload'!$B$10:$B$40,"",0),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Payload'!$A$10:$A$40,'SI - Payload'!$B$10:$B$40,"",0),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Payload'!$A$10:$A$40,'SI - Payload'!$B$10:$B$40,"",0),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Payload'!$A$10:$A$40,'SI - Payload'!$B$10:$B$40,"",0),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Payload'!$A$10:$A$40,'SI - Payload'!$B$10:$B$40,"",0),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3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Payload'!$A$10:$A$40,'SI - Payload'!$B$10:$B$40,"",0),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3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Payload'!$A$10:$A$40,'SI - Payload'!$B$10:$B$40,"",0),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3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Payload'!$A$10:$A$40,'SI - Payload'!$B$10:$B$40,"",0),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Payload'!$A$10:$A$40,'SI - Payload'!$B$10:$B$40,"",0),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Payload'!$A$10:$A$40,'SI - Payload'!$B$10:$B$40,"",0),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Payload'!$A$10:$A$40,'SI - Payload'!$B$10:$B$40,"",0),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Payload'!$A$10:$A$40,'SI - Payload'!$B$10:$B$40,"",0),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Payload'!$A$10:$A$40,'SI - Payload'!$B$10:$B$40,"",0),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Payload'!$A$10:$A$40,'SI - Payload'!$B$10:$B$40,"",0),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Payload'!$A$10:$A$40,'SI - Payload'!$B$10:$B$40,"",0),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Payload'!$A$10:$A$40,'SI - Payload'!$B$10:$B$40,"",0),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Payload'!$A$10:$A$40,'SI - Payload'!$B$10:$B$40,"",0),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Payload'!$A$10:$A$40,'SI - Payload'!$B$10:$B$40,"",0),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Payload'!$A$10:$A$40,'SI - Payload'!$B$10:$B$40,"",0),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Payload'!$A$10:$A$40,'SI - Payload'!$B$10:$B$40,"",0),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Payload'!$A$10:$A$40,'SI - Payload'!$B$10:$B$40,"",0),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Payload'!$A$10:$A$40,'SI - Payload'!$B$10:$B$40,"",0),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Payload'!$A$10:$A$40,'SI - Payload'!$B$10:$B$40,"",0),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Payload'!$A$10:$A$40,'SI - Payload'!$B$10:$B$40,"",0),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Payload'!$A$10:$A$40,'SI - Payload'!$B$10:$B$40,"",0),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Payload'!$A$10:$A$40,'SI - Payload'!$B$10:$B$40,"",0),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Payload'!$A$10:$A$40,'SI - Payload'!$B$10:$B$40,"",0),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Payload'!$A$10:$A$40,'SI - Payload'!$B$10:$B$40,"",0),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Payload'!$A$10:$A$40,'SI - Payload'!$B$10:$B$40,"",0),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Payload'!$A$10:$A$40,'SI - Payload'!$B$10:$B$40,"",0),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Payload'!$A$10:$A$40,'SI - Payload'!$B$10:$B$40,"",0),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Payload'!$A$10:$A$40,'SI - Payload'!$B$10:$B$40,"",0),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Payload'!$A$10:$A$40,'SI - Payload'!$B$10:$B$40,"",0),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Payload'!$A$10:$A$40,'SI - Payload'!$B$10:$B$40,"",0),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Payload'!$A$10:$A$40,'SI - Payload'!$B$10:$B$40,"",0),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Payload'!$A$10:$A$40,'SI - Payload'!$B$10:$B$40,"",0),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Payload'!$A$10:$A$40,'SI - Payload'!$B$10:$B$40,"",0),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Payload'!$A$10:$A$40,'SI - Payload'!$B$10:$B$40,"",0),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Payload'!$A$10:$A$40,'SI - Payload'!$B$10:$B$40,"",0),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Payload'!$A$10:$A$40,'SI - Payload'!$B$10:$B$40,"",0),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Payload'!$A$10:$A$40,'SI - Payload'!$B$10:$B$40,"",0),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Payload'!$A$10:$A$40,'SI - Payload'!$B$10:$B$40,"",0),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Payload'!$A$10:$A$40,'SI - Payload'!$B$10:$B$40,"",0),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Payload'!$A$10:$A$40,'SI - Payload'!$B$10:$B$40,"",0),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Payload'!$A$10:$A$40,'SI - Payload'!$B$10:$B$40,"",0),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Payload'!$A$10:$A$40,'SI - Payload'!$B$10:$B$40,"",0),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Payload'!$A$10:$A$40,'SI - Payload'!$B$10:$B$40,"",0),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Payload'!$A$10:$A$40,'SI - Payload'!$B$10:$B$40,"",0),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Payload'!$A$10:$A$40,'SI - Payload'!$B$10:$B$40,"",0),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Payload'!$A$10:$A$40,'SI - Payload'!$B$10:$B$40,"",0),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Payload'!$A$10:$A$40,'SI - Payload'!$B$10:$B$40,"",0),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Payload'!$A$10:$A$40,'SI - Payload'!$B$10:$B$40,"",0),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Payload'!$A$10:$A$40,'SI - Payload'!$B$10:$B$40,"",0),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Payload'!$A$10:$A$40,'SI - Payload'!$B$10:$B$40,"",0),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Payload'!$A$10:$A$40,'SI - Payload'!$B$10:$B$40,"",0),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Payload'!$A$10:$A$40,'SI - Payload'!$B$10:$B$40,"",0),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Payload'!$A$10:$A$40,'SI - Payload'!$B$10:$B$40,"",0),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Payload'!$A$10:$A$40,'SI - Payload'!$B$10:$B$40,"",0),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Payload'!$A$10:$A$40,'SI - Payload'!$B$10:$B$40,"",0),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Payload'!$A$10:$A$40,'SI - Payload'!$B$10:$B$40,"",0),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Payload'!$A$10:$A$40,'SI - Payload'!$B$10:$B$40,"",0),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Payload'!$A$10:$A$40,'SI - Payload'!$B$10:$B$40,"",0),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Payload'!$A$10:$A$40,'SI - Payload'!$B$10:$B$40,"",0),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Payload'!$A$10:$A$40,'SI - Payload'!$B$10:$B$40,"",0),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Payload'!$A$10:$A$40,'SI - Payload'!$B$10:$B$40,"",0),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Payload'!$A$10:$A$40,'SI - Payload'!$B$10:$B$40,"",0),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Payload'!$A$10:$A$40,'SI - Payload'!$B$10:$B$40,"",0),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Payload'!$A$10:$A$40,'SI - Payload'!$B$10:$B$40,"",0),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Payload'!$A$10:$A$40,'SI - Payload'!$B$10:$B$40,"",0),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Payload'!$A$10:$A$40,'SI - Payload'!$B$10:$B$40,"",0),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Payload'!$A$10:$A$40,'SI - Payload'!$B$10:$B$40,"",0),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Payload'!$A$10:$A$40,'SI - Payload'!$B$10:$B$40,"",0),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Payload'!$A$10:$A$40,'SI - Payload'!$B$10:$B$40,"",0),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Payload'!$A$10:$A$40,'SI - Payload'!$B$10:$B$40,"",0),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Payload'!$A$10:$A$40,'SI - Payload'!$B$10:$B$40,"",0),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Payload'!$A$10:$A$40,'SI - Payload'!$B$10:$B$40,"",0),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Payload'!$A$10:$A$40,'SI - Payload'!$B$10:$B$40,"",0),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Payload'!$A$10:$A$40,'SI - Payload'!$B$10:$B$40,"",0),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Payload'!$A$10:$A$40,'SI - Payload'!$B$10:$B$40,"",0),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Payload'!$A$10:$A$40,'SI - Payload'!$B$10:$B$40,"",0),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Payload'!$A$10:$A$40,'SI - Payload'!$B$10:$B$40,"",0),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Payload'!$A$10:$A$40,'SI - Payload'!$B$10:$B$40,"",0),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Payload'!$A$10:$A$40,'SI - Payload'!$B$10:$B$40,"",0),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Payload'!$A$10:$A$40,'SI - Payload'!$B$10:$B$40,"",0),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Payload'!$A$10:$A$40,'SI - Payload'!$B$10:$B$40,"",0),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Payload'!$A$10:$A$40,'SI - Payload'!$B$10:$B$40,"",0),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Payload'!$A$10:$A$40,'SI - Payload'!$B$10:$B$40,"",0),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Payload'!$A$10:$A$40,'SI - Payload'!$B$10:$B$40,"",0),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Payload'!$A$10:$A$40,'SI - Payload'!$B$10:$B$40,"",0),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Payload'!$A$10:$A$40,'SI - Payload'!$B$10:$B$40,"",0),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Payload'!$A$10:$A$40,'SI - Payload'!$B$10:$B$40,"",0),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Payload'!$A$10:$A$40,'SI - Payload'!$B$10:$B$40,"",0),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Payload'!$A$10:$A$40,'SI - Payload'!$B$10:$B$40,"",0),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Payload'!$A$10:$A$40,'SI - Payload'!$B$10:$B$40,"",0),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Payload'!$A$10:$A$40,'SI - Payload'!$B$10:$B$40,"",0),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Payload'!$A$10:$A$40,'SI - Payload'!$B$10:$B$40,"",0),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Payload'!$A$10:$A$40,'SI - Payload'!$B$10:$B$40,"",0),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Payload'!$A$10:$A$40,'SI - Payload'!$B$10:$B$40,"",0),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C1" sqref="C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Payload'!$A$10:$A$40,'SI - Payload'!$B$10:$B$40,"",0),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3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3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Payload'!$A$10:$A$40,'SI - Payload'!$B$10:$B$40,"",0),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Payload'!$A$10:$A$40,'SI - Payload'!$B$10:$B$40,"",0),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Payload'!$A$10:$A$40,'SI - Payload'!$B$10:$B$40,"",0),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Payload'!$A$10:$A$40,'SI - Payload'!$B$10:$B$40,"",0),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Payload'!$A$10:$A$40,'SI - Payload'!$B$10:$B$40,"",0),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Payload'!$A$10:$A$40,'SI - Payload'!$B$10:$B$40,"",0),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Payload'!$A$10:$A$40,'SI - Payload'!$B$10:$B$40,"",0),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Payload'!$A$10:$A$40,'SI - Payload'!$B$10:$B$40,"",0),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Payload'!$A$10:$A$40,'SI - Payload'!$B$10:$B$40,"",0),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Payload'!$A$10:$A$40,'SI - Payload'!$B$10:$B$40,"",0),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Payload'!$A$10:$A$40,'SI - Payload'!$B$10:$B$40,"",0),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Payload'!$A$10:$A$40,'SI - Payload'!$B$10:$B$40,"",0),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Payload'!$A$10:$A$40,'SI - Payload'!$B$10:$B$40,"",0),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Payload'!$A$10:$A$40,'SI - Payload'!$B$10:$B$40,"",0),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Payload'!$A$10:$A$40,'SI - Payload'!$B$10:$B$40,"",0),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Payload'!$A$10:$A$40,'SI - Payload'!$B$10:$B$40,"",0),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Payload'!$A$10:$A$40,'SI - Payload'!$B$10:$B$40,"",0),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Payload'!$A$10:$A$40,'SI - Payload'!$B$10:$B$40,"",0),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Payload'!$A$10:$A$40,'SI - Payload'!$B$10:$B$40,"",0),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Payload'!$A$10:$A$40,'SI - Payload'!$B$10:$B$40,"",0),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Payload'!$A$10:$A$40,'SI - Payload'!$B$10:$B$40,"",0),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Payload'!$A$10:$A$40,'SI - Payload'!$B$10:$B$40,"",0),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Payload'!$A$10:$A$40,'SI - Payload'!$B$10:$B$40,"",0),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Payload'!$A$10:$A$40,'SI - Payload'!$B$10:$B$40,"",0),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Payload'!$A$10:$A$40,'SI - Payload'!$B$10:$B$40,"",0),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Payload'!$A$10:$A$40,'SI - Payload'!$B$10:$B$40,"",0),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Payload'!$A$10:$A$40,'SI - Payload'!$B$10:$B$40,"",0),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Payload'!$A$10:$A$40,'SI - Payload'!$B$10:$B$40,"",0),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Payload'!$A$10:$A$40,'SI - Payload'!$B$10:$B$40,"",0),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Payload'!$A$10:$A$40,'SI - Payload'!$B$10:$B$40,"",0),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Payload'!$A$10:$A$40,'SI - Payload'!$B$10:$B$40,"",0),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Payload'!$A$10:$A$40,'SI - Payload'!$B$10:$B$40,"",0),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Payload'!$A$10:$A$40,'SI - Payload'!$B$10:$B$40,"",0),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Payload'!$A$10:$A$40,'SI - Payload'!$B$10:$B$40,"",0),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Payload'!$A$10:$A$40,'SI - Payload'!$B$10:$B$40,"",0),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Payload'!$A$10:$A$40,'SI - Payload'!$B$10:$B$40,"",0),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Payload'!$A$10:$A$40,'SI - Payload'!$B$10:$B$40,"",0),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Payload'!$A$10:$A$40,'SI - Payload'!$B$10:$B$40,"",0),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Payload'!$A$10:$A$40,'SI - Payload'!$B$10:$B$40,"",0),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Payload'!$A$10:$A$40,'SI - Payload'!$B$10:$B$40,"",0),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Payload'!$A$10:$A$40,'SI - Payload'!$B$10:$B$40,"",0),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Payload'!$A$10:$A$40,'SI - Payload'!$B$10:$B$40,"",0),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Payload'!$A$10:$A$40,'SI - Payload'!$B$10:$B$40,"",0),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Payload'!$A$10:$A$40,'SI - Payload'!$B$10:$B$40,"",0),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Payload'!$A$10:$A$40,'SI - Payload'!$B$10:$B$40,"",0),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Payload'!$A$10:$A$40,'SI - Payload'!$B$10:$B$40,"",0),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Payload'!$A$10:$A$40,'SI - Payload'!$B$10:$B$40,"",0),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Payload'!$A$10:$A$40,'SI - Payload'!$B$10:$B$40,"",0),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Payload'!$A$10:$A$40,'SI - Payload'!$B$10:$B$40,"",0),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Payload'!$A$10:$A$40,'SI - Payload'!$B$10:$B$40,"",0),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Payload'!$A$10:$A$40,'SI - Payload'!$B$10:$B$40,"",0),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Payload'!$A$10:$A$40,'SI - Payload'!$B$10:$B$40,"",0),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Payload'!$A$10:$A$40,'SI - Payload'!$B$10:$B$40,"",0),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Payload'!$A$10:$A$40,'SI - Payload'!$B$10:$B$40,"",0),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Payload'!$A$10:$A$40,'SI - Payload'!$B$10:$B$40,"",0),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Payload'!$A$10:$A$40,'SI - Payload'!$B$10:$B$40,"",0),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Payload'!$A$10:$A$40,'SI - Payload'!$B$10:$B$40,"",0),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Payload'!$A$10:$A$40,'SI - Payload'!$B$10:$B$40,"",0),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Payload'!$A$10:$A$40,'SI - Payload'!$B$10:$B$40,"",0),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Payload'!$A$10:$A$40,'SI - Payload'!$B$10:$B$40,"",0),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Payload'!$A$10:$A$40,'SI - Payload'!$B$10:$B$40,"",0),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Payload'!$A$10:$A$40,'SI - Payload'!$B$10:$B$40,"",0),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Payload'!$A$10:$A$40,'SI - Payload'!$B$10:$B$40,"",0),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Payload'!$A$10:$A$40,'SI - Payload'!$B$10:$B$40,"",0),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Payload'!$A$10:$A$40,'SI - Payload'!$B$10:$B$40,"",0),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Payload'!$A$10:$A$40,'SI - Payload'!$B$10:$B$40,"",0),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Payload'!$A$10:$A$40,'SI - Payload'!$B$10:$B$40,"",0),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Payload'!$A$10:$A$40,'SI - Payload'!$B$10:$B$40,"",0),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Payload'!$A$10:$A$40,'SI - Payload'!$B$10:$B$40,"",0),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Payload'!$A$10:$A$40,'SI - Payload'!$B$10:$B$40,"",0),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Payload'!$A$10:$A$40,'SI - Payload'!$B$10:$B$40,"",0),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Payload'!$A$10:$A$40,'SI - Payload'!$B$10:$B$40,"",0),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Payload'!$A$10:$A$40,'SI - Payload'!$B$10:$B$40,"",0),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Payload'!$A$10:$A$40,'SI - Payload'!$B$10:$B$40,"",0),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Payload'!$A$10:$A$40,'SI - Payload'!$B$10:$B$40,"",0),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Payload'!$A$10:$A$40,'SI - Payload'!$B$10:$B$40,"",0),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Payload'!$A$10:$A$40,'SI - Payload'!$B$10:$B$40,"",0),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Payload'!$A$10:$A$40,'SI - Payload'!$B$10:$B$40,"",0),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Payload'!$A$10:$A$40,'SI - Payload'!$B$10:$B$40,"",0),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Payload'!$A$10:$A$40,'SI - Payload'!$B$10:$B$40,"",0),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Payload'!$A$10:$A$40,'SI - Payload'!$B$10:$B$40,"",0),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Payload'!$A$10:$A$40,'SI - Payload'!$B$10:$B$40,"",0),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Payload'!$A$10:$A$40,'SI - Payload'!$B$10:$B$40,"",0),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Payload'!$A$10:$A$40,'SI - Payload'!$B$10:$B$40,"",0),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Payload'!$A$10:$A$40,'SI - Payload'!$B$10:$B$40,"",0),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Payload'!$A$10:$A$40,'SI - Payload'!$B$10:$B$40,"",0),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Payload'!$A$10:$A$40,'SI - Payload'!$B$10:$B$40,"",0),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Payload'!$A$10:$A$40,'SI - Payload'!$B$10:$B$40,"",0),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Payload'!$A$10:$A$40,'SI - Payload'!$B$10:$B$40,"",0),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Payload'!$A$10:$A$40,'SI - Payload'!$B$10:$B$40,"",0),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Payload'!$A$10:$A$40,'SI - Payload'!$B$10:$B$40,"",0),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Payload'!$A$10:$A$40,'SI - Payload'!$B$10:$B$40,"",0),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Payload'!$A$10:$A$40,'SI - Payload'!$B$10:$B$40,"",0),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4.5" x14ac:dyDescent="0.35"/>
  <cols>
    <col min="1" max="1" width="20.54296875" bestFit="1" customWidth="1"/>
    <col min="8" max="8" width="14.1796875" bestFit="1" customWidth="1"/>
  </cols>
  <sheetData>
    <row r="1" spans="1:8" x14ac:dyDescent="0.35">
      <c r="A1" s="61"/>
      <c r="B1" s="80" t="s">
        <v>338</v>
      </c>
      <c r="C1" s="80"/>
      <c r="D1" s="62" t="s">
        <v>339</v>
      </c>
      <c r="E1" s="62" t="s">
        <v>340</v>
      </c>
      <c r="F1" s="62" t="s">
        <v>341</v>
      </c>
      <c r="G1" s="62" t="s">
        <v>342</v>
      </c>
      <c r="H1" s="62" t="s">
        <v>343</v>
      </c>
    </row>
    <row r="2" spans="1:8" x14ac:dyDescent="0.35">
      <c r="A2" s="62" t="s">
        <v>344</v>
      </c>
      <c r="B2" s="79">
        <v>89.04</v>
      </c>
      <c r="C2" s="79"/>
      <c r="D2" s="64">
        <v>1</v>
      </c>
      <c r="E2" s="63"/>
      <c r="F2" s="63"/>
      <c r="G2" s="65">
        <v>0.3</v>
      </c>
      <c r="H2" s="65">
        <v>0</v>
      </c>
    </row>
    <row r="3" spans="1:8" x14ac:dyDescent="0.35">
      <c r="A3" s="62" t="s">
        <v>345</v>
      </c>
      <c r="B3" s="81">
        <v>23.19</v>
      </c>
      <c r="C3" s="82"/>
      <c r="D3" s="66"/>
      <c r="E3" s="67">
        <v>1</v>
      </c>
      <c r="F3" s="66"/>
      <c r="G3" s="68">
        <v>0.2</v>
      </c>
      <c r="H3" s="68">
        <v>8.7999999999999995E-2</v>
      </c>
    </row>
    <row r="4" spans="1:8" x14ac:dyDescent="0.35">
      <c r="A4" s="62"/>
      <c r="B4" s="63"/>
      <c r="C4" s="63"/>
      <c r="D4" s="63"/>
      <c r="E4" s="63"/>
      <c r="F4" s="63"/>
      <c r="G4" s="63"/>
      <c r="H4" s="63"/>
    </row>
    <row r="5" spans="1:8" x14ac:dyDescent="0.35">
      <c r="A5" s="62"/>
      <c r="B5" s="69" t="s">
        <v>346</v>
      </c>
      <c r="C5" s="69" t="s">
        <v>347</v>
      </c>
      <c r="D5" s="69" t="s">
        <v>339</v>
      </c>
      <c r="E5" s="69" t="s">
        <v>340</v>
      </c>
      <c r="F5" s="69" t="s">
        <v>341</v>
      </c>
      <c r="G5" s="69" t="s">
        <v>342</v>
      </c>
      <c r="H5" s="62" t="s">
        <v>343</v>
      </c>
    </row>
    <row r="6" spans="1:8" x14ac:dyDescent="0.35">
      <c r="A6" s="62" t="s">
        <v>348</v>
      </c>
      <c r="B6" s="70">
        <v>34.840000000000003</v>
      </c>
      <c r="C6" s="63">
        <v>17.684999999999999</v>
      </c>
      <c r="D6" s="64">
        <v>1</v>
      </c>
      <c r="E6" s="66"/>
      <c r="F6" s="66"/>
      <c r="G6" s="71">
        <v>0.2</v>
      </c>
      <c r="H6" s="71">
        <v>0</v>
      </c>
    </row>
    <row r="7" spans="1:8" x14ac:dyDescent="0.35">
      <c r="A7" s="61"/>
      <c r="B7" s="63"/>
      <c r="C7" s="64"/>
      <c r="D7" s="64"/>
      <c r="E7" s="63"/>
      <c r="F7" s="63"/>
      <c r="G7" s="63"/>
      <c r="H7" s="63"/>
    </row>
    <row r="8" spans="1:8" x14ac:dyDescent="0.35">
      <c r="A8" s="61"/>
      <c r="B8" s="83" t="s">
        <v>349</v>
      </c>
      <c r="C8" s="83"/>
      <c r="D8" s="69" t="s">
        <v>339</v>
      </c>
      <c r="E8" s="69" t="s">
        <v>340</v>
      </c>
      <c r="F8" s="69" t="s">
        <v>341</v>
      </c>
      <c r="G8" s="69" t="s">
        <v>342</v>
      </c>
      <c r="H8" s="62" t="s">
        <v>343</v>
      </c>
    </row>
    <row r="9" spans="1:8" x14ac:dyDescent="0.35">
      <c r="A9" s="62" t="s">
        <v>350</v>
      </c>
      <c r="B9" s="79">
        <v>10.92</v>
      </c>
      <c r="C9" s="79"/>
      <c r="D9" s="63"/>
      <c r="E9" s="64">
        <v>1</v>
      </c>
      <c r="F9" s="63"/>
      <c r="G9" s="71">
        <v>0.11409999999999999</v>
      </c>
      <c r="H9" s="71">
        <v>8.1557678177810455E-2</v>
      </c>
    </row>
    <row r="10" spans="1:8" x14ac:dyDescent="0.35">
      <c r="A10" s="62" t="s">
        <v>351</v>
      </c>
      <c r="B10" s="79">
        <v>289.14999999999998</v>
      </c>
      <c r="C10" s="79"/>
      <c r="D10" s="63"/>
      <c r="E10" s="64">
        <v>1</v>
      </c>
      <c r="F10" s="63"/>
      <c r="G10" s="71">
        <v>0.11409999999999999</v>
      </c>
      <c r="H10" s="71">
        <v>0.02</v>
      </c>
    </row>
    <row r="11" spans="1:8" x14ac:dyDescent="0.35">
      <c r="A11" s="62" t="s">
        <v>352</v>
      </c>
      <c r="B11" s="79">
        <v>7.72</v>
      </c>
      <c r="C11" s="79"/>
      <c r="D11" s="72">
        <v>0.89500000000000002</v>
      </c>
      <c r="E11" s="72">
        <f>1-D11</f>
        <v>0.10499999999999998</v>
      </c>
      <c r="F11" s="63"/>
      <c r="G11" s="71">
        <v>0.11409999999999999</v>
      </c>
      <c r="H11" s="71">
        <v>0</v>
      </c>
    </row>
    <row r="12" spans="1:8" x14ac:dyDescent="0.35">
      <c r="A12" s="62" t="s">
        <v>353</v>
      </c>
      <c r="B12" s="79">
        <v>0</v>
      </c>
      <c r="C12" s="79"/>
      <c r="D12" s="63"/>
      <c r="E12" s="64">
        <v>1</v>
      </c>
      <c r="F12" s="63"/>
      <c r="G12" s="71">
        <v>0.11409999999999999</v>
      </c>
      <c r="H12" s="71">
        <v>0</v>
      </c>
    </row>
    <row r="13" spans="1:8" x14ac:dyDescent="0.35">
      <c r="A13" s="61"/>
      <c r="B13" s="63"/>
      <c r="C13" s="63"/>
      <c r="D13" s="63"/>
      <c r="E13" s="63"/>
      <c r="F13" s="63"/>
      <c r="G13" s="63"/>
      <c r="H13" s="63"/>
    </row>
    <row r="14" spans="1:8" x14ac:dyDescent="0.35">
      <c r="A14" s="62"/>
      <c r="B14" s="69" t="s">
        <v>346</v>
      </c>
      <c r="C14" s="69" t="s">
        <v>347</v>
      </c>
      <c r="D14" s="69" t="s">
        <v>339</v>
      </c>
      <c r="E14" s="69" t="s">
        <v>340</v>
      </c>
      <c r="F14" s="69" t="s">
        <v>341</v>
      </c>
      <c r="G14" s="69" t="s">
        <v>342</v>
      </c>
      <c r="H14" s="62" t="s">
        <v>343</v>
      </c>
    </row>
    <row r="15" spans="1:8" x14ac:dyDescent="0.3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B13BD-C3A1-49F0-85A0-4C52BBC08D42}">
  <sheetPr codeName="Sheet18"/>
  <dimension ref="A1:T100"/>
  <sheetViews>
    <sheetView workbookViewId="0">
      <pane ySplit="5" topLeftCell="A6" activePane="bottomLeft" state="frozen"/>
      <selection activeCell="C19" sqref="C19"/>
      <selection pane="bottomLeft" activeCell="C30" sqref="C3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127</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32</v>
      </c>
      <c r="D6" s="6"/>
      <c r="E6" s="12">
        <v>104166.667</v>
      </c>
      <c r="F6" s="6" t="s">
        <v>58</v>
      </c>
      <c r="G6" s="25">
        <v>0.2</v>
      </c>
      <c r="H6" s="25" t="s">
        <v>361</v>
      </c>
      <c r="I6" s="26" t="s">
        <v>337</v>
      </c>
      <c r="J6" s="25"/>
      <c r="K6" s="6" t="s">
        <v>86</v>
      </c>
      <c r="L6" s="6" t="s">
        <v>337</v>
      </c>
      <c r="M6" s="6" t="s">
        <v>337</v>
      </c>
      <c r="N6" s="6"/>
      <c r="O6" s="6"/>
      <c r="P6" s="6" t="s">
        <v>337</v>
      </c>
      <c r="Q6" s="6" t="s">
        <v>337</v>
      </c>
      <c r="R6" s="6"/>
      <c r="S6" s="6"/>
      <c r="T6" s="6"/>
    </row>
    <row r="7" spans="1:20" x14ac:dyDescent="0.35">
      <c r="A7" s="6" t="s">
        <v>0</v>
      </c>
      <c r="B7" s="6" t="s">
        <v>37</v>
      </c>
      <c r="C7" s="6" t="s">
        <v>106</v>
      </c>
      <c r="D7" s="6"/>
      <c r="E7" s="12">
        <v>10521.436400000001</v>
      </c>
      <c r="F7" s="6" t="s">
        <v>58</v>
      </c>
      <c r="G7" s="25">
        <v>7.0000000000000007E-2</v>
      </c>
      <c r="H7" s="25"/>
      <c r="I7" s="26" t="s">
        <v>337</v>
      </c>
      <c r="J7" s="25"/>
      <c r="K7" s="6" t="s">
        <v>85</v>
      </c>
      <c r="L7" s="6" t="s">
        <v>337</v>
      </c>
      <c r="M7" s="6" t="s">
        <v>337</v>
      </c>
      <c r="N7" s="6"/>
      <c r="O7" s="6"/>
      <c r="P7" s="6" t="s">
        <v>337</v>
      </c>
      <c r="Q7" s="6" t="s">
        <v>337</v>
      </c>
      <c r="R7" s="6"/>
      <c r="S7" s="6"/>
      <c r="T7" s="6"/>
    </row>
    <row r="8" spans="1:20" x14ac:dyDescent="0.35">
      <c r="A8" s="6" t="s">
        <v>0</v>
      </c>
      <c r="B8" s="6" t="s">
        <v>37</v>
      </c>
      <c r="C8" s="6" t="s">
        <v>13</v>
      </c>
      <c r="D8" s="6"/>
      <c r="E8" s="12">
        <v>1582</v>
      </c>
      <c r="F8" s="6" t="s">
        <v>58</v>
      </c>
      <c r="G8" s="25"/>
      <c r="H8" s="25"/>
      <c r="I8" s="26" t="s">
        <v>337</v>
      </c>
      <c r="J8" s="25"/>
      <c r="K8" s="6" t="s">
        <v>85</v>
      </c>
      <c r="L8" s="6" t="s">
        <v>337</v>
      </c>
      <c r="M8" s="6" t="s">
        <v>337</v>
      </c>
      <c r="N8" s="6"/>
      <c r="O8" s="6"/>
      <c r="P8" s="6" t="s">
        <v>337</v>
      </c>
      <c r="Q8" s="6" t="s">
        <v>337</v>
      </c>
      <c r="R8" s="6"/>
      <c r="S8" s="6"/>
      <c r="T8" s="6"/>
    </row>
    <row r="9" spans="1:20" x14ac:dyDescent="0.35">
      <c r="A9" s="6" t="s">
        <v>0</v>
      </c>
      <c r="B9" s="6" t="s">
        <v>37</v>
      </c>
      <c r="C9" s="6" t="s">
        <v>13</v>
      </c>
      <c r="D9" s="6" t="s">
        <v>337</v>
      </c>
      <c r="E9" s="12">
        <v>2000</v>
      </c>
      <c r="F9" s="6" t="s">
        <v>58</v>
      </c>
      <c r="G9" s="25"/>
      <c r="H9" s="25"/>
      <c r="I9" s="26" t="s">
        <v>337</v>
      </c>
      <c r="J9" s="25"/>
      <c r="K9" s="6" t="s">
        <v>86</v>
      </c>
      <c r="L9" s="6" t="s">
        <v>337</v>
      </c>
      <c r="M9" s="6" t="s">
        <v>337</v>
      </c>
      <c r="N9" s="6"/>
      <c r="O9" s="6"/>
      <c r="P9" s="6" t="s">
        <v>337</v>
      </c>
      <c r="Q9" s="6" t="s">
        <v>337</v>
      </c>
      <c r="R9" s="6"/>
      <c r="S9" s="6"/>
      <c r="T9" s="6"/>
    </row>
    <row r="10" spans="1:20" x14ac:dyDescent="0.35">
      <c r="A10" s="6" t="s">
        <v>0</v>
      </c>
      <c r="B10" s="6" t="s">
        <v>37</v>
      </c>
      <c r="C10" s="6" t="s">
        <v>26</v>
      </c>
      <c r="D10" s="6" t="s">
        <v>362</v>
      </c>
      <c r="E10" s="12">
        <v>6666.6666699999996</v>
      </c>
      <c r="F10" s="6" t="s">
        <v>58</v>
      </c>
      <c r="G10" s="25"/>
      <c r="H10" s="25"/>
      <c r="I10" s="26" t="s">
        <v>337</v>
      </c>
      <c r="J10" s="25"/>
      <c r="K10" s="6" t="s">
        <v>86</v>
      </c>
      <c r="L10" s="6" t="s">
        <v>337</v>
      </c>
      <c r="M10" s="6" t="s">
        <v>337</v>
      </c>
      <c r="N10" s="6"/>
      <c r="O10" s="6"/>
      <c r="P10" s="6" t="s">
        <v>337</v>
      </c>
      <c r="Q10" s="6" t="s">
        <v>337</v>
      </c>
      <c r="R10" s="6"/>
      <c r="S10" s="6"/>
      <c r="T10" s="6"/>
    </row>
    <row r="11" spans="1:20" x14ac:dyDescent="0.35">
      <c r="A11" s="6" t="s">
        <v>0</v>
      </c>
      <c r="B11" s="6" t="s">
        <v>37</v>
      </c>
      <c r="C11" s="6" t="s">
        <v>14</v>
      </c>
      <c r="D11" s="6" t="s">
        <v>337</v>
      </c>
      <c r="E11" s="12">
        <v>62</v>
      </c>
      <c r="F11" s="6" t="s">
        <v>58</v>
      </c>
      <c r="G11" s="25"/>
      <c r="H11" s="25"/>
      <c r="I11" s="26" t="s">
        <v>337</v>
      </c>
      <c r="J11" s="25"/>
      <c r="K11" s="6" t="s">
        <v>113</v>
      </c>
      <c r="L11" s="6" t="s">
        <v>337</v>
      </c>
      <c r="M11" s="6" t="s">
        <v>337</v>
      </c>
      <c r="N11" s="6"/>
      <c r="O11" s="6"/>
      <c r="P11" s="6" t="s">
        <v>337</v>
      </c>
      <c r="Q11" s="6" t="s">
        <v>337</v>
      </c>
      <c r="R11" s="6"/>
      <c r="S11" s="6"/>
      <c r="T11" s="6"/>
    </row>
    <row r="12" spans="1:20" x14ac:dyDescent="0.35">
      <c r="A12" s="6" t="s">
        <v>0</v>
      </c>
      <c r="B12" s="6" t="s">
        <v>37</v>
      </c>
      <c r="C12" s="6" t="s">
        <v>14</v>
      </c>
      <c r="D12" s="6" t="s">
        <v>337</v>
      </c>
      <c r="E12" s="12">
        <v>17</v>
      </c>
      <c r="F12" s="6" t="s">
        <v>58</v>
      </c>
      <c r="G12" s="25"/>
      <c r="H12" s="25"/>
      <c r="I12" s="26" t="s">
        <v>337</v>
      </c>
      <c r="J12" s="25"/>
      <c r="K12" s="6" t="s">
        <v>85</v>
      </c>
      <c r="L12" s="6" t="s">
        <v>337</v>
      </c>
      <c r="M12" s="6" t="s">
        <v>337</v>
      </c>
      <c r="N12" s="6"/>
      <c r="O12" s="6"/>
      <c r="P12" s="6" t="s">
        <v>337</v>
      </c>
      <c r="Q12" s="6" t="s">
        <v>337</v>
      </c>
      <c r="R12" s="6"/>
      <c r="S12" s="6"/>
      <c r="T12" s="6"/>
    </row>
    <row r="13" spans="1:20" x14ac:dyDescent="0.35">
      <c r="A13" s="6" t="s">
        <v>0</v>
      </c>
      <c r="B13" s="6" t="s">
        <v>37</v>
      </c>
      <c r="C13" s="6" t="s">
        <v>14</v>
      </c>
      <c r="D13" s="6" t="s">
        <v>337</v>
      </c>
      <c r="E13" s="12">
        <v>2110.0486116671268</v>
      </c>
      <c r="F13" s="6" t="s">
        <v>58</v>
      </c>
      <c r="G13" s="25"/>
      <c r="H13" s="25"/>
      <c r="I13" s="26" t="s">
        <v>337</v>
      </c>
      <c r="J13" s="25"/>
      <c r="K13" s="6" t="s">
        <v>86</v>
      </c>
      <c r="L13" s="6" t="s">
        <v>337</v>
      </c>
      <c r="M13" s="6" t="s">
        <v>337</v>
      </c>
      <c r="N13" s="6"/>
      <c r="O13" s="6"/>
      <c r="P13" s="6" t="s">
        <v>337</v>
      </c>
      <c r="Q13" s="6" t="s">
        <v>337</v>
      </c>
      <c r="R13" s="6"/>
      <c r="S13" s="6"/>
      <c r="T13" s="6"/>
    </row>
    <row r="14" spans="1:20" x14ac:dyDescent="0.35">
      <c r="A14" s="6" t="s">
        <v>0</v>
      </c>
      <c r="B14" s="6" t="s">
        <v>37</v>
      </c>
      <c r="C14" s="6" t="s">
        <v>19</v>
      </c>
      <c r="D14" s="6" t="s">
        <v>337</v>
      </c>
      <c r="E14" s="12">
        <v>1311.6449</v>
      </c>
      <c r="F14" s="6" t="s">
        <v>58</v>
      </c>
      <c r="G14" s="25"/>
      <c r="H14" s="25"/>
      <c r="I14" s="26" t="s">
        <v>337</v>
      </c>
      <c r="J14" s="25"/>
      <c r="K14" s="6" t="s">
        <v>113</v>
      </c>
      <c r="L14" s="6" t="s">
        <v>337</v>
      </c>
      <c r="M14" s="6" t="s">
        <v>337</v>
      </c>
      <c r="N14" s="6"/>
      <c r="O14" s="6"/>
      <c r="P14" s="6" t="s">
        <v>337</v>
      </c>
      <c r="Q14" s="6" t="s">
        <v>337</v>
      </c>
      <c r="R14" s="6"/>
      <c r="S14" s="6"/>
      <c r="T14" s="6"/>
    </row>
    <row r="15" spans="1:20" x14ac:dyDescent="0.35">
      <c r="A15" s="6" t="s">
        <v>0</v>
      </c>
      <c r="B15" s="6" t="s">
        <v>37</v>
      </c>
      <c r="C15" s="6" t="s">
        <v>15</v>
      </c>
      <c r="D15" s="6" t="s">
        <v>337</v>
      </c>
      <c r="E15" s="12">
        <v>918.3483933</v>
      </c>
      <c r="F15" s="6" t="s">
        <v>58</v>
      </c>
      <c r="G15" s="25"/>
      <c r="H15" s="25"/>
      <c r="I15" s="26" t="s">
        <v>337</v>
      </c>
      <c r="J15" s="25"/>
      <c r="K15" s="6" t="s">
        <v>113</v>
      </c>
      <c r="L15" s="6" t="s">
        <v>337</v>
      </c>
      <c r="M15" s="6" t="s">
        <v>337</v>
      </c>
      <c r="N15" s="6"/>
      <c r="O15" s="6"/>
      <c r="P15" s="6" t="s">
        <v>337</v>
      </c>
      <c r="Q15" s="6" t="s">
        <v>337</v>
      </c>
      <c r="R15" s="6"/>
      <c r="S15" s="6"/>
      <c r="T15" s="6"/>
    </row>
    <row r="16" spans="1:20" x14ac:dyDescent="0.35">
      <c r="A16" s="6" t="s">
        <v>0</v>
      </c>
      <c r="B16" s="6" t="s">
        <v>37</v>
      </c>
      <c r="C16" s="6" t="s">
        <v>17</v>
      </c>
      <c r="D16" s="6" t="s">
        <v>337</v>
      </c>
      <c r="E16" s="12">
        <v>7.2460908700000006</v>
      </c>
      <c r="F16" s="6" t="s">
        <v>58</v>
      </c>
      <c r="G16" s="25"/>
      <c r="H16" s="25"/>
      <c r="I16" s="26" t="s">
        <v>337</v>
      </c>
      <c r="J16" s="25"/>
      <c r="K16" s="6" t="s">
        <v>113</v>
      </c>
      <c r="L16" s="6" t="s">
        <v>337</v>
      </c>
      <c r="M16" s="6" t="s">
        <v>337</v>
      </c>
      <c r="N16" s="6"/>
      <c r="O16" s="6"/>
      <c r="P16" s="6" t="s">
        <v>337</v>
      </c>
      <c r="Q16" s="6" t="s">
        <v>337</v>
      </c>
      <c r="R16" s="6"/>
      <c r="S16" s="6"/>
      <c r="T16" s="6"/>
    </row>
    <row r="17" spans="1:20" x14ac:dyDescent="0.35">
      <c r="A17" s="6" t="s">
        <v>0</v>
      </c>
      <c r="B17" s="6" t="s">
        <v>37</v>
      </c>
      <c r="C17" s="6" t="s">
        <v>20</v>
      </c>
      <c r="D17" s="6" t="s">
        <v>337</v>
      </c>
      <c r="E17" s="12">
        <v>36.535699700000002</v>
      </c>
      <c r="F17" s="6" t="s">
        <v>58</v>
      </c>
      <c r="G17" s="25"/>
      <c r="H17" s="25"/>
      <c r="I17" s="26" t="s">
        <v>337</v>
      </c>
      <c r="J17" s="25"/>
      <c r="K17" s="6" t="s">
        <v>113</v>
      </c>
      <c r="L17" s="6" t="s">
        <v>337</v>
      </c>
      <c r="M17" s="6" t="s">
        <v>337</v>
      </c>
      <c r="N17" s="6"/>
      <c r="O17" s="6"/>
      <c r="P17" s="6" t="s">
        <v>337</v>
      </c>
      <c r="Q17" s="6" t="s">
        <v>337</v>
      </c>
      <c r="R17" s="6"/>
      <c r="S17" s="6"/>
      <c r="T17" s="6"/>
    </row>
    <row r="18" spans="1:20" x14ac:dyDescent="0.35">
      <c r="A18" s="6" t="s">
        <v>0</v>
      </c>
      <c r="B18" s="6" t="s">
        <v>37</v>
      </c>
      <c r="C18" s="6" t="s">
        <v>21</v>
      </c>
      <c r="D18" s="6" t="s">
        <v>337</v>
      </c>
      <c r="E18" s="12">
        <v>8.9047192000000006</v>
      </c>
      <c r="F18" s="6" t="s">
        <v>58</v>
      </c>
      <c r="G18" s="25"/>
      <c r="H18" s="25"/>
      <c r="I18" s="26" t="s">
        <v>337</v>
      </c>
      <c r="J18" s="25"/>
      <c r="K18" s="6" t="s">
        <v>113</v>
      </c>
      <c r="L18" s="6" t="s">
        <v>337</v>
      </c>
      <c r="M18" s="6" t="s">
        <v>337</v>
      </c>
      <c r="N18" s="6"/>
      <c r="O18" s="6"/>
      <c r="P18" s="6" t="s">
        <v>337</v>
      </c>
      <c r="Q18" s="6" t="s">
        <v>337</v>
      </c>
      <c r="R18" s="6"/>
      <c r="S18" s="6"/>
      <c r="T18" s="6"/>
    </row>
    <row r="19" spans="1:20" x14ac:dyDescent="0.35">
      <c r="A19" s="6" t="s">
        <v>0</v>
      </c>
      <c r="B19" s="6" t="s">
        <v>37</v>
      </c>
      <c r="C19" s="6" t="s">
        <v>16</v>
      </c>
      <c r="D19" s="6" t="s">
        <v>337</v>
      </c>
      <c r="E19" s="12">
        <v>102.55750299710999</v>
      </c>
      <c r="F19" s="6" t="s">
        <v>58</v>
      </c>
      <c r="G19" s="25"/>
      <c r="H19" s="25"/>
      <c r="I19" s="26" t="s">
        <v>337</v>
      </c>
      <c r="J19" s="25"/>
      <c r="K19" s="6" t="s">
        <v>113</v>
      </c>
      <c r="L19" s="6" t="s">
        <v>337</v>
      </c>
      <c r="M19" s="6" t="s">
        <v>337</v>
      </c>
      <c r="N19" s="6"/>
      <c r="O19" s="6"/>
      <c r="P19" s="6" t="s">
        <v>337</v>
      </c>
      <c r="Q19" s="6" t="s">
        <v>337</v>
      </c>
      <c r="R19" s="6"/>
      <c r="S19" s="6"/>
      <c r="T19" s="6"/>
    </row>
    <row r="20" spans="1:20" x14ac:dyDescent="0.35">
      <c r="A20" s="6" t="s">
        <v>0</v>
      </c>
      <c r="B20" s="6" t="s">
        <v>37</v>
      </c>
      <c r="C20" s="6" t="s">
        <v>18</v>
      </c>
      <c r="D20" s="6" t="s">
        <v>337</v>
      </c>
      <c r="E20" s="12">
        <v>435.59718999999996</v>
      </c>
      <c r="F20" s="6" t="s">
        <v>58</v>
      </c>
      <c r="G20" s="25"/>
      <c r="H20" s="25"/>
      <c r="I20" s="26" t="s">
        <v>337</v>
      </c>
      <c r="J20" s="25"/>
      <c r="K20" s="6" t="s">
        <v>113</v>
      </c>
      <c r="L20" s="6" t="s">
        <v>337</v>
      </c>
      <c r="M20" s="6" t="s">
        <v>337</v>
      </c>
      <c r="N20" s="6"/>
      <c r="O20" s="6"/>
      <c r="P20" s="6" t="s">
        <v>337</v>
      </c>
      <c r="Q20" s="6" t="s">
        <v>337</v>
      </c>
      <c r="R20" s="6"/>
      <c r="S20" s="6"/>
      <c r="T20" s="6"/>
    </row>
    <row r="21" spans="1:20" x14ac:dyDescent="0.35">
      <c r="A21" s="6" t="s">
        <v>0</v>
      </c>
      <c r="B21" s="6" t="s">
        <v>244</v>
      </c>
      <c r="C21" s="6" t="s">
        <v>22</v>
      </c>
      <c r="D21" s="6" t="s">
        <v>337</v>
      </c>
      <c r="E21" s="12">
        <v>864.97422300000005</v>
      </c>
      <c r="F21" s="6" t="s">
        <v>58</v>
      </c>
      <c r="G21" s="25"/>
      <c r="H21" s="25"/>
      <c r="I21" s="26" t="s">
        <v>337</v>
      </c>
      <c r="J21" s="25"/>
      <c r="K21" s="6" t="s">
        <v>113</v>
      </c>
      <c r="L21" s="6" t="s">
        <v>337</v>
      </c>
      <c r="M21" s="6" t="s">
        <v>337</v>
      </c>
      <c r="N21" s="6"/>
      <c r="O21" s="6"/>
      <c r="P21" s="6" t="s">
        <v>337</v>
      </c>
      <c r="Q21" s="6" t="s">
        <v>337</v>
      </c>
      <c r="R21" s="6"/>
      <c r="S21" s="6"/>
      <c r="T21" s="6"/>
    </row>
    <row r="22" spans="1:20" x14ac:dyDescent="0.35">
      <c r="A22" s="6" t="s">
        <v>0</v>
      </c>
      <c r="B22" s="6" t="s">
        <v>37</v>
      </c>
      <c r="C22" s="6" t="s">
        <v>36</v>
      </c>
      <c r="D22" s="6" t="s">
        <v>337</v>
      </c>
      <c r="E22" s="12">
        <v>0.54659266399999995</v>
      </c>
      <c r="F22" s="6" t="s">
        <v>58</v>
      </c>
      <c r="G22" s="25"/>
      <c r="H22" s="25"/>
      <c r="I22" s="26" t="s">
        <v>337</v>
      </c>
      <c r="J22" s="25"/>
      <c r="K22" s="6" t="s">
        <v>86</v>
      </c>
      <c r="L22" s="6" t="s">
        <v>337</v>
      </c>
      <c r="M22" s="6" t="s">
        <v>337</v>
      </c>
      <c r="N22" s="6"/>
      <c r="O22" s="6"/>
      <c r="P22" s="6" t="s">
        <v>337</v>
      </c>
      <c r="Q22" s="6" t="s">
        <v>337</v>
      </c>
      <c r="R22" s="6"/>
      <c r="S22" s="6"/>
      <c r="T22" s="6"/>
    </row>
    <row r="23" spans="1:20" x14ac:dyDescent="0.35">
      <c r="A23" s="6" t="s">
        <v>0</v>
      </c>
      <c r="B23" s="6" t="s">
        <v>37</v>
      </c>
      <c r="C23" s="6" t="s">
        <v>23</v>
      </c>
      <c r="D23" s="6" t="s">
        <v>337</v>
      </c>
      <c r="E23" s="12">
        <v>183.150814</v>
      </c>
      <c r="F23" s="6" t="s">
        <v>58</v>
      </c>
      <c r="G23" s="25"/>
      <c r="H23" s="25"/>
      <c r="I23" s="26" t="s">
        <v>337</v>
      </c>
      <c r="J23" s="25"/>
      <c r="K23" s="6" t="s">
        <v>86</v>
      </c>
      <c r="L23" s="6" t="s">
        <v>337</v>
      </c>
      <c r="M23" s="6" t="s">
        <v>337</v>
      </c>
      <c r="N23" s="6"/>
      <c r="O23" s="6"/>
      <c r="P23" s="6" t="s">
        <v>337</v>
      </c>
      <c r="Q23" s="6" t="s">
        <v>337</v>
      </c>
      <c r="R23" s="6"/>
      <c r="S23" s="6"/>
      <c r="T23" s="6"/>
    </row>
    <row r="24" spans="1:20" x14ac:dyDescent="0.35">
      <c r="A24" s="6" t="s">
        <v>0</v>
      </c>
      <c r="B24" s="6" t="s">
        <v>37</v>
      </c>
      <c r="C24" s="6" t="s">
        <v>25</v>
      </c>
      <c r="D24" s="6" t="s">
        <v>337</v>
      </c>
      <c r="E24" s="12">
        <v>1.27822462</v>
      </c>
      <c r="F24" s="6" t="s">
        <v>58</v>
      </c>
      <c r="G24" s="25"/>
      <c r="H24" s="25"/>
      <c r="I24" s="26" t="s">
        <v>337</v>
      </c>
      <c r="J24" s="25"/>
      <c r="K24" s="6" t="s">
        <v>86</v>
      </c>
      <c r="L24" s="6" t="s">
        <v>337</v>
      </c>
      <c r="M24" s="6" t="s">
        <v>337</v>
      </c>
      <c r="N24" s="6"/>
      <c r="O24" s="6"/>
      <c r="P24" s="6" t="s">
        <v>337</v>
      </c>
      <c r="Q24" s="6" t="s">
        <v>337</v>
      </c>
      <c r="R24" s="6"/>
      <c r="S24" s="6"/>
      <c r="T24" s="6"/>
    </row>
    <row r="25" spans="1:20" x14ac:dyDescent="0.35">
      <c r="A25" s="6" t="s">
        <v>0</v>
      </c>
      <c r="B25" s="6" t="s">
        <v>29</v>
      </c>
      <c r="C25" s="6" t="s">
        <v>29</v>
      </c>
      <c r="D25" s="6" t="s">
        <v>337</v>
      </c>
      <c r="E25" s="12">
        <v>150469.15700000001</v>
      </c>
      <c r="F25" s="6" t="s">
        <v>58</v>
      </c>
      <c r="G25" s="25"/>
      <c r="H25" s="25"/>
      <c r="I25" s="26" t="s">
        <v>337</v>
      </c>
      <c r="J25" s="25"/>
      <c r="K25" s="6" t="s">
        <v>86</v>
      </c>
      <c r="L25" s="6" t="s">
        <v>337</v>
      </c>
      <c r="M25" s="6" t="s">
        <v>337</v>
      </c>
      <c r="N25" s="6"/>
      <c r="O25" s="6"/>
      <c r="P25" s="6" t="s">
        <v>337</v>
      </c>
      <c r="Q25" s="6" t="s">
        <v>337</v>
      </c>
      <c r="R25" s="6"/>
      <c r="S25" s="6"/>
      <c r="T25" s="6"/>
    </row>
    <row r="26" spans="1:20" x14ac:dyDescent="0.35">
      <c r="A26" s="6" t="s">
        <v>0</v>
      </c>
      <c r="B26" s="6" t="s">
        <v>244</v>
      </c>
      <c r="C26" s="6" t="s">
        <v>24</v>
      </c>
      <c r="D26" s="6" t="s">
        <v>31</v>
      </c>
      <c r="E26" s="12">
        <v>6400</v>
      </c>
      <c r="F26" s="6" t="s">
        <v>58</v>
      </c>
      <c r="G26" s="25"/>
      <c r="H26" s="25"/>
      <c r="I26" s="26" t="s">
        <v>337</v>
      </c>
      <c r="J26" s="25"/>
      <c r="K26" s="6" t="s">
        <v>86</v>
      </c>
      <c r="L26" s="6" t="s">
        <v>337</v>
      </c>
      <c r="M26" s="6" t="s">
        <v>337</v>
      </c>
      <c r="N26" s="6"/>
      <c r="O26" s="6"/>
      <c r="P26" s="6" t="s">
        <v>337</v>
      </c>
      <c r="Q26" s="6" t="s">
        <v>337</v>
      </c>
      <c r="R26" s="6"/>
      <c r="S26" s="6"/>
      <c r="T26" s="6"/>
    </row>
    <row r="27" spans="1:20" x14ac:dyDescent="0.35">
      <c r="A27" s="6" t="s">
        <v>0</v>
      </c>
      <c r="B27" s="6" t="s">
        <v>3</v>
      </c>
      <c r="C27" s="6" t="s">
        <v>3</v>
      </c>
      <c r="D27" s="6" t="s">
        <v>10</v>
      </c>
      <c r="E27" s="12">
        <v>17904</v>
      </c>
      <c r="F27" s="6" t="s">
        <v>68</v>
      </c>
      <c r="G27" s="25"/>
      <c r="H27" s="25"/>
      <c r="I27" s="26" t="s">
        <v>337</v>
      </c>
      <c r="J27" s="25"/>
      <c r="K27" s="6" t="s">
        <v>113</v>
      </c>
      <c r="L27" s="6" t="s">
        <v>337</v>
      </c>
      <c r="M27" s="6" t="s">
        <v>337</v>
      </c>
      <c r="N27" s="6"/>
      <c r="O27" s="6"/>
      <c r="P27" s="6" t="s">
        <v>337</v>
      </c>
      <c r="Q27" s="6" t="s">
        <v>337</v>
      </c>
      <c r="R27" s="6"/>
      <c r="S27" s="6"/>
      <c r="T27" s="6"/>
    </row>
    <row r="28" spans="1:20" x14ac:dyDescent="0.35">
      <c r="A28" s="6" t="s">
        <v>0</v>
      </c>
      <c r="B28" s="6" t="s">
        <v>3</v>
      </c>
      <c r="C28" s="6" t="s">
        <v>3</v>
      </c>
      <c r="D28" s="6" t="s">
        <v>10</v>
      </c>
      <c r="E28" s="12">
        <v>3303</v>
      </c>
      <c r="F28" s="6" t="s">
        <v>68</v>
      </c>
      <c r="G28" s="25"/>
      <c r="H28" s="25"/>
      <c r="I28" s="26" t="s">
        <v>337</v>
      </c>
      <c r="J28" s="25"/>
      <c r="K28" s="6" t="s">
        <v>85</v>
      </c>
      <c r="L28" s="6" t="s">
        <v>337</v>
      </c>
      <c r="M28" s="6" t="s">
        <v>337</v>
      </c>
      <c r="N28" s="6"/>
      <c r="O28" s="6"/>
      <c r="P28" s="6" t="s">
        <v>337</v>
      </c>
      <c r="Q28" s="6" t="s">
        <v>337</v>
      </c>
      <c r="R28" s="6"/>
      <c r="S28" s="6"/>
      <c r="T28" s="6"/>
    </row>
    <row r="29" spans="1:20" x14ac:dyDescent="0.35">
      <c r="A29" s="6" t="s">
        <v>0</v>
      </c>
      <c r="B29" s="6" t="s">
        <v>3</v>
      </c>
      <c r="C29" s="6" t="s">
        <v>3</v>
      </c>
      <c r="D29" s="6" t="s">
        <v>10</v>
      </c>
      <c r="E29" s="12">
        <v>19865.607596999995</v>
      </c>
      <c r="F29" s="6" t="s">
        <v>68</v>
      </c>
      <c r="G29" s="25"/>
      <c r="H29" s="25"/>
      <c r="I29" s="26" t="s">
        <v>337</v>
      </c>
      <c r="J29" s="25"/>
      <c r="K29" s="6" t="s">
        <v>86</v>
      </c>
      <c r="L29" s="6" t="s">
        <v>337</v>
      </c>
      <c r="M29" s="6" t="s">
        <v>337</v>
      </c>
      <c r="N29" s="6"/>
      <c r="O29" s="6"/>
      <c r="P29" s="6" t="s">
        <v>337</v>
      </c>
      <c r="Q29" s="6" t="s">
        <v>337</v>
      </c>
      <c r="R29" s="6"/>
      <c r="S29" s="6"/>
      <c r="T29" s="6"/>
    </row>
    <row r="30" spans="1:20" x14ac:dyDescent="0.35">
      <c r="A30" s="6" t="s">
        <v>113</v>
      </c>
      <c r="B30" s="6" t="s">
        <v>244</v>
      </c>
      <c r="C30" s="6" t="s">
        <v>276</v>
      </c>
      <c r="D30" s="6"/>
      <c r="E30" s="12">
        <v>456.83276908311399</v>
      </c>
      <c r="F30" s="6" t="s">
        <v>70</v>
      </c>
      <c r="G30" s="25"/>
      <c r="H30" s="25"/>
      <c r="I30" s="26" t="s">
        <v>337</v>
      </c>
      <c r="J30" s="25"/>
      <c r="K30" s="6" t="s">
        <v>113</v>
      </c>
      <c r="L30" s="6" t="s">
        <v>337</v>
      </c>
      <c r="M30" s="6" t="s">
        <v>337</v>
      </c>
      <c r="N30" s="6">
        <v>21.535015935911794</v>
      </c>
      <c r="O30" s="6" t="s">
        <v>363</v>
      </c>
      <c r="P30" s="6" t="s">
        <v>2</v>
      </c>
      <c r="Q30" s="6" t="s">
        <v>83</v>
      </c>
      <c r="R30" s="6"/>
      <c r="S30" s="6"/>
      <c r="T30" s="6"/>
    </row>
    <row r="31" spans="1:20" x14ac:dyDescent="0.35">
      <c r="A31" s="6" t="s">
        <v>85</v>
      </c>
      <c r="B31" s="6" t="s">
        <v>37</v>
      </c>
      <c r="C31" s="6" t="s">
        <v>51</v>
      </c>
      <c r="D31" s="6" t="s">
        <v>364</v>
      </c>
      <c r="E31" s="12">
        <v>1968.0218600000001</v>
      </c>
      <c r="F31" s="6" t="s">
        <v>58</v>
      </c>
      <c r="G31" s="25"/>
      <c r="H31" s="25"/>
      <c r="I31" s="26" t="s">
        <v>114</v>
      </c>
      <c r="J31" s="25"/>
      <c r="K31" s="6" t="s">
        <v>85</v>
      </c>
      <c r="L31" s="6" t="s">
        <v>337</v>
      </c>
      <c r="M31" s="6" t="s">
        <v>337</v>
      </c>
      <c r="N31" s="6">
        <v>1.8739390198196608</v>
      </c>
      <c r="O31" s="6" t="s">
        <v>365</v>
      </c>
      <c r="P31" s="6" t="s">
        <v>278</v>
      </c>
      <c r="Q31" s="6"/>
      <c r="R31" s="6"/>
      <c r="S31" s="6"/>
      <c r="T31" s="6"/>
    </row>
    <row r="32" spans="1:20" x14ac:dyDescent="0.35">
      <c r="A32" s="6" t="s">
        <v>85</v>
      </c>
      <c r="B32" s="6" t="s">
        <v>37</v>
      </c>
      <c r="C32" s="6" t="s">
        <v>280</v>
      </c>
      <c r="D32" s="6" t="s">
        <v>337</v>
      </c>
      <c r="E32" s="12">
        <v>13810.361000000001</v>
      </c>
      <c r="F32" s="6" t="s">
        <v>58</v>
      </c>
      <c r="G32" s="25"/>
      <c r="H32" s="25"/>
      <c r="I32" s="26" t="s">
        <v>124</v>
      </c>
      <c r="J32" s="25"/>
      <c r="K32" s="6" t="s">
        <v>86</v>
      </c>
      <c r="L32" s="6" t="s">
        <v>337</v>
      </c>
      <c r="M32" s="6" t="s">
        <v>337</v>
      </c>
      <c r="N32" s="6"/>
      <c r="O32" s="6"/>
      <c r="P32" s="6" t="s">
        <v>280</v>
      </c>
      <c r="Q32" s="6" t="s">
        <v>337</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Payload'!$A$10:$A$40,'SI - Payload'!$B$10:$B$40,"",0),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Payload'!$A$10:$A$40,'SI - Payload'!$B$10:$B$40,"",0),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Payload'!$A$10:$A$40,'SI - Payload'!$B$10:$B$40,"",0),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Payload'!$A$10:$A$40,'SI - Payload'!$B$10:$B$40,"",0),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Payload'!$A$10:$A$40,'SI - Payload'!$B$10:$B$40,"",0),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Payload'!$A$10:$A$40,'SI - Payload'!$B$10:$B$40,"",0),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Payload'!$A$10:$A$40,'SI - Payload'!$B$10:$B$40,"",0),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Payload'!$A$10:$A$40,'SI - Payload'!$B$10:$B$40,"",0),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Payload'!$A$10:$A$40,'SI - Payload'!$B$10:$B$40,"",0),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Payload'!$A$10:$A$40,'SI - Payload'!$B$10:$B$40,"",0),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Payload'!$A$10:$A$40,'SI - Payload'!$B$10:$B$40,"",0),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Payload'!$A$10:$A$40,'SI - Payload'!$B$10:$B$40,"",0),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Payload'!$A$10:$A$40,'SI - Payload'!$B$10:$B$40,"",0),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Payload'!$A$10:$A$40,'SI - Payload'!$B$10:$B$40,"",0),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Payload'!$A$10:$A$40,'SI - Payload'!$B$10:$B$40,"",0),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Payload'!$A$10:$A$40,'SI - Payload'!$B$10:$B$40,"",0),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Payload'!$A$10:$A$40,'SI - Payload'!$B$10:$B$40,"",0),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Payload'!$A$10:$A$40,'SI - Payload'!$B$10:$B$40,"",0),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Payload'!$A$10:$A$40,'SI - Payload'!$B$10:$B$40,"",0),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Payload'!$A$10:$A$40,'SI - Payload'!$B$10:$B$40,"",0),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Payload'!$A$10:$A$40,'SI - Payload'!$B$10:$B$40,"",0),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Payload'!$A$10:$A$40,'SI - Payload'!$B$10:$B$40,"",0),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Payload'!$A$10:$A$40,'SI - Payload'!$B$10:$B$40,"",0),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Payload'!$A$10:$A$40,'SI - Payload'!$B$10:$B$40,"",0),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Payload'!$A$10:$A$40,'SI - Payload'!$B$10:$B$40,"",0),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Payload'!$A$10:$A$40,'SI - Payload'!$B$10:$B$40,"",0),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Payload'!$A$10:$A$40,'SI - Payload'!$B$10:$B$40,"",0),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Payload'!$A$10:$A$40,'SI - Payload'!$B$10:$B$40,"",0),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Payload'!$A$10:$A$40,'SI - Payload'!$B$10:$B$40,"",0),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Payload'!$A$10:$A$40,'SI - Payload'!$B$10:$B$40,"",0),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Payload'!$A$10:$A$40,'SI - Payload'!$B$10:$B$40,"",0),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Payload'!$A$10:$A$40,'SI - Payload'!$B$10:$B$40,"",0),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Payload'!$A$10:$A$40,'SI - Payload'!$B$10:$B$40,"",0),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Payload'!$A$10:$A$40,'SI - Payload'!$B$10:$B$40,"",0),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Payload'!$A$10:$A$40,'SI - Payload'!$B$10:$B$40,"",0),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Payload'!$A$10:$A$40,'SI - Payload'!$B$10:$B$40,"",0),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Payload'!$A$10:$A$40,'SI - Payload'!$B$10:$B$40,"",0),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Payload'!$A$10:$A$40,'SI - Payload'!$B$10:$B$40,"",0),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Payload'!$A$10:$A$40,'SI - Payload'!$B$10:$B$40,"",0),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Payload'!$A$10:$A$40,'SI - Payload'!$B$10:$B$40,"",0),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Payload'!$A$10:$A$40,'SI - Payload'!$B$10:$B$40,"",0),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Payload'!$A$10:$A$40,'SI - Payload'!$B$10:$B$40,"",0),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Payload'!$A$10:$A$40,'SI - Payload'!$B$10:$B$40,"",0),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Payload'!$A$10:$A$40,'SI - Payload'!$B$10:$B$40,"",0),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Payload'!$A$10:$A$40,'SI - Payload'!$B$10:$B$40,"",0),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Payload'!$A$10:$A$40,'SI - Payload'!$B$10:$B$40,"",0),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Payload'!$A$10:$A$40,'SI - Payload'!$B$10:$B$40,"",0),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Payload'!$A$10:$A$40,'SI - Payload'!$B$10:$B$40,"",0),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Payload'!$A$10:$A$40,'SI - Payload'!$B$10:$B$40,"",0),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Payload'!$A$10:$A$40,'SI - Payload'!$B$10:$B$40,"",0),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Payload'!$A$10:$A$40,'SI - Payload'!$B$10:$B$40,"",0),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Payload'!$A$10:$A$40,'SI - Payload'!$B$10:$B$40,"",0),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Payload'!$A$10:$A$40,'SI - Payload'!$B$10:$B$40,"",0),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Payload'!$A$10:$A$40,'SI - Payload'!$B$10:$B$40,"",0),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Payload'!$A$10:$A$40,'SI - Payload'!$B$10:$B$40,"",0),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Payload'!$A$10:$A$40,'SI - Payload'!$B$10:$B$40,"",0),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Payload'!$A$10:$A$40,'SI - Payload'!$B$10:$B$40,"",0),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Payload'!$A$10:$A$40,'SI - Payload'!$B$10:$B$40,"",0),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Payload'!$A$10:$A$40,'SI - Payload'!$B$10:$B$40,"",0),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Payload'!$A$10:$A$40,'SI - Payload'!$B$10:$B$40,"",0),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Payload'!$A$10:$A$40,'SI - Payload'!$B$10:$B$40,"",0),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Payload'!$A$10:$A$40,'SI - Payload'!$B$10:$B$40,"",0),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Payload'!$A$10:$A$40,'SI - Payload'!$B$10:$B$40,"",0),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Payload'!$A$10:$A$40,'SI - Payload'!$B$10:$B$40,"",0),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Payload'!$A$10:$A$40,'SI - Payload'!$B$10:$B$40,"",0),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Payload'!$A$10:$A$40,'SI - Payload'!$B$10:$B$40,"",0),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Payload'!$A$10:$A$40,'SI - Payload'!$B$10:$B$40,"",0),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Payload'!$A$10:$A$40,'SI - Payload'!$B$10:$B$40,"",0),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2DD414B1-627E-4A9B-9929-3E62112894D8}">
      <formula1>0</formula1>
      <formula2>1</formula2>
    </dataValidation>
    <dataValidation type="list" allowBlank="1" showInputMessage="1" showErrorMessage="1" sqref="M6:M100" xr:uid="{2D038710-D7E4-48EA-A583-F67F8FFADB16}">
      <formula1>payload_units</formula1>
    </dataValidation>
    <dataValidation type="decimal" operator="greaterThan" allowBlank="1" showInputMessage="1" showErrorMessage="1" error="Please type a positive number." sqref="L6:L100" xr:uid="{22DFDABA-DC3C-491D-A035-70E21FD36A0F}">
      <formula1>0</formula1>
    </dataValidation>
    <dataValidation type="decimal" operator="greaterThan" allowBlank="1" showInputMessage="1" showErrorMessage="1" error="Please type a positive price." sqref="N6:N100" xr:uid="{B34E3C69-0F20-47C1-A589-F717A18B901C}">
      <formula1>0</formula1>
    </dataValidation>
    <dataValidation type="decimal" allowBlank="1" showInputMessage="1" showErrorMessage="1" error="Please type a number between 0 and 1." sqref="G6:G100" xr:uid="{F86E7217-F32D-45DD-A416-7FDFC09879F2}">
      <formula1>0</formula1>
      <formula2>1</formula2>
    </dataValidation>
    <dataValidation type="custom" allowBlank="1" showInputMessage="1" showErrorMessage="1" sqref="E6:E100" xr:uid="{5C439AD8-F705-438C-B0E1-F91CE61811F6}">
      <formula1>ISNUMBER(E6)</formula1>
    </dataValidation>
    <dataValidation type="list" allowBlank="1" showInputMessage="1" showErrorMessage="1" sqref="C2" xr:uid="{513108E1-0AFE-4DA9-AA6D-C1AC664C679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2F962729-CC4B-4F32-87D8-8A0EF5039C26}">
          <x14:formula1>
            <xm:f>IF($B6="Transportation",  transport_units, INDIRECT(_xlfn.XLOOKUP($C6, 'SI - Units'!$F$26:$F$36,'SI - Units'!$G$26:$G$36,"mass",0)))</xm:f>
          </x14:formula1>
          <xm:sqref>F6:F100</xm:sqref>
        </x14:dataValidation>
        <x14:dataValidation type="list" allowBlank="1" showInputMessage="1" showErrorMessage="1" xr:uid="{5F88BD03-F5DC-4A9B-8BAE-39B67601073C}">
          <x14:formula1>
            <xm:f>INDIRECT("p_"&amp;_xlfn.XLOOKUP($C6,'SI - Units'!$F$26:$F$36,'SI - Units'!$G$26:$G$36,"mass",0))</xm:f>
          </x14:formula1>
          <xm:sqref>O6:O100</xm:sqref>
        </x14:dataValidation>
        <x14:dataValidation type="list" allowBlank="1" showInputMessage="1" showErrorMessage="1" xr:uid="{FDC0E7ED-18CA-41A8-A428-9EC807063D0C}">
          <x14:formula1>
            <xm:f>INDIRECT(_xlfn.XLOOKUP($P6,'SI - End Use'!$A$11:$A$17,'SI - End Use'!$B$11:$B$17,"other_end_use",0))</xm:f>
          </x14:formula1>
          <xm:sqref>Q6:R100</xm:sqref>
        </x14:dataValidation>
        <x14:dataValidation type="list" allowBlank="1" showInputMessage="1" xr:uid="{363268A7-AD68-42D2-8799-138748542B79}">
          <x14:formula1>
            <xm:f>INDIRECT(_xlfn.XLOOKUP($C6,'SI - End Use'!$A$11:$A$17,'SI - End Use'!$B$11:$B$17,"other_end_use",0))</xm:f>
          </x14:formula1>
          <xm:sqref>D6:D100</xm:sqref>
        </x14:dataValidation>
        <x14:dataValidation type="list" allowBlank="1" showInputMessage="1" showErrorMessage="1" xr:uid="{C8E9A7B5-A0DB-4900-B62C-31281B2A7398}">
          <x14:formula1>
            <xm:f>INDIRECT(_xlfn.XLOOKUP($B6, 'SI - Resources'!$R$1:$R$10,'SI - Resources'!$S$1:$S$10, "placeholder_resource", 0))</xm:f>
          </x14:formula1>
          <xm:sqref>P6:P100 C6:C100</xm:sqref>
        </x14:dataValidation>
        <x14:dataValidation type="list" allowBlank="1" showInputMessage="1" showErrorMessage="1" xr:uid="{C5FC3977-65F3-479B-A1DE-0AD53EAA7AD8}">
          <x14:formula1>
            <xm:f>'SI - Co-products'!$B$2:$B$6</xm:f>
          </x14:formula1>
          <xm:sqref>A6:A100</xm:sqref>
        </x14:dataValidation>
        <x14:dataValidation type="list" allowBlank="1" showInputMessage="1" showErrorMessage="1" xr:uid="{0B276130-ADD2-45D1-B5CB-BE972F3AE51F}">
          <x14:formula1>
            <xm:f>'SI - Resources'!$A$1:$J$1</xm:f>
          </x14:formula1>
          <xm:sqref>B6:B100</xm:sqref>
        </x14:dataValidation>
        <x14:dataValidation type="list" allowBlank="1" showInputMessage="1" showErrorMessage="1" xr:uid="{803E0FE6-DAA1-48E7-A9A7-DCBD54137029}">
          <x14:formula1>
            <xm:f>'SI - Co-products'!$C$2:$C$4</xm:f>
          </x14:formula1>
          <xm:sqref>I6:I100</xm:sqref>
        </x14:dataValidation>
        <x14:dataValidation type="list" allowBlank="1" showInputMessage="1" showErrorMessage="1" xr:uid="{1E8F1090-33F5-4EB6-BA2A-AD2E31E9D2A0}">
          <x14:formula1>
            <xm:f>'SI - Co-products'!$A$2:$A$5</xm:f>
          </x14:formula1>
          <xm:sqref>K6:K100</xm:sqref>
        </x14:dataValidation>
        <x14:dataValidation type="list" allowBlank="1" showInputMessage="1" showErrorMessage="1" xr:uid="{BC7ABC53-FFA2-491B-9F08-3143D52C7349}">
          <x14:formula1>
            <xm:f>_xlfn.XLOOKUP(_xlfn.XLOOKUP(#REF!,'SI - Units'!$B$24:$B$109,'SI - Units'!$C$24:$C$109),'SI - Units'!$A$2:$A$8,'SI - Units'!$B$2:$R$8)</xm:f>
          </x14:formula1>
          <xm:sqref>F5</xm:sqref>
        </x14:dataValidation>
        <x14:dataValidation type="list" allowBlank="1" showInputMessage="1" showErrorMessage="1" xr:uid="{A3F9F415-92E6-4E7D-897D-A2484E9735A4}">
          <x14:formula1>
            <xm:f>'SI - Co-products'!$D$2:$D$8</xm:f>
          </x14:formula1>
          <xm:sqref>C1</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3848B-8C79-4D37-8EF0-3B83F26AEF21}">
  <sheetPr codeName="Sheet19"/>
  <dimension ref="A1:T100"/>
  <sheetViews>
    <sheetView tabSelected="1" workbookViewId="0">
      <pane ySplit="5" topLeftCell="A6" activePane="bottomLeft" state="frozen"/>
      <selection activeCell="C19" sqref="C19"/>
      <selection pane="bottomLeft" activeCell="E6" sqref="E6:E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0.68500000000000005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276</v>
      </c>
      <c r="D6" s="6" t="s">
        <v>337</v>
      </c>
      <c r="E6" s="84">
        <v>1.000045143067781</v>
      </c>
      <c r="F6" s="6" t="s">
        <v>70</v>
      </c>
      <c r="G6" s="25"/>
      <c r="H6" s="25" t="s">
        <v>366</v>
      </c>
      <c r="I6" s="26" t="s">
        <v>337</v>
      </c>
      <c r="J6" s="25"/>
      <c r="K6" s="6"/>
      <c r="L6" s="6" t="s">
        <v>337</v>
      </c>
      <c r="M6" s="6" t="s">
        <v>337</v>
      </c>
      <c r="N6" s="6"/>
      <c r="O6" s="6"/>
      <c r="P6" s="6" t="s">
        <v>337</v>
      </c>
      <c r="Q6" s="6" t="s">
        <v>337</v>
      </c>
      <c r="R6" s="6"/>
      <c r="S6" s="6"/>
      <c r="T6" s="6"/>
    </row>
    <row r="7" spans="1:20" x14ac:dyDescent="0.35">
      <c r="A7" s="6" t="s">
        <v>0</v>
      </c>
      <c r="B7" s="6" t="s">
        <v>245</v>
      </c>
      <c r="C7" s="6" t="s">
        <v>218</v>
      </c>
      <c r="D7" s="6" t="s">
        <v>337</v>
      </c>
      <c r="E7" s="74">
        <v>1.087</v>
      </c>
      <c r="F7" s="6" t="s">
        <v>27</v>
      </c>
      <c r="G7" s="25"/>
      <c r="H7" s="25"/>
      <c r="I7" s="26" t="s">
        <v>337</v>
      </c>
      <c r="J7" s="25">
        <v>0.67</v>
      </c>
      <c r="K7" s="6"/>
      <c r="L7" s="6" t="s">
        <v>337</v>
      </c>
      <c r="M7" s="6" t="s">
        <v>337</v>
      </c>
      <c r="N7" s="6"/>
      <c r="O7" s="6"/>
      <c r="P7" s="6" t="s">
        <v>337</v>
      </c>
      <c r="Q7" s="6" t="s">
        <v>337</v>
      </c>
      <c r="R7" s="6"/>
      <c r="S7" s="6"/>
      <c r="T7" s="6"/>
    </row>
    <row r="8" spans="1:20" x14ac:dyDescent="0.35">
      <c r="A8" s="6" t="s">
        <v>0</v>
      </c>
      <c r="B8" s="6" t="s">
        <v>33</v>
      </c>
      <c r="C8" s="6" t="s">
        <v>276</v>
      </c>
      <c r="D8" s="6"/>
      <c r="E8" s="12">
        <v>30</v>
      </c>
      <c r="F8" s="6" t="s">
        <v>34</v>
      </c>
      <c r="G8" s="25"/>
      <c r="H8" s="25"/>
      <c r="I8" s="26" t="s">
        <v>337</v>
      </c>
      <c r="J8" s="25"/>
      <c r="K8" s="6"/>
      <c r="L8" s="6">
        <v>25</v>
      </c>
      <c r="M8" s="6" t="s">
        <v>11</v>
      </c>
      <c r="N8" s="6"/>
      <c r="O8" s="6"/>
      <c r="P8" s="6"/>
      <c r="Q8" s="6"/>
      <c r="R8" s="6"/>
      <c r="S8" s="6"/>
      <c r="T8" s="6"/>
    </row>
    <row r="9" spans="1:20" x14ac:dyDescent="0.35">
      <c r="A9" s="6" t="s">
        <v>113</v>
      </c>
      <c r="B9" s="6" t="s">
        <v>244</v>
      </c>
      <c r="C9" s="6" t="s">
        <v>276</v>
      </c>
      <c r="D9" s="6" t="s">
        <v>83</v>
      </c>
      <c r="E9" s="12">
        <v>1</v>
      </c>
      <c r="F9" s="6" t="s">
        <v>70</v>
      </c>
      <c r="G9" s="25"/>
      <c r="H9" s="25"/>
      <c r="I9" s="26" t="s">
        <v>337</v>
      </c>
      <c r="J9" s="25">
        <v>0.7</v>
      </c>
      <c r="K9" s="6"/>
      <c r="L9" s="6" t="s">
        <v>337</v>
      </c>
      <c r="M9" s="6" t="s">
        <v>337</v>
      </c>
      <c r="N9" s="6"/>
      <c r="O9" s="6"/>
      <c r="P9" s="6" t="s">
        <v>2</v>
      </c>
      <c r="Q9" s="6" t="s">
        <v>83</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Payload'!$A$10:$A$40,'SI - Payload'!$B$10:$B$40,"",0),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Payload'!$A$10:$A$40,'SI - Payload'!$B$10:$B$40,"",0),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Payload'!$A$10:$A$40,'SI - Payload'!$B$10:$B$40,"",0),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Payload'!$A$10:$A$40,'SI - Payload'!$B$10:$B$40,"",0),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Payload'!$A$10:$A$40,'SI - Payload'!$B$10:$B$40,"",0),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Payload'!$A$10:$A$40,'SI - Payload'!$B$10:$B$40,"",0),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Payload'!$A$10:$A$40,'SI - Payload'!$B$10:$B$40,"",0),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Payload'!$A$10:$A$40,'SI - Payload'!$B$10:$B$40,"",0),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Payload'!$A$10:$A$40,'SI - Payload'!$B$10:$B$40,"",0),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Payload'!$A$10:$A$40,'SI - Payload'!$B$10:$B$40,"",0),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Payload'!$A$10:$A$40,'SI - Payload'!$B$10:$B$40,"",0),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Payload'!$A$10:$A$40,'SI - Payload'!$B$10:$B$40,"",0),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Payload'!$A$10:$A$40,'SI - Payload'!$B$10:$B$40,"",0),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Payload'!$A$10:$A$40,'SI - Payload'!$B$10:$B$40,"",0),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Payload'!$A$10:$A$40,'SI - Payload'!$B$10:$B$40,"",0),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Payload'!$A$10:$A$40,'SI - Payload'!$B$10:$B$40,"",0),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Payload'!$A$10:$A$40,'SI - Payload'!$B$10:$B$40,"",0),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Payload'!$A$10:$A$40,'SI - Payload'!$B$10:$B$40,"",0),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Payload'!$A$10:$A$40,'SI - Payload'!$B$10:$B$40,"",0),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Payload'!$A$10:$A$40,'SI - Payload'!$B$10:$B$40,"",0),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Payload'!$A$10:$A$40,'SI - Payload'!$B$10:$B$40,"",0),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Payload'!$A$10:$A$40,'SI - Payload'!$B$10:$B$40,"",0),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Payload'!$A$10:$A$40,'SI - Payload'!$B$10:$B$40,"",0),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Payload'!$A$10:$A$40,'SI - Payload'!$B$10:$B$40,"",0),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Payload'!$A$10:$A$40,'SI - Payload'!$B$10:$B$40,"",0),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Payload'!$A$10:$A$40,'SI - Payload'!$B$10:$B$40,"",0),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Payload'!$A$10:$A$40,'SI - Payload'!$B$10:$B$40,"",0),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Payload'!$A$10:$A$40,'SI - Payload'!$B$10:$B$40,"",0),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Payload'!$A$10:$A$40,'SI - Payload'!$B$10:$B$40,"",0),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Payload'!$A$10:$A$40,'SI - Payload'!$B$10:$B$40,"",0),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Payload'!$A$10:$A$40,'SI - Payload'!$B$10:$B$40,"",0),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Payload'!$A$10:$A$40,'SI - Payload'!$B$10:$B$40,"",0),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Payload'!$A$10:$A$40,'SI - Payload'!$B$10:$B$40,"",0),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Payload'!$A$10:$A$40,'SI - Payload'!$B$10:$B$40,"",0),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Payload'!$A$10:$A$40,'SI - Payload'!$B$10:$B$40,"",0),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Payload'!$A$10:$A$40,'SI - Payload'!$B$10:$B$40,"",0),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Payload'!$A$10:$A$40,'SI - Payload'!$B$10:$B$40,"",0),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Payload'!$A$10:$A$40,'SI - Payload'!$B$10:$B$40,"",0),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Payload'!$A$10:$A$40,'SI - Payload'!$B$10:$B$40,"",0),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Payload'!$A$10:$A$40,'SI - Payload'!$B$10:$B$40,"",0),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Payload'!$A$10:$A$40,'SI - Payload'!$B$10:$B$40,"",0),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Payload'!$A$10:$A$40,'SI - Payload'!$B$10:$B$40,"",0),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Payload'!$A$10:$A$40,'SI - Payload'!$B$10:$B$40,"",0),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Payload'!$A$10:$A$40,'SI - Payload'!$B$10:$B$40,"",0),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Payload'!$A$10:$A$40,'SI - Payload'!$B$10:$B$40,"",0),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Payload'!$A$10:$A$40,'SI - Payload'!$B$10:$B$40,"",0),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Payload'!$A$10:$A$40,'SI - Payload'!$B$10:$B$40,"",0),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Payload'!$A$10:$A$40,'SI - Payload'!$B$10:$B$40,"",0),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Payload'!$A$10:$A$40,'SI - Payload'!$B$10:$B$40,"",0),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Payload'!$A$10:$A$40,'SI - Payload'!$B$10:$B$40,"",0),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Payload'!$A$10:$A$40,'SI - Payload'!$B$10:$B$40,"",0),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Payload'!$A$10:$A$40,'SI - Payload'!$B$10:$B$40,"",0),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Payload'!$A$10:$A$40,'SI - Payload'!$B$10:$B$40,"",0),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Payload'!$A$10:$A$40,'SI - Payload'!$B$10:$B$40,"",0),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Payload'!$A$10:$A$40,'SI - Payload'!$B$10:$B$40,"",0),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Payload'!$A$10:$A$40,'SI - Payload'!$B$10:$B$40,"",0),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Payload'!$A$10:$A$40,'SI - Payload'!$B$10:$B$40,"",0),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Payload'!$A$10:$A$40,'SI - Payload'!$B$10:$B$40,"",0),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Payload'!$A$10:$A$40,'SI - Payload'!$B$10:$B$40,"",0),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Payload'!$A$10:$A$40,'SI - Payload'!$B$10:$B$40,"",0),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Payload'!$A$10:$A$40,'SI - Payload'!$B$10:$B$40,"",0),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Payload'!$A$10:$A$40,'SI - Payload'!$B$10:$B$40,"",0),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Payload'!$A$10:$A$40,'SI - Payload'!$B$10:$B$40,"",0),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Payload'!$A$10:$A$40,'SI - Payload'!$B$10:$B$40,"",0),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Payload'!$A$10:$A$40,'SI - Payload'!$B$10:$B$40,"",0),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Payload'!$A$10:$A$40,'SI - Payload'!$B$10:$B$40,"",0),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Payload'!$A$10:$A$40,'SI - Payload'!$B$10:$B$40,"",0),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Payload'!$A$10:$A$40,'SI - Payload'!$B$10:$B$40,"",0),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Payload'!$A$10:$A$40,'SI - Payload'!$B$10:$B$40,"",0),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Payload'!$A$10:$A$40,'SI - Payload'!$B$10:$B$40,"",0),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Payload'!$A$10:$A$40,'SI - Payload'!$B$10:$B$40,"",0),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Payload'!$A$10:$A$40,'SI - Payload'!$B$10:$B$40,"",0),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Payload'!$A$10:$A$40,'SI - Payload'!$B$10:$B$40,"",0),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Payload'!$A$10:$A$40,'SI - Payload'!$B$10:$B$40,"",0),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Payload'!$A$10:$A$40,'SI - Payload'!$B$10:$B$40,"",0),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Payload'!$A$10:$A$40,'SI - Payload'!$B$10:$B$40,"",0),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Payload'!$A$10:$A$40,'SI - Payload'!$B$10:$B$40,"",0),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Payload'!$A$10:$A$40,'SI - Payload'!$B$10:$B$40,"",0),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Payload'!$A$10:$A$40,'SI - Payload'!$B$10:$B$40,"",0),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Payload'!$A$10:$A$40,'SI - Payload'!$B$10:$B$40,"",0),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Payload'!$A$10:$A$40,'SI - Payload'!$B$10:$B$40,"",0),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Payload'!$A$10:$A$40,'SI - Payload'!$B$10:$B$40,"",0),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Payload'!$A$10:$A$40,'SI - Payload'!$B$10:$B$40,"",0),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Payload'!$A$10:$A$40,'SI - Payload'!$B$10:$B$40,"",0),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Payload'!$A$10:$A$40,'SI - Payload'!$B$10:$B$40,"",0),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Payload'!$A$10:$A$40,'SI - Payload'!$B$10:$B$40,"",0),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Payload'!$A$10:$A$40,'SI - Payload'!$B$10:$B$40,"",0),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Payload'!$A$10:$A$40,'SI - Payload'!$B$10:$B$40,"",0),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Payload'!$A$10:$A$40,'SI - Payload'!$B$10:$B$40,"",0),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Payload'!$A$10:$A$40,'SI - Payload'!$B$10:$B$40,"",0),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Payload'!$A$10:$A$40,'SI - Payload'!$B$10:$B$40,"",0),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92D55496-E65A-4819-9350-B9A0BBFD49D7}">
      <formula1>0</formula1>
      <formula2>1</formula2>
    </dataValidation>
    <dataValidation type="list" allowBlank="1" showInputMessage="1" showErrorMessage="1" sqref="M6:M100" xr:uid="{829E5085-459E-456B-8303-DDAEF128A64D}">
      <formula1>payload_units</formula1>
    </dataValidation>
    <dataValidation type="decimal" operator="greaterThan" allowBlank="1" showInputMessage="1" showErrorMessage="1" error="Please type a positive number." sqref="L6:L100" xr:uid="{F6D1F20F-A1BC-4F34-A437-3A9BD61D0B7A}">
      <formula1>0</formula1>
    </dataValidation>
    <dataValidation type="decimal" operator="greaterThan" allowBlank="1" showInputMessage="1" showErrorMessage="1" error="Please type a positive price." sqref="N6:N100" xr:uid="{F360D1A3-E9F0-482C-A38C-A9C2DC410B28}">
      <formula1>0</formula1>
    </dataValidation>
    <dataValidation type="decimal" allowBlank="1" showInputMessage="1" showErrorMessage="1" error="Please type a number between 0 and 1." sqref="G6:G100" xr:uid="{65ABBB55-1DD7-4160-BBD4-92C84481EA40}">
      <formula1>0</formula1>
      <formula2>1</formula2>
    </dataValidation>
    <dataValidation type="custom" allowBlank="1" showInputMessage="1" showErrorMessage="1" sqref="E6:E100" xr:uid="{538D6EDE-03E0-4409-9736-39E51D28AAB7}">
      <formula1>ISNUMBER(E6)</formula1>
    </dataValidation>
    <dataValidation type="list" allowBlank="1" showInputMessage="1" showErrorMessage="1" sqref="C2" xr:uid="{4BFC6748-3891-40E1-BDBB-04B64237682B}">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CAE9AF7-0BA0-43A2-B142-EB1959828440}">
          <x14:formula1>
            <xm:f>IF($B6="Transportation",  transport_units, INDIRECT(_xlfn.XLOOKUP($C6, 'SI - Units'!$F$26:$F$36,'SI - Units'!$G$26:$G$36,"mass",0)))</xm:f>
          </x14:formula1>
          <xm:sqref>F6:F100</xm:sqref>
        </x14:dataValidation>
        <x14:dataValidation type="list" allowBlank="1" showInputMessage="1" showErrorMessage="1" xr:uid="{4509E858-D5EE-4443-A6DC-3E1B4D083191}">
          <x14:formula1>
            <xm:f>INDIRECT("p_"&amp;_xlfn.XLOOKUP($C6,'SI - Units'!$F$26:$F$36,'SI - Units'!$G$26:$G$36,"mass",0))</xm:f>
          </x14:formula1>
          <xm:sqref>O6:O100</xm:sqref>
        </x14:dataValidation>
        <x14:dataValidation type="list" allowBlank="1" showInputMessage="1" showErrorMessage="1" xr:uid="{458ACA36-09E5-4AEF-8375-C712D86A843F}">
          <x14:formula1>
            <xm:f>INDIRECT(_xlfn.XLOOKUP($P6,'SI - End Use'!$A$11:$A$17,'SI - End Use'!$B$11:$B$17,"other_end_use",0))</xm:f>
          </x14:formula1>
          <xm:sqref>Q6:R100</xm:sqref>
        </x14:dataValidation>
        <x14:dataValidation type="list" allowBlank="1" showInputMessage="1" xr:uid="{54F2E4BC-3941-4881-84F2-8D2227279271}">
          <x14:formula1>
            <xm:f>INDIRECT(_xlfn.XLOOKUP($C6,'SI - End Use'!$A$11:$A$17,'SI - End Use'!$B$11:$B$17,"other_end_use",0))</xm:f>
          </x14:formula1>
          <xm:sqref>D6:D100</xm:sqref>
        </x14:dataValidation>
        <x14:dataValidation type="list" allowBlank="1" showInputMessage="1" showErrorMessage="1" xr:uid="{198CA5C4-51EB-4DF0-B190-2987D660AF9C}">
          <x14:formula1>
            <xm:f>INDIRECT(_xlfn.XLOOKUP($B6, 'SI - Resources'!$R$1:$R$10,'SI - Resources'!$S$1:$S$10, "placeholder_resource", 0))</xm:f>
          </x14:formula1>
          <xm:sqref>P6:P100 C6:C100</xm:sqref>
        </x14:dataValidation>
        <x14:dataValidation type="list" allowBlank="1" showInputMessage="1" showErrorMessage="1" xr:uid="{8D9A4494-B1B5-41CA-9A96-069048280EDE}">
          <x14:formula1>
            <xm:f>'SI - Co-products'!$B$2:$B$6</xm:f>
          </x14:formula1>
          <xm:sqref>A6:A100</xm:sqref>
        </x14:dataValidation>
        <x14:dataValidation type="list" allowBlank="1" showInputMessage="1" showErrorMessage="1" xr:uid="{2C9D8CEF-82CE-4EDE-A6BB-B77056228BB7}">
          <x14:formula1>
            <xm:f>'SI - Resources'!$A$1:$J$1</xm:f>
          </x14:formula1>
          <xm:sqref>B6:B100</xm:sqref>
        </x14:dataValidation>
        <x14:dataValidation type="list" allowBlank="1" showInputMessage="1" showErrorMessage="1" xr:uid="{7F762999-E5DE-497C-BF49-F15AD91920EA}">
          <x14:formula1>
            <xm:f>'SI - Co-products'!$C$2:$C$4</xm:f>
          </x14:formula1>
          <xm:sqref>I6:I100</xm:sqref>
        </x14:dataValidation>
        <x14:dataValidation type="list" allowBlank="1" showInputMessage="1" showErrorMessage="1" xr:uid="{1A037B92-2113-416A-B19D-D44B1111FCEF}">
          <x14:formula1>
            <xm:f>'SI - Co-products'!$A$2:$A$5</xm:f>
          </x14:formula1>
          <xm:sqref>K6:K100</xm:sqref>
        </x14:dataValidation>
        <x14:dataValidation type="list" allowBlank="1" showInputMessage="1" showErrorMessage="1" xr:uid="{79228EE2-D8DE-4D4A-9124-5D11C863B475}">
          <x14:formula1>
            <xm:f>_xlfn.XLOOKUP(_xlfn.XLOOKUP(#REF!,'SI - Units'!$B$24:$B$109,'SI - Units'!$C$24:$C$109),'SI - Units'!$A$2:$A$8,'SI - Units'!$B$2:$R$8)</xm:f>
          </x14:formula1>
          <xm:sqref>F5</xm:sqref>
        </x14:dataValidation>
        <x14:dataValidation type="list" allowBlank="1" showInputMessage="1" showErrorMessage="1" xr:uid="{5A31C78D-B3C1-4041-9168-BAAA9D75251A}">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32</vt:i4>
      </vt:variant>
    </vt:vector>
  </HeadingPairs>
  <TitlesOfParts>
    <vt:vector size="50"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INL Data</vt:lpstr>
      <vt:lpstr>Fuel production</vt:lpstr>
      <vt:lpstr>Fuel distribution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2022-11-08T03:08:30Z</dcterms:modified>
</cp:coreProperties>
</file>