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D3176C05-9E79-444E-88F9-D6FE6CCE967A}" xr6:coauthVersionLast="47" xr6:coauthVersionMax="47" xr10:uidLastSave="{00000000-0000-0000-0000-000000000000}"/>
  <bookViews>
    <workbookView xWindow="-110" yWindow="-110" windowWidth="38620" windowHeight="21220" tabRatio="685" activeTab="1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INL Data" sheetId="28" state="hidden" r:id="rId14"/>
    <sheet name="Blending" sheetId="35" r:id="rId15"/>
    <sheet name="Transportation to biorefinery" sheetId="36"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20" i="37"/>
  <c r="E10"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a="1"/>
  <c r="F74" i="37" s="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P35" i="37"/>
  <c r="Q35" i="37" s="1"/>
  <c r="M35" i="37"/>
  <c r="L35" i="37"/>
  <c r="I35" i="37"/>
  <c r="C35" i="37"/>
  <c r="D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5" i="37" a="1"/>
  <c r="F35" i="37" s="1"/>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tc={A659E6E3-F07D-4AD3-94C1-AB499C88B191}</author>
  </authors>
  <commentList>
    <comment ref="B3" authorId="0" shapeId="0" xr:uid="{A659E6E3-F07D-4AD3-94C1-AB499C88B191}">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<sst xmlns="http://schemas.openxmlformats.org/spreadsheetml/2006/main" count="1475" uniqueCount="366">
  <si>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</si>
  <si>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</si>
  <si>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</si>
  <si>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</si>
  <si>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</si>
  <si>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</si>
  <si>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</si>
  <si>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</si>
  <si>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</si>
  <si>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</si>
  <si>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</si>
  <si>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</si>
  <si>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</si>
  <si>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</si>
  <si>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</si>
  <si>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</si>
  <si>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</si>
  <si>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</si>
  <si>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</si>
  <si>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</si>
  <si>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</si>
  <si>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</si>
  <si>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</si>
  <si>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</si>
  <si>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</si>
  <si>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</si>
  <si>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</si>
  <si>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</si>
  <si>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</si>
  <si>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</si>
  <si>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</si>
  <si>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</si>
  <si>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</si>
  <si>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</si>
  <si>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</si>
  <si>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</si>
  <si>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</si>
  <si>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</si>
  <si>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</si>
  <si>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</si>
  <si>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</si>
  <si>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</si>
  <si>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</si>
  <si>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</si>
  <si>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</si>
  <si>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</si>
  <si>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</si>
  <si>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</si>
  <si>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</si>
  <si>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</si>
  <si>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</si>
  <si>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</si>
  <si>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</si>
  <si>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</si>
  <si>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</si>
  <si>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</si>
  <si>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</si>
  <si>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</si>
  <si>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</si>
  <si>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</si>
  <si>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</si>
  <si>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</si>
  <si>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</si>
  <si>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</si>
  <si>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</si>
  <si>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</si>
  <si>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</si>
  <si>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</si>
  <si>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</si>
  <si>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</si>
  <si>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</si>
  <si>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</si>
  <si>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</si>
  <si>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</si>
  <si>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</si>
  <si>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</si>
  <si>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</si>
  <si>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</si>
  <si>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</si>
  <si>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</si>
  <si>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</si>
  <si>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</si>
  <si>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</si>
  <si>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</si>
  <si>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</si>
  <si>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</si>
  <si>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</si>
  <si>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</si>
  <si>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</si>
  <si>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</si>
  <si>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</si>
  <si>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</si>
  <si>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</si>
  <si>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</si>
  <si>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</si>
  <si>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</si>
  <si>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</si>
  <si>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</si>
  <si>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</si>
  <si>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</si>
  <si>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</si>
  <si>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</si>
  <si>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</si>
  <si>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</si>
  <si>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</si>
  <si>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</si>
  <si>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</si>
  <si>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</si>
  <si>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</si>
  <si>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</si>
  <si>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</si>
  <si>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</si>
  <si>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</si>
  <si>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</si>
  <si>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</si>
  <si>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</si>
  <si>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</si>
  <si>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</si>
  <si>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</si>
  <si>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</si>
  <si>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</si>
  <si>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</si>
  <si>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</si>
  <si>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</si>
  <si>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</si>
  <si>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</si>
  <si>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</si>
  <si>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</si>
  <si>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</si>
  <si>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</si>
  <si>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</si>
  <si>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</si>
  <si>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</si>
  <si>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</si>
  <si>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</si>
  <si>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</si>
  <si>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</si>
  <si>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</si>
  <si>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</si>
  <si>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</si>
  <si>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</si>
  <si>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</si>
  <si>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</si>
  <si>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</si>
  <si>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</si>
  <si>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</si>
  <si>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</si>
  <si>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</si>
  <si>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</si>
  <si>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</si>
  <si>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</si>
  <si>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</si>
  <si>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</si>
  <si>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</si>
  <si>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</si>
  <si>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</si>
  <si>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</si>
  <si>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</si>
  <si>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</si>
  <si>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</si>
  <si>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</si>
  <si>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</si>
  <si>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</si>
  <si>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</si>
  <si>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</si>
  <si>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</si>
  <si>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</si>
  <si>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</si>
  <si>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</si>
  <si>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</si>
  <si>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</si>
  <si>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</si>
  <si>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</si>
  <si>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</si>
  <si>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</si>
  <si>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</si>
  <si>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</si>
  <si>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</si>
  <si>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</si>
  <si>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</si>
  <si>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</si>
  <si>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</si>
  <si>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</si>
  <si>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</si>
  <si>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</si>
  <si>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</si>
  <si>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</si>
  <si>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</si>
  <si>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</si>
  <si>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</si>
  <si>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</si>
  <si>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</si>
  <si>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</si>
  <si>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</si>
  <si>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</si>
  <si>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</si>
  <si>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</si>
  <si>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</si>
  <si>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</si>
  <si>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</si>
  <si>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</si>
  <si>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</si>
  <si>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</si>
  <si>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</si>
  <si>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</si>
  <si>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</si>
  <si>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</si>
  <si>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</si>
  <si>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</si>
  <si>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</si>
  <si>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</si>
  <si>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</si>
  <si>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</si>
  <si>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</si>
  <si>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</si>
  <si>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</si>
  <si>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</si>
  <si>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</si>
  <si>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</si>
  <si>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</si>
  <si>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</si>
  <si>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</si>
  <si>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</si>
  <si>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</si>
  <si>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</si>
  <si>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</si>
  <si>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</si>
  <si>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</si>
  <si>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</si>
  <si>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</si>
  <si>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</si>
  <si>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</si>
  <si>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</si>
  <si>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</si>
  <si>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</si>
  <si>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</si>
  <si>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</si>
  <si>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</si>
  <si>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</si>
  <si>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</si>
  <si>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</si>
  <si>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</si>
  <si>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</si>
  <si>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</si>
  <si>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</si>
  <si>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</si>
  <si>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</si>
  <si>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</si>
  <si>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</si>
  <si>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</si>
  <si>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</si>
  <si>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</si>
  <si>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</si>
  <si>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</si>
  <si>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</si>
  <si>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</si>
  <si>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</si>
  <si>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</si>
  <si>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</si>
  <si>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</si>
  <si>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</si>
  <si>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</si>
  <si>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</si>
  <si>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</si>
  <si>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</si>
  <si>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</si>
  <si>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</si>
  <si>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</si>
  <si>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</si>
  <si>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</si>
  <si>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</si>
  <si>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</si>
  <si>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</si>
  <si>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</si>
  <si>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</si>
  <si>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</si>
  <si>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</si>
  <si>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</si>
  <si>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</si>
  <si>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</si>
  <si>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</si>
  <si>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</si>
  <si>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</si>
  <si>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</si>
  <si>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</si>
  <si>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</si>
  <si>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</si>
  <si>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</si>
  <si>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</si>
  <si>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</si>
  <si>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</si>
  <si>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</si>
  <si>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</si>
  <si>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</si>
  <si>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</si>
  <si>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</si>
  <si>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</si>
  <si>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</si>
  <si>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</si>
  <si>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</si>
  <si>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</si>
  <si>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</si>
  <si>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</si>
  <si>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</si>
  <si>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</si>
  <si>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</si>
  <si>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</si>
  <si>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</si>
  <si>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</si>
  <si>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</si>
  <si>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</si>
  <si>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</si>
  <si>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</si>
  <si>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</si>
  <si>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</si>
  <si>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</si>
  <si>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</si>
  <si>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</si>
  <si>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</si>
  <si>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</si>
  <si>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</si>
  <si>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</si>
  <si>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</si>
  <si>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</si>
  <si>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</si>
  <si>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</si>
  <si>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</si>
  <si>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</si>
  <si>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</si>
  <si>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</si>
  <si>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</si>
  <si>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</si>
  <si>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</si>
  <si>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</si>
  <si>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</si>
  <si>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</si>
  <si>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</si>
  <si>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</si>
  <si>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</si>
  <si>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</si>
  <si>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</si>
  <si>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</si>
  <si>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</si>
  <si>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</si>
  <si>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</si>
  <si>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</si>
  <si>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</si>
  <si>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</si>
  <si>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</si>
  <si>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</si>
  <si>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</si>
  <si>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</si>
  <si>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</si>
  <si>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</si>
  <si>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</si>
  <si>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</si>
  <si>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</si>
  <si>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</si>
  <si>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</si>
  <si>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</si>
  <si>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</si>
  <si>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</si>
  <si>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</si>
  <si>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CO2 emissions from the use of Na2CO3.</t>
  </si>
  <si>
    <t>CO2 emissions from Toluene combustion.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</si>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</sst>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E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659E6E3-F07D-4AD3-94C1-AB499C88B191}">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365</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365</v>
      </c>
      <c r="J5" t="s">
        <v>221</v>
      </c>
      <c r="R5" t="s">
        <v>37</v>
      </c>
      <c r="S5" t="s">
        <v>326</v>
      </c>
    </row>
    <row r="6" spans="1:19" x14ac:dyDescent="0.35">
      <c r="C6" t="s">
        <v>71</v>
      </c>
      <c r="E6" s="1" t="s">
        <v>13</v>
      </c>
      <c r="H6" t="s">
        <v>276</v>
      </c>
      <c r="J6" t="s">
        <v>222</v>
      </c>
      <c r="R6" t="s">
        <v>29</v>
      </c>
      <c r="S6" t="s">
        <v>323</v>
      </c>
    </row>
    <row r="7" spans="1:19" x14ac:dyDescent="0.35">
      <c r="C7" t="s">
        <v>365</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365</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365</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365</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5" t="s">
        <v>337</v>
      </c>
      <c r="C1" s="85"/>
      <c r="D1" s="62" t="s">
        <v>338</v>
      </c>
      <c r="E1" s="62" t="s">
        <v>339</v>
      </c>
      <c r="F1" s="62" t="s">
        <v>340</v>
      </c>
      <c r="G1" s="62" t="s">
        <v>341</v>
      </c>
      <c r="H1" s="62" t="s">
        <v>342</v>
      </c>
    </row>
    <row r="2" spans="1:8" x14ac:dyDescent="0.35">
      <c r="A2" s="62" t="s">
        <v>343</v>
      </c>
      <c r="B2" s="86">
        <v>93.088999999999999</v>
      </c>
      <c r="C2" s="86"/>
      <c r="D2" s="64">
        <v>1</v>
      </c>
      <c r="E2" s="63"/>
      <c r="F2" s="63"/>
      <c r="G2" s="65">
        <v>0.3</v>
      </c>
      <c r="H2" s="65">
        <v>0</v>
      </c>
    </row>
    <row r="3" spans="1:8" x14ac:dyDescent="0.35">
      <c r="A3" s="62" t="s">
        <v>344</v>
      </c>
      <c r="B3" s="87"/>
      <c r="C3" s="88"/>
      <c r="D3" s="66"/>
      <c r="E3" s="66"/>
      <c r="F3" s="66"/>
      <c r="G3" s="79">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9" t="s">
        <v>348</v>
      </c>
      <c r="C8" s="89"/>
      <c r="D8" s="68" t="s">
        <v>338</v>
      </c>
      <c r="E8" s="68" t="s">
        <v>339</v>
      </c>
      <c r="F8" s="68" t="s">
        <v>340</v>
      </c>
      <c r="G8" s="68" t="s">
        <v>341</v>
      </c>
      <c r="H8" s="62" t="s">
        <v>342</v>
      </c>
    </row>
    <row r="9" spans="1:8" x14ac:dyDescent="0.35">
      <c r="A9" s="62" t="s">
        <v>349</v>
      </c>
      <c r="B9" s="83">
        <v>11.413</v>
      </c>
      <c r="C9" s="84"/>
      <c r="D9" s="63"/>
      <c r="E9" s="64">
        <v>1</v>
      </c>
      <c r="F9" s="63"/>
      <c r="G9" s="65">
        <v>0.11409999999999999</v>
      </c>
      <c r="H9" s="69">
        <v>8.1557678177810455E-2</v>
      </c>
    </row>
    <row r="10" spans="1:8" x14ac:dyDescent="0.35">
      <c r="A10" s="62" t="s">
        <v>350</v>
      </c>
      <c r="B10" s="83">
        <v>417.73200000000003</v>
      </c>
      <c r="C10" s="84"/>
      <c r="D10" s="63"/>
      <c r="E10" s="64">
        <v>1</v>
      </c>
      <c r="F10" s="63"/>
      <c r="G10" s="65">
        <v>0.11409999999999999</v>
      </c>
      <c r="H10" s="69">
        <v>0.02</v>
      </c>
    </row>
    <row r="11" spans="1:8" x14ac:dyDescent="0.35">
      <c r="A11" s="62" t="s">
        <v>351</v>
      </c>
      <c r="B11" s="83">
        <v>7.73</v>
      </c>
      <c r="C11" s="84"/>
      <c r="D11" s="70">
        <v>0.89500000000000002</v>
      </c>
      <c r="E11" s="70">
        <f>1-D11</f>
        <v>0.10499999999999998</v>
      </c>
      <c r="F11" s="63"/>
      <c r="G11" s="65">
        <v>0.11409999999999999</v>
      </c>
      <c r="H11" s="69">
        <v>0</v>
      </c>
    </row>
    <row r="12" spans="1:8" x14ac:dyDescent="0.35">
      <c r="A12" s="62" t="s">
        <v>352</v>
      </c>
      <c r="B12" s="83">
        <v>0.45</v>
      </c>
      <c r="C12" s="84"/>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6" activePane="bottomLeft" state="frozen"/>
      <selection activeCell="C19" sqref="C19"/>
      <selection pane="bottomLeft" activeCell="I30" sqref="I3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c r="L6" s="6" t="s">
        <v>336</v>
      </c>
      <c r="M6" s="6" t="s">
        <v>336</v>
      </c>
      <c r="N6" s="6"/>
      <c r="O6" s="6"/>
      <c r="P6" s="6" t="s">
        <v>336</v>
      </c>
      <c r="Q6" s="6" t="s">
        <v>336</v>
      </c>
      <c r="R6" s="6"/>
      <c r="S6" s="6"/>
      <c r="T6" s="6"/>
    </row>
    <row r="7" spans="1:20" x14ac:dyDescent="0.35">
      <c r="A7" s="6" t="s">
        <v>0</v>
      </c>
      <c r="B7" s="6" t="s">
        <v>37</v>
      </c>
      <c r="C7" s="6" t="s">
        <v>106</v>
      </c>
      <c r="D7" s="6"/>
      <c r="E7" s="12">
        <v>11124.174999999999</v>
      </c>
      <c r="F7" s="6" t="s">
        <v>58</v>
      </c>
      <c r="G7" s="25">
        <v>7.0000000000000007E-2</v>
      </c>
      <c r="H7" s="25"/>
      <c r="I7" s="26" t="s">
        <v>336</v>
      </c>
      <c r="J7" s="25"/>
      <c r="K7" s="6"/>
      <c r="L7" s="6" t="s">
        <v>336</v>
      </c>
      <c r="M7" s="6" t="s">
        <v>336</v>
      </c>
      <c r="N7" s="6"/>
      <c r="O7" s="6"/>
      <c r="P7" s="6" t="s">
        <v>336</v>
      </c>
      <c r="Q7" s="6" t="s">
        <v>336</v>
      </c>
      <c r="R7" s="6"/>
      <c r="S7" s="6"/>
      <c r="T7" s="6"/>
    </row>
    <row r="8" spans="1:20" x14ac:dyDescent="0.35">
      <c r="A8" s="6" t="s">
        <v>0</v>
      </c>
      <c r="B8" s="6" t="s">
        <v>37</v>
      </c>
      <c r="C8" s="6" t="s">
        <v>13</v>
      </c>
      <c r="D8" s="6"/>
      <c r="E8" s="74">
        <v>2750</v>
      </c>
      <c r="F8" s="6" t="s">
        <v>58</v>
      </c>
      <c r="G8" s="25"/>
      <c r="H8" s="25"/>
      <c r="I8" s="26" t="s">
        <v>336</v>
      </c>
      <c r="J8" s="25"/>
      <c r="K8" s="6"/>
      <c r="L8" s="6" t="s">
        <v>336</v>
      </c>
      <c r="M8" s="6" t="s">
        <v>336</v>
      </c>
      <c r="N8" s="6"/>
      <c r="O8" s="6"/>
      <c r="P8" s="6" t="s">
        <v>336</v>
      </c>
      <c r="Q8" s="6" t="s">
        <v>336</v>
      </c>
      <c r="R8" s="6"/>
      <c r="S8" s="6"/>
      <c r="T8" s="6"/>
    </row>
    <row r="9" spans="1:20" x14ac:dyDescent="0.35">
      <c r="A9" s="6" t="s">
        <v>0</v>
      </c>
      <c r="B9" s="6" t="s">
        <v>37</v>
      </c>
      <c r="C9" s="6" t="s">
        <v>26</v>
      </c>
      <c r="D9" s="6"/>
      <c r="E9" s="74">
        <v>7499.9999999999991</v>
      </c>
      <c r="F9" s="6" t="s">
        <v>58</v>
      </c>
      <c r="G9" s="25"/>
      <c r="H9" s="25"/>
      <c r="I9" s="26" t="s">
        <v>336</v>
      </c>
      <c r="J9" s="25"/>
      <c r="K9" s="6"/>
      <c r="L9" s="6" t="s">
        <v>336</v>
      </c>
      <c r="M9" s="6" t="s">
        <v>336</v>
      </c>
      <c r="N9" s="6"/>
      <c r="O9" s="6"/>
      <c r="P9" s="6" t="s">
        <v>336</v>
      </c>
      <c r="Q9" s="6" t="s">
        <v>336</v>
      </c>
      <c r="R9" s="6"/>
      <c r="S9" s="6"/>
      <c r="T9" s="6"/>
    </row>
    <row r="10" spans="1:20" x14ac:dyDescent="0.35">
      <c r="A10" s="6" t="s">
        <v>0</v>
      </c>
      <c r="B10" s="6" t="s">
        <v>245</v>
      </c>
      <c r="C10" s="6" t="s">
        <v>228</v>
      </c>
      <c r="D10" s="6" t="s">
        <v>336</v>
      </c>
      <c r="E10" s="12">
        <f>E9*12/106*44/12</f>
        <v>3113.2075471698113</v>
      </c>
      <c r="F10" s="6" t="s">
        <v>58</v>
      </c>
      <c r="G10" s="25"/>
      <c r="H10" s="25"/>
      <c r="I10" s="26" t="s">
        <v>336</v>
      </c>
      <c r="J10" s="25"/>
      <c r="K10" s="6"/>
      <c r="L10" s="6" t="s">
        <v>336</v>
      </c>
      <c r="M10" s="6" t="s">
        <v>336</v>
      </c>
      <c r="N10" s="6"/>
      <c r="O10" s="6"/>
      <c r="P10" s="6" t="s">
        <v>336</v>
      </c>
      <c r="Q10" s="6" t="s">
        <v>336</v>
      </c>
      <c r="R10" s="6"/>
      <c r="S10" s="6"/>
      <c r="T10" s="6" t="s">
        <v>363</v>
      </c>
    </row>
    <row r="11" spans="1:20" x14ac:dyDescent="0.35">
      <c r="A11" s="6" t="s">
        <v>0</v>
      </c>
      <c r="B11" s="6" t="s">
        <v>37</v>
      </c>
      <c r="C11" s="6" t="s">
        <v>14</v>
      </c>
      <c r="D11" s="6" t="s">
        <v>336</v>
      </c>
      <c r="E11" s="78">
        <v>1241.597901446743</v>
      </c>
      <c r="F11" s="6" t="s">
        <v>58</v>
      </c>
      <c r="G11" s="25"/>
      <c r="H11" s="25"/>
      <c r="I11" s="26" t="s">
        <v>336</v>
      </c>
      <c r="J11" s="25"/>
      <c r="K11" s="6"/>
      <c r="L11" s="6" t="s">
        <v>336</v>
      </c>
      <c r="M11" s="6" t="s">
        <v>336</v>
      </c>
      <c r="N11" s="6"/>
      <c r="O11" s="6"/>
      <c r="P11" s="6" t="s">
        <v>336</v>
      </c>
      <c r="Q11" s="6" t="s">
        <v>336</v>
      </c>
      <c r="R11" s="6"/>
      <c r="S11" s="6"/>
      <c r="T11" s="6"/>
    </row>
    <row r="12" spans="1:20" x14ac:dyDescent="0.35">
      <c r="A12" s="6" t="s">
        <v>0</v>
      </c>
      <c r="B12" s="6" t="s">
        <v>37</v>
      </c>
      <c r="C12" s="6" t="s">
        <v>19</v>
      </c>
      <c r="D12" s="6" t="s">
        <v>336</v>
      </c>
      <c r="E12" s="78">
        <v>1335.9596300000001</v>
      </c>
      <c r="F12" s="6" t="s">
        <v>58</v>
      </c>
      <c r="G12" s="25"/>
      <c r="H12" s="25"/>
      <c r="I12" s="26" t="s">
        <v>336</v>
      </c>
      <c r="J12" s="25"/>
      <c r="K12" s="6"/>
      <c r="L12" s="6" t="s">
        <v>336</v>
      </c>
      <c r="M12" s="6" t="s">
        <v>336</v>
      </c>
      <c r="N12" s="6"/>
      <c r="O12" s="6"/>
      <c r="P12" s="6" t="s">
        <v>336</v>
      </c>
      <c r="Q12" s="6" t="s">
        <v>336</v>
      </c>
      <c r="R12" s="6"/>
      <c r="S12" s="6"/>
      <c r="T12" s="6"/>
    </row>
    <row r="13" spans="1:20" x14ac:dyDescent="0.35">
      <c r="A13" s="6" t="s">
        <v>0</v>
      </c>
      <c r="B13" s="6" t="s">
        <v>37</v>
      </c>
      <c r="C13" s="6" t="s">
        <v>15</v>
      </c>
      <c r="D13" s="6" t="s">
        <v>336</v>
      </c>
      <c r="E13" s="78">
        <v>1275.8015763000001</v>
      </c>
      <c r="F13" s="6" t="s">
        <v>58</v>
      </c>
      <c r="G13" s="25"/>
      <c r="H13" s="25"/>
      <c r="I13" s="26" t="s">
        <v>336</v>
      </c>
      <c r="J13" s="25"/>
      <c r="K13" s="6"/>
      <c r="L13" s="6" t="s">
        <v>336</v>
      </c>
      <c r="M13" s="6" t="s">
        <v>336</v>
      </c>
      <c r="N13" s="6"/>
      <c r="O13" s="6"/>
      <c r="P13" s="6" t="s">
        <v>336</v>
      </c>
      <c r="Q13" s="6" t="s">
        <v>336</v>
      </c>
      <c r="R13" s="6"/>
      <c r="S13" s="6"/>
      <c r="T13" s="6"/>
    </row>
    <row r="14" spans="1:20" x14ac:dyDescent="0.35">
      <c r="A14" s="6" t="s">
        <v>0</v>
      </c>
      <c r="B14" s="6" t="s">
        <v>37</v>
      </c>
      <c r="C14" s="6" t="s">
        <v>17</v>
      </c>
      <c r="D14" s="6" t="s">
        <v>336</v>
      </c>
      <c r="E14" s="78">
        <v>7.3804090899999997</v>
      </c>
      <c r="F14" s="6" t="s">
        <v>58</v>
      </c>
      <c r="G14" s="25"/>
      <c r="H14" s="25"/>
      <c r="I14" s="26" t="s">
        <v>336</v>
      </c>
      <c r="J14" s="25"/>
      <c r="K14" s="6"/>
      <c r="L14" s="6" t="s">
        <v>336</v>
      </c>
      <c r="M14" s="6" t="s">
        <v>336</v>
      </c>
      <c r="N14" s="6"/>
      <c r="O14" s="6"/>
      <c r="P14" s="6" t="s">
        <v>336</v>
      </c>
      <c r="Q14" s="6" t="s">
        <v>336</v>
      </c>
      <c r="R14" s="6"/>
      <c r="S14" s="6"/>
      <c r="T14" s="6"/>
    </row>
    <row r="15" spans="1:20" x14ac:dyDescent="0.35">
      <c r="A15" s="6" t="s">
        <v>0</v>
      </c>
      <c r="B15" s="6" t="s">
        <v>37</v>
      </c>
      <c r="C15" s="6" t="s">
        <v>20</v>
      </c>
      <c r="D15" s="6" t="s">
        <v>336</v>
      </c>
      <c r="E15" s="78">
        <v>37.2129835</v>
      </c>
      <c r="F15" s="6" t="s">
        <v>58</v>
      </c>
      <c r="G15" s="25"/>
      <c r="H15" s="25"/>
      <c r="I15" s="26" t="s">
        <v>336</v>
      </c>
      <c r="J15" s="25"/>
      <c r="K15" s="6"/>
      <c r="L15" s="6" t="s">
        <v>336</v>
      </c>
      <c r="M15" s="6" t="s">
        <v>336</v>
      </c>
      <c r="N15" s="6"/>
      <c r="O15" s="6"/>
      <c r="P15" s="6" t="s">
        <v>336</v>
      </c>
      <c r="Q15" s="6" t="s">
        <v>336</v>
      </c>
      <c r="R15" s="6"/>
      <c r="S15" s="6"/>
      <c r="T15" s="6"/>
    </row>
    <row r="16" spans="1:20" x14ac:dyDescent="0.35">
      <c r="A16" s="6" t="s">
        <v>0</v>
      </c>
      <c r="B16" s="6" t="s">
        <v>37</v>
      </c>
      <c r="C16" s="6" t="s">
        <v>21</v>
      </c>
      <c r="D16" s="6" t="s">
        <v>336</v>
      </c>
      <c r="E16" s="78">
        <v>9.0697912299999999</v>
      </c>
      <c r="F16" s="6" t="s">
        <v>58</v>
      </c>
      <c r="G16" s="25"/>
      <c r="H16" s="25"/>
      <c r="I16" s="26" t="s">
        <v>336</v>
      </c>
      <c r="J16" s="25"/>
      <c r="K16" s="6"/>
      <c r="L16" s="6" t="s">
        <v>336</v>
      </c>
      <c r="M16" s="6" t="s">
        <v>336</v>
      </c>
      <c r="N16" s="6"/>
      <c r="O16" s="6"/>
      <c r="P16" s="6" t="s">
        <v>336</v>
      </c>
      <c r="Q16" s="6" t="s">
        <v>336</v>
      </c>
      <c r="R16" s="6"/>
      <c r="S16" s="6"/>
      <c r="T16" s="6"/>
    </row>
    <row r="17" spans="1:20" x14ac:dyDescent="0.35">
      <c r="A17" s="6" t="s">
        <v>0</v>
      </c>
      <c r="B17" s="6" t="s">
        <v>37</v>
      </c>
      <c r="C17" s="6" t="s">
        <v>16</v>
      </c>
      <c r="D17" s="6" t="s">
        <v>336</v>
      </c>
      <c r="E17" s="78">
        <v>176.981751</v>
      </c>
      <c r="F17" s="6" t="s">
        <v>58</v>
      </c>
      <c r="G17" s="25"/>
      <c r="H17" s="25"/>
      <c r="I17" s="26" t="s">
        <v>336</v>
      </c>
      <c r="J17" s="25"/>
      <c r="K17" s="6"/>
      <c r="L17" s="6" t="s">
        <v>336</v>
      </c>
      <c r="M17" s="6" t="s">
        <v>336</v>
      </c>
      <c r="N17" s="6"/>
      <c r="O17" s="6"/>
      <c r="P17" s="6" t="s">
        <v>336</v>
      </c>
      <c r="Q17" s="6" t="s">
        <v>336</v>
      </c>
      <c r="R17" s="6"/>
      <c r="S17" s="6"/>
      <c r="T17" s="6"/>
    </row>
    <row r="18" spans="1:20" x14ac:dyDescent="0.35">
      <c r="A18" s="6" t="s">
        <v>0</v>
      </c>
      <c r="B18" s="6" t="s">
        <v>37</v>
      </c>
      <c r="C18" s="6" t="s">
        <v>18</v>
      </c>
      <c r="D18" s="6" t="s">
        <v>336</v>
      </c>
      <c r="E18" s="78">
        <v>418.10850199999999</v>
      </c>
      <c r="F18" s="6" t="s">
        <v>58</v>
      </c>
      <c r="G18" s="25"/>
      <c r="H18" s="25"/>
      <c r="I18" s="26" t="s">
        <v>336</v>
      </c>
      <c r="J18" s="25"/>
      <c r="K18" s="6"/>
      <c r="L18" s="6" t="s">
        <v>336</v>
      </c>
      <c r="M18" s="6" t="s">
        <v>336</v>
      </c>
      <c r="N18" s="6"/>
      <c r="O18" s="6"/>
      <c r="P18" s="6" t="s">
        <v>336</v>
      </c>
      <c r="Q18" s="6" t="s">
        <v>336</v>
      </c>
      <c r="R18" s="6"/>
      <c r="S18" s="6"/>
      <c r="T18" s="6"/>
    </row>
    <row r="19" spans="1:20" x14ac:dyDescent="0.35">
      <c r="A19" s="6" t="s">
        <v>0</v>
      </c>
      <c r="B19" s="6" t="s">
        <v>37</v>
      </c>
      <c r="C19" s="6" t="s">
        <v>50</v>
      </c>
      <c r="D19" s="6"/>
      <c r="E19" s="78">
        <v>90</v>
      </c>
      <c r="F19" s="6" t="s">
        <v>58</v>
      </c>
      <c r="G19" s="25"/>
      <c r="H19" s="25"/>
      <c r="I19" s="26" t="s">
        <v>336</v>
      </c>
      <c r="J19" s="25"/>
      <c r="K19" s="6"/>
      <c r="L19" s="6" t="s">
        <v>336</v>
      </c>
      <c r="M19" s="6" t="s">
        <v>336</v>
      </c>
      <c r="N19" s="6"/>
      <c r="O19" s="6"/>
      <c r="P19" s="6" t="s">
        <v>336</v>
      </c>
      <c r="Q19" s="6" t="s">
        <v>336</v>
      </c>
      <c r="R19" s="6"/>
      <c r="S19" s="6"/>
      <c r="T19" s="6"/>
    </row>
    <row r="20" spans="1:20" x14ac:dyDescent="0.35">
      <c r="A20" s="6" t="s">
        <v>0</v>
      </c>
      <c r="B20" s="6" t="s">
        <v>245</v>
      </c>
      <c r="C20" s="6" t="s">
        <v>228</v>
      </c>
      <c r="D20" s="6" t="s">
        <v>336</v>
      </c>
      <c r="E20" s="78">
        <f>12*7/(12*7+8*1)*44/12*E19</f>
        <v>301.30434782608694</v>
      </c>
      <c r="F20" s="6" t="s">
        <v>58</v>
      </c>
      <c r="G20" s="25"/>
      <c r="H20" s="25"/>
      <c r="I20" s="26" t="s">
        <v>336</v>
      </c>
      <c r="J20" s="25"/>
      <c r="K20" s="6"/>
      <c r="L20" s="6" t="s">
        <v>336</v>
      </c>
      <c r="M20" s="6" t="s">
        <v>336</v>
      </c>
      <c r="N20" s="6"/>
      <c r="O20" s="6"/>
      <c r="P20" s="6" t="s">
        <v>336</v>
      </c>
      <c r="Q20" s="6" t="s">
        <v>336</v>
      </c>
      <c r="R20" s="6"/>
      <c r="S20" s="6"/>
      <c r="T20" s="6" t="s">
        <v>364</v>
      </c>
    </row>
    <row r="21" spans="1:20" x14ac:dyDescent="0.35">
      <c r="A21" s="6" t="s">
        <v>0</v>
      </c>
      <c r="B21" s="6" t="s">
        <v>37</v>
      </c>
      <c r="C21" s="6" t="s">
        <v>36</v>
      </c>
      <c r="D21" s="6" t="s">
        <v>336</v>
      </c>
      <c r="E21" s="78">
        <v>0.259513353</v>
      </c>
      <c r="F21" s="6" t="s">
        <v>58</v>
      </c>
      <c r="G21" s="25"/>
      <c r="H21" s="25"/>
      <c r="I21" s="26" t="s">
        <v>336</v>
      </c>
      <c r="J21" s="25"/>
      <c r="K21" s="6"/>
      <c r="L21" s="6" t="s">
        <v>336</v>
      </c>
      <c r="M21" s="6" t="s">
        <v>336</v>
      </c>
      <c r="N21" s="6"/>
      <c r="O21" s="6"/>
      <c r="P21" s="6" t="s">
        <v>336</v>
      </c>
      <c r="Q21" s="6" t="s">
        <v>336</v>
      </c>
      <c r="R21" s="6"/>
      <c r="S21" s="6"/>
      <c r="T21" s="6"/>
    </row>
    <row r="22" spans="1:20" x14ac:dyDescent="0.35">
      <c r="A22" s="6" t="s">
        <v>0</v>
      </c>
      <c r="B22" s="6" t="s">
        <v>37</v>
      </c>
      <c r="C22" s="6" t="s">
        <v>23</v>
      </c>
      <c r="D22" s="6" t="s">
        <v>336</v>
      </c>
      <c r="E22" s="12">
        <v>118.82539500000001</v>
      </c>
      <c r="F22" s="6" t="s">
        <v>58</v>
      </c>
      <c r="G22" s="25"/>
      <c r="H22" s="25"/>
      <c r="I22" s="26" t="s">
        <v>336</v>
      </c>
      <c r="J22" s="25"/>
      <c r="K22" s="6"/>
      <c r="L22" s="6" t="s">
        <v>336</v>
      </c>
      <c r="M22" s="6" t="s">
        <v>336</v>
      </c>
      <c r="N22" s="6"/>
      <c r="O22" s="6"/>
      <c r="P22" s="6" t="s">
        <v>336</v>
      </c>
      <c r="Q22" s="6" t="s">
        <v>336</v>
      </c>
      <c r="R22" s="6"/>
      <c r="S22" s="6"/>
      <c r="T22" s="6"/>
    </row>
    <row r="23" spans="1:20" x14ac:dyDescent="0.35">
      <c r="A23" s="6" t="s">
        <v>0</v>
      </c>
      <c r="B23" s="6" t="s">
        <v>37</v>
      </c>
      <c r="C23" s="6" t="s">
        <v>233</v>
      </c>
      <c r="D23" s="6" t="s">
        <v>336</v>
      </c>
      <c r="E23" s="12">
        <v>34.701045615000005</v>
      </c>
      <c r="F23" s="6" t="s">
        <v>58</v>
      </c>
      <c r="G23" s="25"/>
      <c r="H23" s="25"/>
      <c r="I23" s="26" t="s">
        <v>336</v>
      </c>
      <c r="J23" s="25"/>
      <c r="K23" s="6"/>
      <c r="L23" s="6" t="s">
        <v>336</v>
      </c>
      <c r="M23" s="6" t="s">
        <v>336</v>
      </c>
      <c r="N23" s="6"/>
      <c r="O23" s="6"/>
      <c r="P23" s="6" t="s">
        <v>336</v>
      </c>
      <c r="Q23" s="6" t="s">
        <v>336</v>
      </c>
      <c r="R23" s="6"/>
      <c r="S23" s="6"/>
      <c r="T23" s="6"/>
    </row>
    <row r="24" spans="1:20" x14ac:dyDescent="0.35">
      <c r="A24" s="6" t="s">
        <v>0</v>
      </c>
      <c r="B24" s="6" t="s">
        <v>37</v>
      </c>
      <c r="C24" s="6" t="s">
        <v>25</v>
      </c>
      <c r="D24" s="6" t="s">
        <v>336</v>
      </c>
      <c r="E24" s="74">
        <v>2.6040033999999999</v>
      </c>
      <c r="F24" s="6" t="s">
        <v>58</v>
      </c>
      <c r="G24" s="25"/>
      <c r="H24" s="25"/>
      <c r="I24" s="26" t="s">
        <v>336</v>
      </c>
      <c r="J24" s="25"/>
      <c r="K24" s="6"/>
      <c r="L24" s="6" t="s">
        <v>336</v>
      </c>
      <c r="M24" s="6" t="s">
        <v>336</v>
      </c>
      <c r="N24" s="6"/>
      <c r="O24" s="6"/>
      <c r="P24" s="6" t="s">
        <v>336</v>
      </c>
      <c r="Q24" s="6" t="s">
        <v>336</v>
      </c>
      <c r="R24" s="6"/>
      <c r="S24" s="6"/>
      <c r="T24" s="6"/>
    </row>
    <row r="25" spans="1:20" x14ac:dyDescent="0.35">
      <c r="A25" s="6" t="s">
        <v>0</v>
      </c>
      <c r="B25" s="6" t="s">
        <v>29</v>
      </c>
      <c r="C25" s="6" t="s">
        <v>29</v>
      </c>
      <c r="D25" s="6" t="s">
        <v>336</v>
      </c>
      <c r="E25" s="12">
        <v>325149.02799999999</v>
      </c>
      <c r="F25" s="6" t="s">
        <v>58</v>
      </c>
      <c r="G25" s="25"/>
      <c r="H25" s="25"/>
      <c r="I25" s="26" t="s">
        <v>336</v>
      </c>
      <c r="J25" s="25"/>
      <c r="K25" s="6"/>
      <c r="L25" s="6" t="s">
        <v>336</v>
      </c>
      <c r="M25" s="6" t="s">
        <v>336</v>
      </c>
      <c r="N25" s="6"/>
      <c r="O25" s="6"/>
      <c r="P25" s="6" t="s">
        <v>336</v>
      </c>
      <c r="Q25" s="6" t="s">
        <v>336</v>
      </c>
      <c r="R25" s="6"/>
      <c r="S25" s="6"/>
      <c r="T25" s="6"/>
    </row>
    <row r="26" spans="1:20" x14ac:dyDescent="0.35">
      <c r="A26" s="6" t="s">
        <v>0</v>
      </c>
      <c r="B26" s="6" t="s">
        <v>3</v>
      </c>
      <c r="C26" s="6" t="s">
        <v>3</v>
      </c>
      <c r="D26" s="6" t="s">
        <v>10</v>
      </c>
      <c r="E26" s="12">
        <v>8696.7982470000006</v>
      </c>
      <c r="F26" s="6" t="s">
        <v>68</v>
      </c>
      <c r="G26" s="25"/>
      <c r="H26" s="25"/>
      <c r="I26" s="26" t="s">
        <v>336</v>
      </c>
      <c r="J26" s="25"/>
      <c r="K26" s="6"/>
      <c r="L26" s="6" t="s">
        <v>336</v>
      </c>
      <c r="M26" s="6" t="s">
        <v>336</v>
      </c>
      <c r="N26" s="6"/>
      <c r="O26" s="6"/>
      <c r="P26" s="6" t="s">
        <v>336</v>
      </c>
      <c r="Q26" s="6" t="s">
        <v>336</v>
      </c>
      <c r="R26" s="6"/>
      <c r="S26" s="6"/>
      <c r="T26" s="6"/>
    </row>
    <row r="27" spans="1:20" x14ac:dyDescent="0.35">
      <c r="A27" s="6" t="s">
        <v>0</v>
      </c>
      <c r="B27" s="6" t="s">
        <v>244</v>
      </c>
      <c r="C27" s="6" t="s">
        <v>24</v>
      </c>
      <c r="D27" s="6" t="s">
        <v>31</v>
      </c>
      <c r="E27" s="12">
        <v>39.442424496188231</v>
      </c>
      <c r="F27" s="6" t="s">
        <v>70</v>
      </c>
      <c r="G27" s="25"/>
      <c r="H27" s="25"/>
      <c r="I27" s="26" t="s">
        <v>336</v>
      </c>
      <c r="J27" s="25"/>
      <c r="K27" s="6"/>
      <c r="L27" s="6" t="s">
        <v>336</v>
      </c>
      <c r="M27" s="6" t="s">
        <v>336</v>
      </c>
      <c r="N27" s="6"/>
      <c r="O27" s="6"/>
      <c r="P27" s="6" t="s">
        <v>336</v>
      </c>
      <c r="Q27" s="6" t="s">
        <v>336</v>
      </c>
      <c r="R27" s="6"/>
      <c r="S27" s="6"/>
      <c r="T27" s="6"/>
    </row>
    <row r="28" spans="1:20" x14ac:dyDescent="0.35">
      <c r="A28" s="6" t="s">
        <v>113</v>
      </c>
      <c r="B28" s="6" t="s">
        <v>244</v>
      </c>
      <c r="C28" s="6" t="s">
        <v>276</v>
      </c>
      <c r="D28" s="6"/>
      <c r="E28" s="12">
        <v>426.610129149172</v>
      </c>
      <c r="F28" s="6" t="s">
        <v>70</v>
      </c>
      <c r="G28" s="25"/>
      <c r="H28" s="25"/>
      <c r="I28" s="26" t="s">
        <v>336</v>
      </c>
      <c r="J28" s="25"/>
      <c r="K28" s="6"/>
      <c r="L28" s="6" t="s">
        <v>336</v>
      </c>
      <c r="M28" s="6" t="s">
        <v>336</v>
      </c>
      <c r="N28" s="6">
        <v>21.535015935911794</v>
      </c>
      <c r="O28" s="6" t="s">
        <v>361</v>
      </c>
      <c r="P28" s="6" t="s">
        <v>2</v>
      </c>
      <c r="Q28" s="6" t="s">
        <v>83</v>
      </c>
      <c r="R28" s="6"/>
      <c r="S28" s="6"/>
      <c r="T28" s="6"/>
    </row>
    <row r="29" spans="1:20" x14ac:dyDescent="0.35">
      <c r="A29" s="6" t="s">
        <v>85</v>
      </c>
      <c r="B29" s="6" t="s">
        <v>37</v>
      </c>
      <c r="C29" s="6" t="s">
        <v>279</v>
      </c>
      <c r="D29" s="6" t="s">
        <v>336</v>
      </c>
      <c r="E29" s="12">
        <v>12446.036899999999</v>
      </c>
      <c r="F29" s="6" t="s">
        <v>58</v>
      </c>
      <c r="G29" s="25"/>
      <c r="H29" s="25"/>
      <c r="I29" s="26" t="s">
        <v>124</v>
      </c>
      <c r="J29" s="25"/>
      <c r="K29" s="6"/>
      <c r="L29" s="6" t="s">
        <v>336</v>
      </c>
      <c r="M29" s="6" t="s">
        <v>336</v>
      </c>
      <c r="N29" s="6"/>
      <c r="O29" s="6"/>
      <c r="P29" s="6" t="s">
        <v>279</v>
      </c>
      <c r="Q29" s="6" t="s">
        <v>336</v>
      </c>
      <c r="R29" s="6"/>
      <c r="S29" s="6"/>
      <c r="T29" s="6"/>
    </row>
    <row r="30" spans="1:20" x14ac:dyDescent="0.35">
      <c r="A30" s="6"/>
      <c r="B30" s="6"/>
      <c r="C30" s="6"/>
      <c r="D30" s="6"/>
      <c r="E30" s="75"/>
      <c r="F30" s="6"/>
      <c r="G30" s="25"/>
      <c r="H30" s="25"/>
      <c r="I30" s="26"/>
      <c r="J30" s="25"/>
      <c r="K30" s="6"/>
      <c r="L30" s="6"/>
      <c r="M30" s="6"/>
      <c r="N30" s="6"/>
      <c r="O30" s="6"/>
      <c r="P30" s="6"/>
      <c r="Q30" s="6"/>
      <c r="R30" s="6"/>
      <c r="S30" s="6"/>
      <c r="T30" s="6"/>
    </row>
    <row r="31" spans="1:20" x14ac:dyDescent="0.35">
      <c r="A31" s="6"/>
      <c r="B31" s="6"/>
      <c r="C31" s="6"/>
      <c r="D31" s="6"/>
      <c r="E31" s="12"/>
      <c r="F31" s="6"/>
      <c r="G31" s="25"/>
      <c r="H31" s="25"/>
      <c r="I31" s="26"/>
      <c r="J31" s="25"/>
      <c r="K31" s="6"/>
      <c r="L31" s="6"/>
      <c r="M31" s="6"/>
      <c r="N31" s="6"/>
      <c r="O31" s="6"/>
      <c r="P31" s="6"/>
      <c r="Q31" s="6"/>
      <c r="R31" s="6"/>
      <c r="S31" s="6"/>
      <c r="T31" s="6"/>
    </row>
    <row r="32" spans="1:20" x14ac:dyDescent="0.35">
      <c r="A32" s="6"/>
      <c r="B32" s="6"/>
      <c r="C32" s="6"/>
      <c r="D32" s="6"/>
      <c r="E32" s="12"/>
      <c r="F32" s="6"/>
      <c r="G32" s="25"/>
      <c r="H32" s="25"/>
      <c r="I32" s="26"/>
      <c r="J32" s="25"/>
      <c r="K32" s="6"/>
      <c r="L32" s="6"/>
      <c r="M32" s="6"/>
      <c r="N32" s="6"/>
      <c r="O32" s="6"/>
      <c r="P32" s="6"/>
      <c r="Q32" s="6"/>
      <c r="R32" s="6"/>
      <c r="S32" s="6"/>
      <c r="T32" s="6"/>
    </row>
    <row r="33" spans="1:20" x14ac:dyDescent="0.35">
      <c r="A33" s="6"/>
      <c r="B33" s="6"/>
      <c r="C33" s="6"/>
      <c r="D33" s="6"/>
      <c r="E33" s="12"/>
      <c r="F33" s="6"/>
      <c r="G33" s="25"/>
      <c r="H33" s="25"/>
      <c r="I33" s="26"/>
      <c r="J33" s="25"/>
      <c r="K33" s="6"/>
      <c r="L33" s="6"/>
      <c r="M33" s="6"/>
      <c r="N33" s="6"/>
      <c r="O33" s="6"/>
      <c r="P33" s="6"/>
      <c r="Q33" s="6"/>
      <c r="R33" s="6"/>
      <c r="S33" s="6"/>
      <c r="T33" s="6"/>
    </row>
    <row r="34" spans="1:20" x14ac:dyDescent="0.35">
      <c r="A34" s="6"/>
      <c r="B34" s="6"/>
      <c r="C34" s="6"/>
      <c r="D34" s="6"/>
      <c r="E34" s="12"/>
      <c r="F34" s="6"/>
      <c r="G34" s="25"/>
      <c r="H34" s="25"/>
      <c r="I34" s="26"/>
      <c r="J34" s="25"/>
      <c r="K34" s="6"/>
      <c r="L34" s="6"/>
      <c r="M34" s="6"/>
      <c r="N34" s="6"/>
      <c r="O34" s="6"/>
      <c r="P34" s="6"/>
      <c r="Q34" s="6"/>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Use'!$A$11:$A$18,'SI - End Use'!$B$11:$B$18,"other_end_use",0))</xm:f>
          </x14:formula1>
          <xm:sqref>Q6:R100</xm:sqref>
        </x14:dataValidation>
        <x14:dataValidation type="list" allowBlank="1" showInputMessage="1" xr:uid="{A026ABCD-9090-484C-8035-86332534803F}">
          <x14:formula1>
            <xm:f>INDIRECT(_xlfn.XLOOKUP($C6,'SI - End Use'!$A$11:$A$18,'SI - End Use'!$B$11:$B$18,"other_end_use",0))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tabSelected="1" workbookViewId="0">
      <pane ySplit="5" topLeftCell="A6" activePane="bottomLeft" state="frozen"/>
      <selection activeCell="C19" sqref="C19"/>
      <selection pane="bottomLeft" activeCell="S18" sqref="S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362</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INL Data</vt:lpstr>
      <vt:lpstr>Blending</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2022-12-20T15:43:37Z</dcterms:modified>
</cp:coreProperties>
</file>