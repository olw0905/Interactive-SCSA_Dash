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3C9E507C-543E-4031-9B3F-2499F62B6B57}" xr6:coauthVersionLast="47" xr6:coauthVersionMax="47" xr10:uidLastSave="{00000000-0000-0000-0000-000000000000}"/>
  <bookViews>
    <workbookView xWindow="28680" yWindow="-120" windowWidth="29040" windowHeight="15840" tabRatio="685" activeTab="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TL" sheetId="25" r:id="rId8"/>
    <sheet name="Upgrading" sheetId="27" r:id="rId9"/>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7" i="25" l="1"/>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L6" i="25" l="1"/>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Q100" i="25"/>
  <c r="P100" i="25"/>
  <c r="I100" i="25"/>
  <c r="F100" i="25" a="1"/>
  <c r="F100" i="25" s="1"/>
  <c r="D100" i="25"/>
  <c r="C100" i="25"/>
  <c r="Q99" i="25"/>
  <c r="P99" i="25"/>
  <c r="I99" i="25"/>
  <c r="D99" i="25"/>
  <c r="C99" i="25"/>
  <c r="F99" i="25" s="1" a="1"/>
  <c r="F99" i="25" s="1"/>
  <c r="P98" i="25"/>
  <c r="Q98" i="25" s="1"/>
  <c r="I98" i="25"/>
  <c r="C98" i="25"/>
  <c r="Q97" i="25"/>
  <c r="P97" i="25"/>
  <c r="I97" i="25"/>
  <c r="F97" i="25" a="1"/>
  <c r="F97" i="25" s="1"/>
  <c r="C97" i="25"/>
  <c r="D97" i="25" s="1"/>
  <c r="Q96" i="25"/>
  <c r="P96" i="25"/>
  <c r="I96" i="25"/>
  <c r="F96" i="25"/>
  <c r="F96" i="25" a="1"/>
  <c r="D96" i="25"/>
  <c r="C96" i="25"/>
  <c r="P95" i="25"/>
  <c r="Q95" i="25" s="1"/>
  <c r="I95" i="25"/>
  <c r="F95" i="25" a="1"/>
  <c r="F95" i="25" s="1"/>
  <c r="C95" i="25"/>
  <c r="D95" i="25" s="1"/>
  <c r="P94" i="25"/>
  <c r="Q94" i="25" s="1"/>
  <c r="I94" i="25"/>
  <c r="D94" i="25"/>
  <c r="C94" i="25"/>
  <c r="F94" i="25" s="1" a="1"/>
  <c r="F94" i="25" s="1"/>
  <c r="Q93" i="25"/>
  <c r="P93" i="25"/>
  <c r="I93" i="25"/>
  <c r="C93" i="25"/>
  <c r="P92" i="25"/>
  <c r="Q92" i="25" s="1"/>
  <c r="I92" i="25"/>
  <c r="F92" i="25" a="1"/>
  <c r="F92" i="25" s="1"/>
  <c r="D92" i="25"/>
  <c r="C92" i="25"/>
  <c r="Q91" i="25"/>
  <c r="P91" i="25"/>
  <c r="I91" i="25"/>
  <c r="D91" i="25"/>
  <c r="C91" i="25"/>
  <c r="F91" i="25" s="1" a="1"/>
  <c r="F91" i="25" s="1"/>
  <c r="P90" i="25"/>
  <c r="Q90" i="25" s="1"/>
  <c r="I90" i="25"/>
  <c r="C90" i="25"/>
  <c r="Q89" i="25"/>
  <c r="P89" i="25"/>
  <c r="I89" i="25"/>
  <c r="F89" i="25"/>
  <c r="F89" i="25" a="1"/>
  <c r="C89" i="25"/>
  <c r="D89" i="25" s="1"/>
  <c r="Q88" i="25"/>
  <c r="P88" i="25"/>
  <c r="I88" i="25"/>
  <c r="F88" i="25" a="1"/>
  <c r="F88" i="25" s="1"/>
  <c r="D88" i="25"/>
  <c r="C88" i="25"/>
  <c r="P87" i="25"/>
  <c r="Q87" i="25" s="1"/>
  <c r="I87" i="25"/>
  <c r="C87" i="25"/>
  <c r="F87" i="25" s="1" a="1"/>
  <c r="F87" i="25" s="1"/>
  <c r="P86" i="25"/>
  <c r="Q86" i="25" s="1"/>
  <c r="I86" i="25"/>
  <c r="C86" i="25"/>
  <c r="F86" i="25" s="1" a="1"/>
  <c r="F86" i="25" s="1"/>
  <c r="Q85" i="25"/>
  <c r="P85" i="25"/>
  <c r="I85" i="25"/>
  <c r="C85" i="25"/>
  <c r="Q84" i="25"/>
  <c r="P84" i="25"/>
  <c r="I84" i="25"/>
  <c r="F84" i="25" a="1"/>
  <c r="F84" i="25" s="1"/>
  <c r="D84" i="25"/>
  <c r="C84" i="25"/>
  <c r="P83" i="25"/>
  <c r="Q83" i="25" s="1"/>
  <c r="I83" i="25"/>
  <c r="D83" i="25"/>
  <c r="C83" i="25"/>
  <c r="F83" i="25" s="1" a="1"/>
  <c r="F83" i="25" s="1"/>
  <c r="P82" i="25"/>
  <c r="Q82" i="25" s="1"/>
  <c r="I82" i="25"/>
  <c r="C82" i="25"/>
  <c r="Q81" i="25"/>
  <c r="P81" i="25"/>
  <c r="I81" i="25"/>
  <c r="F81" i="25"/>
  <c r="F81" i="25" a="1"/>
  <c r="C81" i="25"/>
  <c r="D81" i="25" s="1"/>
  <c r="Q80" i="25"/>
  <c r="P80" i="25"/>
  <c r="I80" i="25"/>
  <c r="F80" i="25" a="1"/>
  <c r="F80" i="25" s="1"/>
  <c r="D80" i="25"/>
  <c r="C80" i="25"/>
  <c r="P79" i="25"/>
  <c r="Q79" i="25" s="1"/>
  <c r="I79" i="25"/>
  <c r="F79" i="25" a="1"/>
  <c r="F79" i="25" s="1"/>
  <c r="D79" i="25"/>
  <c r="C79" i="25"/>
  <c r="Q78" i="25"/>
  <c r="P78" i="25"/>
  <c r="I78" i="25"/>
  <c r="D78" i="25"/>
  <c r="C78" i="25"/>
  <c r="F78" i="25" s="1" a="1"/>
  <c r="F78" i="25" s="1"/>
  <c r="Q77" i="25"/>
  <c r="P77" i="25"/>
  <c r="I77" i="25"/>
  <c r="C77" i="25"/>
  <c r="P76" i="25"/>
  <c r="Q76" i="25" s="1"/>
  <c r="I76" i="25"/>
  <c r="F76" i="25" a="1"/>
  <c r="F76" i="25" s="1"/>
  <c r="D76" i="25"/>
  <c r="C76" i="25"/>
  <c r="P75" i="25"/>
  <c r="Q75" i="25" s="1"/>
  <c r="I75" i="25"/>
  <c r="D75" i="25"/>
  <c r="C75" i="25"/>
  <c r="F75" i="25" s="1" a="1"/>
  <c r="F75" i="25" s="1"/>
  <c r="P74" i="25"/>
  <c r="Q74" i="25" s="1"/>
  <c r="I74" i="25"/>
  <c r="C74" i="25"/>
  <c r="Q73" i="25"/>
  <c r="P73" i="25"/>
  <c r="I73" i="25"/>
  <c r="F73" i="25" a="1"/>
  <c r="F73" i="25" s="1"/>
  <c r="D73" i="25"/>
  <c r="C73" i="25"/>
  <c r="P72" i="25"/>
  <c r="Q72" i="25" s="1"/>
  <c r="I72" i="25"/>
  <c r="F72" i="25"/>
  <c r="F72" i="25" a="1"/>
  <c r="D72" i="25"/>
  <c r="C72" i="25"/>
  <c r="P71" i="25"/>
  <c r="Q71" i="25" s="1"/>
  <c r="I71" i="25"/>
  <c r="F71" i="25" a="1"/>
  <c r="F71" i="25" s="1"/>
  <c r="C71" i="25"/>
  <c r="D71" i="25" s="1"/>
  <c r="Q70" i="25"/>
  <c r="P70" i="25"/>
  <c r="I70" i="25"/>
  <c r="C70" i="25"/>
  <c r="F70" i="25" s="1" a="1"/>
  <c r="F70" i="25" s="1"/>
  <c r="Q69" i="25"/>
  <c r="P69" i="25"/>
  <c r="I69" i="25"/>
  <c r="F69" i="25" a="1"/>
  <c r="F69" i="25" s="1"/>
  <c r="C69" i="25"/>
  <c r="D69" i="25" s="1"/>
  <c r="P68" i="25"/>
  <c r="Q68" i="25" s="1"/>
  <c r="I68" i="25"/>
  <c r="F68" i="25" a="1"/>
  <c r="F68" i="25" s="1"/>
  <c r="D68" i="25"/>
  <c r="C68" i="25"/>
  <c r="Q67" i="25"/>
  <c r="P67" i="25"/>
  <c r="I67" i="25"/>
  <c r="D67" i="25"/>
  <c r="C67" i="25"/>
  <c r="F67" i="25" s="1" a="1"/>
  <c r="F67" i="25" s="1"/>
  <c r="P66" i="25"/>
  <c r="Q66" i="25" s="1"/>
  <c r="I66" i="25"/>
  <c r="C66" i="25"/>
  <c r="Q65" i="25"/>
  <c r="P65" i="25"/>
  <c r="I65" i="25"/>
  <c r="F65" i="25" a="1"/>
  <c r="F65" i="25" s="1"/>
  <c r="D65" i="25"/>
  <c r="C65" i="25"/>
  <c r="Q64" i="25"/>
  <c r="P64" i="25"/>
  <c r="I64" i="25"/>
  <c r="F64" i="25"/>
  <c r="F64" i="25" a="1"/>
  <c r="D64" i="25"/>
  <c r="C64" i="25"/>
  <c r="P63" i="25"/>
  <c r="Q63" i="25" s="1"/>
  <c r="I63" i="25"/>
  <c r="C63" i="25"/>
  <c r="F63" i="25" s="1" a="1"/>
  <c r="F63" i="25" s="1"/>
  <c r="Q62" i="25"/>
  <c r="P62" i="25"/>
  <c r="I62" i="25"/>
  <c r="F62" i="25"/>
  <c r="D62" i="25"/>
  <c r="C62" i="25"/>
  <c r="F62" i="25" s="1" a="1"/>
  <c r="Q61" i="25"/>
  <c r="P61" i="25"/>
  <c r="I61" i="25"/>
  <c r="C61" i="25"/>
  <c r="D61" i="25" s="1"/>
  <c r="Q60" i="25"/>
  <c r="P60" i="25"/>
  <c r="I60" i="25"/>
  <c r="F60" i="25" a="1"/>
  <c r="F60" i="25" s="1"/>
  <c r="D60" i="25"/>
  <c r="C60" i="25"/>
  <c r="P59" i="25"/>
  <c r="Q59" i="25" s="1"/>
  <c r="I59" i="25"/>
  <c r="D59" i="25"/>
  <c r="C59" i="25"/>
  <c r="F59" i="25" s="1" a="1"/>
  <c r="F59" i="25" s="1"/>
  <c r="P58" i="25"/>
  <c r="Q58" i="25" s="1"/>
  <c r="I58" i="25"/>
  <c r="C58" i="25"/>
  <c r="Q57" i="25"/>
  <c r="P57" i="25"/>
  <c r="I57" i="25"/>
  <c r="F57" i="25" a="1"/>
  <c r="F57" i="25" s="1"/>
  <c r="D57" i="25"/>
  <c r="C57" i="25"/>
  <c r="P56" i="25"/>
  <c r="Q56" i="25" s="1"/>
  <c r="I56" i="25"/>
  <c r="F56" i="25" a="1"/>
  <c r="F56" i="25" s="1"/>
  <c r="D56" i="25"/>
  <c r="C56" i="25"/>
  <c r="P55" i="25"/>
  <c r="Q55" i="25" s="1"/>
  <c r="I55" i="25"/>
  <c r="F55" i="25" a="1"/>
  <c r="F55" i="25" s="1"/>
  <c r="D55" i="25"/>
  <c r="C55" i="25"/>
  <c r="Q54" i="25"/>
  <c r="P54" i="25"/>
  <c r="I54" i="25"/>
  <c r="C54" i="25"/>
  <c r="F54" i="25" s="1" a="1"/>
  <c r="F54" i="25" s="1"/>
  <c r="Q53" i="25"/>
  <c r="P53" i="25"/>
  <c r="I53" i="25"/>
  <c r="C53" i="25"/>
  <c r="D53" i="25" s="1"/>
  <c r="P52" i="25"/>
  <c r="Q52" i="25" s="1"/>
  <c r="I52" i="25"/>
  <c r="F52" i="25" a="1"/>
  <c r="F52" i="25" s="1"/>
  <c r="D52" i="25"/>
  <c r="C52" i="25"/>
  <c r="P51" i="25"/>
  <c r="Q51" i="25" s="1"/>
  <c r="I51" i="25"/>
  <c r="C51" i="25"/>
  <c r="F51" i="25" s="1" a="1"/>
  <c r="F51" i="25" s="1"/>
  <c r="P50" i="25"/>
  <c r="Q50" i="25" s="1"/>
  <c r="I50" i="25"/>
  <c r="C50" i="25"/>
  <c r="Q49" i="25"/>
  <c r="P49" i="25"/>
  <c r="I49" i="25"/>
  <c r="F49" i="25"/>
  <c r="F49" i="25" a="1"/>
  <c r="D49" i="25"/>
  <c r="C49" i="25"/>
  <c r="P48" i="25"/>
  <c r="Q48" i="25" s="1"/>
  <c r="I48" i="25"/>
  <c r="F48" i="25" a="1"/>
  <c r="F48" i="25" s="1"/>
  <c r="D48" i="25"/>
  <c r="C48" i="25"/>
  <c r="P47" i="25"/>
  <c r="Q47" i="25" s="1"/>
  <c r="I47" i="25"/>
  <c r="C47" i="25"/>
  <c r="F47" i="25" s="1" a="1"/>
  <c r="F47" i="25" s="1"/>
  <c r="Q46" i="25"/>
  <c r="P46" i="25"/>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Q41" i="25"/>
  <c r="P41" i="25"/>
  <c r="I41" i="25"/>
  <c r="F41" i="25"/>
  <c r="F41" i="25" a="1"/>
  <c r="D41" i="25"/>
  <c r="C41" i="25"/>
  <c r="P40" i="25"/>
  <c r="Q40" i="25" s="1"/>
  <c r="I40" i="25"/>
  <c r="F40" i="25" a="1"/>
  <c r="F40" i="25" s="1"/>
  <c r="D40" i="25"/>
  <c r="C40" i="25"/>
  <c r="P39" i="25"/>
  <c r="Q39" i="25" s="1"/>
  <c r="I39" i="25"/>
  <c r="C39" i="25"/>
  <c r="F39" i="25" s="1" a="1"/>
  <c r="F39" i="25" s="1"/>
  <c r="Q38" i="25"/>
  <c r="P38" i="25"/>
  <c r="I38" i="25"/>
  <c r="F38" i="25"/>
  <c r="C38" i="25"/>
  <c r="F38" i="25" s="1" a="1"/>
  <c r="P37" i="25"/>
  <c r="Q37" i="25" s="1"/>
  <c r="I37" i="25"/>
  <c r="C37" i="25"/>
  <c r="D37" i="25" s="1"/>
  <c r="P36" i="25"/>
  <c r="Q36" i="25" s="1"/>
  <c r="I36" i="25"/>
  <c r="F36" i="25" a="1"/>
  <c r="F36" i="25" s="1"/>
  <c r="D36" i="25"/>
  <c r="C36" i="25"/>
  <c r="P35" i="25"/>
  <c r="Q35" i="25" s="1"/>
  <c r="I35" i="25"/>
  <c r="C35" i="25"/>
  <c r="F35" i="25" s="1" a="1"/>
  <c r="F35" i="25" s="1"/>
  <c r="P34" i="25"/>
  <c r="Q34" i="25" s="1"/>
  <c r="I34" i="25"/>
  <c r="F34" i="25" a="1"/>
  <c r="F34" i="25" s="1"/>
  <c r="C34" i="25"/>
  <c r="D34" i="25" s="1"/>
  <c r="Q33" i="25"/>
  <c r="P33" i="25"/>
  <c r="I33" i="25"/>
  <c r="F33" i="25"/>
  <c r="F33" i="25" a="1"/>
  <c r="D33" i="25"/>
  <c r="C33" i="25"/>
  <c r="P32" i="25"/>
  <c r="Q32" i="25" s="1"/>
  <c r="I32" i="25"/>
  <c r="F32" i="25" a="1"/>
  <c r="F32" i="25" s="1"/>
  <c r="D32" i="25"/>
  <c r="C32" i="25"/>
  <c r="P31" i="25"/>
  <c r="Q31" i="25" s="1"/>
  <c r="I31" i="25"/>
  <c r="C31" i="25"/>
  <c r="F31" i="25" s="1" a="1"/>
  <c r="F31" i="25" s="1"/>
  <c r="Q30" i="25"/>
  <c r="P30" i="25"/>
  <c r="I30" i="25"/>
  <c r="F30" i="25"/>
  <c r="C30" i="25"/>
  <c r="F30" i="25" s="1" a="1"/>
  <c r="P29" i="25"/>
  <c r="Q29" i="25" s="1"/>
  <c r="I29" i="25"/>
  <c r="C29" i="25"/>
  <c r="D29" i="25" s="1"/>
  <c r="P28" i="25"/>
  <c r="Q28" i="25" s="1"/>
  <c r="I28" i="25"/>
  <c r="F28" i="25" a="1"/>
  <c r="F28" i="25" s="1"/>
  <c r="D28" i="25"/>
  <c r="C28" i="25"/>
  <c r="P27" i="25"/>
  <c r="Q27" i="25" s="1"/>
  <c r="I27" i="25"/>
  <c r="C27" i="25"/>
  <c r="F27" i="25" s="1" a="1"/>
  <c r="F27" i="25" s="1"/>
  <c r="P26" i="25"/>
  <c r="Q26" i="25" s="1"/>
  <c r="I26" i="25"/>
  <c r="F26" i="25" a="1"/>
  <c r="F26" i="25" s="1"/>
  <c r="C26" i="25"/>
  <c r="D26" i="25" s="1"/>
  <c r="Q25" i="25"/>
  <c r="P25" i="25"/>
  <c r="I25" i="25"/>
  <c r="F25" i="25"/>
  <c r="F25" i="25" a="1"/>
  <c r="D25" i="25"/>
  <c r="C25" i="25"/>
  <c r="P24" i="25"/>
  <c r="Q24" i="25" s="1"/>
  <c r="I24" i="25"/>
  <c r="F24" i="25" a="1"/>
  <c r="F24" i="25" s="1"/>
  <c r="D24" i="25"/>
  <c r="C24" i="25"/>
  <c r="P23" i="25"/>
  <c r="Q23" i="25" s="1"/>
  <c r="I23" i="25"/>
  <c r="C23" i="25"/>
  <c r="F23" i="25" s="1" a="1"/>
  <c r="F23" i="25" s="1"/>
  <c r="Q22" i="25"/>
  <c r="P22" i="25"/>
  <c r="I22" i="25"/>
  <c r="F22" i="25"/>
  <c r="C22" i="25"/>
  <c r="F22" i="25" s="1" a="1"/>
  <c r="P21" i="25"/>
  <c r="Q21" i="25" s="1"/>
  <c r="I21" i="25"/>
  <c r="C21" i="25"/>
  <c r="D21" i="25" s="1"/>
  <c r="P20" i="25"/>
  <c r="Q20" i="25" s="1"/>
  <c r="I20" i="25"/>
  <c r="F20" i="25" a="1"/>
  <c r="F20" i="25" s="1"/>
  <c r="D20" i="25"/>
  <c r="C20" i="25"/>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F82" i="25" l="1" a="1"/>
  <c r="F82" i="25" s="1"/>
  <c r="D82" i="25"/>
  <c r="D19" i="25"/>
  <c r="D23" i="25"/>
  <c r="D27" i="25"/>
  <c r="D31" i="25"/>
  <c r="D35" i="25"/>
  <c r="D39" i="25"/>
  <c r="D43" i="25"/>
  <c r="D47" i="25"/>
  <c r="D54" i="25"/>
  <c r="F58" i="25" a="1"/>
  <c r="F58" i="25" s="1"/>
  <c r="D58" i="25"/>
  <c r="F61" i="25" a="1"/>
  <c r="F61" i="25" s="1"/>
  <c r="D87" i="25"/>
  <c r="F93" i="25" a="1"/>
  <c r="F93" i="25" s="1"/>
  <c r="D93" i="25"/>
  <c r="D51" i="25"/>
  <c r="F90" i="25" a="1"/>
  <c r="F90" i="25" s="1"/>
  <c r="D90" i="25"/>
  <c r="D22" i="25"/>
  <c r="D30" i="25"/>
  <c r="D38" i="25"/>
  <c r="D46" i="25"/>
  <c r="F50" i="25" a="1"/>
  <c r="F50" i="25" s="1"/>
  <c r="D50" i="25"/>
  <c r="F53" i="25" a="1"/>
  <c r="F53" i="25" s="1"/>
  <c r="F85" i="25" a="1"/>
  <c r="F85" i="25" s="1"/>
  <c r="D85" i="25"/>
  <c r="F98" i="25" a="1"/>
  <c r="F98" i="25" s="1"/>
  <c r="D98" i="25"/>
  <c r="F66" i="25" a="1"/>
  <c r="F66" i="25" s="1"/>
  <c r="D66" i="25"/>
  <c r="F77" i="25" a="1"/>
  <c r="F77" i="25" s="1"/>
  <c r="D77" i="25"/>
  <c r="F21" i="25" a="1"/>
  <c r="F21" i="25" s="1"/>
  <c r="F29" i="25" a="1"/>
  <c r="F29" i="25" s="1"/>
  <c r="F37" i="25" a="1"/>
  <c r="F37" i="25" s="1"/>
  <c r="F45" i="25" a="1"/>
  <c r="F45" i="25" s="1"/>
  <c r="D63" i="25"/>
  <c r="D70" i="25"/>
  <c r="F74" i="25" a="1"/>
  <c r="F74" i="25" s="1"/>
  <c r="D74" i="25"/>
  <c r="D86"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<sst xmlns="http://schemas.openxmlformats.org/spreadsheetml/2006/main" count="959" uniqueCount="340">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</sst>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4">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43" fontId="0" fillId="0" borderId="2" xfId="1" applyNumberFormat="1" applyFont="1" applyBorder="1"/>
  </cellXfs>
  <cellStyles count="3">
    <cellStyle name="Comma" xfId="1" builtinId="3"/>
    <cellStyle name="Normal" xfId="0" builtinId="0"/>
    <cellStyle name="Percent" xfId="2" builtinId="5"/>
  </cellStyles>
  <dxfs count="106">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5895E309-D4B9-4AB2-9769-AF147E65E6E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05" dataDxfId="104" tableBorderDxfId="103" dataCellStyle="Percent">
  <autoFilter ref="A5:T100" xr:uid="{1644AED8-49DE-4A1D-989C-1566C9A522B9}"/>
  <tableColumns count="20">
    <tableColumn id="1" xr3:uid="{3C4E83C1-4DAF-4B93-AE9A-B658DBA43631}" name="Type" dataDxfId="102"/>
    <tableColumn id="2" xr3:uid="{7AC9B54E-C457-49EC-A7D6-0ED656B6CFE9}" name="Category" dataDxfId="101"/>
    <tableColumn id="3" xr3:uid="{350F9A14-F368-49FE-AF21-19555EB999FB}" name="Resource" dataDxfId="100">
      <calculatedColumnFormula>_xlfn.XLOOKUP($B6,'SI - Resources'!$A$1:$J$1,'SI - Resources'!$A$2:$J$2, "")</calculatedColumnFormula>
    </tableColumn>
    <tableColumn id="4" xr3:uid="{A0B55D89-6640-4C29-88AC-93188C5097C5}" name="End Use" dataDxfId="99">
      <calculatedColumnFormula>IF(_xlfn.XLOOKUP($C6,'SI - End Use'!$B$2:$B$6,'SI - End Use'!$C$2:$C$6, "")="", "", _xlfn.XLOOKUP($C6,'SI - End Use'!$B$2:$B$6,'SI - End Use'!$C$2:$C$6, ""))</calculatedColumnFormula>
    </tableColumn>
    <tableColumn id="5" xr3:uid="{5ADDDF1D-4510-4428-A882-8D5C8F52BE8C}" name="Amount" dataDxfId="98" dataCellStyle="Comma"/>
    <tableColumn id="6" xr3:uid="{341D427F-5F42-4F22-98AD-9D6883E4330B}" name="Unit" dataDxfId="97">
      <calculatedColumnFormula array="1">IF($B6="Transportation",  'SI - Units'!$B$9:$B$9, _xlfn.XLOOKUP(_xlfn.XLOOKUP($C6,'SI - Units'!$B$24:$B$109,'SI - Units'!$C$24:$C$109, ""),'SI - Units'!$A$2:$A$8,'SI - Units'!$B$2:$B$8, ""))</calculatedColumnFormula>
    </tableColumn>
    <tableColumn id="7" xr3:uid="{515C4DB0-B187-40B1-8F47-45FF3483AEC1}" name="Moisture" dataDxfId="96" dataCellStyle="Percent"/>
    <tableColumn id="8" xr3:uid="{294BC856-42BB-4049-BD49-6A865E88E771}" name="Previous Stage" dataDxfId="95" dataCellStyle="Percent"/>
    <tableColumn id="9" xr3:uid="{CDA23678-EB57-4035-9101-F29AA45C63EE}" name="Always Use Displacement Method for Co-Product?" dataDxfId="94" dataCellStyle="Percent">
      <calculatedColumnFormula>IF(Table1[[#This Row],[Type]]="Co-product", "No", "")</calculatedColumnFormula>
    </tableColumn>
    <tableColumn id="19" xr3:uid="{9ACBBA67-4B7F-43A7-9CF8-0FBB7B61A832}" name="Urban Share" dataDxfId="93" dataCellStyle="Percent"/>
    <tableColumn id="10" xr3:uid="{0E5BF4B8-8667-40EE-B9EF-BC9E06D72AAB}" name="Product Train" dataDxfId="92"/>
    <tableColumn id="14" xr3:uid="{D99A9C54-A8C3-4803-A70D-4659D5193A9A}" name="Payload" dataDxfId="91">
      <calculatedColumnFormula>IF(Table1[[#This Row],[Category]]="Transportation", _xlfn.XLOOKUP(Table1[[#This Row],[Resource]], 'SI - Payload'!$A$10:$A$38,'SI - Payload'!$B$10:$B$38,"",0), "")</calculatedColumnFormula>
    </tableColumn>
    <tableColumn id="15" xr3:uid="{3BF278AE-6D04-4ABA-AACE-E651957B5676}" name="Payload Unit" dataDxfId="90">
      <calculatedColumnFormula>IF(Table1[[#This Row],[Category]]="Transportation", "ton", "")</calculatedColumnFormula>
    </tableColumn>
    <tableColumn id="16" xr3:uid="{B4587E16-116C-48C2-B897-34EA45D2B5E2}" name="Market Price" dataDxfId="89"/>
    <tableColumn id="17" xr3:uid="{CFF030DD-8740-4448-85CE-69419CA7344D}" name="Market Price Unit" dataDxfId="88"/>
    <tableColumn id="12" xr3:uid="{0A5A1CE9-5C17-482C-ACCA-BB3BA789761E}" name="Incumbent Product" dataDxfId="87">
      <calculatedColumnFormula>IF(OR(Table1[[#This Row],[Type]]="Main Product", Table1[[#This Row],[Type]]="Co-Product"), Table1[[#This Row],[Resource]], "")</calculatedColumnFormula>
    </tableColumn>
    <tableColumn id="13" xr3:uid="{A8C514D4-4EE9-4BFC-A5D9-1A3B1C61CAF3}" name="End Use of Incumbent Product" dataDxfId="86">
      <calculatedColumnFormula>IF(_xlfn.XLOOKUP($P6,'SI - End Use'!$B$2:$B$6,'SI - End Use'!$C$2:$C$6, "")="", "", _xlfn.XLOOKUP($C6,'SI - End Use'!$B$2:$B$6,'SI - End Use'!$C$2:$C$6, ""))</calculatedColumnFormula>
    </tableColumn>
    <tableColumn id="20" xr3:uid="{3D510D5D-99B7-4EB4-8590-3620FE598E5C}" name="Surrogate For" dataDxfId="85"/>
    <tableColumn id="18" xr3:uid="{1AFBF91D-E45D-442D-BA06-D58B0AE7953E}" name="Process" dataDxfId="84"/>
    <tableColumn id="11" xr3:uid="{34D8D993-53F9-46B7-8FE9-32F1A6F2DFD2}" name="Note" dataDxfId="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82" dataDxfId="81">
  <autoFilter ref="A1:K53" xr:uid="{BF352F56-F627-4A8D-9B22-DA497E2644FC}"/>
  <tableColumns count="11">
    <tableColumn id="1" xr3:uid="{B4C1BEA4-EC08-4542-9BC0-5CAC3303F1DE}" name="Biomass" dataDxfId="80"/>
    <tableColumn id="8" xr3:uid="{CA09F49F-4D37-4D57-9F64-66042BBFCAF3}" name="Waste" dataDxfId="79"/>
    <tableColumn id="2" xr3:uid="{16936180-7E0F-4E08-BEC7-75346859C647}" name="Process fuel" dataDxfId="78"/>
    <tableColumn id="6" xr3:uid="{8ABA29FD-C6B0-4B51-8840-E17193E077EC}" name="Electricity" dataDxfId="77"/>
    <tableColumn id="3" xr3:uid="{C1A34163-30E4-47F2-BE75-A919CC80E9BF}" name="Chemicals and catalysts" dataDxfId="76"/>
    <tableColumn id="4" xr3:uid="{CA7E12F4-CA42-4C30-8167-75EC0AE0646A}" name="Water" dataDxfId="75"/>
    <tableColumn id="9" xr3:uid="{6ADE4401-0F6C-4911-9721-036C8287FC6F}" name="Infrastructure" dataDxfId="74"/>
    <tableColumn id="7" xr3:uid="{C235CCC4-A94E-464B-AE35-96309F90FA7A}" name="Transportation" dataDxfId="73"/>
    <tableColumn id="10" xr3:uid="{C8DE9AE9-442D-497B-B981-79FAEF638C23}" name="Other" dataDxfId="72"/>
    <tableColumn id="5" xr3:uid="{FBD24046-BCD6-418A-8FDF-2918685E10CE}" name="Emissions and sequestration" dataDxfId="71"/>
    <tableColumn id="11" xr3:uid="{B559EE47-EDB5-47AD-9A10-77802A08495D}" name="Placeholder" dataDxfId="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69"/>
    <tableColumn id="4" xr3:uid="{066E5028-FE97-46DD-94DD-3F5362889CC8}" name="Column4" dataDxfId="68"/>
    <tableColumn id="5" xr3:uid="{518CF11D-9FC1-41DC-A48E-08F72F35ADAA}" name="Column5" dataDxfId="6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6">
  <autoFilter ref="A1:R10" xr:uid="{A38095DD-9874-4EE7-A8C2-2706165CCEBD}"/>
  <tableColumns count="18">
    <tableColumn id="1" xr3:uid="{65B7BBF3-4BCE-43A4-9B03-83AE412598EC}" name="Column1"/>
    <tableColumn id="2" xr3:uid="{FFDF068B-D532-4DC4-904E-48D00A60A52E}" name="Column2" dataDxfId="65"/>
    <tableColumn id="3" xr3:uid="{22885E79-E7D2-4EEE-B0A6-74B1C5779681}" name="Column3" dataDxfId="64"/>
    <tableColumn id="4" xr3:uid="{C1DEFD79-EA05-47FD-8251-B29B3BCC06B2}" name="Column4" dataDxfId="63"/>
    <tableColumn id="5" xr3:uid="{29AEEBB1-E43B-4691-B73C-A8FA6D80443C}" name="Column5" dataDxfId="62"/>
    <tableColumn id="6" xr3:uid="{CC08C1F9-C485-4200-A0F9-C8E59BA65B97}" name="Column6" dataDxfId="61"/>
    <tableColumn id="7" xr3:uid="{6C28381F-6253-4E2E-A800-FF075582292A}" name="Column7" dataDxfId="60"/>
    <tableColumn id="8" xr3:uid="{CA3D0B6B-B24F-4751-A1CE-28D7D0B98174}" name="Column8" dataDxfId="59"/>
    <tableColumn id="9" xr3:uid="{7057E753-ED12-407E-950F-CC59E808A2BF}" name="Column9" dataDxfId="5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57">
  <autoFilter ref="B23:C109" xr:uid="{09147A22-E822-45D3-B3C2-ABDDF48EE5E6}"/>
  <tableColumns count="2">
    <tableColumn id="1" xr3:uid="{CDC0A0AC-3BED-4650-82CE-403A1BF28367}" name="Column1" dataDxfId="56"/>
    <tableColumn id="2" xr3:uid="{B6F8A3B9-3868-4A35-8F6E-BA3E60A1529E}" name="Column2" dataDxfId="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4">
  <autoFilter ref="A12:R20" xr:uid="{B01EA81C-1645-4ED3-BEC5-6C5396237E43}"/>
  <tableColumns count="18">
    <tableColumn id="1" xr3:uid="{821EE498-6278-4E39-82EF-1F47FBA85A36}" name="Column1"/>
    <tableColumn id="2" xr3:uid="{E81954FF-60B7-4ABD-BC14-40676F73AA3E}" name="Column2" dataDxfId="53">
      <calculatedColumnFormula>IF(B2&lt;&gt;"","$/"&amp;B2, "")</calculatedColumnFormula>
    </tableColumn>
    <tableColumn id="3" xr3:uid="{A15329FC-BC0D-46AE-9A0E-F4CFE0FF184A}" name="Column3" dataDxfId="52">
      <calculatedColumnFormula>IF(C2&lt;&gt;"","$/"&amp;C2, "")</calculatedColumnFormula>
    </tableColumn>
    <tableColumn id="4" xr3:uid="{2197BCF8-40A1-4D22-B05E-D0E1CBFBA215}" name="Column4" dataDxfId="51">
      <calculatedColumnFormula>IF(D2&lt;&gt;"","$/"&amp;D2, "")</calculatedColumnFormula>
    </tableColumn>
    <tableColumn id="5" xr3:uid="{3DAF72F2-745A-4FCF-BD44-BDC825984018}" name="Column5" dataDxfId="50">
      <calculatedColumnFormula>IF(E2&lt;&gt;"","$/"&amp;E2, "")</calculatedColumnFormula>
    </tableColumn>
    <tableColumn id="6" xr3:uid="{820E7353-19C6-4D63-B444-F7CAC7BF01AA}" name="Column6" dataDxfId="49">
      <calculatedColumnFormula>IF(F2&lt;&gt;"","$/"&amp;F2, "")</calculatedColumnFormula>
    </tableColumn>
    <tableColumn id="7" xr3:uid="{91F510E8-B638-43EB-BA78-D4632DA66CD4}" name="Column7" dataDxfId="48">
      <calculatedColumnFormula>IF(G2&lt;&gt;"","$/"&amp;G2, "")</calculatedColumnFormula>
    </tableColumn>
    <tableColumn id="8" xr3:uid="{9CD4EFF6-953E-4257-A2B2-041DCDDBD0BB}" name="Column8" dataDxfId="47">
      <calculatedColumnFormula>IF(H2&lt;&gt;"","$/"&amp;H2, "")</calculatedColumnFormula>
    </tableColumn>
    <tableColumn id="9" xr3:uid="{E1D1E2ED-A567-4428-8C9E-5EE867B5D225}" name="Column9" dataDxfId="4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45" dataDxfId="44" tableBorderDxfId="43" dataCellStyle="Percent">
  <autoFilter ref="A5:T100" xr:uid="{1644AED8-49DE-4A1D-989C-1566C9A522B9}"/>
  <tableColumns count="20">
    <tableColumn id="1" xr3:uid="{54F9705D-FA12-4199-961E-8DDE3BEC1FF4}" name="Type" dataDxfId="42"/>
    <tableColumn id="2" xr3:uid="{5E06514D-AF5C-4733-B19A-35D0CC7BA125}" name="Category" dataDxfId="41"/>
    <tableColumn id="3" xr3:uid="{69BA6CC3-22B3-4961-B36B-27AC7ED01FF0}" name="Resource" dataDxfId="40">
      <calculatedColumnFormula>_xlfn.XLOOKUP($B6,'SI - Resources'!$A$1:$J$1,'SI - Resources'!$A$2:$J$2, "")</calculatedColumnFormula>
    </tableColumn>
    <tableColumn id="4" xr3:uid="{6DC4DBA1-44C9-4FDA-9E57-3838D825ECFA}" name="End Use" dataDxfId="39">
      <calculatedColumnFormula>IF(_xlfn.XLOOKUP($C6,'SI - End Use'!$B$2:$B$6,'SI - End Use'!$C$2:$C$6, "")="", "", _xlfn.XLOOKUP($C6,'SI - End Use'!$B$2:$B$6,'SI - End Use'!$C$2:$C$6, ""))</calculatedColumnFormula>
    </tableColumn>
    <tableColumn id="5" xr3:uid="{F830743F-BD41-4E61-B70C-392CF3507634}" name="Amount" dataDxfId="38" dataCellStyle="Comma"/>
    <tableColumn id="6" xr3:uid="{01FEC64F-BBBC-45DB-AA85-23184FCA593F}" name="Unit" dataDxfId="37">
      <calculatedColumnFormula array="1">IF($B6="Transportation",  'SI - Units'!$B$9:$B$9, _xlfn.XLOOKUP(_xlfn.XLOOKUP($C6,'SI - Units'!$B$24:$B$109,'SI - Units'!$C$24:$C$109, ""),'SI - Units'!$A$2:$A$8,'SI - Units'!$B$2:$B$8, ""))</calculatedColumnFormula>
    </tableColumn>
    <tableColumn id="7" xr3:uid="{DADAAA2D-293C-48CB-9CB1-75700C9C4968}" name="Moisture" dataDxfId="36" dataCellStyle="Percent"/>
    <tableColumn id="8" xr3:uid="{2957F34A-4674-463C-8301-7C41D5617B66}" name="Previous Stage" dataDxfId="35" dataCellStyle="Percent"/>
    <tableColumn id="9" xr3:uid="{6EE0F124-564D-49F7-960F-9EE0EB9237CE}" name="Always Use Displacement Method for Co-Product?" dataDxfId="34" dataCellStyle="Percent">
      <calculatedColumnFormula>IF(Table13[[#This Row],[Type]]="Co-product", "No", "")</calculatedColumnFormula>
    </tableColumn>
    <tableColumn id="19" xr3:uid="{FECAF65C-0B47-4B61-8F33-C8CB8AF8101C}" name="Urban Share" dataDxfId="33" dataCellStyle="Percent"/>
    <tableColumn id="10" xr3:uid="{0E59D430-6097-4EDF-B14A-959C8C548B5D}" name="Product Train" dataDxfId="32"/>
    <tableColumn id="14" xr3:uid="{1CEFABF1-C5C0-4155-B2DA-9C96DB3EF9E6}" name="Payload" dataDxfId="31">
      <calculatedColumnFormula>IF(Table13[[#This Row],[Category]]="Transportation", _xlfn.XLOOKUP(Table13[[#This Row],[Resource]], 'SI - Payload'!$A$10:$A$38,'SI - Payload'!$B$10:$B$38,"",0), "")</calculatedColumnFormula>
    </tableColumn>
    <tableColumn id="15" xr3:uid="{EE5FB89E-00B2-49AB-86F6-885F10A10A44}" name="Payload Unit" dataDxfId="30">
      <calculatedColumnFormula>IF(Table13[[#This Row],[Category]]="Transportation", "ton", "")</calculatedColumnFormula>
    </tableColumn>
    <tableColumn id="16" xr3:uid="{DD4AF3CD-95A6-4155-A9F8-219BB655F17C}" name="Market Price" dataDxfId="29"/>
    <tableColumn id="17" xr3:uid="{52DB1B6A-4585-458B-995E-186B46E8C3DF}" name="Market Price Unit" dataDxfId="28"/>
    <tableColumn id="12" xr3:uid="{4781A17F-CA51-4602-9E9E-45059C893A05}" name="Incumbent Product" dataDxfId="27">
      <calculatedColumnFormula>IF(OR(Table13[[#This Row],[Type]]="Main Product", Table13[[#This Row],[Type]]="Co-Product"), Table13[[#This Row],[Resource]], "")</calculatedColumnFormula>
    </tableColumn>
    <tableColumn id="13" xr3:uid="{20B65699-5108-434A-92D6-E1BA8F5A7398}" name="End Use of Incumbent Product" dataDxfId="26">
      <calculatedColumnFormula>IF(_xlfn.XLOOKUP($P6,'SI - End Use'!$B$2:$B$6,'SI - End Use'!$C$2:$C$6, "")="", "", _xlfn.XLOOKUP($C6,'SI - End Use'!$B$2:$B$6,'SI - End Use'!$C$2:$C$6, ""))</calculatedColumnFormula>
    </tableColumn>
    <tableColumn id="20" xr3:uid="{F58B10F3-B502-4069-8935-2BBB2D619AE8}" name="Surrogate For" dataDxfId="25"/>
    <tableColumn id="18" xr3:uid="{D295942E-90E1-4140-8949-BB2F14AD476B}" name="Process" dataDxfId="24"/>
    <tableColumn id="11" xr3:uid="{BEF80C4D-C947-4B0E-89F7-3409DCD4C185}" name="Note" dataDxfId="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22" dataDxfId="21" tableBorderDxfId="20" dataCellStyle="Percent">
  <autoFilter ref="A5:T100" xr:uid="{1644AED8-49DE-4A1D-989C-1566C9A522B9}"/>
  <tableColumns count="20">
    <tableColumn id="1" xr3:uid="{BEBC556B-3D7C-4704-9E84-F2CDB1CC48C8}" name="Type" dataDxfId="19"/>
    <tableColumn id="2" xr3:uid="{9FC51C14-1D46-40AE-A7C8-D94A56C4C3A9}" name="Category" dataDxfId="18"/>
    <tableColumn id="3" xr3:uid="{B3EE558C-90F0-48FC-92CA-892F8F474E7D}" name="Resource" dataDxfId="17">
      <calculatedColumnFormula>_xlfn.XLOOKUP($B6,'SI - Resources'!$A$1:$J$1,'SI - Resources'!$A$2:$J$2, "")</calculatedColumnFormula>
    </tableColumn>
    <tableColumn id="4" xr3:uid="{F5ACC7FE-5516-4FA4-9F7A-1B68FD4E0FCF}" name="End Use" dataDxfId="16">
      <calculatedColumnFormula>IF(_xlfn.XLOOKUP($C6,'SI - End Use'!$B$2:$B$6,'SI - End Use'!$C$2:$C$6, "")="", "", _xlfn.XLOOKUP($C6,'SI - End Use'!$B$2:$B$6,'SI - End Use'!$C$2:$C$6, ""))</calculatedColumnFormula>
    </tableColumn>
    <tableColumn id="5" xr3:uid="{0FE02141-C4CB-442F-A0A4-A62D9B283E3A}" name="Amount" dataDxfId="15" dataCellStyle="Comma"/>
    <tableColumn id="6" xr3:uid="{8A4312BB-974B-4524-8F69-7B76D86B0CDC}" name="Unit" dataDxfId="14">
      <calculatedColumnFormula array="1">IF($B6="Transportation",  'SI - Units'!$B$9:$B$9, _xlfn.XLOOKUP(_xlfn.XLOOKUP($C6,'SI - Units'!$B$24:$B$109,'SI - Units'!$C$24:$C$109, ""),'SI - Units'!$A$2:$A$8,'SI - Units'!$B$2:$B$8, ""))</calculatedColumnFormula>
    </tableColumn>
    <tableColumn id="7" xr3:uid="{176552F4-C5A0-4D1A-A506-E650432C88E5}" name="Moisture" dataDxfId="13" dataCellStyle="Percent"/>
    <tableColumn id="8" xr3:uid="{16EE4FBE-363C-4ACD-9090-4D7FAD40A27F}" name="Previous Stage" dataDxfId="12" dataCellStyle="Percent"/>
    <tableColumn id="9" xr3:uid="{E5FFC313-73FA-4BD9-B5CC-27D88D7D2CEF}" name="Always Use Displacement Method for Co-Product?" dataDxfId="11" dataCellStyle="Percent">
      <calculatedColumnFormula>IF(Table18[[#This Row],[Type]]="Co-product", "No", "")</calculatedColumnFormula>
    </tableColumn>
    <tableColumn id="19" xr3:uid="{AA012377-D417-48E8-A86A-A428C2BE242E}" name="Urban Share" dataDxfId="10" dataCellStyle="Percent"/>
    <tableColumn id="10" xr3:uid="{5E0DA463-EF45-45F9-AF32-6C3A97CD8108}" name="Product Train" dataDxfId="9"/>
    <tableColumn id="14" xr3:uid="{E24F1BA0-CA9D-4C6E-878F-89CB524285D7}" name="Payload" dataDxfId="8">
      <calculatedColumnFormula>IF(Table18[[#This Row],[Category]]="Transportation", _xlfn.XLOOKUP(Table18[[#This Row],[Resource]], 'SI - Payload'!$A$10:$A$38,'SI - Payload'!$B$10:$B$38,"",0), "")</calculatedColumnFormula>
    </tableColumn>
    <tableColumn id="15" xr3:uid="{DA8A9051-D27F-45F6-8DE1-1AF52F197E52}" name="Payload Unit" dataDxfId="7">
      <calculatedColumnFormula>IF(Table18[[#This Row],[Category]]="Transportation", "ton", "")</calculatedColumnFormula>
    </tableColumn>
    <tableColumn id="16" xr3:uid="{649D615E-9801-4527-8807-BBE0BAF73065}" name="Market Price" dataDxfId="6"/>
    <tableColumn id="17" xr3:uid="{D7DE7C50-371B-4A2E-AE94-E9C372028783}" name="Market Price Unit" dataDxfId="5"/>
    <tableColumn id="12" xr3:uid="{338A8E28-6A05-43B9-8D4B-D955AD2EDFFB}" name="Incumbent Product" dataDxfId="4">
      <calculatedColumnFormula>IF(OR(Table18[[#This Row],[Type]]="Main Product", Table18[[#This Row],[Type]]="Co-Product"), Table18[[#This Row],[Resource]], "")</calculatedColumnFormula>
    </tableColumn>
    <tableColumn id="13" xr3:uid="{EEF6CC85-341F-46F6-9CBB-7FB5BDFBCED1}" name="End Use of Incumbent Product" dataDxfId="3">
      <calculatedColumnFormula>IF(_xlfn.XLOOKUP($P6,'SI - End Use'!$B$2:$B$6,'SI - End Use'!$C$2:$C$6, "")="", "", _xlfn.XLOOKUP($C6,'SI - End Use'!$B$2:$B$6,'SI - End Use'!$C$2:$C$6, ""))</calculatedColumnFormula>
    </tableColumn>
    <tableColumn id="20" xr3:uid="{2DD2FC74-F668-4E9A-BC42-4CF911C33CEC}" name="Surrogate For" dataDxfId="2"/>
    <tableColumn id="18" xr3:uid="{E5699390-0C9C-4F5D-BFC4-801DC6D54A17}" name="Process" dataDxfId="1"/>
    <tableColumn id="11" xr3:uid="{62057600-713E-4D80-8822-D1D8EF58C249}"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0" t="s">
        <v>261</v>
      </c>
      <c r="B2" s="60"/>
    </row>
    <row r="3" spans="1:3" ht="29.1" customHeight="1" x14ac:dyDescent="0.25">
      <c r="A3" s="62" t="s">
        <v>274</v>
      </c>
      <c r="B3" s="62"/>
    </row>
    <row r="4" spans="1:3" ht="27.95" customHeight="1" x14ac:dyDescent="0.25">
      <c r="A4" s="19"/>
      <c r="B4" s="19"/>
    </row>
    <row r="5" spans="1:3" ht="27.95" customHeight="1" x14ac:dyDescent="0.25">
      <c r="A5" s="61" t="s">
        <v>260</v>
      </c>
      <c r="B5" s="61"/>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t="s">
        <v>13</v>
      </c>
      <c r="B17" s="50">
        <f>$Y$4</f>
        <v>22.5</v>
      </c>
    </row>
    <row r="18" spans="1:2" x14ac:dyDescent="0.25">
      <c r="A18" t="s">
        <v>14</v>
      </c>
      <c r="B18" s="50">
        <f t="shared" ref="B18:B38" si="0">$Y$4</f>
        <v>22.5</v>
      </c>
    </row>
    <row r="19" spans="1:2" x14ac:dyDescent="0.25">
      <c r="A19" t="s">
        <v>15</v>
      </c>
      <c r="B19" s="50">
        <f t="shared" si="0"/>
        <v>22.5</v>
      </c>
    </row>
    <row r="20" spans="1:2" x14ac:dyDescent="0.25">
      <c r="A20" t="s">
        <v>16</v>
      </c>
      <c r="B20" s="50">
        <f t="shared" si="0"/>
        <v>22.5</v>
      </c>
    </row>
    <row r="21" spans="1:2" x14ac:dyDescent="0.25">
      <c r="A21" t="s">
        <v>17</v>
      </c>
      <c r="B21" s="50">
        <f t="shared" si="0"/>
        <v>22.5</v>
      </c>
    </row>
    <row r="22" spans="1:2" x14ac:dyDescent="0.25">
      <c r="A22" t="s">
        <v>18</v>
      </c>
      <c r="B22" s="50">
        <f t="shared" si="0"/>
        <v>22.5</v>
      </c>
    </row>
    <row r="23" spans="1:2" x14ac:dyDescent="0.25">
      <c r="A23" t="s">
        <v>19</v>
      </c>
      <c r="B23" s="50">
        <f t="shared" si="0"/>
        <v>22.5</v>
      </c>
    </row>
    <row r="24" spans="1:2" x14ac:dyDescent="0.25">
      <c r="A24" t="s">
        <v>107</v>
      </c>
      <c r="B24" s="50">
        <f t="shared" si="0"/>
        <v>22.5</v>
      </c>
    </row>
    <row r="25" spans="1:2" x14ac:dyDescent="0.25">
      <c r="A25" t="s">
        <v>106</v>
      </c>
      <c r="B25" s="50">
        <f t="shared" si="0"/>
        <v>22.5</v>
      </c>
    </row>
    <row r="26" spans="1:2" x14ac:dyDescent="0.25">
      <c r="A26" t="s">
        <v>21</v>
      </c>
      <c r="B26" s="50">
        <f t="shared" si="0"/>
        <v>22.5</v>
      </c>
    </row>
    <row r="27" spans="1:2" x14ac:dyDescent="0.25">
      <c r="A27" t="s">
        <v>36</v>
      </c>
      <c r="B27" s="50">
        <f t="shared" si="0"/>
        <v>22.5</v>
      </c>
    </row>
    <row r="28" spans="1:2" x14ac:dyDescent="0.25">
      <c r="A28" t="s">
        <v>23</v>
      </c>
      <c r="B28" s="50">
        <f t="shared" si="0"/>
        <v>22.5</v>
      </c>
    </row>
    <row r="29" spans="1:2" x14ac:dyDescent="0.25">
      <c r="A29" t="s">
        <v>25</v>
      </c>
      <c r="B29" s="50">
        <f t="shared" si="0"/>
        <v>22.5</v>
      </c>
    </row>
    <row r="30" spans="1:2" x14ac:dyDescent="0.25">
      <c r="A30" t="s">
        <v>26</v>
      </c>
      <c r="B30" s="50">
        <f t="shared" si="0"/>
        <v>22.5</v>
      </c>
    </row>
    <row r="31" spans="1:2" x14ac:dyDescent="0.25">
      <c r="A31" t="s">
        <v>30</v>
      </c>
      <c r="B31" s="50">
        <f t="shared" si="0"/>
        <v>22.5</v>
      </c>
    </row>
    <row r="32" spans="1:2" x14ac:dyDescent="0.25">
      <c r="A32" t="s">
        <v>21</v>
      </c>
      <c r="B32" s="50">
        <f t="shared" si="0"/>
        <v>22.5</v>
      </c>
    </row>
    <row r="33" spans="1:2" x14ac:dyDescent="0.25">
      <c r="A33" t="s">
        <v>20</v>
      </c>
      <c r="B33" s="50">
        <f t="shared" si="0"/>
        <v>22.5</v>
      </c>
    </row>
    <row r="34" spans="1:2" x14ac:dyDescent="0.25">
      <c r="A34" t="s">
        <v>36</v>
      </c>
      <c r="B34" s="50">
        <f t="shared" si="0"/>
        <v>22.5</v>
      </c>
    </row>
    <row r="35" spans="1:2" x14ac:dyDescent="0.25">
      <c r="A35" t="s">
        <v>25</v>
      </c>
      <c r="B35" s="50">
        <f t="shared" si="0"/>
        <v>22.5</v>
      </c>
    </row>
    <row r="36" spans="1:2" x14ac:dyDescent="0.25">
      <c r="A36" t="s">
        <v>239</v>
      </c>
      <c r="B36" s="50">
        <v>23</v>
      </c>
    </row>
    <row r="37" spans="1:2" x14ac:dyDescent="0.25">
      <c r="A37" t="s">
        <v>243</v>
      </c>
      <c r="B37" s="50">
        <v>23</v>
      </c>
    </row>
    <row r="38" spans="1:2" x14ac:dyDescent="0.2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243</v>
      </c>
      <c r="J4" t="s">
        <v>220</v>
      </c>
      <c r="R4" t="s">
        <v>3</v>
      </c>
      <c r="S4" t="s">
        <v>323</v>
      </c>
    </row>
    <row r="5" spans="1:19" x14ac:dyDescent="0.25">
      <c r="C5" s="1" t="s">
        <v>309</v>
      </c>
      <c r="D5" s="1"/>
      <c r="E5" s="1" t="s">
        <v>36</v>
      </c>
      <c r="G5" t="s">
        <v>286</v>
      </c>
      <c r="H5" t="s">
        <v>288</v>
      </c>
      <c r="J5" t="s">
        <v>221</v>
      </c>
      <c r="R5" t="s">
        <v>37</v>
      </c>
      <c r="S5" t="s">
        <v>327</v>
      </c>
    </row>
    <row r="6" spans="1:19" x14ac:dyDescent="0.25">
      <c r="C6" t="s">
        <v>71</v>
      </c>
      <c r="E6" s="1" t="s">
        <v>13</v>
      </c>
      <c r="J6" t="s">
        <v>222</v>
      </c>
      <c r="R6" t="s">
        <v>29</v>
      </c>
      <c r="S6" t="s">
        <v>324</v>
      </c>
    </row>
    <row r="7" spans="1:19" x14ac:dyDescent="0.25">
      <c r="C7" t="s">
        <v>276</v>
      </c>
      <c r="E7" s="1" t="s">
        <v>235</v>
      </c>
      <c r="J7" t="s">
        <v>223</v>
      </c>
      <c r="R7" t="s">
        <v>282</v>
      </c>
      <c r="S7" t="s">
        <v>328</v>
      </c>
    </row>
    <row r="8" spans="1:19" x14ac:dyDescent="0.25">
      <c r="C8" t="s">
        <v>277</v>
      </c>
      <c r="E8" s="1" t="s">
        <v>25</v>
      </c>
      <c r="J8" t="s">
        <v>224</v>
      </c>
      <c r="R8" t="s">
        <v>33</v>
      </c>
      <c r="S8" t="s">
        <v>333</v>
      </c>
    </row>
    <row r="9" spans="1:19" x14ac:dyDescent="0.25">
      <c r="C9" t="s">
        <v>312</v>
      </c>
      <c r="E9" s="1" t="s">
        <v>279</v>
      </c>
      <c r="J9" t="s">
        <v>225</v>
      </c>
      <c r="R9" t="s">
        <v>217</v>
      </c>
      <c r="S9" t="s">
        <v>325</v>
      </c>
    </row>
    <row r="10" spans="1:19" x14ac:dyDescent="0.25">
      <c r="C10" t="s">
        <v>313</v>
      </c>
      <c r="E10" s="1" t="s">
        <v>15</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71</v>
      </c>
      <c r="G30" s="3" t="s">
        <v>331</v>
      </c>
      <c r="H30" s="3"/>
      <c r="I30" s="3"/>
      <c r="J30" s="3"/>
      <c r="K30" s="3"/>
      <c r="L30" s="3"/>
    </row>
    <row r="31" spans="1:23" x14ac:dyDescent="0.25">
      <c r="A31" s="2"/>
      <c r="B31" s="1" t="s">
        <v>309</v>
      </c>
      <c r="C31" t="s">
        <v>52</v>
      </c>
      <c r="F31" s="1" t="s">
        <v>276</v>
      </c>
      <c r="G31" s="3" t="s">
        <v>331</v>
      </c>
      <c r="H31" s="3"/>
      <c r="I31" s="3"/>
      <c r="J31" s="3"/>
      <c r="K31" s="3"/>
      <c r="L31" s="3"/>
    </row>
    <row r="32" spans="1:23" x14ac:dyDescent="0.25">
      <c r="A32" s="2"/>
      <c r="B32" s="1" t="s">
        <v>71</v>
      </c>
      <c r="C32" t="s">
        <v>52</v>
      </c>
      <c r="F32" s="1" t="s">
        <v>277</v>
      </c>
      <c r="G32" s="3" t="s">
        <v>331</v>
      </c>
      <c r="H32" s="3"/>
      <c r="I32" s="3"/>
      <c r="J32" s="3"/>
      <c r="K32" s="3"/>
      <c r="L32" s="3"/>
    </row>
    <row r="33" spans="1:7" x14ac:dyDescent="0.25">
      <c r="A33" s="2"/>
      <c r="B33" s="1" t="s">
        <v>276</v>
      </c>
      <c r="C33" t="s">
        <v>52</v>
      </c>
      <c r="F33" t="s">
        <v>312</v>
      </c>
      <c r="G33" s="3" t="s">
        <v>331</v>
      </c>
    </row>
    <row r="34" spans="1:7" x14ac:dyDescent="0.25">
      <c r="A34" s="2"/>
      <c r="B34" s="1" t="s">
        <v>277</v>
      </c>
      <c r="C34" t="s">
        <v>52</v>
      </c>
      <c r="F34" t="s">
        <v>313</v>
      </c>
      <c r="G34" s="3" t="s">
        <v>331</v>
      </c>
    </row>
    <row r="35" spans="1:7" x14ac:dyDescent="0.25">
      <c r="A35" s="2"/>
      <c r="B35" t="s">
        <v>312</v>
      </c>
      <c r="C35" t="s">
        <v>52</v>
      </c>
      <c r="F35" s="1" t="s">
        <v>87</v>
      </c>
      <c r="G35" s="3" t="s">
        <v>331</v>
      </c>
    </row>
    <row r="36" spans="1:7" x14ac:dyDescent="0.25">
      <c r="A36" s="2"/>
      <c r="B36" t="s">
        <v>313</v>
      </c>
      <c r="C36" t="s">
        <v>52</v>
      </c>
      <c r="F36" t="s">
        <v>29</v>
      </c>
      <c r="G36" s="3"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tabSelected="1" workbookViewId="0">
      <pane ySplit="5" topLeftCell="A6" activePane="bottomLeft" state="frozen"/>
      <selection activeCell="C19" sqref="C19"/>
      <selection pane="bottomLeft" activeCell="E17" sqref="E1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25">
      <c r="A7" s="6" t="s">
        <v>0</v>
      </c>
      <c r="B7" s="6" t="s">
        <v>244</v>
      </c>
      <c r="C7" s="6" t="s">
        <v>24</v>
      </c>
      <c r="D7" s="6" t="s">
        <v>31</v>
      </c>
      <c r="E7" s="12">
        <v>194</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12">
        <v>309.8</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2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25">
      <c r="A10" s="6" t="s">
        <v>0</v>
      </c>
      <c r="B10" s="6" t="s">
        <v>37</v>
      </c>
      <c r="C10" s="6" t="s">
        <v>234</v>
      </c>
      <c r="D10" s="6" t="s">
        <v>337</v>
      </c>
      <c r="E10" s="12">
        <v>0</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2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25">
      <c r="A13" s="6" t="s">
        <v>240</v>
      </c>
      <c r="B13" s="6" t="s">
        <v>217</v>
      </c>
      <c r="C13" s="6" t="s">
        <v>243</v>
      </c>
      <c r="D13" s="6" t="s">
        <v>337</v>
      </c>
      <c r="E13" s="12">
        <v>0</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t="s">
        <v>0</v>
      </c>
      <c r="B16" s="6" t="s">
        <v>245</v>
      </c>
      <c r="C16" s="6" t="s">
        <v>229</v>
      </c>
      <c r="D16" s="6" t="s">
        <v>337</v>
      </c>
      <c r="E16" s="12">
        <v>0</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25">
      <c r="A17" s="6" t="s">
        <v>113</v>
      </c>
      <c r="B17" s="6" t="s">
        <v>217</v>
      </c>
      <c r="C17" s="6" t="s">
        <v>239</v>
      </c>
      <c r="D17" s="6" t="s">
        <v>337</v>
      </c>
      <c r="E17" s="12">
        <f>E12</f>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Q6:R100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workbookViewId="0">
      <pane ySplit="5" topLeftCell="A6" activePane="bottomLeft" state="frozen"/>
      <selection activeCell="C19" sqref="C19"/>
      <selection pane="bottomLeft" activeCell="E9" sqref="E9"/>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2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2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2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2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25">
      <c r="A11" s="6" t="s">
        <v>0</v>
      </c>
      <c r="B11" s="6" t="s">
        <v>37</v>
      </c>
      <c r="C11" s="6" t="s">
        <v>237</v>
      </c>
      <c r="D11" s="6" t="s">
        <v>337</v>
      </c>
      <c r="E11" s="63">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25">
      <c r="A12" s="6" t="s">
        <v>0</v>
      </c>
      <c r="B12" s="6" t="s">
        <v>37</v>
      </c>
      <c r="C12" s="6" t="s">
        <v>238</v>
      </c>
      <c r="D12" s="6" t="s">
        <v>337</v>
      </c>
      <c r="E12" s="63">
        <v>0.38831693913130744</v>
      </c>
      <c r="F12" s="6" t="s">
        <v>59</v>
      </c>
      <c r="G12" s="25"/>
      <c r="H12" s="25"/>
      <c r="I12" s="26" t="s">
        <v>337</v>
      </c>
      <c r="J12" s="25"/>
      <c r="K12" s="6"/>
      <c r="L12" s="6" t="s">
        <v>337</v>
      </c>
      <c r="M12" s="6" t="s">
        <v>337</v>
      </c>
      <c r="N12" s="6"/>
      <c r="O12" s="6"/>
      <c r="P12" s="6" t="s">
        <v>337</v>
      </c>
      <c r="Q12" s="6" t="s">
        <v>337</v>
      </c>
      <c r="R12" s="6"/>
      <c r="S12" s="6"/>
      <c r="T12" s="6"/>
    </row>
    <row r="13" spans="1:20" x14ac:dyDescent="0.25">
      <c r="A13" s="6" t="s">
        <v>0</v>
      </c>
      <c r="B13" s="6" t="s">
        <v>37</v>
      </c>
      <c r="C13" s="6" t="s">
        <v>236</v>
      </c>
      <c r="D13" s="6" t="s">
        <v>337</v>
      </c>
      <c r="E13" s="63">
        <v>1.1838239486238848</v>
      </c>
      <c r="F13" s="6" t="s">
        <v>59</v>
      </c>
      <c r="G13" s="25"/>
      <c r="H13" s="25"/>
      <c r="I13" s="26" t="s">
        <v>337</v>
      </c>
      <c r="J13" s="25"/>
      <c r="K13" s="6"/>
      <c r="L13" s="6" t="s">
        <v>337</v>
      </c>
      <c r="M13" s="6" t="s">
        <v>337</v>
      </c>
      <c r="N13" s="6"/>
      <c r="O13" s="6"/>
      <c r="P13" s="6" t="s">
        <v>337</v>
      </c>
      <c r="Q13" s="6" t="s">
        <v>337</v>
      </c>
      <c r="R13" s="6"/>
      <c r="S13" s="6"/>
      <c r="T13" s="6"/>
    </row>
    <row r="14" spans="1:20" x14ac:dyDescent="0.2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2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25">
      <c r="A16" s="6" t="s">
        <v>113</v>
      </c>
      <c r="B16" s="6" t="s">
        <v>244</v>
      </c>
      <c r="C16" s="6" t="s">
        <v>71</v>
      </c>
      <c r="D16" s="6" t="s">
        <v>241</v>
      </c>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3D777DF-9E3C-4C73-837D-2ACA72BDED30}">
          <x14:formula1>
            <xm:f>IF($B6="Transportation",  transport_units, INDIRECT(_xlfn.XLOOKUP($C6, 'SI - Units'!$F$26:$F$36,'SI - Units'!$G$26:$G$36,"mass",0)))</xm:f>
          </x14:formula1>
          <xm:sqref>F6:F100</xm:sqref>
        </x14:dataValidation>
        <x14:dataValidation type="list" allowBlank="1" showInputMessage="1" showErrorMessage="1" xr:uid="{1EBEF20D-ABFF-4067-A9BA-14B5C099FCDB}">
          <x14:formula1>
            <xm:f>INDIRECT("p_"&amp;_xlfn.XLOOKUP($C6,'SI - Units'!$F$26:$F$36,'SI - Units'!$G$26:$G$36,"mass",0))</xm:f>
          </x14:formula1>
          <xm:sqref>O6:O100</xm:sqref>
        </x14:dataValidation>
        <x14:dataValidation type="list" allowBlank="1" showInputMessage="1" showErrorMessage="1" xr:uid="{FDA8A39D-1C34-43C7-9DC2-FCA0617524E3}">
          <x14:formula1>
            <xm:f>INDIRECT(_xlfn.XLOOKUP($P6,'SI - End Use'!$A$11:$A$17,'SI - End Use'!$B$11:$B$17,"other_end_use",0))</xm:f>
          </x14:formula1>
          <xm:sqref>Q6:R100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 type="list" allowBlank="1" showInputMessage="1" showErrorMessage="1" xr:uid="{95420E0D-EE2E-4D05-B4CA-A18D701A2C0E}">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Introduction</vt:lpstr>
      <vt:lpstr>Template</vt:lpstr>
      <vt:lpstr>SI - Payload</vt:lpstr>
      <vt:lpstr>SI - Resources</vt:lpstr>
      <vt:lpstr>SI - End Use</vt:lpstr>
      <vt:lpstr>SI - Units</vt:lpstr>
      <vt:lpstr>SI - Co-products</vt:lpstr>
      <vt:lpstr>HTL</vt:lpstr>
      <vt:lpstr>Upgrading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2022-11-04T20:46:57Z</dcterms:modified>
</cp:coreProperties>
</file>