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B1AF661-6E4E-4EF5-92EA-C61B2A55A100}" xr6:coauthVersionLast="47" xr6:coauthVersionMax="47" xr10:uidLastSave="{00000000-0000-0000-0000-000000000000}"/>
  <bookViews>
    <workbookView xWindow="33720" yWindow="2610" windowWidth="29040" windowHeight="1584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7" r:id="rId9"/>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25" l="1"/>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82" i="25" l="1"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<sst xmlns="http://schemas.openxmlformats.org/spreadsheetml/2006/main" count="959" uniqueCount="340">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</sst>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4">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31">
      <calculatedColumnFormula>IF(Table13[[#This Row],[Category]]="Transportation", _xlfn.XLOOKUP(Table13[[#This Row],[Resource]], 'SI - Payload'!$A$10:$A$38,'SI - Payload'!$B$10:$B$38,"",0), "")</calculatedColumnFormula>
    </tableColumn>
    <tableColumn id="15" xr3:uid="{EE5FB89E-00B2-49AB-86F6-885F10A10A44}" name="Payload Unit" dataDxfId="30">
      <calculatedColumnFormula>IF(Table13[[#This Row],[Category]]="Transportation", "ton", "")</calculatedColumnFormula>
    </tableColumn>
    <tableColumn id="16" xr3:uid="{DD4AF3CD-95A6-4155-A9F8-219BB655F17C}" name="Market Price" dataDxfId="29"/>
    <tableColumn id="17" xr3:uid="{52DB1B6A-4585-458B-995E-186B46E8C3DF}" name="Market Price Unit" dataDxfId="28"/>
    <tableColumn id="12" xr3:uid="{4781A17F-CA51-4602-9E9E-45059C893A05}" name="Incumbent Product" dataDxfId="27">
      <calculatedColumnFormula>IF(OR(Table13[[#This Row],[Type]]="Main Product", Table13[[#This Row],[Type]]="Co-Product"), Table13[[#This Row],[Resource]], "")</calculatedColumnFormula>
    </tableColumn>
    <tableColumn id="13" xr3:uid="{20B65699-5108-434A-92D6-E1BA8F5A7398}" name="End Use of Incumbent Product" dataDxfId="26">
      <calculatedColumnFormula>IF(_xlfn.XLOOKUP($P6,'SI - End Use'!$B$2:$B$6,'SI - End Use'!$C$2:$C$6, "")="", "", _xlfn.XLOOKUP($C6,'SI - End Use'!$B$2:$B$6,'SI - End Use'!$C$2:$C$6, ""))</calculatedColumnFormula>
    </tableColumn>
    <tableColumn id="20" xr3:uid="{F58B10F3-B502-4069-8935-2BBB2D619AE8}" name="Surrogate For" dataDxfId="25"/>
    <tableColumn id="18" xr3:uid="{D295942E-90E1-4140-8949-BB2F14AD476B}" name="Process" dataDxfId="24"/>
    <tableColumn id="11" xr3:uid="{BEF80C4D-C947-4B0E-89F7-3409DCD4C185}"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22" dataDxfId="21" tableBorderDxfId="20" dataCellStyle="Percent">
  <autoFilter ref="A5:T100" xr:uid="{1644AED8-49DE-4A1D-989C-1566C9A522B9}"/>
  <tableColumns count="20">
    <tableColumn id="1" xr3:uid="{BEBC556B-3D7C-4704-9E84-F2CDB1CC48C8}" name="Type" dataDxfId="19"/>
    <tableColumn id="2" xr3:uid="{9FC51C14-1D46-40AE-A7C8-D94A56C4C3A9}" name="Category" dataDxfId="18"/>
    <tableColumn id="3" xr3:uid="{B3EE558C-90F0-48FC-92CA-892F8F474E7D}" name="Resource" dataDxfId="17">
      <calculatedColumnFormula>_xlfn.XLOOKUP($B6,'SI - Resources'!$A$1:$J$1,'SI - Resources'!$A$2:$J$2, "")</calculatedColumnFormula>
    </tableColumn>
    <tableColumn id="4" xr3:uid="{F5ACC7FE-5516-4FA4-9F7A-1B68FD4E0FCF}" name="End Use" dataDxfId="16">
      <calculatedColumnFormula>IF(_xlfn.XLOOKUP($C6,'SI - End Use'!$B$2:$B$6,'SI - End Use'!$C$2:$C$6, "")="", "", _xlfn.XLOOKUP($C6,'SI - End Use'!$B$2:$B$6,'SI - End Use'!$C$2:$C$6, ""))</calculatedColumnFormula>
    </tableColumn>
    <tableColumn id="5" xr3:uid="{0FE02141-C4CB-442F-A0A4-A62D9B283E3A}" name="Amount" dataDxfId="15" dataCellStyle="Comma"/>
    <tableColumn id="6" xr3:uid="{8A4312BB-974B-4524-8F69-7B76D86B0CDC}" name="Unit" dataDxfId="14">
      <calculatedColumnFormula array="1">IF($B6="Transportation",  'SI - Units'!$B$9:$B$9, _xlfn.XLOOKUP(_xlfn.XLOOKUP($C6,'SI - Units'!$B$24:$B$109,'SI - Units'!$C$24:$C$109, ""),'SI - Units'!$A$2:$A$8,'SI - Units'!$B$2:$B$8, ""))</calculatedColumnFormula>
    </tableColumn>
    <tableColumn id="7" xr3:uid="{176552F4-C5A0-4D1A-A506-E650432C88E5}" name="Moisture" dataDxfId="13" dataCellStyle="Percent"/>
    <tableColumn id="8" xr3:uid="{16EE4FBE-363C-4ACD-9090-4D7FAD40A27F}" name="Previous Stage" dataDxfId="12" dataCellStyle="Percent"/>
    <tableColumn id="9" xr3:uid="{E5FFC313-73FA-4BD9-B5CC-27D88D7D2CEF}" name="Always Use Displacement Method for Co-Product?" dataDxfId="11" dataCellStyle="Percent">
      <calculatedColumnFormula>IF(Table18[[#This Row],[Type]]="Co-product", "No", "")</calculatedColumnFormula>
    </tableColumn>
    <tableColumn id="19" xr3:uid="{AA012377-D417-48E8-A86A-A428C2BE242E}" name="Urban Share" dataDxfId="10" dataCellStyle="Percent"/>
    <tableColumn id="10" xr3:uid="{5E0DA463-EF45-45F9-AF32-6C3A97CD8108}" name="Product Train" dataDxfId="9"/>
    <tableColumn id="14" xr3:uid="{E24F1BA0-CA9D-4C6E-878F-89CB524285D7}" name="Payload" dataDxfId="8">
      <calculatedColumnFormula>IF(Table18[[#This Row],[Category]]="Transportation", _xlfn.XLOOKUP(Table18[[#This Row],[Resource]], 'SI - Payload'!$A$10:$A$38,'SI - Payload'!$B$10:$B$38,"",0), "")</calculatedColumnFormula>
    </tableColumn>
    <tableColumn id="15" xr3:uid="{DA8A9051-D27F-45F6-8DE1-1AF52F197E52}" name="Payload Unit" dataDxfId="7">
      <calculatedColumnFormula>IF(Table18[[#This Row],[Category]]="Transportation", "ton", "")</calculatedColumnFormula>
    </tableColumn>
    <tableColumn id="16" xr3:uid="{649D615E-9801-4527-8807-BBE0BAF73065}" name="Market Price" dataDxfId="6"/>
    <tableColumn id="17" xr3:uid="{D7DE7C50-371B-4A2E-AE94-E9C372028783}" name="Market Price Unit" dataDxfId="5"/>
    <tableColumn id="12" xr3:uid="{338A8E28-6A05-43B9-8D4B-D955AD2EDFFB}" name="Incumbent Product" dataDxfId="4">
      <calculatedColumnFormula>IF(OR(Table18[[#This Row],[Type]]="Main Product", Table18[[#This Row],[Type]]="Co-Product"), Table18[[#This Row],[Resource]], "")</calculatedColumnFormula>
    </tableColumn>
    <tableColumn id="13" xr3:uid="{EEF6CC85-341F-46F6-9CBB-7FB5BDFBCED1}" name="End Use of Incumbent Product" dataDxfId="3">
      <calculatedColumnFormula>IF(_xlfn.XLOOKUP($P6,'SI - End Use'!$B$2:$B$6,'SI - End Use'!$C$2:$C$6, "")="", "", _xlfn.XLOOKUP($C6,'SI - End Use'!$B$2:$B$6,'SI - End Use'!$C$2:$C$6, ""))</calculatedColumnFormula>
    </tableColumn>
    <tableColumn id="20" xr3:uid="{2DD2FC74-F668-4E9A-BC42-4CF911C33CEC}" name="Surrogate For" dataDxfId="2"/>
    <tableColumn id="18" xr3:uid="{E5699390-0C9C-4F5D-BFC4-801DC6D54A17}" name="Process" dataDxfId="1"/>
    <tableColumn id="11" xr3:uid="{62057600-713E-4D80-8822-D1D8EF58C249}"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1" t="s">
        <v>261</v>
      </c>
      <c r="B2" s="61"/>
    </row>
    <row r="3" spans="1:3" ht="29.15" customHeight="1" x14ac:dyDescent="0.35">
      <c r="A3" s="63" t="s">
        <v>274</v>
      </c>
      <c r="B3" s="63"/>
    </row>
    <row r="4" spans="1:3" ht="28" customHeight="1" x14ac:dyDescent="0.35">
      <c r="A4" s="19"/>
      <c r="B4" s="19"/>
    </row>
    <row r="5" spans="1:3" ht="28" customHeight="1" x14ac:dyDescent="0.35">
      <c r="A5" s="62" t="s">
        <v>260</v>
      </c>
      <c r="B5" s="62"/>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P27" sqref="P27"/>
      <selection pane="bottomLeft" activeCell="P27" sqref="P2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P27" sqref="P27"/>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P27" sqref="P27"/>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P27" sqref="P27"/>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P27" sqref="P27"/>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P27" sqref="P27"/>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D28" sqref="D2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194</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309.8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0</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0</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v>0</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workbookViewId="0">
      <pane ySplit="5" topLeftCell="A6" activePane="bottomLeft" state="frozen"/>
      <selection activeCell="C19" sqref="C19"/>
      <selection pane="bottomLeft" activeCell="P18" sqref="P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3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3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3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3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3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3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3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3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3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35">
      <c r="A16" s="6" t="s">
        <v>113</v>
      </c>
      <c r="B16" s="6" t="s">
        <v>244</v>
      </c>
      <c r="C16" s="6" t="s">
        <v>71</v>
      </c>
      <c r="D16" s="6" t="s">
        <v>241</v>
      </c>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3D777DF-9E3C-4C73-837D-2ACA72BDED30}">
          <x14:formula1>
            <xm:f>IF($B6="Transportation",  transport_units, INDIRECT(_xlfn.XLOOKUP($C6, 'SI - Units'!$F$26:$F$36,'SI - Units'!$G$26:$G$36,"mass",0)))</xm:f>
          </x14:formula1>
          <xm:sqref>F6:F100</xm:sqref>
        </x14:dataValidation>
        <x14:dataValidation type="list" allowBlank="1" showInputMessage="1" showErrorMessage="1" xr:uid="{1EBEF20D-ABFF-4067-A9BA-14B5C099FCDB}">
          <x14:formula1>
            <xm:f>INDIRECT("p_"&amp;_xlfn.XLOOKUP($C6,'SI - Units'!$F$26:$F$36,'SI - Units'!$G$26:$G$36,"mass",0))</xm:f>
          </x14:formula1>
          <xm:sqref>O6:O100</xm:sqref>
        </x14:dataValidation>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 type="list" allowBlank="1" showInputMessage="1" showErrorMessage="1" xr:uid="{95420E0D-EE2E-4D05-B4CA-A18D701A2C0E}">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2023-01-03T16:48:00Z</dcterms:modified>
</cp:coreProperties>
</file>