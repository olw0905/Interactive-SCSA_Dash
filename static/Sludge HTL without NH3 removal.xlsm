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5AC5732C-3EB2-4590-8829-1E36A5331302}" xr6:coauthVersionLast="47" xr6:coauthVersionMax="47" xr10:uidLastSave="{00000000-0000-0000-0000-000000000000}"/>
  <bookViews>
    <workbookView xWindow="-110" yWindow="-110" windowWidth="22780" windowHeight="14660" tabRatio="685" activeTab="9"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 name="Fuel combus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27" l="1"/>
  <c r="P100" i="27"/>
  <c r="M100" i="27"/>
  <c r="L100" i="27"/>
  <c r="I100" i="27"/>
  <c r="C100" i="27"/>
  <c r="F100" i="27" s="1" a="1"/>
  <c r="F100" i="27" s="1"/>
  <c r="P99" i="27"/>
  <c r="Q99" i="27" s="1"/>
  <c r="M99" i="27"/>
  <c r="L99" i="27"/>
  <c r="I99" i="27"/>
  <c r="D99" i="27"/>
  <c r="C99" i="27"/>
  <c r="F99" i="27" s="1" a="1"/>
  <c r="F99" i="27" s="1"/>
  <c r="Q98" i="27"/>
  <c r="P98" i="27"/>
  <c r="M98" i="27"/>
  <c r="L98" i="27"/>
  <c r="I98" i="27"/>
  <c r="F98" i="27" a="1"/>
  <c r="F98" i="27" s="1"/>
  <c r="C98" i="27"/>
  <c r="D98" i="27" s="1"/>
  <c r="Q97" i="27"/>
  <c r="P97" i="27"/>
  <c r="M97" i="27"/>
  <c r="L97" i="27"/>
  <c r="I97" i="27"/>
  <c r="D97" i="27"/>
  <c r="C97" i="27"/>
  <c r="F97" i="27" s="1" a="1"/>
  <c r="F97" i="27" s="1"/>
  <c r="P96" i="27"/>
  <c r="Q96" i="27" s="1"/>
  <c r="M96" i="27"/>
  <c r="L96" i="27"/>
  <c r="I96" i="27"/>
  <c r="F96" i="27" a="1"/>
  <c r="F96" i="27" s="1"/>
  <c r="D96" i="27"/>
  <c r="C96" i="27"/>
  <c r="Q95" i="27"/>
  <c r="P95" i="27"/>
  <c r="M95" i="27"/>
  <c r="L95" i="27"/>
  <c r="I95" i="27"/>
  <c r="C95" i="27"/>
  <c r="F95" i="27" s="1" a="1"/>
  <c r="F95" i="27" s="1"/>
  <c r="P94" i="27"/>
  <c r="Q94" i="27" s="1"/>
  <c r="M94" i="27"/>
  <c r="L94" i="27"/>
  <c r="I94" i="27"/>
  <c r="D94" i="27"/>
  <c r="C94" i="27"/>
  <c r="F94" i="27" s="1" a="1"/>
  <c r="F94" i="27" s="1"/>
  <c r="P93" i="27"/>
  <c r="Q93" i="27" s="1"/>
  <c r="M93" i="27"/>
  <c r="L93" i="27"/>
  <c r="I93" i="27"/>
  <c r="F93" i="27" a="1"/>
  <c r="F93" i="27" s="1"/>
  <c r="D93" i="27"/>
  <c r="C93" i="27"/>
  <c r="Q92" i="27"/>
  <c r="P92" i="27"/>
  <c r="M92" i="27"/>
  <c r="L92" i="27"/>
  <c r="I92" i="27"/>
  <c r="C92" i="27"/>
  <c r="F92" i="27" s="1" a="1"/>
  <c r="F92" i="27" s="1"/>
  <c r="P91" i="27"/>
  <c r="Q91" i="27" s="1"/>
  <c r="M91" i="27"/>
  <c r="L91" i="27"/>
  <c r="I91" i="27"/>
  <c r="D91" i="27"/>
  <c r="C91" i="27"/>
  <c r="F91" i="27" s="1" a="1"/>
  <c r="F91" i="27" s="1"/>
  <c r="Q90" i="27"/>
  <c r="P90" i="27"/>
  <c r="M90" i="27"/>
  <c r="L90" i="27"/>
  <c r="I90" i="27"/>
  <c r="F90" i="27" a="1"/>
  <c r="F90" i="27" s="1"/>
  <c r="C90" i="27"/>
  <c r="D90" i="27" s="1"/>
  <c r="Q89" i="27"/>
  <c r="P89" i="27"/>
  <c r="M89" i="27"/>
  <c r="L89" i="27"/>
  <c r="I89" i="27"/>
  <c r="D89" i="27"/>
  <c r="C89" i="27"/>
  <c r="F89" i="27" s="1" a="1"/>
  <c r="F89" i="27" s="1"/>
  <c r="P88" i="27"/>
  <c r="Q88" i="27" s="1"/>
  <c r="M88" i="27"/>
  <c r="L88" i="27"/>
  <c r="I88" i="27"/>
  <c r="F88" i="27" a="1"/>
  <c r="F88" i="27" s="1"/>
  <c r="D88" i="27"/>
  <c r="C88" i="27"/>
  <c r="Q87" i="27"/>
  <c r="P87" i="27"/>
  <c r="M87" i="27"/>
  <c r="L87" i="27"/>
  <c r="I87" i="27"/>
  <c r="C87" i="27"/>
  <c r="F87" i="27" s="1" a="1"/>
  <c r="F87" i="27" s="1"/>
  <c r="Q86" i="27"/>
  <c r="P86" i="27"/>
  <c r="M86" i="27"/>
  <c r="L86" i="27"/>
  <c r="I86" i="27"/>
  <c r="D86" i="27"/>
  <c r="C86" i="27"/>
  <c r="F86" i="27" s="1" a="1"/>
  <c r="F86" i="27" s="1"/>
  <c r="P85" i="27"/>
  <c r="Q85" i="27" s="1"/>
  <c r="M85" i="27"/>
  <c r="L85" i="27"/>
  <c r="I85" i="27"/>
  <c r="F85" i="27" a="1"/>
  <c r="F85" i="27" s="1"/>
  <c r="D85" i="27"/>
  <c r="C85" i="27"/>
  <c r="Q84" i="27"/>
  <c r="P84" i="27"/>
  <c r="M84" i="27"/>
  <c r="L84" i="27"/>
  <c r="I84" i="27"/>
  <c r="C84" i="27"/>
  <c r="F84" i="27" s="1" a="1"/>
  <c r="F84" i="27" s="1"/>
  <c r="P83" i="27"/>
  <c r="Q83" i="27" s="1"/>
  <c r="M83" i="27"/>
  <c r="L83" i="27"/>
  <c r="I83" i="27"/>
  <c r="D83" i="27"/>
  <c r="C83" i="27"/>
  <c r="F83" i="27" s="1" a="1"/>
  <c r="F83" i="27" s="1"/>
  <c r="Q82" i="27"/>
  <c r="P82" i="27"/>
  <c r="M82" i="27"/>
  <c r="L82" i="27"/>
  <c r="I82" i="27"/>
  <c r="F82" i="27" a="1"/>
  <c r="F82" i="27" s="1"/>
  <c r="C82" i="27"/>
  <c r="D82" i="27" s="1"/>
  <c r="Q81" i="27"/>
  <c r="P81" i="27"/>
  <c r="M81" i="27"/>
  <c r="L81" i="27"/>
  <c r="I81" i="27"/>
  <c r="D81" i="27"/>
  <c r="C81" i="27"/>
  <c r="F81" i="27" s="1" a="1"/>
  <c r="F81" i="27" s="1"/>
  <c r="P80" i="27"/>
  <c r="Q80" i="27" s="1"/>
  <c r="M80" i="27"/>
  <c r="L80" i="27"/>
  <c r="I80" i="27"/>
  <c r="F80" i="27" a="1"/>
  <c r="F80" i="27" s="1"/>
  <c r="D80" i="27"/>
  <c r="C80" i="27"/>
  <c r="Q79" i="27"/>
  <c r="P79" i="27"/>
  <c r="M79" i="27"/>
  <c r="L79" i="27"/>
  <c r="I79" i="27"/>
  <c r="C79" i="27"/>
  <c r="F79" i="27" s="1" a="1"/>
  <c r="F79" i="27" s="1"/>
  <c r="Q78" i="27"/>
  <c r="P78" i="27"/>
  <c r="M78" i="27"/>
  <c r="L78" i="27"/>
  <c r="I78" i="27"/>
  <c r="D78" i="27"/>
  <c r="C78" i="27"/>
  <c r="F78" i="27" s="1" a="1"/>
  <c r="F78" i="27" s="1"/>
  <c r="P77" i="27"/>
  <c r="Q77" i="27" s="1"/>
  <c r="M77" i="27"/>
  <c r="L77" i="27"/>
  <c r="I77" i="27"/>
  <c r="F77" i="27" a="1"/>
  <c r="F77" i="27" s="1"/>
  <c r="D77" i="27"/>
  <c r="C77" i="27"/>
  <c r="Q76" i="27"/>
  <c r="P76" i="27"/>
  <c r="M76" i="27"/>
  <c r="L76" i="27"/>
  <c r="I76" i="27"/>
  <c r="C76" i="27"/>
  <c r="F76" i="27" s="1" a="1"/>
  <c r="F76" i="27" s="1"/>
  <c r="P75" i="27"/>
  <c r="Q75" i="27" s="1"/>
  <c r="M75" i="27"/>
  <c r="L75" i="27"/>
  <c r="I75" i="27"/>
  <c r="D75" i="27"/>
  <c r="C75" i="27"/>
  <c r="F75" i="27" s="1" a="1"/>
  <c r="F75" i="27" s="1"/>
  <c r="Q74" i="27"/>
  <c r="P74" i="27"/>
  <c r="M74" i="27"/>
  <c r="L74" i="27"/>
  <c r="I74" i="27"/>
  <c r="F74" i="27" a="1"/>
  <c r="F74" i="27" s="1"/>
  <c r="C74" i="27"/>
  <c r="D74" i="27" s="1"/>
  <c r="Q73" i="27"/>
  <c r="P73" i="27"/>
  <c r="M73" i="27"/>
  <c r="L73" i="27"/>
  <c r="I73" i="27"/>
  <c r="D73" i="27"/>
  <c r="C73" i="27"/>
  <c r="F73" i="27" s="1" a="1"/>
  <c r="F73" i="27" s="1"/>
  <c r="P72" i="27"/>
  <c r="Q72" i="27" s="1"/>
  <c r="M72" i="27"/>
  <c r="L72" i="27"/>
  <c r="I72" i="27"/>
  <c r="F72" i="27" a="1"/>
  <c r="F72" i="27" s="1"/>
  <c r="D72" i="27"/>
  <c r="C72" i="27"/>
  <c r="Q71" i="27"/>
  <c r="P71" i="27"/>
  <c r="M71" i="27"/>
  <c r="L71" i="27"/>
  <c r="I71" i="27"/>
  <c r="C71" i="27"/>
  <c r="F71" i="27" s="1" a="1"/>
  <c r="F71" i="27" s="1"/>
  <c r="Q70" i="27"/>
  <c r="P70" i="27"/>
  <c r="M70" i="27"/>
  <c r="L70" i="27"/>
  <c r="I70" i="27"/>
  <c r="D70" i="27"/>
  <c r="C70" i="27"/>
  <c r="F70" i="27" s="1" a="1"/>
  <c r="F70" i="27" s="1"/>
  <c r="P69" i="27"/>
  <c r="Q69" i="27" s="1"/>
  <c r="M69" i="27"/>
  <c r="L69" i="27"/>
  <c r="I69" i="27"/>
  <c r="F69" i="27" a="1"/>
  <c r="F69" i="27" s="1"/>
  <c r="D69" i="27"/>
  <c r="C69" i="27"/>
  <c r="Q68" i="27"/>
  <c r="P68" i="27"/>
  <c r="M68" i="27"/>
  <c r="L68" i="27"/>
  <c r="I68" i="27"/>
  <c r="C68" i="27"/>
  <c r="F68" i="27" s="1" a="1"/>
  <c r="F68" i="27" s="1"/>
  <c r="P67" i="27"/>
  <c r="Q67" i="27" s="1"/>
  <c r="M67" i="27"/>
  <c r="L67" i="27"/>
  <c r="I67" i="27"/>
  <c r="D67" i="27"/>
  <c r="C67" i="27"/>
  <c r="F67" i="27" s="1" a="1"/>
  <c r="F67" i="27" s="1"/>
  <c r="Q66" i="27"/>
  <c r="P66" i="27"/>
  <c r="M66" i="27"/>
  <c r="L66" i="27"/>
  <c r="I66" i="27"/>
  <c r="F66" i="27" a="1"/>
  <c r="F66" i="27" s="1"/>
  <c r="C66" i="27"/>
  <c r="D66" i="27" s="1"/>
  <c r="Q65" i="27"/>
  <c r="P65" i="27"/>
  <c r="M65" i="27"/>
  <c r="L65" i="27"/>
  <c r="I65" i="27"/>
  <c r="D65" i="27"/>
  <c r="C65" i="27"/>
  <c r="F65" i="27" s="1" a="1"/>
  <c r="F65" i="27" s="1"/>
  <c r="P64" i="27"/>
  <c r="Q64" i="27" s="1"/>
  <c r="M64" i="27"/>
  <c r="L64" i="27"/>
  <c r="I64" i="27"/>
  <c r="F64" i="27" a="1"/>
  <c r="F64" i="27" s="1"/>
  <c r="D64" i="27"/>
  <c r="C64" i="27"/>
  <c r="Q63" i="27"/>
  <c r="P63" i="27"/>
  <c r="M63" i="27"/>
  <c r="L63" i="27"/>
  <c r="I63" i="27"/>
  <c r="C63" i="27"/>
  <c r="F63" i="27" s="1" a="1"/>
  <c r="F63" i="27" s="1"/>
  <c r="Q62" i="27"/>
  <c r="P62" i="27"/>
  <c r="M62" i="27"/>
  <c r="L62" i="27"/>
  <c r="I62" i="27"/>
  <c r="D62" i="27"/>
  <c r="C62" i="27"/>
  <c r="F62" i="27" s="1" a="1"/>
  <c r="F62" i="27" s="1"/>
  <c r="P61" i="27"/>
  <c r="Q61" i="27" s="1"/>
  <c r="M61" i="27"/>
  <c r="L61" i="27"/>
  <c r="I61" i="27"/>
  <c r="F61" i="27" a="1"/>
  <c r="F61" i="27" s="1"/>
  <c r="D61" i="27"/>
  <c r="C61" i="27"/>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P56" i="27"/>
  <c r="Q56" i="27" s="1"/>
  <c r="M56" i="27"/>
  <c r="L56" i="27"/>
  <c r="I56" i="27"/>
  <c r="F56" i="27" a="1"/>
  <c r="F56" i="27" s="1"/>
  <c r="D56" i="27"/>
  <c r="C56" i="27"/>
  <c r="Q55" i="27"/>
  <c r="P55" i="27"/>
  <c r="M55" i="27"/>
  <c r="L55" i="27"/>
  <c r="I55" i="27"/>
  <c r="C55" i="27"/>
  <c r="F55" i="27" s="1" a="1"/>
  <c r="F55" i="27" s="1"/>
  <c r="P54" i="27"/>
  <c r="Q54" i="27" s="1"/>
  <c r="M54" i="27"/>
  <c r="L54" i="27"/>
  <c r="I54" i="27"/>
  <c r="D54" i="27"/>
  <c r="C54" i="27"/>
  <c r="F54" i="27" s="1" a="1"/>
  <c r="F54" i="27" s="1"/>
  <c r="P53" i="27"/>
  <c r="Q53" i="27" s="1"/>
  <c r="M53" i="27"/>
  <c r="L53" i="27"/>
  <c r="I53" i="27"/>
  <c r="F53" i="27" a="1"/>
  <c r="F53" i="27" s="1"/>
  <c r="C53" i="27"/>
  <c r="D53" i="27" s="1"/>
  <c r="Q52" i="27"/>
  <c r="P52" i="27"/>
  <c r="M52" i="27"/>
  <c r="L52" i="27"/>
  <c r="I52" i="27"/>
  <c r="C52" i="27"/>
  <c r="F52" i="27" s="1" a="1"/>
  <c r="F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D49" i="27"/>
  <c r="C49" i="27"/>
  <c r="F49" i="27" s="1" a="1"/>
  <c r="F49" i="27" s="1"/>
  <c r="P48" i="27"/>
  <c r="Q48" i="27" s="1"/>
  <c r="M48" i="27"/>
  <c r="L48" i="27"/>
  <c r="I48" i="27"/>
  <c r="F48" i="27" a="1"/>
  <c r="F48" i="27" s="1"/>
  <c r="D48" i="27"/>
  <c r="C48" i="27"/>
  <c r="Q47" i="27"/>
  <c r="P47" i="27"/>
  <c r="M47" i="27"/>
  <c r="L47" i="27"/>
  <c r="I47" i="27"/>
  <c r="C47" i="27"/>
  <c r="F47" i="27" s="1" a="1"/>
  <c r="F47" i="27" s="1"/>
  <c r="P46" i="27"/>
  <c r="Q46" i="27" s="1"/>
  <c r="M46" i="27"/>
  <c r="L46" i="27"/>
  <c r="I46" i="27"/>
  <c r="D46" i="27"/>
  <c r="C46" i="27"/>
  <c r="F46" i="27" s="1" a="1"/>
  <c r="F46" i="27" s="1"/>
  <c r="P45" i="27"/>
  <c r="Q45" i="27" s="1"/>
  <c r="M45" i="27"/>
  <c r="L45" i="27"/>
  <c r="I45" i="27"/>
  <c r="F45" i="27" a="1"/>
  <c r="F45" i="27" s="1"/>
  <c r="C45" i="27"/>
  <c r="D45" i="27" s="1"/>
  <c r="Q44" i="27"/>
  <c r="P44" i="27"/>
  <c r="M44" i="27"/>
  <c r="L44" i="27"/>
  <c r="I44" i="27"/>
  <c r="C44" i="27"/>
  <c r="F44" i="27" s="1" a="1"/>
  <c r="F44" i="27" s="1"/>
  <c r="P43" i="27"/>
  <c r="Q43" i="27" s="1"/>
  <c r="M43" i="27"/>
  <c r="L43" i="27"/>
  <c r="I43" i="27"/>
  <c r="F43" i="27" a="1"/>
  <c r="F43" i="27" s="1"/>
  <c r="D43" i="27"/>
  <c r="C43" i="27"/>
  <c r="Q42" i="27"/>
  <c r="P42" i="27"/>
  <c r="M42" i="27"/>
  <c r="L42" i="27"/>
  <c r="I42" i="27"/>
  <c r="F42" i="27" a="1"/>
  <c r="F42" i="27" s="1"/>
  <c r="C42" i="27"/>
  <c r="D42" i="27" s="1"/>
  <c r="Q41" i="27"/>
  <c r="P41" i="27"/>
  <c r="M41" i="27"/>
  <c r="L41" i="27"/>
  <c r="I41" i="27"/>
  <c r="D41" i="27"/>
  <c r="C41" i="27"/>
  <c r="F41" i="27" s="1" a="1"/>
  <c r="F41" i="27" s="1"/>
  <c r="P40" i="27"/>
  <c r="Q40" i="27" s="1"/>
  <c r="M40" i="27"/>
  <c r="L40" i="27"/>
  <c r="I40" i="27"/>
  <c r="F40" i="27" a="1"/>
  <c r="F40" i="27" s="1"/>
  <c r="D40" i="27"/>
  <c r="C40" i="27"/>
  <c r="Q39" i="27"/>
  <c r="P39" i="27"/>
  <c r="M39" i="27"/>
  <c r="L39" i="27"/>
  <c r="I39" i="27"/>
  <c r="C39" i="27"/>
  <c r="F39" i="27" s="1" a="1"/>
  <c r="F39" i="27" s="1"/>
  <c r="P38" i="27"/>
  <c r="Q38" i="27" s="1"/>
  <c r="M38" i="27"/>
  <c r="L38" i="27"/>
  <c r="I38" i="27"/>
  <c r="D38" i="27"/>
  <c r="C38" i="27"/>
  <c r="F38" i="27" s="1" a="1"/>
  <c r="F38" i="27" s="1"/>
  <c r="P37" i="27"/>
  <c r="Q37" i="27" s="1"/>
  <c r="M37" i="27"/>
  <c r="L37" i="27"/>
  <c r="I37" i="27"/>
  <c r="F37" i="27" a="1"/>
  <c r="F37" i="27" s="1"/>
  <c r="C37" i="27"/>
  <c r="D37" i="27" s="1"/>
  <c r="Q36" i="27"/>
  <c r="P36" i="27"/>
  <c r="M36" i="27"/>
  <c r="L36" i="27"/>
  <c r="I36" i="27"/>
  <c r="C36" i="27"/>
  <c r="F36" i="27" s="1" a="1"/>
  <c r="F36" i="27" s="1"/>
  <c r="P35" i="27"/>
  <c r="Q35" i="27" s="1"/>
  <c r="M35" i="27"/>
  <c r="L35" i="27"/>
  <c r="I35" i="27"/>
  <c r="F35" i="27" a="1"/>
  <c r="F35" i="27" s="1"/>
  <c r="D35" i="27"/>
  <c r="C35" i="27"/>
  <c r="Q34" i="27"/>
  <c r="P34" i="27"/>
  <c r="M34" i="27"/>
  <c r="L34" i="27"/>
  <c r="I34" i="27"/>
  <c r="F34" i="27" a="1"/>
  <c r="F34" i="27" s="1"/>
  <c r="C34" i="27"/>
  <c r="D34" i="27" s="1"/>
  <c r="Q33" i="27"/>
  <c r="P33" i="27"/>
  <c r="M33" i="27"/>
  <c r="L33" i="27"/>
  <c r="I33" i="27"/>
  <c r="D33" i="27"/>
  <c r="C33" i="27"/>
  <c r="F33" i="27" s="1" a="1"/>
  <c r="F33" i="27" s="1"/>
  <c r="P32" i="27"/>
  <c r="Q32" i="27" s="1"/>
  <c r="M32" i="27"/>
  <c r="L32" i="27"/>
  <c r="I32" i="27"/>
  <c r="F32" i="27" a="1"/>
  <c r="F32" i="27" s="1"/>
  <c r="D32" i="27"/>
  <c r="C32" i="27"/>
  <c r="Q31" i="27"/>
  <c r="P31" i="27"/>
  <c r="M31" i="27"/>
  <c r="L31" i="27"/>
  <c r="I31" i="27"/>
  <c r="C31" i="27"/>
  <c r="F31" i="27" s="1" a="1"/>
  <c r="F31" i="27" s="1"/>
  <c r="P30" i="27"/>
  <c r="Q30" i="27" s="1"/>
  <c r="M30" i="27"/>
  <c r="L30" i="27"/>
  <c r="I30" i="27"/>
  <c r="D30" i="27"/>
  <c r="C30" i="27"/>
  <c r="F30" i="27" s="1" a="1"/>
  <c r="F30" i="27" s="1"/>
  <c r="P29" i="27"/>
  <c r="Q29" i="27" s="1"/>
  <c r="M29" i="27"/>
  <c r="L29" i="27"/>
  <c r="I29" i="27"/>
  <c r="F29" i="27" a="1"/>
  <c r="F29" i="27" s="1"/>
  <c r="C29" i="27"/>
  <c r="D29" i="27" s="1"/>
  <c r="Q28" i="27"/>
  <c r="P28" i="27"/>
  <c r="M28" i="27"/>
  <c r="L28" i="27"/>
  <c r="I28" i="27"/>
  <c r="C28" i="27"/>
  <c r="F28" i="27" s="1" a="1"/>
  <c r="F28" i="27" s="1"/>
  <c r="P27" i="27"/>
  <c r="Q27" i="27" s="1"/>
  <c r="M27" i="27"/>
  <c r="L27" i="27"/>
  <c r="I27" i="27"/>
  <c r="F27" i="27" a="1"/>
  <c r="F27" i="27" s="1"/>
  <c r="D27" i="27"/>
  <c r="C27" i="27"/>
  <c r="Q26" i="27"/>
  <c r="P26" i="27"/>
  <c r="M26" i="27"/>
  <c r="L26" i="27"/>
  <c r="I26" i="27"/>
  <c r="F26" i="27" a="1"/>
  <c r="F26" i="27" s="1"/>
  <c r="C26" i="27"/>
  <c r="D26" i="27" s="1"/>
  <c r="Q25" i="27"/>
  <c r="P25" i="27"/>
  <c r="M25" i="27"/>
  <c r="L25" i="27"/>
  <c r="I25" i="27"/>
  <c r="D25" i="27"/>
  <c r="C25" i="27"/>
  <c r="F25" i="27" s="1" a="1"/>
  <c r="F25" i="27" s="1"/>
  <c r="P24" i="27"/>
  <c r="Q24" i="27" s="1"/>
  <c r="M24" i="27"/>
  <c r="L24" i="27"/>
  <c r="I24" i="27"/>
  <c r="F24" i="27" a="1"/>
  <c r="F24" i="27" s="1"/>
  <c r="D24" i="27"/>
  <c r="C24" i="27"/>
  <c r="Q23" i="27"/>
  <c r="P23" i="27"/>
  <c r="M23" i="27"/>
  <c r="L23" i="27"/>
  <c r="I23" i="27"/>
  <c r="C23" i="27"/>
  <c r="F23" i="27" s="1" a="1"/>
  <c r="F23" i="27" s="1"/>
  <c r="P22" i="27"/>
  <c r="Q22" i="27" s="1"/>
  <c r="M22" i="27"/>
  <c r="L22" i="27"/>
  <c r="I22" i="27"/>
  <c r="D22" i="27"/>
  <c r="C22" i="27"/>
  <c r="F22" i="27" s="1" a="1"/>
  <c r="F22" i="27" s="1"/>
  <c r="P21" i="27"/>
  <c r="Q21" i="27" s="1"/>
  <c r="M21" i="27"/>
  <c r="L21" i="27"/>
  <c r="I21" i="27"/>
  <c r="F21" i="27" a="1"/>
  <c r="F21" i="27" s="1"/>
  <c r="C21" i="27"/>
  <c r="D21" i="27" s="1"/>
  <c r="Q20" i="27"/>
  <c r="P20" i="27"/>
  <c r="M20" i="27"/>
  <c r="L20" i="27"/>
  <c r="I20" i="27"/>
  <c r="C20" i="27"/>
  <c r="F20" i="27" s="1" a="1"/>
  <c r="F20" i="27" s="1"/>
  <c r="P19" i="27"/>
  <c r="Q19" i="27" s="1"/>
  <c r="M19" i="27"/>
  <c r="L19" i="27"/>
  <c r="I19" i="27"/>
  <c r="F19" i="27" a="1"/>
  <c r="F19" i="27" s="1"/>
  <c r="D19" i="27"/>
  <c r="C19" i="27"/>
  <c r="Q18" i="27"/>
  <c r="P18" i="27"/>
  <c r="M18" i="27"/>
  <c r="L18" i="27"/>
  <c r="I18" i="27"/>
  <c r="F18" i="27" a="1"/>
  <c r="F18" i="27" s="1"/>
  <c r="C18" i="27"/>
  <c r="D18" i="27" s="1"/>
  <c r="Q17" i="27"/>
  <c r="P17" i="27"/>
  <c r="M17" i="27"/>
  <c r="L17" i="27"/>
  <c r="I17" i="27"/>
  <c r="D17" i="27"/>
  <c r="C17" i="27"/>
  <c r="F17" i="27" s="1" a="1"/>
  <c r="F17" i="27" s="1"/>
  <c r="P16" i="27"/>
  <c r="Q16" i="27" s="1"/>
  <c r="M16" i="27"/>
  <c r="L16" i="27"/>
  <c r="I16" i="27"/>
  <c r="F16" i="27" a="1"/>
  <c r="F16" i="27" s="1"/>
  <c r="D16" i="27"/>
  <c r="C16" i="27"/>
  <c r="Q15" i="27"/>
  <c r="P15" i="27"/>
  <c r="M15" i="27"/>
  <c r="L15" i="27"/>
  <c r="I15" i="27"/>
  <c r="C15" i="27"/>
  <c r="F15" i="27" s="1" a="1"/>
  <c r="F15" i="27" s="1"/>
  <c r="P14" i="27"/>
  <c r="Q14" i="27" s="1"/>
  <c r="M14" i="27"/>
  <c r="L14" i="27"/>
  <c r="I14" i="27"/>
  <c r="D14" i="27"/>
  <c r="C14" i="27"/>
  <c r="F14" i="27" s="1" a="1"/>
  <c r="F14" i="27" s="1"/>
  <c r="P13" i="27"/>
  <c r="Q13" i="27" s="1"/>
  <c r="M13" i="27"/>
  <c r="L13" i="27"/>
  <c r="I13" i="27"/>
  <c r="F13" i="27" a="1"/>
  <c r="F13" i="27" s="1"/>
  <c r="C13" i="27"/>
  <c r="D13" i="27" s="1"/>
  <c r="Q12" i="27"/>
  <c r="P12" i="27"/>
  <c r="M12" i="27"/>
  <c r="L12" i="27"/>
  <c r="I12" i="27"/>
  <c r="C12" i="27"/>
  <c r="F12" i="27" s="1" a="1"/>
  <c r="F12" i="27" s="1"/>
  <c r="P11" i="27"/>
  <c r="Q11" i="27" s="1"/>
  <c r="M11" i="27"/>
  <c r="L11" i="27"/>
  <c r="I11" i="27"/>
  <c r="F11" i="27" a="1"/>
  <c r="F11" i="27" s="1"/>
  <c r="D11" i="27"/>
  <c r="C11" i="27"/>
  <c r="Q10" i="27"/>
  <c r="P10" i="27"/>
  <c r="M10" i="27"/>
  <c r="L10" i="27"/>
  <c r="I10" i="27"/>
  <c r="F10" i="27" a="1"/>
  <c r="F10" i="27" s="1"/>
  <c r="C10" i="27"/>
  <c r="D10" i="27" s="1"/>
  <c r="Q9" i="27"/>
  <c r="P9" i="27"/>
  <c r="M9" i="27"/>
  <c r="L9" i="27"/>
  <c r="I9" i="27"/>
  <c r="D9" i="27"/>
  <c r="C9" i="27"/>
  <c r="F9" i="27" s="1" a="1"/>
  <c r="F9" i="27" s="1"/>
  <c r="M8" i="27"/>
  <c r="L8" i="27"/>
  <c r="I8" i="27"/>
  <c r="P7" i="27"/>
  <c r="Q7" i="27" s="1"/>
  <c r="M7" i="27"/>
  <c r="L7" i="27"/>
  <c r="I7" i="27"/>
  <c r="P6" i="27"/>
  <c r="Q6" i="27" s="1"/>
  <c r="M6" i="27"/>
  <c r="L6" i="27"/>
  <c r="I6" i="27"/>
  <c r="D15" i="27" l="1"/>
  <c r="D23" i="27"/>
  <c r="D31" i="27"/>
  <c r="D39" i="27"/>
  <c r="D47" i="27"/>
  <c r="D55" i="27"/>
  <c r="D63" i="27"/>
  <c r="D71" i="27"/>
  <c r="D79" i="27"/>
  <c r="D87" i="27"/>
  <c r="D95" i="27"/>
  <c r="D12" i="27"/>
  <c r="D20" i="27"/>
  <c r="D28" i="27"/>
  <c r="D36" i="27"/>
  <c r="D44" i="27"/>
  <c r="D52" i="27"/>
  <c r="D60" i="27"/>
  <c r="D68" i="27"/>
  <c r="D76" i="27"/>
  <c r="D84" i="27"/>
  <c r="D92" i="27"/>
  <c r="D100"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P100" i="26"/>
  <c r="Q100" i="26" s="1"/>
  <c r="M100" i="26"/>
  <c r="L100" i="26"/>
  <c r="I100" i="26"/>
  <c r="C100" i="26"/>
  <c r="F100" i="26" s="1" a="1"/>
  <c r="F100" i="26" s="1"/>
  <c r="P99" i="26"/>
  <c r="Q99" i="26" s="1"/>
  <c r="M99" i="26"/>
  <c r="L99" i="26"/>
  <c r="I99" i="26"/>
  <c r="C99" i="26"/>
  <c r="F99" i="26" s="1" a="1"/>
  <c r="F99" i="26" s="1"/>
  <c r="P98" i="26"/>
  <c r="Q98" i="26" s="1"/>
  <c r="M98" i="26"/>
  <c r="L98" i="26"/>
  <c r="I98" i="26"/>
  <c r="C98" i="26"/>
  <c r="F98" i="26" s="1" a="1"/>
  <c r="F98" i="26" s="1"/>
  <c r="P97" i="26"/>
  <c r="Q97" i="26" s="1"/>
  <c r="M97" i="26"/>
  <c r="L97" i="26"/>
  <c r="I97" i="26"/>
  <c r="C97" i="26"/>
  <c r="D97" i="26" s="1"/>
  <c r="P96" i="26"/>
  <c r="Q96" i="26" s="1"/>
  <c r="M96" i="26"/>
  <c r="L96" i="26"/>
  <c r="I96" i="26"/>
  <c r="C96" i="26"/>
  <c r="F96" i="26" s="1" a="1"/>
  <c r="F96" i="26" s="1"/>
  <c r="Q95" i="26"/>
  <c r="P95" i="26"/>
  <c r="M95" i="26"/>
  <c r="L95" i="26"/>
  <c r="I95" i="26"/>
  <c r="C95" i="26"/>
  <c r="F95" i="26" s="1" a="1"/>
  <c r="F95" i="26" s="1"/>
  <c r="P94" i="26"/>
  <c r="Q94" i="26" s="1"/>
  <c r="M94" i="26"/>
  <c r="L94" i="26"/>
  <c r="I94" i="26"/>
  <c r="D94" i="26"/>
  <c r="C94" i="26"/>
  <c r="F94" i="26" s="1" a="1"/>
  <c r="F94" i="26" s="1"/>
  <c r="Q93" i="26"/>
  <c r="P93" i="26"/>
  <c r="M93" i="26"/>
  <c r="L93" i="26"/>
  <c r="I93" i="26"/>
  <c r="C93" i="26"/>
  <c r="Q92" i="26"/>
  <c r="P92" i="26"/>
  <c r="M92" i="26"/>
  <c r="L92" i="26"/>
  <c r="I92" i="26"/>
  <c r="D92" i="26"/>
  <c r="C92" i="26"/>
  <c r="F92" i="26" s="1" a="1"/>
  <c r="F92" i="26" s="1"/>
  <c r="P91" i="26"/>
  <c r="Q91" i="26" s="1"/>
  <c r="M91" i="26"/>
  <c r="L91" i="26"/>
  <c r="I91" i="26"/>
  <c r="D91" i="26"/>
  <c r="C91" i="26"/>
  <c r="F91" i="26" s="1" a="1"/>
  <c r="F91" i="26" s="1"/>
  <c r="P90" i="26"/>
  <c r="Q90" i="26" s="1"/>
  <c r="M90" i="26"/>
  <c r="L90" i="26"/>
  <c r="I90" i="26"/>
  <c r="D90" i="26"/>
  <c r="C90" i="26"/>
  <c r="F90" i="26" s="1" a="1"/>
  <c r="F90" i="26" s="1"/>
  <c r="P89" i="26"/>
  <c r="Q89" i="26" s="1"/>
  <c r="M89" i="26"/>
  <c r="L89" i="26"/>
  <c r="I89" i="26"/>
  <c r="C89" i="26"/>
  <c r="D89" i="26" s="1"/>
  <c r="Q88" i="26"/>
  <c r="P88" i="26"/>
  <c r="M88" i="26"/>
  <c r="L88" i="26"/>
  <c r="I88" i="26"/>
  <c r="C88" i="26"/>
  <c r="F88" i="26" s="1" a="1"/>
  <c r="F88" i="26" s="1"/>
  <c r="P87" i="26"/>
  <c r="Q87" i="26" s="1"/>
  <c r="M87" i="26"/>
  <c r="L87" i="26"/>
  <c r="I87" i="26"/>
  <c r="C87" i="26"/>
  <c r="F87" i="26" s="1" a="1"/>
  <c r="F87" i="26" s="1"/>
  <c r="P86" i="26"/>
  <c r="Q86" i="26" s="1"/>
  <c r="M86" i="26"/>
  <c r="L86" i="26"/>
  <c r="I86" i="26"/>
  <c r="F86" i="26" a="1"/>
  <c r="F86" i="26" s="1"/>
  <c r="D86" i="26"/>
  <c r="C86" i="26"/>
  <c r="Q85" i="26"/>
  <c r="P85" i="26"/>
  <c r="M85" i="26"/>
  <c r="L85" i="26"/>
  <c r="I85" i="26"/>
  <c r="C85" i="26"/>
  <c r="Q84" i="26"/>
  <c r="P84" i="26"/>
  <c r="M84" i="26"/>
  <c r="L84" i="26"/>
  <c r="I84" i="26"/>
  <c r="D84" i="26"/>
  <c r="C84" i="26"/>
  <c r="F84" i="26" s="1" a="1"/>
  <c r="F84" i="26" s="1"/>
  <c r="P83" i="26"/>
  <c r="Q83" i="26" s="1"/>
  <c r="M83" i="26"/>
  <c r="L83" i="26"/>
  <c r="I83" i="26"/>
  <c r="D83" i="26"/>
  <c r="C83" i="26"/>
  <c r="F83" i="26" s="1" a="1"/>
  <c r="F83" i="26" s="1"/>
  <c r="P82" i="26"/>
  <c r="Q82" i="26" s="1"/>
  <c r="M82" i="26"/>
  <c r="L82" i="26"/>
  <c r="I82" i="26"/>
  <c r="C82" i="26"/>
  <c r="F82" i="26" s="1" a="1"/>
  <c r="F82" i="26" s="1"/>
  <c r="P81" i="26"/>
  <c r="Q81" i="26" s="1"/>
  <c r="M81" i="26"/>
  <c r="L81" i="26"/>
  <c r="I81" i="26"/>
  <c r="F81" i="26"/>
  <c r="F81" i="26" a="1"/>
  <c r="C81" i="26"/>
  <c r="D81" i="26" s="1"/>
  <c r="Q80" i="26"/>
  <c r="P80" i="26"/>
  <c r="M80" i="26"/>
  <c r="L80" i="26"/>
  <c r="I80" i="26"/>
  <c r="C80" i="26"/>
  <c r="F80" i="26" s="1" a="1"/>
  <c r="F80" i="26" s="1"/>
  <c r="Q79" i="26"/>
  <c r="P79" i="26"/>
  <c r="M79" i="26"/>
  <c r="L79" i="26"/>
  <c r="I79" i="26"/>
  <c r="D79" i="26"/>
  <c r="C79" i="26"/>
  <c r="F79" i="26" s="1" a="1"/>
  <c r="F79" i="26" s="1"/>
  <c r="P78" i="26"/>
  <c r="Q78" i="26" s="1"/>
  <c r="M78" i="26"/>
  <c r="L78" i="26"/>
  <c r="I78" i="26"/>
  <c r="F78" i="26" a="1"/>
  <c r="F78" i="26" s="1"/>
  <c r="C78" i="26"/>
  <c r="D78" i="26" s="1"/>
  <c r="P77" i="26"/>
  <c r="Q77" i="26" s="1"/>
  <c r="M77" i="26"/>
  <c r="L77" i="26"/>
  <c r="I77" i="26"/>
  <c r="C77" i="26"/>
  <c r="P76" i="26"/>
  <c r="Q76" i="26" s="1"/>
  <c r="M76" i="26"/>
  <c r="L76" i="26"/>
  <c r="I76" i="26"/>
  <c r="C76" i="26"/>
  <c r="F76" i="26" s="1" a="1"/>
  <c r="F76" i="26" s="1"/>
  <c r="Q75" i="26"/>
  <c r="P75" i="26"/>
  <c r="M75" i="26"/>
  <c r="L75" i="26"/>
  <c r="I75" i="26"/>
  <c r="C75" i="26"/>
  <c r="F75" i="26" s="1" a="1"/>
  <c r="F75" i="26" s="1"/>
  <c r="P74" i="26"/>
  <c r="Q74" i="26" s="1"/>
  <c r="M74" i="26"/>
  <c r="L74" i="26"/>
  <c r="I74" i="26"/>
  <c r="F74" i="26" a="1"/>
  <c r="F74" i="26" s="1"/>
  <c r="D74" i="26"/>
  <c r="C74" i="26"/>
  <c r="P73" i="26"/>
  <c r="Q73" i="26" s="1"/>
  <c r="M73" i="26"/>
  <c r="L73" i="26"/>
  <c r="I73" i="26"/>
  <c r="F73" i="26" a="1"/>
  <c r="F73" i="26" s="1"/>
  <c r="C73" i="26"/>
  <c r="D73" i="26" s="1"/>
  <c r="P72" i="26"/>
  <c r="Q72" i="26" s="1"/>
  <c r="M72" i="26"/>
  <c r="L72" i="26"/>
  <c r="I72" i="26"/>
  <c r="C72" i="26"/>
  <c r="F72" i="26" s="1" a="1"/>
  <c r="F72" i="26" s="1"/>
  <c r="Q71" i="26"/>
  <c r="P71" i="26"/>
  <c r="M71" i="26"/>
  <c r="L71" i="26"/>
  <c r="I71" i="26"/>
  <c r="C71" i="26"/>
  <c r="F71" i="26" s="1" a="1"/>
  <c r="F71" i="26" s="1"/>
  <c r="P70" i="26"/>
  <c r="Q70" i="26" s="1"/>
  <c r="M70" i="26"/>
  <c r="L70" i="26"/>
  <c r="I70" i="26"/>
  <c r="F70" i="26" a="1"/>
  <c r="F70" i="26" s="1"/>
  <c r="D70" i="26"/>
  <c r="C70" i="26"/>
  <c r="P69" i="26"/>
  <c r="Q69" i="26" s="1"/>
  <c r="M69" i="26"/>
  <c r="L69" i="26"/>
  <c r="I69" i="26"/>
  <c r="C69" i="26"/>
  <c r="Q68" i="26"/>
  <c r="P68" i="26"/>
  <c r="M68" i="26"/>
  <c r="L68" i="26"/>
  <c r="I68" i="26"/>
  <c r="C68" i="26"/>
  <c r="F68" i="26" s="1" a="1"/>
  <c r="F68" i="26" s="1"/>
  <c r="Q67" i="26"/>
  <c r="P67" i="26"/>
  <c r="M67" i="26"/>
  <c r="L67" i="26"/>
  <c r="I67" i="26"/>
  <c r="C67" i="26"/>
  <c r="F67" i="26" s="1" a="1"/>
  <c r="F67" i="26" s="1"/>
  <c r="P66" i="26"/>
  <c r="Q66" i="26" s="1"/>
  <c r="M66" i="26"/>
  <c r="L66" i="26"/>
  <c r="I66" i="26"/>
  <c r="F66" i="26"/>
  <c r="F66" i="26" a="1"/>
  <c r="C66" i="26"/>
  <c r="D66" i="26" s="1"/>
  <c r="P65" i="26"/>
  <c r="Q65" i="26" s="1"/>
  <c r="M65" i="26"/>
  <c r="L65" i="26"/>
  <c r="I65" i="26"/>
  <c r="F65" i="26"/>
  <c r="F65" i="26" a="1"/>
  <c r="C65" i="26"/>
  <c r="D65" i="26" s="1"/>
  <c r="Q64" i="26"/>
  <c r="P64" i="26"/>
  <c r="M64" i="26"/>
  <c r="L64" i="26"/>
  <c r="I64" i="26"/>
  <c r="C64" i="26"/>
  <c r="Q63" i="26"/>
  <c r="P63" i="26"/>
  <c r="M63" i="26"/>
  <c r="L63" i="26"/>
  <c r="I63" i="26"/>
  <c r="D63" i="26"/>
  <c r="C63" i="26"/>
  <c r="F63" i="26" s="1" a="1"/>
  <c r="F63" i="26" s="1"/>
  <c r="P62" i="26"/>
  <c r="Q62" i="26" s="1"/>
  <c r="M62" i="26"/>
  <c r="L62" i="26"/>
  <c r="I62" i="26"/>
  <c r="F62" i="26" a="1"/>
  <c r="F62" i="26" s="1"/>
  <c r="D62" i="26"/>
  <c r="C62" i="26"/>
  <c r="P61" i="26"/>
  <c r="Q61" i="26" s="1"/>
  <c r="M61" i="26"/>
  <c r="L61" i="26"/>
  <c r="I61" i="26"/>
  <c r="C61" i="26"/>
  <c r="P60" i="26"/>
  <c r="Q60" i="26" s="1"/>
  <c r="M60" i="26"/>
  <c r="L60" i="26"/>
  <c r="I60" i="26"/>
  <c r="C60" i="26"/>
  <c r="F60" i="26" s="1" a="1"/>
  <c r="F60" i="26" s="1"/>
  <c r="P59" i="26"/>
  <c r="Q59" i="26" s="1"/>
  <c r="M59" i="26"/>
  <c r="L59" i="26"/>
  <c r="I59" i="26"/>
  <c r="C59" i="26"/>
  <c r="D59" i="26" s="1"/>
  <c r="P58" i="26"/>
  <c r="Q58" i="26" s="1"/>
  <c r="M58" i="26"/>
  <c r="L58" i="26"/>
  <c r="I58" i="26"/>
  <c r="F58" i="26" a="1"/>
  <c r="F58" i="26" s="1"/>
  <c r="D58" i="26"/>
  <c r="C58" i="26"/>
  <c r="P57" i="26"/>
  <c r="Q57" i="26" s="1"/>
  <c r="M57" i="26"/>
  <c r="L57" i="26"/>
  <c r="I57" i="26"/>
  <c r="C57" i="26"/>
  <c r="D57" i="26" s="1"/>
  <c r="Q56" i="26"/>
  <c r="P56" i="26"/>
  <c r="M56" i="26"/>
  <c r="L56" i="26"/>
  <c r="I56" i="26"/>
  <c r="C56" i="26"/>
  <c r="P55" i="26"/>
  <c r="Q55" i="26" s="1"/>
  <c r="M55" i="26"/>
  <c r="L55" i="26"/>
  <c r="I55" i="26"/>
  <c r="D55" i="26"/>
  <c r="C55" i="26"/>
  <c r="F55" i="26" s="1" a="1"/>
  <c r="F55" i="26" s="1"/>
  <c r="P54" i="26"/>
  <c r="Q54" i="26" s="1"/>
  <c r="M54" i="26"/>
  <c r="L54" i="26"/>
  <c r="I54" i="26"/>
  <c r="D54" i="26"/>
  <c r="C54" i="26"/>
  <c r="F54" i="26" s="1" a="1"/>
  <c r="F54" i="26" s="1"/>
  <c r="P53" i="26"/>
  <c r="Q53" i="26" s="1"/>
  <c r="M53" i="26"/>
  <c r="L53" i="26"/>
  <c r="I53" i="26"/>
  <c r="C53" i="26"/>
  <c r="P52" i="26"/>
  <c r="Q52" i="26" s="1"/>
  <c r="M52" i="26"/>
  <c r="L52" i="26"/>
  <c r="I52" i="26"/>
  <c r="C52" i="26"/>
  <c r="F52" i="26" s="1" a="1"/>
  <c r="F52" i="26" s="1"/>
  <c r="P51" i="26"/>
  <c r="Q51" i="26" s="1"/>
  <c r="M51" i="26"/>
  <c r="L51" i="26"/>
  <c r="I51" i="26"/>
  <c r="C51" i="26"/>
  <c r="F51" i="26" s="1" a="1"/>
  <c r="F51" i="26" s="1"/>
  <c r="P50" i="26"/>
  <c r="Q50" i="26" s="1"/>
  <c r="M50" i="26"/>
  <c r="L50" i="26"/>
  <c r="I50" i="26"/>
  <c r="C50" i="26"/>
  <c r="F50" i="26" s="1" a="1"/>
  <c r="F50" i="26" s="1"/>
  <c r="P49" i="26"/>
  <c r="Q49" i="26" s="1"/>
  <c r="M49" i="26"/>
  <c r="L49" i="26"/>
  <c r="I49" i="26"/>
  <c r="F49" i="26" a="1"/>
  <c r="F49" i="26" s="1"/>
  <c r="C49" i="26"/>
  <c r="D49" i="26" s="1"/>
  <c r="P48" i="26"/>
  <c r="Q48" i="26" s="1"/>
  <c r="M48" i="26"/>
  <c r="L48" i="26"/>
  <c r="I48" i="26"/>
  <c r="C48" i="26"/>
  <c r="Q47" i="26"/>
  <c r="P47" i="26"/>
  <c r="M47" i="26"/>
  <c r="L47" i="26"/>
  <c r="I47" i="26"/>
  <c r="C47" i="26"/>
  <c r="F47" i="26" s="1" a="1"/>
  <c r="F47" i="26" s="1"/>
  <c r="P46" i="26"/>
  <c r="Q46" i="26" s="1"/>
  <c r="M46" i="26"/>
  <c r="L46" i="26"/>
  <c r="I46" i="26"/>
  <c r="F46" i="26" a="1"/>
  <c r="F46" i="26" s="1"/>
  <c r="D46" i="26"/>
  <c r="C46" i="26"/>
  <c r="P45" i="26"/>
  <c r="Q45" i="26" s="1"/>
  <c r="M45" i="26"/>
  <c r="L45" i="26"/>
  <c r="I45" i="26"/>
  <c r="C45" i="26"/>
  <c r="Q44" i="26"/>
  <c r="P44" i="26"/>
  <c r="M44" i="26"/>
  <c r="L44" i="26"/>
  <c r="I44" i="26"/>
  <c r="D44" i="26"/>
  <c r="C44" i="26"/>
  <c r="F44" i="26" s="1" a="1"/>
  <c r="F44" i="26" s="1"/>
  <c r="P43" i="26"/>
  <c r="Q43" i="26" s="1"/>
  <c r="M43" i="26"/>
  <c r="L43" i="26"/>
  <c r="I43" i="26"/>
  <c r="D43" i="26"/>
  <c r="C43" i="26"/>
  <c r="F43" i="26" s="1" a="1"/>
  <c r="F43" i="26" s="1"/>
  <c r="P42" i="26"/>
  <c r="Q42" i="26" s="1"/>
  <c r="M42" i="26"/>
  <c r="L42" i="26"/>
  <c r="I42" i="26"/>
  <c r="C42" i="26"/>
  <c r="F42" i="26" s="1" a="1"/>
  <c r="F42" i="26" s="1"/>
  <c r="P41" i="26"/>
  <c r="Q41" i="26" s="1"/>
  <c r="M41" i="26"/>
  <c r="L41" i="26"/>
  <c r="I41" i="26"/>
  <c r="C41" i="26"/>
  <c r="D41" i="26" s="1"/>
  <c r="P40" i="26"/>
  <c r="Q40" i="26" s="1"/>
  <c r="M40" i="26"/>
  <c r="L40" i="26"/>
  <c r="I40" i="26"/>
  <c r="C40" i="26"/>
  <c r="P39" i="26"/>
  <c r="Q39" i="26" s="1"/>
  <c r="M39" i="26"/>
  <c r="L39" i="26"/>
  <c r="I39" i="26"/>
  <c r="C39" i="26"/>
  <c r="F39" i="26" s="1" a="1"/>
  <c r="F39" i="26" s="1"/>
  <c r="P38" i="26"/>
  <c r="Q38" i="26" s="1"/>
  <c r="M38" i="26"/>
  <c r="L38" i="26"/>
  <c r="I38" i="26"/>
  <c r="F38" i="26" a="1"/>
  <c r="F38" i="26" s="1"/>
  <c r="D38" i="26"/>
  <c r="C38" i="26"/>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C34" i="26"/>
  <c r="F34" i="26" s="1" a="1"/>
  <c r="F34" i="26" s="1"/>
  <c r="P33" i="26"/>
  <c r="Q33" i="26" s="1"/>
  <c r="M33" i="26"/>
  <c r="L33" i="26"/>
  <c r="I33" i="26"/>
  <c r="F33" i="26"/>
  <c r="F33" i="26" a="1"/>
  <c r="C33" i="26"/>
  <c r="D33" i="26" s="1"/>
  <c r="Q32" i="26"/>
  <c r="P32" i="26"/>
  <c r="M32" i="26"/>
  <c r="L32" i="26"/>
  <c r="I32" i="26"/>
  <c r="C32" i="26"/>
  <c r="Q31" i="26"/>
  <c r="P31" i="26"/>
  <c r="M31" i="26"/>
  <c r="L31" i="26"/>
  <c r="I31" i="26"/>
  <c r="D31" i="26"/>
  <c r="C31" i="26"/>
  <c r="F31" i="26" s="1" a="1"/>
  <c r="F31" i="26" s="1"/>
  <c r="P30" i="26"/>
  <c r="Q30" i="26" s="1"/>
  <c r="M30" i="26"/>
  <c r="L30" i="26"/>
  <c r="I30" i="26"/>
  <c r="F30" i="26" a="1"/>
  <c r="F30" i="26" s="1"/>
  <c r="C30" i="26"/>
  <c r="D30" i="26" s="1"/>
  <c r="P29" i="26"/>
  <c r="Q29" i="26" s="1"/>
  <c r="M29" i="26"/>
  <c r="L29" i="26"/>
  <c r="I29" i="26"/>
  <c r="C29" i="26"/>
  <c r="P28" i="26"/>
  <c r="Q28" i="26" s="1"/>
  <c r="M28" i="26"/>
  <c r="L28" i="26"/>
  <c r="I28" i="26"/>
  <c r="C28" i="26"/>
  <c r="F28" i="26" s="1" a="1"/>
  <c r="F28" i="26" s="1"/>
  <c r="P27" i="26"/>
  <c r="Q27" i="26" s="1"/>
  <c r="M27" i="26"/>
  <c r="L27" i="26"/>
  <c r="I27" i="26"/>
  <c r="C27" i="26"/>
  <c r="D27" i="26" s="1"/>
  <c r="P26" i="26"/>
  <c r="Q26" i="26" s="1"/>
  <c r="M26" i="26"/>
  <c r="L26" i="26"/>
  <c r="I26" i="26"/>
  <c r="D26" i="26"/>
  <c r="C26" i="26"/>
  <c r="F26" i="26" s="1" a="1"/>
  <c r="F26" i="26" s="1"/>
  <c r="P25" i="26"/>
  <c r="Q25" i="26" s="1"/>
  <c r="M25" i="26"/>
  <c r="L25" i="26"/>
  <c r="I25" i="26"/>
  <c r="F25" i="26" a="1"/>
  <c r="F25" i="26" s="1"/>
  <c r="C25" i="26"/>
  <c r="D25" i="26" s="1"/>
  <c r="Q24" i="26"/>
  <c r="P24" i="26"/>
  <c r="M24" i="26"/>
  <c r="L24" i="26"/>
  <c r="I24" i="26"/>
  <c r="C24" i="26"/>
  <c r="Q23" i="26"/>
  <c r="P23" i="26"/>
  <c r="M23" i="26"/>
  <c r="L23" i="26"/>
  <c r="I23" i="26"/>
  <c r="D23" i="26"/>
  <c r="C23" i="26"/>
  <c r="F23" i="26" s="1" a="1"/>
  <c r="F23" i="26" s="1"/>
  <c r="P22" i="26"/>
  <c r="Q22" i="26" s="1"/>
  <c r="M22" i="26"/>
  <c r="L22" i="26"/>
  <c r="I22" i="26"/>
  <c r="D22" i="26"/>
  <c r="C22" i="26"/>
  <c r="F22" i="26" s="1" a="1"/>
  <c r="F22" i="26" s="1"/>
  <c r="P21" i="26"/>
  <c r="Q21" i="26" s="1"/>
  <c r="M21" i="26"/>
  <c r="L21" i="26"/>
  <c r="I21" i="26"/>
  <c r="C21" i="26"/>
  <c r="P20" i="26"/>
  <c r="Q20" i="26" s="1"/>
  <c r="M20" i="26"/>
  <c r="L20" i="26"/>
  <c r="I20" i="26"/>
  <c r="C20" i="26"/>
  <c r="F20" i="26" s="1" a="1"/>
  <c r="F20" i="26" s="1"/>
  <c r="P19" i="26"/>
  <c r="Q19" i="26" s="1"/>
  <c r="M19" i="26"/>
  <c r="L19" i="26"/>
  <c r="I19" i="26"/>
  <c r="C19" i="26"/>
  <c r="F19" i="26" s="1" a="1"/>
  <c r="F19" i="26" s="1"/>
  <c r="P18" i="26"/>
  <c r="Q18" i="26" s="1"/>
  <c r="M18" i="26"/>
  <c r="L18" i="26"/>
  <c r="I18" i="26"/>
  <c r="D18" i="26"/>
  <c r="C18" i="26"/>
  <c r="F18" i="26" s="1" a="1"/>
  <c r="F18" i="26" s="1"/>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Q100" i="25"/>
  <c r="P100" i="25"/>
  <c r="I100" i="25"/>
  <c r="C100" i="25"/>
  <c r="F100" i="25" s="1" a="1"/>
  <c r="F100" i="25" s="1"/>
  <c r="Q99" i="25"/>
  <c r="P99" i="25"/>
  <c r="I99" i="25"/>
  <c r="C99" i="25"/>
  <c r="F99" i="25" s="1" a="1"/>
  <c r="F99" i="25" s="1"/>
  <c r="P98" i="25"/>
  <c r="Q98" i="25" s="1"/>
  <c r="I98" i="25"/>
  <c r="C98" i="25"/>
  <c r="Q97" i="25"/>
  <c r="P97" i="25"/>
  <c r="I97" i="25"/>
  <c r="C97" i="25"/>
  <c r="D97" i="25" s="1"/>
  <c r="Q96" i="25"/>
  <c r="P96" i="25"/>
  <c r="I96" i="25"/>
  <c r="D96" i="25"/>
  <c r="C96" i="25"/>
  <c r="F96" i="25" s="1" a="1"/>
  <c r="F96" i="25" s="1"/>
  <c r="P95" i="25"/>
  <c r="Q95" i="25" s="1"/>
  <c r="I95" i="25"/>
  <c r="C95" i="25"/>
  <c r="D95" i="25" s="1"/>
  <c r="P94" i="25"/>
  <c r="Q94" i="25" s="1"/>
  <c r="I94" i="25"/>
  <c r="D94" i="25"/>
  <c r="C94" i="25"/>
  <c r="F94" i="25" s="1" a="1"/>
  <c r="F94" i="25" s="1"/>
  <c r="Q93" i="25"/>
  <c r="P93" i="25"/>
  <c r="I93" i="25"/>
  <c r="C93" i="25"/>
  <c r="P92" i="25"/>
  <c r="Q92" i="25" s="1"/>
  <c r="I92" i="25"/>
  <c r="C92" i="25"/>
  <c r="F92" i="25" s="1" a="1"/>
  <c r="F92" i="25" s="1"/>
  <c r="Q91" i="25"/>
  <c r="P91" i="25"/>
  <c r="I91" i="25"/>
  <c r="D91" i="25"/>
  <c r="C91" i="25"/>
  <c r="F91" i="25" s="1" a="1"/>
  <c r="F91" i="25" s="1"/>
  <c r="P90" i="25"/>
  <c r="Q90" i="25" s="1"/>
  <c r="I90" i="25"/>
  <c r="C90" i="25"/>
  <c r="Q89" i="25"/>
  <c r="P89" i="25"/>
  <c r="I89" i="25"/>
  <c r="C89" i="25"/>
  <c r="D89" i="25" s="1"/>
  <c r="P88" i="25"/>
  <c r="Q88" i="25" s="1"/>
  <c r="I88" i="25"/>
  <c r="D88" i="25"/>
  <c r="C88" i="25"/>
  <c r="F88" i="25" s="1" a="1"/>
  <c r="F88" i="25" s="1"/>
  <c r="P87" i="25"/>
  <c r="Q87" i="25" s="1"/>
  <c r="I87" i="25"/>
  <c r="C87" i="25"/>
  <c r="F87" i="25" s="1" a="1"/>
  <c r="F87" i="25" s="1"/>
  <c r="P86" i="25"/>
  <c r="Q86" i="25" s="1"/>
  <c r="I86" i="25"/>
  <c r="C86" i="25"/>
  <c r="F86" i="25" s="1" a="1"/>
  <c r="F86" i="25" s="1"/>
  <c r="Q85" i="25"/>
  <c r="P85" i="25"/>
  <c r="I85" i="25"/>
  <c r="C85" i="25"/>
  <c r="P84" i="25"/>
  <c r="Q84" i="25" s="1"/>
  <c r="I84" i="25"/>
  <c r="D84" i="25"/>
  <c r="C84" i="25"/>
  <c r="F84" i="25" s="1" a="1"/>
  <c r="F84" i="25" s="1"/>
  <c r="P83" i="25"/>
  <c r="Q83" i="25" s="1"/>
  <c r="I83" i="25"/>
  <c r="C83" i="25"/>
  <c r="F83" i="25" s="1" a="1"/>
  <c r="F83" i="25" s="1"/>
  <c r="P82" i="25"/>
  <c r="Q82" i="25" s="1"/>
  <c r="I82" i="25"/>
  <c r="C82" i="25"/>
  <c r="Q81" i="25"/>
  <c r="P81" i="25"/>
  <c r="I81" i="25"/>
  <c r="F81" i="25" a="1"/>
  <c r="F81" i="25" s="1"/>
  <c r="C81" i="25"/>
  <c r="D81" i="25" s="1"/>
  <c r="P80" i="25"/>
  <c r="Q80" i="25" s="1"/>
  <c r="I80" i="25"/>
  <c r="D80" i="25"/>
  <c r="C80" i="25"/>
  <c r="F80" i="25" s="1" a="1"/>
  <c r="F80" i="25" s="1"/>
  <c r="P79" i="25"/>
  <c r="Q79" i="25" s="1"/>
  <c r="I79" i="25"/>
  <c r="D79" i="25"/>
  <c r="C79" i="25"/>
  <c r="F79" i="25" s="1" a="1"/>
  <c r="F79" i="25" s="1"/>
  <c r="P78" i="25"/>
  <c r="Q78" i="25" s="1"/>
  <c r="I78" i="25"/>
  <c r="D78" i="25"/>
  <c r="C78" i="25"/>
  <c r="F78" i="25" s="1" a="1"/>
  <c r="F78" i="25" s="1"/>
  <c r="P77" i="25"/>
  <c r="Q77" i="25" s="1"/>
  <c r="I77" i="25"/>
  <c r="C77" i="25"/>
  <c r="P76" i="25"/>
  <c r="Q76" i="25" s="1"/>
  <c r="I76" i="25"/>
  <c r="F76" i="25" a="1"/>
  <c r="F76" i="25" s="1"/>
  <c r="D76" i="25"/>
  <c r="C76" i="25"/>
  <c r="P75" i="25"/>
  <c r="Q75" i="25" s="1"/>
  <c r="I75" i="25"/>
  <c r="C75" i="25"/>
  <c r="F75" i="25" s="1" a="1"/>
  <c r="F75" i="25" s="1"/>
  <c r="P74" i="25"/>
  <c r="Q74" i="25" s="1"/>
  <c r="I74" i="25"/>
  <c r="C74" i="25"/>
  <c r="P73" i="25"/>
  <c r="Q73" i="25" s="1"/>
  <c r="I73" i="25"/>
  <c r="D73" i="25"/>
  <c r="C73" i="25"/>
  <c r="F73" i="25" s="1" a="1"/>
  <c r="F73" i="25" s="1"/>
  <c r="P72" i="25"/>
  <c r="Q72" i="25" s="1"/>
  <c r="I72" i="25"/>
  <c r="F72" i="25" a="1"/>
  <c r="F72" i="25" s="1"/>
  <c r="D72" i="25"/>
  <c r="C72" i="25"/>
  <c r="P71" i="25"/>
  <c r="Q71" i="25" s="1"/>
  <c r="I71" i="25"/>
  <c r="F71" i="25" a="1"/>
  <c r="F71" i="25" s="1"/>
  <c r="C71" i="25"/>
  <c r="D71" i="25" s="1"/>
  <c r="P70" i="25"/>
  <c r="Q70" i="25" s="1"/>
  <c r="I70" i="25"/>
  <c r="C70" i="25"/>
  <c r="F70" i="25" s="1" a="1"/>
  <c r="F70" i="25" s="1"/>
  <c r="Q69" i="25"/>
  <c r="P69" i="25"/>
  <c r="I69" i="25"/>
  <c r="F69" i="25" a="1"/>
  <c r="F69" i="25" s="1"/>
  <c r="C69" i="25"/>
  <c r="D69" i="25" s="1"/>
  <c r="P68" i="25"/>
  <c r="Q68" i="25" s="1"/>
  <c r="I68" i="25"/>
  <c r="D68" i="25"/>
  <c r="C68" i="25"/>
  <c r="F68" i="25" s="1" a="1"/>
  <c r="F68" i="25" s="1"/>
  <c r="Q67" i="25"/>
  <c r="P67" i="25"/>
  <c r="I67" i="25"/>
  <c r="D67" i="25"/>
  <c r="C67" i="25"/>
  <c r="F67" i="25" s="1" a="1"/>
  <c r="F67" i="25" s="1"/>
  <c r="P66" i="25"/>
  <c r="Q66" i="25" s="1"/>
  <c r="I66" i="25"/>
  <c r="C66" i="25"/>
  <c r="Q65" i="25"/>
  <c r="P65" i="25"/>
  <c r="I65" i="25"/>
  <c r="F65" i="25" a="1"/>
  <c r="F65" i="25" s="1"/>
  <c r="D65" i="25"/>
  <c r="C65" i="25"/>
  <c r="Q64" i="25"/>
  <c r="P64" i="25"/>
  <c r="I64" i="25"/>
  <c r="D64" i="25"/>
  <c r="C64" i="25"/>
  <c r="F64" i="25" s="1" a="1"/>
  <c r="F64" i="25" s="1"/>
  <c r="P63" i="25"/>
  <c r="Q63" i="25" s="1"/>
  <c r="I63" i="25"/>
  <c r="C63" i="25"/>
  <c r="F63" i="25" s="1" a="1"/>
  <c r="F63" i="25" s="1"/>
  <c r="Q62" i="25"/>
  <c r="P62" i="25"/>
  <c r="I62" i="25"/>
  <c r="F62" i="25"/>
  <c r="D62" i="25"/>
  <c r="C62" i="25"/>
  <c r="F62" i="25" s="1" a="1"/>
  <c r="Q61" i="25"/>
  <c r="P61" i="25"/>
  <c r="I61" i="25"/>
  <c r="C61" i="25"/>
  <c r="D61" i="25" s="1"/>
  <c r="P60" i="25"/>
  <c r="Q60" i="25" s="1"/>
  <c r="I60" i="25"/>
  <c r="F60" i="25" a="1"/>
  <c r="F60" i="25" s="1"/>
  <c r="D60" i="25"/>
  <c r="C60" i="25"/>
  <c r="P59" i="25"/>
  <c r="Q59" i="25" s="1"/>
  <c r="I59" i="25"/>
  <c r="C59" i="25"/>
  <c r="F59" i="25" s="1" a="1"/>
  <c r="F59" i="25" s="1"/>
  <c r="P58" i="25"/>
  <c r="Q58" i="25" s="1"/>
  <c r="I58" i="25"/>
  <c r="C58" i="25"/>
  <c r="P57" i="25"/>
  <c r="Q57" i="25" s="1"/>
  <c r="I57" i="25"/>
  <c r="C57" i="25"/>
  <c r="D57" i="25" s="1"/>
  <c r="P56" i="25"/>
  <c r="Q56" i="25" s="1"/>
  <c r="I56" i="25"/>
  <c r="D56" i="25"/>
  <c r="C56" i="25"/>
  <c r="F56" i="25" s="1" a="1"/>
  <c r="F56" i="25" s="1"/>
  <c r="P55" i="25"/>
  <c r="Q55" i="25" s="1"/>
  <c r="I55" i="25"/>
  <c r="F55" i="25" a="1"/>
  <c r="F55" i="25" s="1"/>
  <c r="C55" i="25"/>
  <c r="D55" i="25" s="1"/>
  <c r="P54" i="25"/>
  <c r="Q54" i="25" s="1"/>
  <c r="I54" i="25"/>
  <c r="C54" i="25"/>
  <c r="F54" i="25" s="1" a="1"/>
  <c r="F54" i="25" s="1"/>
  <c r="P53" i="25"/>
  <c r="Q53" i="25" s="1"/>
  <c r="I53" i="25"/>
  <c r="C53" i="25"/>
  <c r="D53" i="25" s="1"/>
  <c r="P52" i="25"/>
  <c r="Q52" i="25" s="1"/>
  <c r="I52" i="25"/>
  <c r="C52" i="25"/>
  <c r="F52" i="25" s="1" a="1"/>
  <c r="F52" i="25" s="1"/>
  <c r="P51" i="25"/>
  <c r="Q51" i="25" s="1"/>
  <c r="I51" i="25"/>
  <c r="C51" i="25"/>
  <c r="F51" i="25" s="1" a="1"/>
  <c r="F51" i="25" s="1"/>
  <c r="P50" i="25"/>
  <c r="Q50" i="25" s="1"/>
  <c r="I50" i="25"/>
  <c r="C50" i="25"/>
  <c r="P49" i="25"/>
  <c r="Q49" i="25" s="1"/>
  <c r="I49" i="25"/>
  <c r="C49" i="25"/>
  <c r="F49" i="25" s="1" a="1"/>
  <c r="F49" i="25" s="1"/>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C42" i="25"/>
  <c r="D42" i="25" s="1"/>
  <c r="P41" i="25"/>
  <c r="Q41" i="25" s="1"/>
  <c r="I41" i="25"/>
  <c r="C41" i="25"/>
  <c r="F41" i="25" s="1" a="1"/>
  <c r="F41" i="25" s="1"/>
  <c r="P40" i="25"/>
  <c r="Q40" i="25" s="1"/>
  <c r="I40" i="25"/>
  <c r="C40" i="25"/>
  <c r="F40" i="25" s="1" a="1"/>
  <c r="F40" i="25" s="1"/>
  <c r="P39" i="25"/>
  <c r="Q39" i="25" s="1"/>
  <c r="I39" i="25"/>
  <c r="C39" i="25"/>
  <c r="F39" i="25" s="1" a="1"/>
  <c r="F39" i="25" s="1"/>
  <c r="Q38" i="25"/>
  <c r="P38" i="25"/>
  <c r="I38" i="25"/>
  <c r="C38" i="25"/>
  <c r="F38" i="25" s="1" a="1"/>
  <c r="F38" i="25" s="1"/>
  <c r="P37" i="25"/>
  <c r="Q37" i="25" s="1"/>
  <c r="I37" i="25"/>
  <c r="C37" i="25"/>
  <c r="D37" i="25" s="1"/>
  <c r="P36" i="25"/>
  <c r="Q36" i="25" s="1"/>
  <c r="I36" i="25"/>
  <c r="C36" i="25"/>
  <c r="F36" i="25" s="1" a="1"/>
  <c r="F36" i="25" s="1"/>
  <c r="P35" i="25"/>
  <c r="Q35" i="25" s="1"/>
  <c r="I35" i="25"/>
  <c r="C35" i="25"/>
  <c r="F35" i="25" s="1" a="1"/>
  <c r="F35" i="25" s="1"/>
  <c r="P34" i="25"/>
  <c r="Q34" i="25" s="1"/>
  <c r="I34" i="25"/>
  <c r="F34" i="25" a="1"/>
  <c r="F34" i="25" s="1"/>
  <c r="C34" i="25"/>
  <c r="D34" i="25" s="1"/>
  <c r="Q33" i="25"/>
  <c r="P33" i="25"/>
  <c r="I33" i="25"/>
  <c r="F33" i="25" a="1"/>
  <c r="F33" i="25" s="1"/>
  <c r="C33" i="25"/>
  <c r="D33" i="25" s="1"/>
  <c r="P32" i="25"/>
  <c r="Q32" i="25" s="1"/>
  <c r="I32" i="25"/>
  <c r="C32" i="25"/>
  <c r="F32" i="25" s="1" a="1"/>
  <c r="F32" i="25" s="1"/>
  <c r="P31" i="25"/>
  <c r="Q31" i="25" s="1"/>
  <c r="I31" i="25"/>
  <c r="C31" i="25"/>
  <c r="F31" i="25" s="1" a="1"/>
  <c r="F31" i="25" s="1"/>
  <c r="P30" i="25"/>
  <c r="Q30" i="25" s="1"/>
  <c r="I30" i="25"/>
  <c r="C30" i="25"/>
  <c r="F30" i="25" s="1" a="1"/>
  <c r="F30" i="25" s="1"/>
  <c r="P29" i="25"/>
  <c r="Q29" i="25" s="1"/>
  <c r="I29" i="25"/>
  <c r="C29" i="25"/>
  <c r="D29" i="25" s="1"/>
  <c r="P28" i="25"/>
  <c r="Q28" i="25" s="1"/>
  <c r="I28" i="25"/>
  <c r="C28" i="25"/>
  <c r="F28" i="25" s="1" a="1"/>
  <c r="F28" i="25" s="1"/>
  <c r="P27" i="25"/>
  <c r="Q27" i="25" s="1"/>
  <c r="I27" i="25"/>
  <c r="C27" i="25"/>
  <c r="F27" i="25" s="1" a="1"/>
  <c r="F27" i="25" s="1"/>
  <c r="P26" i="25"/>
  <c r="Q26" i="25" s="1"/>
  <c r="I26" i="25"/>
  <c r="F26" i="25" a="1"/>
  <c r="F26" i="25" s="1"/>
  <c r="C26" i="25"/>
  <c r="D26" i="25" s="1"/>
  <c r="P25" i="25"/>
  <c r="Q25" i="25" s="1"/>
  <c r="I25" i="25"/>
  <c r="D25" i="25"/>
  <c r="C25" i="25"/>
  <c r="F25" i="25" s="1" a="1"/>
  <c r="F25" i="25" s="1"/>
  <c r="P24" i="25"/>
  <c r="Q24" i="25" s="1"/>
  <c r="I24" i="25"/>
  <c r="F24" i="25" a="1"/>
  <c r="F24" i="25" s="1"/>
  <c r="C24" i="25"/>
  <c r="D24" i="25" s="1"/>
  <c r="P23" i="25"/>
  <c r="Q23" i="25" s="1"/>
  <c r="I23" i="25"/>
  <c r="C23" i="25"/>
  <c r="F23" i="25" s="1" a="1"/>
  <c r="F23" i="25" s="1"/>
  <c r="P22" i="25"/>
  <c r="Q22" i="25" s="1"/>
  <c r="I22" i="25"/>
  <c r="C22" i="25"/>
  <c r="F22" i="25" s="1" a="1"/>
  <c r="F22" i="25" s="1"/>
  <c r="P21" i="25"/>
  <c r="Q21" i="25" s="1"/>
  <c r="I21" i="25"/>
  <c r="C21" i="25"/>
  <c r="D21" i="25" s="1"/>
  <c r="P20" i="25"/>
  <c r="Q20" i="25" s="1"/>
  <c r="I20" i="25"/>
  <c r="F20" i="25" a="1"/>
  <c r="F20" i="25" s="1"/>
  <c r="C20" i="25"/>
  <c r="D20" i="25" s="1"/>
  <c r="P19" i="25"/>
  <c r="Q19" i="25" s="1"/>
  <c r="I19" i="25"/>
  <c r="C19" i="25"/>
  <c r="F19" i="25" s="1" a="1"/>
  <c r="F19" i="25" s="1"/>
  <c r="P18" i="25"/>
  <c r="Q18" i="25" s="1"/>
  <c r="I18" i="25"/>
  <c r="F18" i="25" a="1"/>
  <c r="F18" i="25" s="1"/>
  <c r="C18" i="25"/>
  <c r="D18" i="25" s="1"/>
  <c r="P17" i="25"/>
  <c r="Q17" i="25" s="1"/>
  <c r="I17" i="25"/>
  <c r="P16" i="25"/>
  <c r="Q16" i="25" s="1"/>
  <c r="I16" i="25"/>
  <c r="P15" i="25"/>
  <c r="Q15" i="25" s="1"/>
  <c r="I15" i="25"/>
  <c r="P14" i="25"/>
  <c r="Q14" i="25" s="1"/>
  <c r="I14" i="25"/>
  <c r="P13" i="25"/>
  <c r="Q13" i="25" s="1"/>
  <c r="I13" i="25"/>
  <c r="Q12" i="25"/>
  <c r="P12" i="25"/>
  <c r="I12" i="25"/>
  <c r="P11" i="25"/>
  <c r="Q11" i="25" s="1"/>
  <c r="I11" i="25"/>
  <c r="Q10" i="25"/>
  <c r="P10" i="25"/>
  <c r="I10" i="25"/>
  <c r="P9" i="25"/>
  <c r="Q9" i="25" s="1"/>
  <c r="I9" i="25"/>
  <c r="P8" i="25"/>
  <c r="Q8" i="25" s="1"/>
  <c r="I8" i="25"/>
  <c r="P7" i="25"/>
  <c r="Q7" i="25" s="1"/>
  <c r="I7" i="25"/>
  <c r="P6" i="25"/>
  <c r="Q6" i="25" s="1"/>
  <c r="I6" i="25"/>
  <c r="C98" i="10"/>
  <c r="F98" i="10" s="1" a="1"/>
  <c r="F98" i="10" s="1"/>
  <c r="I98" i="10"/>
  <c r="L98" i="10"/>
  <c r="M98" i="10"/>
  <c r="P98" i="10"/>
  <c r="Q98" i="10" s="1"/>
  <c r="D28" i="25" l="1"/>
  <c r="D32" i="25"/>
  <c r="D41" i="25"/>
  <c r="D52" i="25"/>
  <c r="F57" i="25" a="1"/>
  <c r="F57" i="25" s="1"/>
  <c r="D59" i="25"/>
  <c r="F95" i="25" a="1"/>
  <c r="F95" i="25" s="1"/>
  <c r="D100" i="25"/>
  <c r="D34" i="26"/>
  <c r="D39" i="26"/>
  <c r="D50" i="26"/>
  <c r="F59" i="26" a="1"/>
  <c r="F59" i="26" s="1"/>
  <c r="D75" i="26"/>
  <c r="D76" i="26"/>
  <c r="D82" i="26"/>
  <c r="F89" i="26" a="1"/>
  <c r="F89" i="26" s="1"/>
  <c r="F42" i="25" a="1"/>
  <c r="F42" i="25" s="1"/>
  <c r="D36" i="25"/>
  <c r="D40" i="25"/>
  <c r="D49" i="25"/>
  <c r="D83" i="25"/>
  <c r="D92" i="25"/>
  <c r="F97" i="25" a="1"/>
  <c r="F97" i="25" s="1"/>
  <c r="D99" i="25"/>
  <c r="F27" i="26" a="1"/>
  <c r="F27" i="26" s="1"/>
  <c r="D42" i="26"/>
  <c r="F57" i="26" a="1"/>
  <c r="F57" i="26" s="1"/>
  <c r="D87" i="26"/>
  <c r="D75" i="25"/>
  <c r="F89" i="25" a="1"/>
  <c r="F89" i="25" s="1"/>
  <c r="F41" i="26" a="1"/>
  <c r="F41" i="26" s="1"/>
  <c r="D47" i="26"/>
  <c r="D71" i="26"/>
  <c r="D98" i="26"/>
  <c r="D99" i="26"/>
  <c r="F97" i="26" a="1"/>
  <c r="F97" i="26" s="1"/>
  <c r="F53" i="26"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<sst xmlns="http://schemas.openxmlformats.org/spreadsheetml/2006/main" count="946" uniqueCount="342">
  <si>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</si>
  <si>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</si>
  <si>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</si>
  <si>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</si>
  <si>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</si>
  <si>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</si>
  <si>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</si>
  <si>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</si>
  <si>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</si>
  <si>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</si>
  <si>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</si>
  <si>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</si>
  <si>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</si>
  <si>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</si>
  <si>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</si>
  <si>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</si>
  <si>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</si>
  <si>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</si>
  <si>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</si>
  <si>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</si>
  <si>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</si>
  <si>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</si>
  <si>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</si>
  <si>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</si>
  <si>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</si>
  <si>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</si>
  <si>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</si>
  <si>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</si>
  <si>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</si>
  <si>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</si>
  <si>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</si>
  <si>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</si>
  <si>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</si>
  <si>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</si>
  <si>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</si>
  <si>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</si>
  <si>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</si>
  <si>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</si>
  <si>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</si>
  <si>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</si>
  <si>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</si>
  <si>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</si>
  <si>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</si>
  <si>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</si>
  <si>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</si>
  <si>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</si>
  <si>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</si>
  <si>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</si>
  <si>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</si>
  <si>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</si>
  <si>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</si>
  <si>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</si>
  <si>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</si>
  <si>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</si>
  <si>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</si>
  <si>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</si>
  <si>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</si>
  <si>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</si>
  <si>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</si>
  <si>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</si>
  <si>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</si>
  <si>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</si>
  <si>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</si>
  <si>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</si>
  <si>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</si>
  <si>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</si>
  <si>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</si>
  <si>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</si>
  <si>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</si>
  <si>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</si>
  <si>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</si>
  <si>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</si>
  <si>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</si>
  <si>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</si>
  <si>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</si>
  <si>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</si>
  <si>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</si>
  <si>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</si>
  <si>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</si>
  <si>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</si>
  <si>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</si>
  <si>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</si>
  <si>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</si>
  <si>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</si>
  <si>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</si>
  <si>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</si>
  <si>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</si>
  <si>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</si>
  <si>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</si>
  <si>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</si>
  <si>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</si>
  <si>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</si>
  <si>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</si>
  <si>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</si>
  <si>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</si>
  <si>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</si>
  <si>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</si>
  <si>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</si>
  <si>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</si>
  <si>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</si>
  <si>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</si>
  <si>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</si>
  <si>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</si>
  <si>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</si>
  <si>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</si>
  <si>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</si>
  <si>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</si>
  <si>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</si>
  <si>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</si>
  <si>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</si>
  <si>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</si>
  <si>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</si>
  <si>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</si>
  <si>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</si>
  <si>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</si>
  <si>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</si>
  <si>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</si>
  <si>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</si>
  <si>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</si>
  <si>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</si>
  <si>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</si>
  <si>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</si>
  <si>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</si>
  <si>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</si>
  <si>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</si>
  <si>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</si>
  <si>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</si>
  <si>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</si>
  <si>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</si>
  <si>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</si>
  <si>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</si>
  <si>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</si>
  <si>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</si>
  <si>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</si>
  <si>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</si>
  <si>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</si>
  <si>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</si>
  <si>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</si>
  <si>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</si>
  <si>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</si>
  <si>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</si>
  <si>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</si>
  <si>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</si>
  <si>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</si>
  <si>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</si>
  <si>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</si>
  <si>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</si>
  <si>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</si>
  <si>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</si>
  <si>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</si>
  <si>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</si>
  <si>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</si>
  <si>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</si>
  <si>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</si>
  <si>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</si>
  <si>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</si>
  <si>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</si>
  <si>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</si>
  <si>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</si>
  <si>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</si>
  <si>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</si>
  <si>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</si>
  <si>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</si>
  <si>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</si>
  <si>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</si>
  <si>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</si>
  <si>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</si>
  <si>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</si>
  <si>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</si>
  <si>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</si>
  <si>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</si>
  <si>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</si>
  <si>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</si>
  <si>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</si>
  <si>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</si>
  <si>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</si>
  <si>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</si>
  <si>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</si>
  <si>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</si>
  <si>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</si>
  <si>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</si>
  <si>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</si>
  <si>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</si>
  <si>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</si>
  <si>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</si>
  <si>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</si>
  <si>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</si>
  <si>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</si>
  <si>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</si>
  <si>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</si>
  <si>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</si>
  <si>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</si>
  <si>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</si>
  <si>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</si>
  <si>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</si>
  <si>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</si>
  <si>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</si>
  <si>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</si>
  <si>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</si>
  <si>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</si>
  <si>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</si>
  <si>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</si>
  <si>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</si>
  <si>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</si>
  <si>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</si>
  <si>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</si>
  <si>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</si>
  <si>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</si>
  <si>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</si>
  <si>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</si>
  <si>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</si>
  <si>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</si>
  <si>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</si>
  <si>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</si>
  <si>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</si>
  <si>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</si>
  <si>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</si>
  <si>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</si>
  <si>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</si>
  <si>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</si>
  <si>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</si>
  <si>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</si>
  <si>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</si>
  <si>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</si>
  <si>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</si>
  <si>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</si>
  <si>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</si>
  <si>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</si>
  <si>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</si>
  <si>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</si>
  <si>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</si>
  <si>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</si>
  <si>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</si>
  <si>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</si>
  <si>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</si>
  <si>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</si>
  <si>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</si>
  <si>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</si>
  <si>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</si>
  <si>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</si>
  <si>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</si>
  <si>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</si>
  <si>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</si>
  <si>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</si>
  <si>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</si>
  <si>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</si>
  <si>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</si>
  <si>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</si>
  <si>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</si>
  <si>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</si>
  <si>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</si>
  <si>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</si>
  <si>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</si>
  <si>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</si>
  <si>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</si>
  <si>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</si>
  <si>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</si>
  <si>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</si>
  <si>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</si>
  <si>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</si>
  <si>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</si>
  <si>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</si>
  <si>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</si>
  <si>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</si>
  <si>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</si>
  <si>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</si>
  <si>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</si>
  <si>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</si>
  <si>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</si>
  <si>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</si>
  <si>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</si>
  <si>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</si>
  <si>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</si>
  <si>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</si>
  <si>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</si>
  <si>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</si>
  <si>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</si>
  <si>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</si>
  <si>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</si>
  <si>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</si>
  <si>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</si>
  <si>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</si>
  <si>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</si>
  <si>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</si>
  <si>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</si>
  <si>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</si>
  <si>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</si>
  <si>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</si>
  <si>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</si>
  <si>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</si>
  <si>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</si>
  <si>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</si>
  <si>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</si>
  <si>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</si>
  <si>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</si>
  <si>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</si>
  <si>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</si>
  <si>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</si>
  <si>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</si>
  <si>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</si>
  <si>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</si>
  <si>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</si>
  <si>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</si>
  <si>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</si>
  <si>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</si>
  <si>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</si>
  <si>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</si>
  <si>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</si>
  <si>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</si>
  <si>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</si>
  <si>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</si>
  <si>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</si>
  <si>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</si>
  <si>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</si>
  <si>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</si>
  <si>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</si>
  <si>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</si>
  <si>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</si>
  <si>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</si>
  <si>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</si>
  <si>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</si>
  <si>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</si>
  <si>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</si>
  <si>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</si>
  <si>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</si>
  <si>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</si>
  <si>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</si>
  <si>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</si>
  <si>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</si>
  <si>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</si>
  <si>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</si>
  <si>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</si>
  <si>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</si>
  <si>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</si>
  <si>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</si>
  <si>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</si>
  <si>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</si>
  <si>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</si>
  <si>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</si>
  <si>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</si>
  <si>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Renewable Diesel - Biochem (BDO)</t>
  </si>
  <si>
    <t>Upgrading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</si>
</sst>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0" xfId="0" applyNumberFormat="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45" dataDxfId="44" tableBorderDxfId="43" dataCellStyle="Percent">
  <autoFilter ref="A5:T100" xr:uid="{1644AED8-49DE-4A1D-989C-1566C9A522B9}"/>
  <tableColumns count="20">
    <tableColumn id="1" xr3:uid="{6E328606-4760-4096-A758-21A4453157E4}" name="Type" dataDxfId="42"/>
    <tableColumn id="2" xr3:uid="{2151F1DC-D17E-4218-9FC7-754EAC5001CD}" name="Category" dataDxfId="41"/>
    <tableColumn id="3" xr3:uid="{09A74ADF-B073-4D0D-8E4B-E7813F1846B8}" name="Resource" dataDxfId="40">
      <calculatedColumnFormula>_xlfn.XLOOKUP($B6,'SI - Resources'!$A$1:$J$1,'SI - Resources'!$A$2:$J$2, "")</calculatedColumnFormula>
    </tableColumn>
    <tableColumn id="4" xr3:uid="{33EEE2F5-240A-4E68-8288-4CE4D0BDE199}" name="End Use" dataDxfId="39">
      <calculatedColumnFormula>IF(_xlfn.XLOOKUP($C6,'SI - End Use'!$B$2:$B$6,'SI - End Use'!$C$2:$C$6, "")="", "", _xlfn.XLOOKUP($C6,'SI - End Use'!$B$2:$B$6,'SI - End Use'!$C$2:$C$6, ""))</calculatedColumnFormula>
    </tableColumn>
    <tableColumn id="5" xr3:uid="{51456D1A-DC2C-465A-A1DA-68239DC62F85}" name="Amount" dataDxfId="38" dataCellStyle="Comma"/>
    <tableColumn id="6" xr3:uid="{1942CFC9-786E-478A-A5E1-C327D2A32E8B}" name="Unit" dataDxfId="37">
      <calculatedColumnFormula array="1">IF($B6="Transportation",  'SI - Units'!$B$9:$B$9, _xlfn.XLOOKUP(_xlfn.XLOOKUP($C6,'SI - Units'!$B$24:$B$109,'SI - Units'!$C$24:$C$109, ""),'SI - Units'!$A$2:$A$8,'SI - Units'!$B$2:$B$8, ""))</calculatedColumnFormula>
    </tableColumn>
    <tableColumn id="7" xr3:uid="{A4C6B6A5-4FBF-4539-A8FB-0BC85256B908}" name="Moisture" dataDxfId="36" dataCellStyle="Percent"/>
    <tableColumn id="8" xr3:uid="{CB7C1EB8-0D63-416C-B2FD-8A029295381E}" name="Previous Stage" dataDxfId="35" dataCellStyle="Percent"/>
    <tableColumn id="9" xr3:uid="{67FE47DB-E35F-4984-AFF9-4AEEE2FAB6B4}" name="Always Use Displacement Method for Co-Product?" dataDxfId="34" dataCellStyle="Percent">
      <calculatedColumnFormula>IF(Table16[[#This Row],[Type]]="Co-product", "No", "")</calculatedColumnFormula>
    </tableColumn>
    <tableColumn id="19" xr3:uid="{A81EF302-17BF-4AC8-B63A-E7F181DA2538}" name="Urban Share" dataDxfId="33" dataCellStyle="Percent"/>
    <tableColumn id="10" xr3:uid="{4BB04949-D931-49DB-A73B-FAA9F047D16E}" name="Product Train" dataDxfId="32"/>
    <tableColumn id="14" xr3:uid="{FE2F881D-4B29-4707-8A3D-02F8CE55DA47}" name="Payload" dataDxfId="31">
      <calculatedColumnFormula>IF(Table16[[#This Row],[Category]]="Transportation", _xlfn.XLOOKUP(Table16[[#This Row],[Resource]], 'SI - Payload'!$A$10:$A$38,'SI - Payload'!$B$10:$B$38,"",0), "")</calculatedColumnFormula>
    </tableColumn>
    <tableColumn id="15" xr3:uid="{A3359969-15C8-4595-8A83-52407EC431B6}" name="Payload Unit" dataDxfId="30">
      <calculatedColumnFormula>IF(Table16[[#This Row],[Category]]="Transportation", "ton", "")</calculatedColumnFormula>
    </tableColumn>
    <tableColumn id="16" xr3:uid="{883AE82A-B394-449E-87E4-EE4E272A5268}" name="Market Price" dataDxfId="29"/>
    <tableColumn id="17" xr3:uid="{2EFCE20B-231A-45AB-B3F8-556CBBE42F8D}" name="Market Price Unit" dataDxfId="28"/>
    <tableColumn id="12" xr3:uid="{14B7BB6F-57F2-40E3-A58D-76125A63CBC0}" name="Incumbent Product" dataDxfId="27">
      <calculatedColumnFormula>IF(OR(Table16[[#This Row],[Type]]="Main Product", Table16[[#This Row],[Type]]="Co-Product"), Table16[[#This Row],[Resource]], "")</calculatedColumnFormula>
    </tableColumn>
    <tableColumn id="13" xr3:uid="{51831DC5-A48F-4955-BE79-BA8F09B5C06E}" name="End Use of Incumbent Product" dataDxfId="26">
      <calculatedColumnFormula>IF(_xlfn.XLOOKUP($P6,'SI - End Use'!$B$2:$B$6,'SI - End Use'!$C$2:$C$6, "")="", "", _xlfn.XLOOKUP($C6,'SI - End Use'!$B$2:$B$6,'SI - End Use'!$C$2:$C$6, ""))</calculatedColumnFormula>
    </tableColumn>
    <tableColumn id="20" xr3:uid="{F42507AC-79CC-4617-A56C-253779E10B42}" name="Surrogate For" dataDxfId="25"/>
    <tableColumn id="18" xr3:uid="{1F66D00A-97C1-4468-98EF-0032E1E75E76}" name="Process" dataDxfId="24"/>
    <tableColumn id="11" xr3:uid="{A4BFE9BB-6B8B-42F1-8265-792D7C11F757}"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6205C8-8FDA-46A9-9803-AB1A71F14EDE}" name="Table18" displayName="Table18" ref="A5:T100" totalsRowShown="0" headerRowDxfId="22" dataDxfId="21" tableBorderDxfId="20" dataCellStyle="Percent">
  <autoFilter ref="A5:T100" xr:uid="{1644AED8-49DE-4A1D-989C-1566C9A522B9}"/>
  <tableColumns count="20">
    <tableColumn id="1" xr3:uid="{4FA85F85-2736-465E-937D-34E9C92C071C}" name="Type" dataDxfId="19"/>
    <tableColumn id="2" xr3:uid="{77A360BB-90A0-4CAF-9436-556B00AB1C6A}" name="Category" dataDxfId="18"/>
    <tableColumn id="3" xr3:uid="{B6E6284D-3329-4E17-86EA-29644A997382}" name="Resource" dataDxfId="17">
      <calculatedColumnFormula>_xlfn.XLOOKUP($B6,'SI - Resources'!$A$1:$J$1,'SI - Resources'!$A$2:$J$2, "")</calculatedColumnFormula>
    </tableColumn>
    <tableColumn id="4" xr3:uid="{ABEB2D2C-443E-4353-A8DA-6433D21B1264}" name="End Use" dataDxfId="16">
      <calculatedColumnFormula>IF(_xlfn.XLOOKUP($C6,'SI - End Use'!$B$2:$B$6,'SI - End Use'!$C$2:$C$6, "")="", "", _xlfn.XLOOKUP($C6,'SI - End Use'!$B$2:$B$6,'SI - End Use'!$C$2:$C$6, ""))</calculatedColumnFormula>
    </tableColumn>
    <tableColumn id="5" xr3:uid="{907967D3-54C6-4952-AB49-8B8DAB9F99C2}" name="Amount" dataDxfId="15" dataCellStyle="Comma"/>
    <tableColumn id="6" xr3:uid="{27C47614-2A8A-4830-B68A-A4AE323771F2}" name="Unit" dataDxfId="14">
      <calculatedColumnFormula array="1">IF($B6="Transportation",  'SI - Units'!$B$9:$B$9, _xlfn.XLOOKUP(_xlfn.XLOOKUP($C6,'SI - Units'!$B$24:$B$109,'SI - Units'!$C$24:$C$109, ""),'SI - Units'!$A$2:$A$8,'SI - Units'!$B$2:$B$8, ""))</calculatedColumnFormula>
    </tableColumn>
    <tableColumn id="7" xr3:uid="{C6B25EA3-8A56-4315-B312-CE3108074192}" name="Moisture" dataDxfId="13" dataCellStyle="Percent"/>
    <tableColumn id="8" xr3:uid="{96D259C7-6668-4ED2-B59A-E1145DB9C6E5}" name="Previous Stage" dataDxfId="12" dataCellStyle="Percent"/>
    <tableColumn id="9" xr3:uid="{49012E2B-7D24-40F1-9122-D0700B3F5714}" name="Always Use Displacement Method for Co-Product?" dataDxfId="11" dataCellStyle="Percent">
      <calculatedColumnFormula>IF(Table18[[#This Row],[Type]]="Co-product", "No", "")</calculatedColumnFormula>
    </tableColumn>
    <tableColumn id="19" xr3:uid="{F47A9E63-94FD-41CF-820F-D3ABB70D5A58}" name="Urban Share" dataDxfId="10" dataCellStyle="Percent"/>
    <tableColumn id="10" xr3:uid="{3875674C-EDB8-4742-B696-8D9FC5945506}" name="Product Train" dataDxfId="9"/>
    <tableColumn id="14" xr3:uid="{D411EE3E-B360-4F94-9041-38D6EEAB4AA0}" name="Payload" dataDxfId="8">
      <calculatedColumnFormula>IF(Table18[[#This Row],[Category]]="Transportation", _xlfn.XLOOKUP(Table18[[#This Row],[Resource]], 'SI - Payload'!$A$10:$A$38,'SI - Payload'!$B$10:$B$38,"",0), "")</calculatedColumnFormula>
    </tableColumn>
    <tableColumn id="15" xr3:uid="{572F11F5-F9E6-4A2F-B7D5-348BD830E25E}" name="Payload Unit" dataDxfId="7">
      <calculatedColumnFormula>IF(Table18[[#This Row],[Category]]="Transportation", "ton", "")</calculatedColumnFormula>
    </tableColumn>
    <tableColumn id="16" xr3:uid="{D4312ADD-3324-4639-8AFA-1E1D5A0397DC}" name="Market Price" dataDxfId="6"/>
    <tableColumn id="17" xr3:uid="{D8338639-7171-40A8-BF6D-A5955A40D3D9}" name="Market Price Unit" dataDxfId="5"/>
    <tableColumn id="12" xr3:uid="{63D7E86D-A214-4075-A381-06A966B32FA7}" name="Incumbent Product" dataDxfId="4">
      <calculatedColumnFormula>IF(OR(Table18[[#This Row],[Type]]="Main Product", Table18[[#This Row],[Type]]="Co-Product"), Table18[[#This Row],[Resource]], "")</calculatedColumnFormula>
    </tableColumn>
    <tableColumn id="13" xr3:uid="{2458486B-93DC-444E-B527-8A046CA20033}" name="End Use of Incumbent Product" dataDxfId="3">
      <calculatedColumnFormula>IF(_xlfn.XLOOKUP($P6,'SI - End Use'!$B$2:$B$6,'SI - End Use'!$C$2:$C$6, "")="", "", _xlfn.XLOOKUP($C6,'SI - End Use'!$B$2:$B$6,'SI - End Use'!$C$2:$C$6, ""))</calculatedColumnFormula>
    </tableColumn>
    <tableColumn id="20" xr3:uid="{AA3ED32B-C979-435C-AA28-3FD2F0C7546F}" name="Surrogate For" dataDxfId="2"/>
    <tableColumn id="18" xr3:uid="{45E1A6AE-9273-427A-B051-BE5D663B3B54}" name="Process" dataDxfId="1"/>
    <tableColumn id="11" xr3:uid="{989AA87F-3181-4943-BF76-692F4D5A3054}"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2" t="s">
        <v>261</v>
      </c>
      <c r="B2" s="62"/>
    </row>
    <row r="3" spans="1:3" ht="29.15" customHeight="1" x14ac:dyDescent="0.35">
      <c r="A3" s="64" t="s">
        <v>274</v>
      </c>
      <c r="B3" s="64"/>
    </row>
    <row r="4" spans="1:3" ht="28" customHeight="1" x14ac:dyDescent="0.35">
      <c r="A4" s="19"/>
      <c r="B4" s="19"/>
    </row>
    <row r="5" spans="1:3" ht="28" customHeight="1" x14ac:dyDescent="0.35">
      <c r="A5" s="63" t="s">
        <v>260</v>
      </c>
      <c r="B5" s="63"/>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Q31" sqref="Q31"/>
      <selection pane="bottomLeft" activeCell="Q31" sqref="Q3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Q31" sqref="Q31"/>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2" sqref="H2:H10"/>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340</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Q31" sqref="Q31"/>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Q31" sqref="Q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Q31" sqref="Q31"/>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workbookViewId="0">
      <pane ySplit="5" topLeftCell="A6" activePane="bottomLeft" state="frozen"/>
      <selection activeCell="C19" sqref="C19"/>
      <selection pane="bottomLeft" activeCell="P28" sqref="P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workbookViewId="0">
      <pane ySplit="5" topLeftCell="A6" activePane="bottomLeft" state="frozen"/>
      <selection activeCell="C19" sqref="C19"/>
      <selection pane="bottomLeft" activeCell="D15" sqref="D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
        <v>337</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
        <v>337</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
        <v>337</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
        <v>337</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
        <v>337</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
        <v>337</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Q6:Q100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4F683-69FB-46C1-9B46-1E8716C2E72C}">
  <sheetPr codeName="Sheet12"/>
  <dimension ref="A1:T100"/>
  <sheetViews>
    <sheetView tabSelected="1" workbookViewId="0">
      <pane ySplit="5" topLeftCell="A6" activePane="bottomLeft" state="frozen"/>
      <selection activeCell="Q31" sqref="Q31"/>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0">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61">
        <v>1</v>
      </c>
      <c r="F6" s="6" t="s">
        <v>70</v>
      </c>
      <c r="G6" s="25"/>
      <c r="H6" s="25" t="s">
        <v>341</v>
      </c>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
        <v>34</v>
      </c>
      <c r="G7" s="25"/>
      <c r="H7" s="25"/>
      <c r="I7" s="26" t="str">
        <f>IF(Table18[[#This Row],[Type]]="Co-product", "No", "")</f>
        <v/>
      </c>
      <c r="J7" s="25"/>
      <c r="K7" s="6"/>
      <c r="L7" s="6">
        <f>IF(Table18[[#This Row],[Category]]="Transportation", _xlfn.XLOOKUP(Table18[[#This Row],[Resource]], 'SI - Payload'!$A$10:$A$38,'SI - Payload'!$B$10:$B$38,"",0), "")</f>
        <v>25</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61">
        <v>1</v>
      </c>
      <c r="F8" s="6" t="s">
        <v>70</v>
      </c>
      <c r="G8" s="25"/>
      <c r="H8" s="25"/>
      <c r="I8" s="26" t="str">
        <f>IF(Table18[[#This Row],[Type]]="Co-product", "No", "")</f>
        <v/>
      </c>
      <c r="J8" s="25">
        <v>0.7</v>
      </c>
      <c r="K8" s="6"/>
      <c r="L8" s="6" t="str">
        <f>IF(Table18[[#This Row],[Category]]="Transportation", _xlfn.XLOOKUP(Table18[[#This Row],[Resource]], 'SI - Payload'!$A$10:$A$38,'SI - Payload'!$B$10:$B$38,"",0), "")</f>
        <v/>
      </c>
      <c r="M8" s="6" t="str">
        <f>IF(Table18[[#This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FA760267-EE1B-4C91-A2FB-33AD51B41087}">
      <formula1>0</formula1>
      <formula2>1</formula2>
    </dataValidation>
    <dataValidation type="list" allowBlank="1" showInputMessage="1" showErrorMessage="1" sqref="M6:M100" xr:uid="{F14BB8D1-DFC2-4FCD-BCCB-463BD1D82DF9}">
      <formula1>payload_units</formula1>
    </dataValidation>
    <dataValidation type="decimal" operator="greaterThan" allowBlank="1" showInputMessage="1" showErrorMessage="1" error="Please type a positive number." sqref="L6:L100" xr:uid="{71DCAB61-35F6-4B28-8BF4-19A56B5AFC81}">
      <formula1>0</formula1>
    </dataValidation>
    <dataValidation type="decimal" operator="greaterThan" allowBlank="1" showInputMessage="1" showErrorMessage="1" error="Please type a positive price." sqref="N6:N100" xr:uid="{E8819495-250C-4AC4-A9AB-51113901027A}">
      <formula1>0</formula1>
    </dataValidation>
    <dataValidation type="decimal" allowBlank="1" showInputMessage="1" showErrorMessage="1" error="Please type a number between 0 and 1." sqref="G6:G100" xr:uid="{B3D7E665-40CE-4C37-A810-D59E23554242}">
      <formula1>0</formula1>
      <formula2>1</formula2>
    </dataValidation>
    <dataValidation type="custom" allowBlank="1" showInputMessage="1" showErrorMessage="1" sqref="E6:E100" xr:uid="{1995BF41-B64C-464E-B32B-50C7DE7448E2}">
      <formula1>ISNUMBER(E6)</formula1>
    </dataValidation>
    <dataValidation type="list" allowBlank="1" showInputMessage="1" showErrorMessage="1" sqref="C2" xr:uid="{82881F28-DD32-4746-9AB3-B2EF6BA7655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EA293DBC-B155-4C51-98C1-E73E307FB453}">
          <x14:formula1>
            <xm:f>IF($B6="Transportation",  transport_units, INDIRECT(_xlfn.XLOOKUP($C6, 'SI - Units'!$F$26:$F$36,'SI - Units'!$G$26:$G$36,"mass",0)))</xm:f>
          </x14:formula1>
          <xm:sqref>F6:F100</xm:sqref>
        </x14:dataValidation>
        <x14:dataValidation type="list" allowBlank="1" showInputMessage="1" showErrorMessage="1" xr:uid="{3DF745FA-3C04-4F5D-848B-F165D2242799}">
          <x14:formula1>
            <xm:f>INDIRECT("p_"&amp;_xlfn.XLOOKUP($C6,'SI - Units'!$F$26:$F$36,'SI - Units'!$G$26:$G$36,"mass",0))</xm:f>
          </x14:formula1>
          <xm:sqref>O6:O100</xm:sqref>
        </x14:dataValidation>
        <x14:dataValidation type="list" allowBlank="1" showInputMessage="1" showErrorMessage="1" xr:uid="{C5A56927-3D71-4750-815C-C8451D202003}">
          <x14:formula1>
            <xm:f>INDIRECT(_xlfn.XLOOKUP($P6,'SI - End Use'!$A$11:$A$17,'SI - End Use'!$B$11:$B$17,"other_end_use",0))</xm:f>
          </x14:formula1>
          <xm:sqref>Q6:Q100</xm:sqref>
        </x14:dataValidation>
        <x14:dataValidation type="list" allowBlank="1" showInputMessage="1" xr:uid="{4420C70F-1D7D-4E18-BBDE-9DD84C9C50D2}">
          <x14:formula1>
            <xm:f>INDIRECT(_xlfn.XLOOKUP($C6,'SI - End Use'!$A$11:$A$17,'SI - End Use'!$B$11:$B$17,"other_end_use",0))</xm:f>
          </x14:formula1>
          <xm:sqref>D6:D100</xm:sqref>
        </x14:dataValidation>
        <x14:dataValidation type="list" allowBlank="1" showInputMessage="1" showErrorMessage="1" xr:uid="{700E8737-1756-4FA3-8663-D3FC66FAAA92}">
          <x14:formula1>
            <xm:f>INDIRECT(_xlfn.XLOOKUP($B6, 'SI - Resources'!$R$1:$R$10,'SI - Resources'!$S$1:$S$10, "placeholder_resource", 0))</xm:f>
          </x14:formula1>
          <xm:sqref>P6:P100 C6:C100</xm:sqref>
        </x14:dataValidation>
        <x14:dataValidation type="list" allowBlank="1" showInputMessage="1" showErrorMessage="1" xr:uid="{2829ED32-9862-44EE-9FE2-B50E23480BC8}">
          <x14:formula1>
            <xm:f>'SI - Co-products'!$B$2:$B$6</xm:f>
          </x14:formula1>
          <xm:sqref>A6:A100</xm:sqref>
        </x14:dataValidation>
        <x14:dataValidation type="list" allowBlank="1" showInputMessage="1" showErrorMessage="1" xr:uid="{1F47A656-7151-40B5-B262-A5EFD064AE00}">
          <x14:formula1>
            <xm:f>'SI - Resources'!$A$1:$J$1</xm:f>
          </x14:formula1>
          <xm:sqref>B6:B100</xm:sqref>
        </x14:dataValidation>
        <x14:dataValidation type="list" allowBlank="1" showInputMessage="1" showErrorMessage="1" xr:uid="{8826FF41-8578-4E52-97CA-48EC7E8417AC}">
          <x14:formula1>
            <xm:f>'SI - Co-products'!$C$2:$C$4</xm:f>
          </x14:formula1>
          <xm:sqref>I6:I100</xm:sqref>
        </x14:dataValidation>
        <x14:dataValidation type="list" allowBlank="1" showInputMessage="1" showErrorMessage="1" xr:uid="{E3D96D90-AE69-4514-835B-301EF7EF69B5}">
          <x14:formula1>
            <xm:f>'SI - Co-products'!$A$2:$A$5</xm:f>
          </x14:formula1>
          <xm:sqref>K6:K100</xm:sqref>
        </x14:dataValidation>
        <x14:dataValidation type="list" allowBlank="1" showInputMessage="1" showErrorMessage="1" xr:uid="{A0F710B3-1297-478D-ACFE-E74D31901206}">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2023-01-06T20:24:24Z</dcterms:modified>
</cp:coreProperties>
</file>