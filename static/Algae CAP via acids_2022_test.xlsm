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9.xml" ContentType="application/vnd.openxmlformats-officedocument.spreadsheetml.table+xml"/>
  <Override PartName="/xl/drawings/drawing6.xml" ContentType="application/vnd.openxmlformats-officedocument.drawing+xml"/>
  <Override PartName="/xl/ctrlProps/ctrlProp6.xml" ContentType="application/vnd.ms-excel.controlproperties+xml"/>
  <Override PartName="/xl/tables/table1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oul\Documents\dash_development_in_github\static\"/>
    </mc:Choice>
  </mc:AlternateContent>
  <xr:revisionPtr revIDLastSave="0" documentId="13_ncr:1_{DB9DCA0F-D027-4A9A-B6C4-D817A0911D62}" xr6:coauthVersionLast="47" xr6:coauthVersionMax="47" xr10:uidLastSave="{00000000-0000-0000-0000-000000000000}"/>
  <bookViews>
    <workbookView xWindow="33720" yWindow="2610" windowWidth="29040" windowHeight="15840" tabRatio="685" firstSheet="1" activeTab="10" xr2:uid="{CD6380C4-55CF-4A2B-8B40-E0431B51BF74}"/>
  </bookViews>
  <sheets>
    <sheet name="Introduction" sheetId="16" r:id="rId1"/>
    <sheet name="Template" sheetId="10" r:id="rId2"/>
    <sheet name="SI - Payload" sheetId="24" r:id="rId3"/>
    <sheet name="SI - Resources" sheetId="6" r:id="rId4"/>
    <sheet name="SI - End Use" sheetId="7" r:id="rId5"/>
    <sheet name="SI - Units" sheetId="8" r:id="rId6"/>
    <sheet name="SI - Co-products" sheetId="9" r:id="rId7"/>
    <sheet name="CO2 delivery" sheetId="25" r:id="rId8"/>
    <sheet name="Algae growth" sheetId="26" r:id="rId9"/>
    <sheet name="Fuel production" sheetId="27" r:id="rId10"/>
    <sheet name="Fuel combustion" sheetId="29" r:id="rId11"/>
  </sheets>
  <definedNames>
    <definedName name="biomass_resource">'SI - Resources'!$A$2:$A$3</definedName>
    <definedName name="chemicals_resource">'SI - Resources'!$E$2:$E$53</definedName>
    <definedName name="diesel_end_use">'SI - End Use'!$C$2:$H$2</definedName>
    <definedName name="electricity_end_use">'SI - End Use'!$C$5:$O$5</definedName>
    <definedName name="electricity_resource">'SI - Resources'!$D$2:$D$2</definedName>
    <definedName name="electricity_units">'SI - Units'!$B$8:$H$8</definedName>
    <definedName name="emission_resource">'SI - Resources'!$J$2:$J$13</definedName>
    <definedName name="fuel_resource">'SI - Resources'!$C$2:$C$10</definedName>
    <definedName name="infra_resource">'SI - Resources'!$G$2</definedName>
    <definedName name="mass">'SI - Units'!$B$6:$F$6</definedName>
    <definedName name="mass_energy">'SI - Units'!$B$4:$M$4</definedName>
    <definedName name="mass_volume">'SI - Units'!$B$3:$K$3</definedName>
    <definedName name="mass_volume_energy">'SI - Units'!$B$2:$R$2</definedName>
    <definedName name="ng_end_use">'SI - End Use'!$C$3:$L$3</definedName>
    <definedName name="other_end_use">'SI - End Use'!$C$6:$C$6</definedName>
    <definedName name="other_resource">'SI - Resources'!$I$2:$I$4</definedName>
    <definedName name="p_electricity_units">'SI - Units'!$B$19:$H$19</definedName>
    <definedName name="p_mass">'SI - Units'!$B$17:$F$17</definedName>
    <definedName name="p_mass_energy">'SI - Units'!$B$15:$M$15</definedName>
    <definedName name="p_mass_volume">'SI - Units'!$B$14:$K$14</definedName>
    <definedName name="p_mass_volume_energy">'SI - Units'!$B$13:$R$13</definedName>
    <definedName name="p_volume">'SI - Units'!$B$18:$F$18</definedName>
    <definedName name="p_volume_energy">'SI - Units'!$B$16:$M$16</definedName>
    <definedName name="payload_units">'SI - Units'!$B$10:$F$10</definedName>
    <definedName name="placeholder_resource">'SI - Resources'!$K$2:$K$2</definedName>
    <definedName name="rd_end_use">'SI - End Use'!$C$4:$E$4</definedName>
    <definedName name="transport_resource">'SI - Resources'!$H$2:$H$5</definedName>
    <definedName name="transport_units">'SI - Units'!$B$9:$E$9</definedName>
    <definedName name="volume">'SI - Units'!$B$7:$F$7</definedName>
    <definedName name="volume_energy">'SI - Units'!$B$5:$M$5</definedName>
    <definedName name="waste_resource">'SI - Resources'!$B$2:$B$2</definedName>
    <definedName name="water_resource">'SI - Resources'!$F$2:$F$2</definedName>
  </definedNames>
  <calcPr calcId="191029" calcMode="manual"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100" i="29" l="1"/>
  <c r="Q100" i="29" s="1"/>
  <c r="M100" i="29"/>
  <c r="L100" i="29"/>
  <c r="I100" i="29"/>
  <c r="C100" i="29"/>
  <c r="F100" i="29" s="1" a="1"/>
  <c r="F100" i="29" s="1"/>
  <c r="Q99" i="29"/>
  <c r="P99" i="29"/>
  <c r="M99" i="29"/>
  <c r="L99" i="29"/>
  <c r="I99" i="29"/>
  <c r="C99" i="29"/>
  <c r="D99" i="29" s="1"/>
  <c r="P98" i="29"/>
  <c r="Q98" i="29" s="1"/>
  <c r="M98" i="29"/>
  <c r="L98" i="29"/>
  <c r="I98" i="29"/>
  <c r="C98" i="29"/>
  <c r="D98" i="29" s="1"/>
  <c r="Q97" i="29"/>
  <c r="P97" i="29"/>
  <c r="M97" i="29"/>
  <c r="L97" i="29"/>
  <c r="I97" i="29"/>
  <c r="F97" i="29" a="1"/>
  <c r="F97" i="29" s="1"/>
  <c r="D97" i="29"/>
  <c r="C97" i="29"/>
  <c r="Q96" i="29"/>
  <c r="P96" i="29"/>
  <c r="M96" i="29"/>
  <c r="L96" i="29"/>
  <c r="I96" i="29"/>
  <c r="F96" i="29" a="1"/>
  <c r="F96" i="29" s="1"/>
  <c r="D96" i="29"/>
  <c r="C96" i="29"/>
  <c r="P95" i="29"/>
  <c r="Q95" i="29" s="1"/>
  <c r="M95" i="29"/>
  <c r="L95" i="29"/>
  <c r="I95" i="29"/>
  <c r="F95" i="29"/>
  <c r="F95" i="29" a="1"/>
  <c r="D95" i="29"/>
  <c r="C95" i="29"/>
  <c r="Q94" i="29"/>
  <c r="P94" i="29"/>
  <c r="M94" i="29"/>
  <c r="L94" i="29"/>
  <c r="I94" i="29"/>
  <c r="F94" i="29"/>
  <c r="F94" i="29" a="1"/>
  <c r="C94" i="29"/>
  <c r="D94" i="29" s="1"/>
  <c r="P93" i="29"/>
  <c r="Q93" i="29" s="1"/>
  <c r="M93" i="29"/>
  <c r="L93" i="29"/>
  <c r="I93" i="29"/>
  <c r="C93" i="29"/>
  <c r="F93" i="29" s="1" a="1"/>
  <c r="F93" i="29" s="1"/>
  <c r="P92" i="29"/>
  <c r="Q92" i="29" s="1"/>
  <c r="M92" i="29"/>
  <c r="L92" i="29"/>
  <c r="I92" i="29"/>
  <c r="C92" i="29"/>
  <c r="F92" i="29" s="1" a="1"/>
  <c r="F92" i="29" s="1"/>
  <c r="P91" i="29"/>
  <c r="Q91" i="29" s="1"/>
  <c r="M91" i="29"/>
  <c r="L91" i="29"/>
  <c r="I91" i="29"/>
  <c r="C91" i="29"/>
  <c r="D91" i="29" s="1"/>
  <c r="Q90" i="29"/>
  <c r="P90" i="29"/>
  <c r="M90" i="29"/>
  <c r="L90" i="29"/>
  <c r="I90" i="29"/>
  <c r="C90" i="29"/>
  <c r="F90" i="29" s="1" a="1"/>
  <c r="F90" i="29" s="1"/>
  <c r="Q89" i="29"/>
  <c r="P89" i="29"/>
  <c r="M89" i="29"/>
  <c r="L89" i="29"/>
  <c r="I89" i="29"/>
  <c r="D89" i="29"/>
  <c r="C89" i="29"/>
  <c r="F89" i="29" s="1" a="1"/>
  <c r="F89" i="29" s="1"/>
  <c r="Q88" i="29"/>
  <c r="P88" i="29"/>
  <c r="M88" i="29"/>
  <c r="L88" i="29"/>
  <c r="I88" i="29"/>
  <c r="F88" i="29" a="1"/>
  <c r="F88" i="29" s="1"/>
  <c r="D88" i="29"/>
  <c r="C88" i="29"/>
  <c r="P87" i="29"/>
  <c r="Q87" i="29" s="1"/>
  <c r="M87" i="29"/>
  <c r="L87" i="29"/>
  <c r="I87" i="29"/>
  <c r="F87" i="29"/>
  <c r="F87" i="29" a="1"/>
  <c r="D87" i="29"/>
  <c r="C87" i="29"/>
  <c r="P86" i="29"/>
  <c r="Q86" i="29" s="1"/>
  <c r="M86" i="29"/>
  <c r="L86" i="29"/>
  <c r="I86" i="29"/>
  <c r="F86" i="29"/>
  <c r="F86" i="29" a="1"/>
  <c r="C86" i="29"/>
  <c r="D86" i="29" s="1"/>
  <c r="P85" i="29"/>
  <c r="Q85" i="29" s="1"/>
  <c r="M85" i="29"/>
  <c r="L85" i="29"/>
  <c r="I85" i="29"/>
  <c r="C85" i="29"/>
  <c r="F85" i="29" s="1" a="1"/>
  <c r="F85" i="29" s="1"/>
  <c r="P84" i="29"/>
  <c r="Q84" i="29" s="1"/>
  <c r="M84" i="29"/>
  <c r="L84" i="29"/>
  <c r="I84" i="29"/>
  <c r="C84" i="29"/>
  <c r="F84" i="29" s="1" a="1"/>
  <c r="F84" i="29" s="1"/>
  <c r="P83" i="29"/>
  <c r="Q83" i="29" s="1"/>
  <c r="M83" i="29"/>
  <c r="L83" i="29"/>
  <c r="I83" i="29"/>
  <c r="C83" i="29"/>
  <c r="F83" i="29" s="1" a="1"/>
  <c r="F83" i="29" s="1"/>
  <c r="Q82" i="29"/>
  <c r="P82" i="29"/>
  <c r="M82" i="29"/>
  <c r="L82" i="29"/>
  <c r="I82" i="29"/>
  <c r="C82" i="29"/>
  <c r="Q81" i="29"/>
  <c r="P81" i="29"/>
  <c r="M81" i="29"/>
  <c r="L81" i="29"/>
  <c r="I81" i="29"/>
  <c r="C81" i="29"/>
  <c r="F81" i="29" s="1" a="1"/>
  <c r="F81" i="29" s="1"/>
  <c r="Q80" i="29"/>
  <c r="P80" i="29"/>
  <c r="M80" i="29"/>
  <c r="L80" i="29"/>
  <c r="I80" i="29"/>
  <c r="F80" i="29" a="1"/>
  <c r="F80" i="29" s="1"/>
  <c r="D80" i="29"/>
  <c r="C80" i="29"/>
  <c r="P79" i="29"/>
  <c r="Q79" i="29" s="1"/>
  <c r="M79" i="29"/>
  <c r="L79" i="29"/>
  <c r="I79" i="29"/>
  <c r="F79" i="29" a="1"/>
  <c r="F79" i="29" s="1"/>
  <c r="D79" i="29"/>
  <c r="C79" i="29"/>
  <c r="P78" i="29"/>
  <c r="Q78" i="29" s="1"/>
  <c r="M78" i="29"/>
  <c r="L78" i="29"/>
  <c r="I78" i="29"/>
  <c r="F78" i="29"/>
  <c r="F78" i="29" a="1"/>
  <c r="C78" i="29"/>
  <c r="D78" i="29" s="1"/>
  <c r="P77" i="29"/>
  <c r="Q77" i="29" s="1"/>
  <c r="M77" i="29"/>
  <c r="L77" i="29"/>
  <c r="I77" i="29"/>
  <c r="C77" i="29"/>
  <c r="F77" i="29" s="1" a="1"/>
  <c r="F77" i="29" s="1"/>
  <c r="P76" i="29"/>
  <c r="Q76" i="29" s="1"/>
  <c r="M76" i="29"/>
  <c r="L76" i="29"/>
  <c r="I76" i="29"/>
  <c r="C76" i="29"/>
  <c r="F76" i="29" s="1" a="1"/>
  <c r="F76" i="29" s="1"/>
  <c r="P75" i="29"/>
  <c r="Q75" i="29" s="1"/>
  <c r="M75" i="29"/>
  <c r="L75" i="29"/>
  <c r="I75" i="29"/>
  <c r="C75" i="29"/>
  <c r="D75" i="29" s="1"/>
  <c r="P74" i="29"/>
  <c r="Q74" i="29" s="1"/>
  <c r="M74" i="29"/>
  <c r="L74" i="29"/>
  <c r="I74" i="29"/>
  <c r="C74" i="29"/>
  <c r="Q73" i="29"/>
  <c r="P73" i="29"/>
  <c r="M73" i="29"/>
  <c r="L73" i="29"/>
  <c r="I73" i="29"/>
  <c r="C73" i="29"/>
  <c r="F73" i="29" s="1" a="1"/>
  <c r="F73" i="29" s="1"/>
  <c r="Q72" i="29"/>
  <c r="P72" i="29"/>
  <c r="M72" i="29"/>
  <c r="L72" i="29"/>
  <c r="I72" i="29"/>
  <c r="F72" i="29" a="1"/>
  <c r="F72" i="29" s="1"/>
  <c r="D72" i="29"/>
  <c r="C72" i="29"/>
  <c r="Q71" i="29"/>
  <c r="P71" i="29"/>
  <c r="M71" i="29"/>
  <c r="L71" i="29"/>
  <c r="I71" i="29"/>
  <c r="F71" i="29"/>
  <c r="F71" i="29" a="1"/>
  <c r="D71" i="29"/>
  <c r="C71" i="29"/>
  <c r="P70" i="29"/>
  <c r="Q70" i="29" s="1"/>
  <c r="M70" i="29"/>
  <c r="L70" i="29"/>
  <c r="I70" i="29"/>
  <c r="F70" i="29"/>
  <c r="F70" i="29" a="1"/>
  <c r="D70" i="29"/>
  <c r="C70" i="29"/>
  <c r="P69" i="29"/>
  <c r="Q69" i="29" s="1"/>
  <c r="M69" i="29"/>
  <c r="L69" i="29"/>
  <c r="I69" i="29"/>
  <c r="F69" i="29"/>
  <c r="F69" i="29" a="1"/>
  <c r="C69" i="29"/>
  <c r="D69" i="29" s="1"/>
  <c r="P68" i="29"/>
  <c r="Q68" i="29" s="1"/>
  <c r="M68" i="29"/>
  <c r="L68" i="29"/>
  <c r="I68" i="29"/>
  <c r="C68" i="29"/>
  <c r="F68" i="29" s="1" a="1"/>
  <c r="F68" i="29" s="1"/>
  <c r="P67" i="29"/>
  <c r="Q67" i="29" s="1"/>
  <c r="M67" i="29"/>
  <c r="L67" i="29"/>
  <c r="I67" i="29"/>
  <c r="C67" i="29"/>
  <c r="F67" i="29" s="1" a="1"/>
  <c r="F67" i="29" s="1"/>
  <c r="Q66" i="29"/>
  <c r="P66" i="29"/>
  <c r="M66" i="29"/>
  <c r="L66" i="29"/>
  <c r="I66" i="29"/>
  <c r="C66" i="29"/>
  <c r="Q65" i="29"/>
  <c r="P65" i="29"/>
  <c r="M65" i="29"/>
  <c r="L65" i="29"/>
  <c r="I65" i="29"/>
  <c r="D65" i="29"/>
  <c r="C65" i="29"/>
  <c r="F65" i="29" s="1" a="1"/>
  <c r="F65" i="29" s="1"/>
  <c r="Q64" i="29"/>
  <c r="P64" i="29"/>
  <c r="M64" i="29"/>
  <c r="L64" i="29"/>
  <c r="I64" i="29"/>
  <c r="F64" i="29" a="1"/>
  <c r="F64" i="29" s="1"/>
  <c r="D64" i="29"/>
  <c r="C64" i="29"/>
  <c r="Q63" i="29"/>
  <c r="P63" i="29"/>
  <c r="M63" i="29"/>
  <c r="L63" i="29"/>
  <c r="I63" i="29"/>
  <c r="F63" i="29" a="1"/>
  <c r="F63" i="29" s="1"/>
  <c r="D63" i="29"/>
  <c r="C63" i="29"/>
  <c r="P62" i="29"/>
  <c r="Q62" i="29" s="1"/>
  <c r="M62" i="29"/>
  <c r="L62" i="29"/>
  <c r="I62" i="29"/>
  <c r="F62" i="29"/>
  <c r="F62" i="29" a="1"/>
  <c r="D62" i="29"/>
  <c r="C62" i="29"/>
  <c r="P61" i="29"/>
  <c r="Q61" i="29" s="1"/>
  <c r="M61" i="29"/>
  <c r="L61" i="29"/>
  <c r="I61" i="29"/>
  <c r="F61" i="29"/>
  <c r="F61" i="29" a="1"/>
  <c r="C61" i="29"/>
  <c r="D61" i="29" s="1"/>
  <c r="P60" i="29"/>
  <c r="Q60" i="29" s="1"/>
  <c r="M60" i="29"/>
  <c r="L60" i="29"/>
  <c r="I60" i="29"/>
  <c r="C60" i="29"/>
  <c r="F60" i="29" s="1" a="1"/>
  <c r="F60" i="29" s="1"/>
  <c r="P59" i="29"/>
  <c r="Q59" i="29" s="1"/>
  <c r="M59" i="29"/>
  <c r="L59" i="29"/>
  <c r="I59" i="29"/>
  <c r="C59" i="29"/>
  <c r="F59" i="29" s="1" a="1"/>
  <c r="F59" i="29" s="1"/>
  <c r="P58" i="29"/>
  <c r="Q58" i="29" s="1"/>
  <c r="M58" i="29"/>
  <c r="L58" i="29"/>
  <c r="I58" i="29"/>
  <c r="C58" i="29"/>
  <c r="Q57" i="29"/>
  <c r="P57" i="29"/>
  <c r="M57" i="29"/>
  <c r="L57" i="29"/>
  <c r="I57" i="29"/>
  <c r="C57" i="29"/>
  <c r="F57" i="29" s="1" a="1"/>
  <c r="F57" i="29" s="1"/>
  <c r="Q56" i="29"/>
  <c r="P56" i="29"/>
  <c r="M56" i="29"/>
  <c r="L56" i="29"/>
  <c r="I56" i="29"/>
  <c r="F56" i="29" a="1"/>
  <c r="F56" i="29" s="1"/>
  <c r="D56" i="29"/>
  <c r="C56" i="29"/>
  <c r="Q55" i="29"/>
  <c r="P55" i="29"/>
  <c r="M55" i="29"/>
  <c r="L55" i="29"/>
  <c r="I55" i="29"/>
  <c r="F55" i="29" a="1"/>
  <c r="F55" i="29" s="1"/>
  <c r="D55" i="29"/>
  <c r="C55" i="29"/>
  <c r="P54" i="29"/>
  <c r="Q54" i="29" s="1"/>
  <c r="M54" i="29"/>
  <c r="L54" i="29"/>
  <c r="I54" i="29"/>
  <c r="F54" i="29"/>
  <c r="F54" i="29" a="1"/>
  <c r="D54" i="29"/>
  <c r="C54" i="29"/>
  <c r="P53" i="29"/>
  <c r="Q53" i="29" s="1"/>
  <c r="M53" i="29"/>
  <c r="L53" i="29"/>
  <c r="I53" i="29"/>
  <c r="F53" i="29"/>
  <c r="F53" i="29" a="1"/>
  <c r="C53" i="29"/>
  <c r="D53" i="29" s="1"/>
  <c r="P52" i="29"/>
  <c r="Q52" i="29" s="1"/>
  <c r="M52" i="29"/>
  <c r="L52" i="29"/>
  <c r="I52" i="29"/>
  <c r="C52" i="29"/>
  <c r="F52" i="29" s="1" a="1"/>
  <c r="F52" i="29" s="1"/>
  <c r="P51" i="29"/>
  <c r="Q51" i="29" s="1"/>
  <c r="M51" i="29"/>
  <c r="L51" i="29"/>
  <c r="I51" i="29"/>
  <c r="C51" i="29"/>
  <c r="Q50" i="29"/>
  <c r="P50" i="29"/>
  <c r="M50" i="29"/>
  <c r="L50" i="29"/>
  <c r="I50" i="29"/>
  <c r="D50" i="29"/>
  <c r="C50" i="29"/>
  <c r="F50" i="29" s="1" a="1"/>
  <c r="F50" i="29" s="1"/>
  <c r="Q49" i="29"/>
  <c r="P49" i="29"/>
  <c r="M49" i="29"/>
  <c r="L49" i="29"/>
  <c r="I49" i="29"/>
  <c r="F49" i="29" a="1"/>
  <c r="F49" i="29" s="1"/>
  <c r="D49" i="29"/>
  <c r="C49" i="29"/>
  <c r="Q48" i="29"/>
  <c r="P48" i="29"/>
  <c r="M48" i="29"/>
  <c r="L48" i="29"/>
  <c r="I48" i="29"/>
  <c r="F48" i="29" a="1"/>
  <c r="F48" i="29" s="1"/>
  <c r="D48" i="29"/>
  <c r="C48" i="29"/>
  <c r="Q47" i="29"/>
  <c r="P47" i="29"/>
  <c r="M47" i="29"/>
  <c r="L47" i="29"/>
  <c r="I47" i="29"/>
  <c r="F47" i="29"/>
  <c r="F47" i="29" a="1"/>
  <c r="D47" i="29"/>
  <c r="C47" i="29"/>
  <c r="P46" i="29"/>
  <c r="Q46" i="29" s="1"/>
  <c r="M46" i="29"/>
  <c r="L46" i="29"/>
  <c r="I46" i="29"/>
  <c r="F46" i="29"/>
  <c r="F46" i="29" a="1"/>
  <c r="D46" i="29"/>
  <c r="C46" i="29"/>
  <c r="P45" i="29"/>
  <c r="Q45" i="29" s="1"/>
  <c r="M45" i="29"/>
  <c r="L45" i="29"/>
  <c r="I45" i="29"/>
  <c r="F45" i="29"/>
  <c r="F45" i="29" a="1"/>
  <c r="C45" i="29"/>
  <c r="D45" i="29" s="1"/>
  <c r="P44" i="29"/>
  <c r="Q44" i="29" s="1"/>
  <c r="M44" i="29"/>
  <c r="L44" i="29"/>
  <c r="I44" i="29"/>
  <c r="C44" i="29"/>
  <c r="F44" i="29" s="1" a="1"/>
  <c r="F44" i="29" s="1"/>
  <c r="Q43" i="29"/>
  <c r="P43" i="29"/>
  <c r="M43" i="29"/>
  <c r="L43" i="29"/>
  <c r="I43" i="29"/>
  <c r="C43" i="29"/>
  <c r="P42" i="29"/>
  <c r="Q42" i="29" s="1"/>
  <c r="M42" i="29"/>
  <c r="L42" i="29"/>
  <c r="I42" i="29"/>
  <c r="D42" i="29"/>
  <c r="C42" i="29"/>
  <c r="F42" i="29" s="1" a="1"/>
  <c r="F42" i="29" s="1"/>
  <c r="Q41" i="29"/>
  <c r="P41" i="29"/>
  <c r="M41" i="29"/>
  <c r="L41" i="29"/>
  <c r="I41" i="29"/>
  <c r="F41" i="29" a="1"/>
  <c r="F41" i="29" s="1"/>
  <c r="C41" i="29"/>
  <c r="D41" i="29" s="1"/>
  <c r="Q40" i="29"/>
  <c r="P40" i="29"/>
  <c r="M40" i="29"/>
  <c r="L40" i="29"/>
  <c r="I40" i="29"/>
  <c r="F40" i="29"/>
  <c r="F40" i="29" a="1"/>
  <c r="D40" i="29"/>
  <c r="C40" i="29"/>
  <c r="Q39" i="29"/>
  <c r="P39" i="29"/>
  <c r="M39" i="29"/>
  <c r="L39" i="29"/>
  <c r="I39" i="29"/>
  <c r="F39" i="29" a="1"/>
  <c r="F39" i="29" s="1"/>
  <c r="D39" i="29"/>
  <c r="C39" i="29"/>
  <c r="P38" i="29"/>
  <c r="Q38" i="29" s="1"/>
  <c r="M38" i="29"/>
  <c r="L38" i="29"/>
  <c r="I38" i="29"/>
  <c r="F38" i="29"/>
  <c r="F38" i="29" a="1"/>
  <c r="D38" i="29"/>
  <c r="C38" i="29"/>
  <c r="P37" i="29"/>
  <c r="Q37" i="29" s="1"/>
  <c r="M37" i="29"/>
  <c r="L37" i="29"/>
  <c r="I37" i="29"/>
  <c r="F37" i="29"/>
  <c r="F37" i="29" a="1"/>
  <c r="C37" i="29"/>
  <c r="D37" i="29" s="1"/>
  <c r="P36" i="29"/>
  <c r="Q36" i="29" s="1"/>
  <c r="M36" i="29"/>
  <c r="L36" i="29"/>
  <c r="I36" i="29"/>
  <c r="C36" i="29"/>
  <c r="F36" i="29" s="1" a="1"/>
  <c r="F36" i="29" s="1"/>
  <c r="P35" i="29"/>
  <c r="Q35" i="29" s="1"/>
  <c r="M35" i="29"/>
  <c r="L35" i="29"/>
  <c r="I35" i="29"/>
  <c r="C35" i="29"/>
  <c r="P34" i="29"/>
  <c r="Q34" i="29" s="1"/>
  <c r="M34" i="29"/>
  <c r="L34" i="29"/>
  <c r="I34" i="29"/>
  <c r="C34" i="29"/>
  <c r="F34" i="29" s="1" a="1"/>
  <c r="F34" i="29" s="1"/>
  <c r="Q33" i="29"/>
  <c r="P33" i="29"/>
  <c r="M33" i="29"/>
  <c r="L33" i="29"/>
  <c r="I33" i="29"/>
  <c r="C33" i="29"/>
  <c r="F33" i="29" s="1" a="1"/>
  <c r="F33" i="29" s="1"/>
  <c r="Q32" i="29"/>
  <c r="P32" i="29"/>
  <c r="M32" i="29"/>
  <c r="L32" i="29"/>
  <c r="I32" i="29"/>
  <c r="F32" i="29"/>
  <c r="F32" i="29" a="1"/>
  <c r="D32" i="29"/>
  <c r="C32" i="29"/>
  <c r="Q31" i="29"/>
  <c r="P31" i="29"/>
  <c r="M31" i="29"/>
  <c r="L31" i="29"/>
  <c r="I31" i="29"/>
  <c r="F31" i="29" a="1"/>
  <c r="F31" i="29" s="1"/>
  <c r="D31" i="29"/>
  <c r="C31" i="29"/>
  <c r="Q30" i="29"/>
  <c r="P30" i="29"/>
  <c r="M30" i="29"/>
  <c r="L30" i="29"/>
  <c r="I30" i="29"/>
  <c r="F30" i="29"/>
  <c r="F30" i="29" a="1"/>
  <c r="D30" i="29"/>
  <c r="C30" i="29"/>
  <c r="P29" i="29"/>
  <c r="Q29" i="29" s="1"/>
  <c r="M29" i="29"/>
  <c r="L29" i="29"/>
  <c r="I29" i="29"/>
  <c r="F29" i="29"/>
  <c r="F29" i="29" a="1"/>
  <c r="D29" i="29"/>
  <c r="C29" i="29"/>
  <c r="P28" i="29"/>
  <c r="Q28" i="29" s="1"/>
  <c r="M28" i="29"/>
  <c r="L28" i="29"/>
  <c r="I28" i="29"/>
  <c r="C28" i="29"/>
  <c r="F28" i="29" s="1" a="1"/>
  <c r="F28" i="29" s="1"/>
  <c r="Q27" i="29"/>
  <c r="P27" i="29"/>
  <c r="M27" i="29"/>
  <c r="L27" i="29"/>
  <c r="I27" i="29"/>
  <c r="C27" i="29"/>
  <c r="P26" i="29"/>
  <c r="Q26" i="29" s="1"/>
  <c r="M26" i="29"/>
  <c r="L26" i="29"/>
  <c r="I26" i="29"/>
  <c r="C26" i="29"/>
  <c r="F26" i="29" s="1" a="1"/>
  <c r="F26" i="29" s="1"/>
  <c r="Q25" i="29"/>
  <c r="P25" i="29"/>
  <c r="M25" i="29"/>
  <c r="L25" i="29"/>
  <c r="I25" i="29"/>
  <c r="F25" i="29" a="1"/>
  <c r="F25" i="29" s="1"/>
  <c r="C25" i="29"/>
  <c r="D25" i="29" s="1"/>
  <c r="Q24" i="29"/>
  <c r="P24" i="29"/>
  <c r="M24" i="29"/>
  <c r="L24" i="29"/>
  <c r="I24" i="29"/>
  <c r="C24" i="29"/>
  <c r="F24" i="29" s="1" a="1"/>
  <c r="F24" i="29" s="1"/>
  <c r="Q23" i="29"/>
  <c r="P23" i="29"/>
  <c r="M23" i="29"/>
  <c r="L23" i="29"/>
  <c r="I23" i="29"/>
  <c r="F23" i="29" a="1"/>
  <c r="F23" i="29" s="1"/>
  <c r="D23" i="29"/>
  <c r="C23" i="29"/>
  <c r="P22" i="29"/>
  <c r="Q22" i="29" s="1"/>
  <c r="M22" i="29"/>
  <c r="L22" i="29"/>
  <c r="I22" i="29"/>
  <c r="F22" i="29" a="1"/>
  <c r="F22" i="29" s="1"/>
  <c r="D22" i="29"/>
  <c r="C22" i="29"/>
  <c r="P21" i="29"/>
  <c r="Q21" i="29" s="1"/>
  <c r="M21" i="29"/>
  <c r="L21" i="29"/>
  <c r="I21" i="29"/>
  <c r="F21" i="29"/>
  <c r="F21" i="29" a="1"/>
  <c r="D21" i="29"/>
  <c r="C21" i="29"/>
  <c r="P20" i="29"/>
  <c r="Q20" i="29" s="1"/>
  <c r="M20" i="29"/>
  <c r="L20" i="29"/>
  <c r="I20" i="29"/>
  <c r="C20" i="29"/>
  <c r="F20" i="29" s="1" a="1"/>
  <c r="F20" i="29" s="1"/>
  <c r="P19" i="29"/>
  <c r="Q19" i="29" s="1"/>
  <c r="M19" i="29"/>
  <c r="L19" i="29"/>
  <c r="I19" i="29"/>
  <c r="C19" i="29"/>
  <c r="Q18" i="29"/>
  <c r="P18" i="29"/>
  <c r="M18" i="29"/>
  <c r="L18" i="29"/>
  <c r="I18" i="29"/>
  <c r="C18" i="29"/>
  <c r="F18" i="29" s="1" a="1"/>
  <c r="F18" i="29" s="1"/>
  <c r="P17" i="29"/>
  <c r="Q17" i="29" s="1"/>
  <c r="M17" i="29"/>
  <c r="L17" i="29"/>
  <c r="I17" i="29"/>
  <c r="C17" i="29"/>
  <c r="D17" i="29" s="1"/>
  <c r="P16" i="29"/>
  <c r="Q16" i="29" s="1"/>
  <c r="M16" i="29"/>
  <c r="L16" i="29"/>
  <c r="I16" i="29"/>
  <c r="F16" i="29" a="1"/>
  <c r="F16" i="29" s="1"/>
  <c r="D16" i="29"/>
  <c r="C16" i="29"/>
  <c r="Q15" i="29"/>
  <c r="P15" i="29"/>
  <c r="M15" i="29"/>
  <c r="L15" i="29"/>
  <c r="I15" i="29"/>
  <c r="F15" i="29" a="1"/>
  <c r="F15" i="29" s="1"/>
  <c r="C15" i="29"/>
  <c r="D15" i="29" s="1"/>
  <c r="Q14" i="29"/>
  <c r="P14" i="29"/>
  <c r="M14" i="29"/>
  <c r="L14" i="29"/>
  <c r="I14" i="29"/>
  <c r="F14" i="29"/>
  <c r="F14" i="29" a="1"/>
  <c r="D14" i="29"/>
  <c r="C14" i="29"/>
  <c r="P13" i="29"/>
  <c r="Q13" i="29" s="1"/>
  <c r="M13" i="29"/>
  <c r="L13" i="29"/>
  <c r="I13" i="29"/>
  <c r="F13" i="29"/>
  <c r="F13" i="29" a="1"/>
  <c r="D13" i="29"/>
  <c r="C13" i="29"/>
  <c r="P12" i="29"/>
  <c r="Q12" i="29" s="1"/>
  <c r="M12" i="29"/>
  <c r="L12" i="29"/>
  <c r="I12" i="29"/>
  <c r="F12" i="29"/>
  <c r="C12" i="29"/>
  <c r="F12" i="29" s="1" a="1"/>
  <c r="Q11" i="29"/>
  <c r="P11" i="29"/>
  <c r="M11" i="29"/>
  <c r="L11" i="29"/>
  <c r="I11" i="29"/>
  <c r="C11" i="29"/>
  <c r="Q10" i="29"/>
  <c r="P10" i="29"/>
  <c r="M10" i="29"/>
  <c r="L10" i="29"/>
  <c r="I10" i="29"/>
  <c r="D10" i="29"/>
  <c r="C10" i="29"/>
  <c r="F10" i="29" s="1" a="1"/>
  <c r="F10" i="29" s="1"/>
  <c r="P9" i="29"/>
  <c r="Q9" i="29" s="1"/>
  <c r="M9" i="29"/>
  <c r="L9" i="29"/>
  <c r="I9" i="29"/>
  <c r="F9" i="29" a="1"/>
  <c r="F9" i="29" s="1"/>
  <c r="D9" i="29"/>
  <c r="C9" i="29"/>
  <c r="P8" i="29"/>
  <c r="Q8" i="29" s="1"/>
  <c r="M8" i="29"/>
  <c r="L8" i="29"/>
  <c r="I8" i="29"/>
  <c r="C8" i="29"/>
  <c r="F8" i="29" s="1" a="1"/>
  <c r="F8" i="29" s="1"/>
  <c r="M7" i="29"/>
  <c r="L7" i="29"/>
  <c r="I7" i="29"/>
  <c r="P6" i="29"/>
  <c r="Q6" i="29" s="1"/>
  <c r="M6" i="29"/>
  <c r="L6" i="29"/>
  <c r="I6" i="29"/>
  <c r="E46" i="27"/>
  <c r="E42" i="27"/>
  <c r="E35" i="27"/>
  <c r="E34" i="27"/>
  <c r="E33" i="27"/>
  <c r="E32" i="27"/>
  <c r="E31" i="27"/>
  <c r="E30" i="27"/>
  <c r="D35" i="29" l="1"/>
  <c r="F35" i="29" a="1"/>
  <c r="F35" i="29" s="1"/>
  <c r="D82" i="29"/>
  <c r="F82" i="29" a="1"/>
  <c r="F82" i="29" s="1"/>
  <c r="D18" i="29"/>
  <c r="D57" i="29"/>
  <c r="D8" i="29"/>
  <c r="F17" i="29" a="1"/>
  <c r="F17" i="29" s="1"/>
  <c r="D33" i="29"/>
  <c r="D34" i="29"/>
  <c r="D81" i="29"/>
  <c r="F11" i="29" a="1"/>
  <c r="F11" i="29" s="1"/>
  <c r="D11" i="29"/>
  <c r="D27" i="29"/>
  <c r="F27" i="29" a="1"/>
  <c r="F27" i="29" s="1"/>
  <c r="F43" i="29" a="1"/>
  <c r="F43" i="29" s="1"/>
  <c r="D43" i="29"/>
  <c r="D24" i="29"/>
  <c r="D26" i="29"/>
  <c r="F74" i="29" a="1"/>
  <c r="F74" i="29" s="1"/>
  <c r="D74" i="29"/>
  <c r="D51" i="29"/>
  <c r="F51" i="29" a="1"/>
  <c r="F51" i="29" s="1"/>
  <c r="D66" i="29"/>
  <c r="F66" i="29" a="1"/>
  <c r="F66" i="29" s="1"/>
  <c r="F19" i="29" a="1"/>
  <c r="F19" i="29" s="1"/>
  <c r="D19" i="29"/>
  <c r="F58" i="29" a="1"/>
  <c r="F58" i="29" s="1"/>
  <c r="D58" i="29"/>
  <c r="D73" i="29"/>
  <c r="D90" i="29"/>
  <c r="D59" i="29"/>
  <c r="D67" i="29"/>
  <c r="D83" i="29"/>
  <c r="F98" i="29" a="1"/>
  <c r="F98" i="29" s="1"/>
  <c r="D12" i="29"/>
  <c r="D20" i="29"/>
  <c r="D28" i="29"/>
  <c r="D36" i="29"/>
  <c r="D44" i="29"/>
  <c r="D52" i="29"/>
  <c r="D60" i="29"/>
  <c r="D68" i="29"/>
  <c r="F75" i="29" a="1"/>
  <c r="F75" i="29" s="1"/>
  <c r="D76" i="29"/>
  <c r="D84" i="29"/>
  <c r="F91" i="29" a="1"/>
  <c r="F91" i="29" s="1"/>
  <c r="D92" i="29"/>
  <c r="F99" i="29" a="1"/>
  <c r="F99" i="29" s="1"/>
  <c r="D100" i="29"/>
  <c r="D77" i="29"/>
  <c r="D85" i="29"/>
  <c r="D93" i="29"/>
  <c r="P100" i="27"/>
  <c r="Q100" i="27" s="1"/>
  <c r="M100" i="27"/>
  <c r="L100" i="27"/>
  <c r="I100" i="27"/>
  <c r="C100" i="27"/>
  <c r="F100" i="27" s="1" a="1"/>
  <c r="F100" i="27" s="1"/>
  <c r="P99" i="27"/>
  <c r="Q99" i="27" s="1"/>
  <c r="M99" i="27"/>
  <c r="L99" i="27"/>
  <c r="I99" i="27"/>
  <c r="C99" i="27"/>
  <c r="F99" i="27" s="1" a="1"/>
  <c r="F99" i="27" s="1"/>
  <c r="P98" i="27"/>
  <c r="Q98" i="27" s="1"/>
  <c r="M98" i="27"/>
  <c r="L98" i="27"/>
  <c r="I98" i="27"/>
  <c r="C98" i="27"/>
  <c r="F98" i="27" s="1" a="1"/>
  <c r="F98" i="27" s="1"/>
  <c r="Q97" i="27"/>
  <c r="P97" i="27"/>
  <c r="M97" i="27"/>
  <c r="L97" i="27"/>
  <c r="I97" i="27"/>
  <c r="D97" i="27"/>
  <c r="C97" i="27"/>
  <c r="F97" i="27" s="1" a="1"/>
  <c r="F97" i="27" s="1"/>
  <c r="P96" i="27"/>
  <c r="Q96" i="27" s="1"/>
  <c r="M96" i="27"/>
  <c r="L96" i="27"/>
  <c r="I96" i="27"/>
  <c r="C96" i="27"/>
  <c r="F96" i="27" s="1" a="1"/>
  <c r="F96" i="27" s="1"/>
  <c r="P95" i="27"/>
  <c r="Q95" i="27" s="1"/>
  <c r="M95" i="27"/>
  <c r="L95" i="27"/>
  <c r="I95" i="27"/>
  <c r="F95" i="27" a="1"/>
  <c r="F95" i="27" s="1"/>
  <c r="C95" i="27"/>
  <c r="D95" i="27" s="1"/>
  <c r="Q94" i="27"/>
  <c r="P94" i="27"/>
  <c r="M94" i="27"/>
  <c r="L94" i="27"/>
  <c r="I94" i="27"/>
  <c r="C94" i="27"/>
  <c r="F94" i="27" s="1" a="1"/>
  <c r="F94" i="27" s="1"/>
  <c r="Q93" i="27"/>
  <c r="P93" i="27"/>
  <c r="M93" i="27"/>
  <c r="L93" i="27"/>
  <c r="I93" i="27"/>
  <c r="D93" i="27"/>
  <c r="C93" i="27"/>
  <c r="F93" i="27" s="1" a="1"/>
  <c r="F93" i="27" s="1"/>
  <c r="P92" i="27"/>
  <c r="Q92" i="27" s="1"/>
  <c r="M92" i="27"/>
  <c r="L92" i="27"/>
  <c r="I92" i="27"/>
  <c r="F92" i="27" a="1"/>
  <c r="F92" i="27" s="1"/>
  <c r="C92" i="27"/>
  <c r="D92" i="27" s="1"/>
  <c r="P91" i="27"/>
  <c r="Q91" i="27" s="1"/>
  <c r="M91" i="27"/>
  <c r="L91" i="27"/>
  <c r="I91" i="27"/>
  <c r="F91" i="27" a="1"/>
  <c r="F91" i="27" s="1"/>
  <c r="C91" i="27"/>
  <c r="D91" i="27" s="1"/>
  <c r="Q90" i="27"/>
  <c r="P90" i="27"/>
  <c r="M90" i="27"/>
  <c r="L90" i="27"/>
  <c r="I90" i="27"/>
  <c r="C90" i="27"/>
  <c r="F90" i="27" s="1" a="1"/>
  <c r="F90" i="27" s="1"/>
  <c r="Q89" i="27"/>
  <c r="P89" i="27"/>
  <c r="M89" i="27"/>
  <c r="L89" i="27"/>
  <c r="I89" i="27"/>
  <c r="D89" i="27"/>
  <c r="C89" i="27"/>
  <c r="F89" i="27" s="1" a="1"/>
  <c r="F89" i="27" s="1"/>
  <c r="P88" i="27"/>
  <c r="Q88" i="27" s="1"/>
  <c r="M88" i="27"/>
  <c r="L88" i="27"/>
  <c r="I88" i="27"/>
  <c r="F88" i="27" a="1"/>
  <c r="F88" i="27" s="1"/>
  <c r="C88" i="27"/>
  <c r="D88" i="27" s="1"/>
  <c r="P87" i="27"/>
  <c r="Q87" i="27" s="1"/>
  <c r="M87" i="27"/>
  <c r="L87" i="27"/>
  <c r="I87" i="27"/>
  <c r="F87" i="27" a="1"/>
  <c r="F87" i="27" s="1"/>
  <c r="C87" i="27"/>
  <c r="D87" i="27" s="1"/>
  <c r="Q86" i="27"/>
  <c r="P86" i="27"/>
  <c r="M86" i="27"/>
  <c r="L86" i="27"/>
  <c r="I86" i="27"/>
  <c r="C86" i="27"/>
  <c r="F86" i="27" s="1" a="1"/>
  <c r="F86" i="27" s="1"/>
  <c r="Q85" i="27"/>
  <c r="P85" i="27"/>
  <c r="M85" i="27"/>
  <c r="L85" i="27"/>
  <c r="I85" i="27"/>
  <c r="D85" i="27"/>
  <c r="C85" i="27"/>
  <c r="F85" i="27" s="1" a="1"/>
  <c r="F85" i="27" s="1"/>
  <c r="P84" i="27"/>
  <c r="Q84" i="27" s="1"/>
  <c r="M84" i="27"/>
  <c r="L84" i="27"/>
  <c r="I84" i="27"/>
  <c r="F84" i="27" a="1"/>
  <c r="F84" i="27" s="1"/>
  <c r="C84" i="27"/>
  <c r="D84" i="27" s="1"/>
  <c r="P83" i="27"/>
  <c r="Q83" i="27" s="1"/>
  <c r="M83" i="27"/>
  <c r="L83" i="27"/>
  <c r="I83" i="27"/>
  <c r="F83" i="27" a="1"/>
  <c r="F83" i="27" s="1"/>
  <c r="C83" i="27"/>
  <c r="D83" i="27" s="1"/>
  <c r="Q82" i="27"/>
  <c r="P82" i="27"/>
  <c r="M82" i="27"/>
  <c r="L82" i="27"/>
  <c r="I82" i="27"/>
  <c r="C82" i="27"/>
  <c r="F82" i="27" s="1" a="1"/>
  <c r="F82" i="27" s="1"/>
  <c r="Q81" i="27"/>
  <c r="P81" i="27"/>
  <c r="M81" i="27"/>
  <c r="L81" i="27"/>
  <c r="I81" i="27"/>
  <c r="D81" i="27"/>
  <c r="C81" i="27"/>
  <c r="F81" i="27" s="1" a="1"/>
  <c r="F81" i="27" s="1"/>
  <c r="P80" i="27"/>
  <c r="Q80" i="27" s="1"/>
  <c r="M80" i="27"/>
  <c r="L80" i="27"/>
  <c r="I80" i="27"/>
  <c r="F80" i="27" a="1"/>
  <c r="F80" i="27" s="1"/>
  <c r="C80" i="27"/>
  <c r="D80" i="27" s="1"/>
  <c r="P79" i="27"/>
  <c r="Q79" i="27" s="1"/>
  <c r="M79" i="27"/>
  <c r="L79" i="27"/>
  <c r="I79" i="27"/>
  <c r="F79" i="27" a="1"/>
  <c r="F79" i="27" s="1"/>
  <c r="C79" i="27"/>
  <c r="D79" i="27" s="1"/>
  <c r="Q78" i="27"/>
  <c r="P78" i="27"/>
  <c r="M78" i="27"/>
  <c r="L78" i="27"/>
  <c r="I78" i="27"/>
  <c r="C78" i="27"/>
  <c r="F78" i="27" s="1" a="1"/>
  <c r="F78" i="27" s="1"/>
  <c r="Q77" i="27"/>
  <c r="P77" i="27"/>
  <c r="M77" i="27"/>
  <c r="L77" i="27"/>
  <c r="I77" i="27"/>
  <c r="D77" i="27"/>
  <c r="C77" i="27"/>
  <c r="F77" i="27" s="1" a="1"/>
  <c r="F77" i="27" s="1"/>
  <c r="P76" i="27"/>
  <c r="Q76" i="27" s="1"/>
  <c r="M76" i="27"/>
  <c r="L76" i="27"/>
  <c r="I76" i="27"/>
  <c r="F76" i="27" a="1"/>
  <c r="F76" i="27" s="1"/>
  <c r="C76" i="27"/>
  <c r="D76" i="27" s="1"/>
  <c r="P75" i="27"/>
  <c r="Q75" i="27" s="1"/>
  <c r="M75" i="27"/>
  <c r="L75" i="27"/>
  <c r="I75" i="27"/>
  <c r="F75" i="27" a="1"/>
  <c r="F75" i="27" s="1"/>
  <c r="C75" i="27"/>
  <c r="D75" i="27" s="1"/>
  <c r="Q74" i="27"/>
  <c r="P74" i="27"/>
  <c r="M74" i="27"/>
  <c r="L74" i="27"/>
  <c r="I74" i="27"/>
  <c r="C74" i="27"/>
  <c r="F74" i="27" s="1" a="1"/>
  <c r="F74" i="27" s="1"/>
  <c r="Q73" i="27"/>
  <c r="P73" i="27"/>
  <c r="M73" i="27"/>
  <c r="L73" i="27"/>
  <c r="I73" i="27"/>
  <c r="D73" i="27"/>
  <c r="C73" i="27"/>
  <c r="F73" i="27" s="1" a="1"/>
  <c r="F73" i="27" s="1"/>
  <c r="P72" i="27"/>
  <c r="Q72" i="27" s="1"/>
  <c r="M72" i="27"/>
  <c r="L72" i="27"/>
  <c r="I72" i="27"/>
  <c r="F72" i="27" a="1"/>
  <c r="F72" i="27" s="1"/>
  <c r="C72" i="27"/>
  <c r="D72" i="27" s="1"/>
  <c r="P71" i="27"/>
  <c r="Q71" i="27" s="1"/>
  <c r="M71" i="27"/>
  <c r="L71" i="27"/>
  <c r="I71" i="27"/>
  <c r="F71" i="27" a="1"/>
  <c r="F71" i="27" s="1"/>
  <c r="C71" i="27"/>
  <c r="D71" i="27" s="1"/>
  <c r="Q70" i="27"/>
  <c r="P70" i="27"/>
  <c r="M70" i="27"/>
  <c r="L70" i="27"/>
  <c r="I70" i="27"/>
  <c r="C70" i="27"/>
  <c r="F70" i="27" s="1" a="1"/>
  <c r="F70" i="27" s="1"/>
  <c r="Q69" i="27"/>
  <c r="P69" i="27"/>
  <c r="M69" i="27"/>
  <c r="L69" i="27"/>
  <c r="I69" i="27"/>
  <c r="D69" i="27"/>
  <c r="C69" i="27"/>
  <c r="F69" i="27" s="1" a="1"/>
  <c r="F69" i="27" s="1"/>
  <c r="P68" i="27"/>
  <c r="Q68" i="27" s="1"/>
  <c r="M68" i="27"/>
  <c r="L68" i="27"/>
  <c r="I68" i="27"/>
  <c r="F68" i="27" a="1"/>
  <c r="F68" i="27" s="1"/>
  <c r="C68" i="27"/>
  <c r="D68" i="27" s="1"/>
  <c r="P67" i="27"/>
  <c r="Q67" i="27" s="1"/>
  <c r="M67" i="27"/>
  <c r="L67" i="27"/>
  <c r="I67" i="27"/>
  <c r="F67" i="27" a="1"/>
  <c r="F67" i="27" s="1"/>
  <c r="C67" i="27"/>
  <c r="D67" i="27" s="1"/>
  <c r="Q66" i="27"/>
  <c r="P66" i="27"/>
  <c r="M66" i="27"/>
  <c r="L66" i="27"/>
  <c r="I66" i="27"/>
  <c r="C66" i="27"/>
  <c r="F66" i="27" s="1" a="1"/>
  <c r="F66" i="27" s="1"/>
  <c r="Q65" i="27"/>
  <c r="P65" i="27"/>
  <c r="M65" i="27"/>
  <c r="L65" i="27"/>
  <c r="I65" i="27"/>
  <c r="D65" i="27"/>
  <c r="C65" i="27"/>
  <c r="F65" i="27" s="1" a="1"/>
  <c r="F65" i="27" s="1"/>
  <c r="P64" i="27"/>
  <c r="Q64" i="27" s="1"/>
  <c r="M64" i="27"/>
  <c r="L64" i="27"/>
  <c r="I64" i="27"/>
  <c r="F64" i="27" a="1"/>
  <c r="F64" i="27" s="1"/>
  <c r="C64" i="27"/>
  <c r="D64" i="27" s="1"/>
  <c r="P63" i="27"/>
  <c r="Q63" i="27" s="1"/>
  <c r="M63" i="27"/>
  <c r="L63" i="27"/>
  <c r="I63" i="27"/>
  <c r="F63" i="27" a="1"/>
  <c r="F63" i="27" s="1"/>
  <c r="C63" i="27"/>
  <c r="D63" i="27" s="1"/>
  <c r="Q62" i="27"/>
  <c r="P62" i="27"/>
  <c r="M62" i="27"/>
  <c r="L62" i="27"/>
  <c r="I62" i="27"/>
  <c r="C62" i="27"/>
  <c r="F62" i="27" s="1" a="1"/>
  <c r="F62" i="27" s="1"/>
  <c r="Q61" i="27"/>
  <c r="P61" i="27"/>
  <c r="M61" i="27"/>
  <c r="L61" i="27"/>
  <c r="I61" i="27"/>
  <c r="D61" i="27"/>
  <c r="C61" i="27"/>
  <c r="F61" i="27" s="1" a="1"/>
  <c r="F61" i="27" s="1"/>
  <c r="P60" i="27"/>
  <c r="Q60" i="27" s="1"/>
  <c r="M60" i="27"/>
  <c r="L60" i="27"/>
  <c r="I60" i="27"/>
  <c r="F60" i="27" a="1"/>
  <c r="F60" i="27" s="1"/>
  <c r="C60" i="27"/>
  <c r="D60" i="27" s="1"/>
  <c r="P59" i="27"/>
  <c r="Q59" i="27" s="1"/>
  <c r="M59" i="27"/>
  <c r="L59" i="27"/>
  <c r="I59" i="27"/>
  <c r="F59" i="27" a="1"/>
  <c r="F59" i="27" s="1"/>
  <c r="C59" i="27"/>
  <c r="D59" i="27" s="1"/>
  <c r="Q58" i="27"/>
  <c r="P58" i="27"/>
  <c r="M58" i="27"/>
  <c r="L58" i="27"/>
  <c r="I58" i="27"/>
  <c r="C58" i="27"/>
  <c r="F58" i="27" s="1" a="1"/>
  <c r="F58" i="27" s="1"/>
  <c r="Q57" i="27"/>
  <c r="P57" i="27"/>
  <c r="M57" i="27"/>
  <c r="L57" i="27"/>
  <c r="I57" i="27"/>
  <c r="D57" i="27"/>
  <c r="C57" i="27"/>
  <c r="F57" i="27" s="1" a="1"/>
  <c r="F57" i="27" s="1"/>
  <c r="P56" i="27"/>
  <c r="Q56" i="27" s="1"/>
  <c r="M56" i="27"/>
  <c r="L56" i="27"/>
  <c r="I56" i="27"/>
  <c r="F56" i="27" a="1"/>
  <c r="F56" i="27" s="1"/>
  <c r="C56" i="27"/>
  <c r="D56" i="27" s="1"/>
  <c r="P55" i="27"/>
  <c r="Q55" i="27" s="1"/>
  <c r="M55" i="27"/>
  <c r="L55" i="27"/>
  <c r="I55" i="27"/>
  <c r="F55" i="27" a="1"/>
  <c r="F55" i="27" s="1"/>
  <c r="C55" i="27"/>
  <c r="D55" i="27" s="1"/>
  <c r="Q54" i="27"/>
  <c r="P54" i="27"/>
  <c r="M54" i="27"/>
  <c r="L54" i="27"/>
  <c r="I54" i="27"/>
  <c r="C54" i="27"/>
  <c r="F54" i="27" s="1" a="1"/>
  <c r="F54" i="27" s="1"/>
  <c r="Q53" i="27"/>
  <c r="P53" i="27"/>
  <c r="M53" i="27"/>
  <c r="L53" i="27"/>
  <c r="I53" i="27"/>
  <c r="D53" i="27"/>
  <c r="C53" i="27"/>
  <c r="F53" i="27" s="1" a="1"/>
  <c r="F53" i="27" s="1"/>
  <c r="P52" i="27"/>
  <c r="Q52" i="27" s="1"/>
  <c r="M52" i="27"/>
  <c r="L52" i="27"/>
  <c r="I52" i="27"/>
  <c r="F52" i="27" a="1"/>
  <c r="F52" i="27" s="1"/>
  <c r="C52" i="27"/>
  <c r="D52" i="27" s="1"/>
  <c r="P51" i="27"/>
  <c r="Q51" i="27" s="1"/>
  <c r="M51" i="27"/>
  <c r="L51" i="27"/>
  <c r="I51" i="27"/>
  <c r="F51" i="27" a="1"/>
  <c r="F51" i="27" s="1"/>
  <c r="C51" i="27"/>
  <c r="D51" i="27" s="1"/>
  <c r="Q50" i="27"/>
  <c r="P50" i="27"/>
  <c r="M50" i="27"/>
  <c r="L50" i="27"/>
  <c r="I50" i="27"/>
  <c r="C50" i="27"/>
  <c r="F50" i="27" s="1" a="1"/>
  <c r="F50" i="27" s="1"/>
  <c r="Q49" i="27"/>
  <c r="P49" i="27"/>
  <c r="M49" i="27"/>
  <c r="L49" i="27"/>
  <c r="I49" i="27"/>
  <c r="D49" i="27"/>
  <c r="C49" i="27"/>
  <c r="F49" i="27" s="1" a="1"/>
  <c r="F49" i="27" s="1"/>
  <c r="P48" i="27"/>
  <c r="Q48" i="27" s="1"/>
  <c r="M48" i="27"/>
  <c r="L48" i="27"/>
  <c r="I48" i="27"/>
  <c r="F48" i="27" a="1"/>
  <c r="F48" i="27" s="1"/>
  <c r="C48" i="27"/>
  <c r="D48" i="27" s="1"/>
  <c r="P47" i="27"/>
  <c r="Q47" i="27" s="1"/>
  <c r="M47" i="27"/>
  <c r="L47" i="27"/>
  <c r="I47" i="27"/>
  <c r="F47" i="27" a="1"/>
  <c r="F47" i="27" s="1"/>
  <c r="C47" i="27"/>
  <c r="D47" i="27" s="1"/>
  <c r="Q38" i="27"/>
  <c r="P38" i="27"/>
  <c r="P37" i="27"/>
  <c r="Q37" i="27" s="1"/>
  <c r="P36" i="27"/>
  <c r="Q36" i="27" s="1"/>
  <c r="P35" i="27"/>
  <c r="Q35" i="27" s="1"/>
  <c r="Q34" i="27"/>
  <c r="P34" i="27"/>
  <c r="Q33" i="27"/>
  <c r="P33" i="27"/>
  <c r="Q32" i="27"/>
  <c r="P32" i="27"/>
  <c r="P31" i="27"/>
  <c r="Q31" i="27" s="1"/>
  <c r="P30" i="27"/>
  <c r="Q30" i="27" s="1"/>
  <c r="P29" i="27"/>
  <c r="Q29" i="27" s="1"/>
  <c r="Q28" i="27"/>
  <c r="P28" i="27"/>
  <c r="Q27" i="27"/>
  <c r="P27" i="27"/>
  <c r="Q26" i="27"/>
  <c r="P26" i="27"/>
  <c r="P25" i="27"/>
  <c r="Q25" i="27" s="1"/>
  <c r="P24" i="27"/>
  <c r="Q24" i="27" s="1"/>
  <c r="P23" i="27"/>
  <c r="Q23" i="27" s="1"/>
  <c r="Q22" i="27"/>
  <c r="P22" i="27"/>
  <c r="Q21" i="27"/>
  <c r="P21" i="27"/>
  <c r="Q20" i="27"/>
  <c r="P20" i="27"/>
  <c r="P19" i="27"/>
  <c r="Q19" i="27" s="1"/>
  <c r="P18" i="27"/>
  <c r="Q18" i="27" s="1"/>
  <c r="P17" i="27"/>
  <c r="Q17" i="27" s="1"/>
  <c r="Q16" i="27"/>
  <c r="P16" i="27"/>
  <c r="Q15" i="27"/>
  <c r="P15" i="27"/>
  <c r="Q14" i="27"/>
  <c r="P14" i="27"/>
  <c r="P13" i="27"/>
  <c r="Q13" i="27" s="1"/>
  <c r="P12" i="27"/>
  <c r="Q12" i="27" s="1"/>
  <c r="P11" i="27"/>
  <c r="Q11" i="27" s="1"/>
  <c r="Q10" i="27"/>
  <c r="P10" i="27"/>
  <c r="Q9" i="27"/>
  <c r="P9" i="27"/>
  <c r="Q8" i="27"/>
  <c r="P8" i="27"/>
  <c r="P7" i="27"/>
  <c r="Q7" i="27" s="1"/>
  <c r="P6" i="27"/>
  <c r="Q6" i="27" s="1"/>
  <c r="P100" i="26"/>
  <c r="Q100" i="26" s="1"/>
  <c r="M100" i="26"/>
  <c r="L100" i="26"/>
  <c r="I100" i="26"/>
  <c r="C100" i="26"/>
  <c r="F100" i="26" s="1" a="1"/>
  <c r="F100" i="26" s="1"/>
  <c r="P99" i="26"/>
  <c r="Q99" i="26" s="1"/>
  <c r="M99" i="26"/>
  <c r="L99" i="26"/>
  <c r="I99" i="26"/>
  <c r="F99" i="26" a="1"/>
  <c r="F99" i="26" s="1"/>
  <c r="C99" i="26"/>
  <c r="D99" i="26" s="1"/>
  <c r="P98" i="26"/>
  <c r="Q98" i="26" s="1"/>
  <c r="M98" i="26"/>
  <c r="L98" i="26"/>
  <c r="I98" i="26"/>
  <c r="C98" i="26"/>
  <c r="F98" i="26" s="1" a="1"/>
  <c r="F98" i="26" s="1"/>
  <c r="Q97" i="26"/>
  <c r="P97" i="26"/>
  <c r="M97" i="26"/>
  <c r="L97" i="26"/>
  <c r="I97" i="26"/>
  <c r="D97" i="26"/>
  <c r="C97" i="26"/>
  <c r="F97" i="26" s="1" a="1"/>
  <c r="F97" i="26" s="1"/>
  <c r="P96" i="26"/>
  <c r="Q96" i="26" s="1"/>
  <c r="M96" i="26"/>
  <c r="L96" i="26"/>
  <c r="I96" i="26"/>
  <c r="C96" i="26"/>
  <c r="F96" i="26" s="1" a="1"/>
  <c r="F96" i="26" s="1"/>
  <c r="P95" i="26"/>
  <c r="Q95" i="26" s="1"/>
  <c r="M95" i="26"/>
  <c r="L95" i="26"/>
  <c r="I95" i="26"/>
  <c r="F95" i="26" a="1"/>
  <c r="F95" i="26" s="1"/>
  <c r="C95" i="26"/>
  <c r="D95" i="26" s="1"/>
  <c r="P94" i="26"/>
  <c r="Q94" i="26" s="1"/>
  <c r="M94" i="26"/>
  <c r="L94" i="26"/>
  <c r="I94" i="26"/>
  <c r="C94" i="26"/>
  <c r="F94" i="26" s="1" a="1"/>
  <c r="F94" i="26" s="1"/>
  <c r="Q93" i="26"/>
  <c r="P93" i="26"/>
  <c r="M93" i="26"/>
  <c r="L93" i="26"/>
  <c r="I93" i="26"/>
  <c r="D93" i="26"/>
  <c r="C93" i="26"/>
  <c r="F93" i="26" s="1" a="1"/>
  <c r="F93" i="26" s="1"/>
  <c r="P92" i="26"/>
  <c r="Q92" i="26" s="1"/>
  <c r="M92" i="26"/>
  <c r="L92" i="26"/>
  <c r="I92" i="26"/>
  <c r="C92" i="26"/>
  <c r="F92" i="26" s="1" a="1"/>
  <c r="F92" i="26" s="1"/>
  <c r="P91" i="26"/>
  <c r="Q91" i="26" s="1"/>
  <c r="M91" i="26"/>
  <c r="L91" i="26"/>
  <c r="I91" i="26"/>
  <c r="F91" i="26" a="1"/>
  <c r="F91" i="26" s="1"/>
  <c r="C91" i="26"/>
  <c r="D91" i="26" s="1"/>
  <c r="P90" i="26"/>
  <c r="Q90" i="26" s="1"/>
  <c r="M90" i="26"/>
  <c r="L90" i="26"/>
  <c r="I90" i="26"/>
  <c r="C90" i="26"/>
  <c r="F90" i="26" s="1" a="1"/>
  <c r="F90" i="26" s="1"/>
  <c r="Q89" i="26"/>
  <c r="P89" i="26"/>
  <c r="M89" i="26"/>
  <c r="L89" i="26"/>
  <c r="I89" i="26"/>
  <c r="D89" i="26"/>
  <c r="C89" i="26"/>
  <c r="F89" i="26" s="1" a="1"/>
  <c r="F89" i="26" s="1"/>
  <c r="P88" i="26"/>
  <c r="Q88" i="26" s="1"/>
  <c r="M88" i="26"/>
  <c r="L88" i="26"/>
  <c r="I88" i="26"/>
  <c r="C88" i="26"/>
  <c r="F88" i="26" s="1" a="1"/>
  <c r="F88" i="26" s="1"/>
  <c r="P87" i="26"/>
  <c r="Q87" i="26" s="1"/>
  <c r="M87" i="26"/>
  <c r="L87" i="26"/>
  <c r="I87" i="26"/>
  <c r="F87" i="26" a="1"/>
  <c r="F87" i="26" s="1"/>
  <c r="C87" i="26"/>
  <c r="D87" i="26" s="1"/>
  <c r="P86" i="26"/>
  <c r="Q86" i="26" s="1"/>
  <c r="M86" i="26"/>
  <c r="L86" i="26"/>
  <c r="I86" i="26"/>
  <c r="C86" i="26"/>
  <c r="F86" i="26" s="1" a="1"/>
  <c r="F86" i="26" s="1"/>
  <c r="Q85" i="26"/>
  <c r="P85" i="26"/>
  <c r="M85" i="26"/>
  <c r="L85" i="26"/>
  <c r="I85" i="26"/>
  <c r="D85" i="26"/>
  <c r="C85" i="26"/>
  <c r="F85" i="26" s="1" a="1"/>
  <c r="F85" i="26" s="1"/>
  <c r="P84" i="26"/>
  <c r="Q84" i="26" s="1"/>
  <c r="M84" i="26"/>
  <c r="L84" i="26"/>
  <c r="I84" i="26"/>
  <c r="C84" i="26"/>
  <c r="F84" i="26" s="1" a="1"/>
  <c r="F84" i="26" s="1"/>
  <c r="P83" i="26"/>
  <c r="Q83" i="26" s="1"/>
  <c r="M83" i="26"/>
  <c r="L83" i="26"/>
  <c r="I83" i="26"/>
  <c r="F83" i="26" a="1"/>
  <c r="F83" i="26" s="1"/>
  <c r="C83" i="26"/>
  <c r="D83" i="26" s="1"/>
  <c r="P82" i="26"/>
  <c r="Q82" i="26" s="1"/>
  <c r="M82" i="26"/>
  <c r="L82" i="26"/>
  <c r="I82" i="26"/>
  <c r="C82" i="26"/>
  <c r="F82" i="26" s="1" a="1"/>
  <c r="F82" i="26" s="1"/>
  <c r="Q81" i="26"/>
  <c r="P81" i="26"/>
  <c r="M81" i="26"/>
  <c r="L81" i="26"/>
  <c r="I81" i="26"/>
  <c r="D81" i="26"/>
  <c r="C81" i="26"/>
  <c r="F81" i="26" s="1" a="1"/>
  <c r="F81" i="26" s="1"/>
  <c r="P80" i="26"/>
  <c r="Q80" i="26" s="1"/>
  <c r="M80" i="26"/>
  <c r="L80" i="26"/>
  <c r="I80" i="26"/>
  <c r="C80" i="26"/>
  <c r="F80" i="26" s="1" a="1"/>
  <c r="F80" i="26" s="1"/>
  <c r="P79" i="26"/>
  <c r="Q79" i="26" s="1"/>
  <c r="M79" i="26"/>
  <c r="L79" i="26"/>
  <c r="I79" i="26"/>
  <c r="F79" i="26" a="1"/>
  <c r="F79" i="26" s="1"/>
  <c r="C79" i="26"/>
  <c r="D79" i="26" s="1"/>
  <c r="P78" i="26"/>
  <c r="Q78" i="26" s="1"/>
  <c r="M78" i="26"/>
  <c r="L78" i="26"/>
  <c r="I78" i="26"/>
  <c r="C78" i="26"/>
  <c r="F78" i="26" s="1" a="1"/>
  <c r="F78" i="26" s="1"/>
  <c r="Q77" i="26"/>
  <c r="P77" i="26"/>
  <c r="M77" i="26"/>
  <c r="L77" i="26"/>
  <c r="I77" i="26"/>
  <c r="D77" i="26"/>
  <c r="C77" i="26"/>
  <c r="F77" i="26" s="1" a="1"/>
  <c r="F77" i="26" s="1"/>
  <c r="P76" i="26"/>
  <c r="Q76" i="26" s="1"/>
  <c r="M76" i="26"/>
  <c r="L76" i="26"/>
  <c r="I76" i="26"/>
  <c r="C76" i="26"/>
  <c r="F76" i="26" s="1" a="1"/>
  <c r="F76" i="26" s="1"/>
  <c r="P75" i="26"/>
  <c r="Q75" i="26" s="1"/>
  <c r="M75" i="26"/>
  <c r="L75" i="26"/>
  <c r="I75" i="26"/>
  <c r="F75" i="26" a="1"/>
  <c r="F75" i="26" s="1"/>
  <c r="C75" i="26"/>
  <c r="D75" i="26" s="1"/>
  <c r="P74" i="26"/>
  <c r="Q74" i="26" s="1"/>
  <c r="M74" i="26"/>
  <c r="L74" i="26"/>
  <c r="I74" i="26"/>
  <c r="C74" i="26"/>
  <c r="F74" i="26" s="1" a="1"/>
  <c r="F74" i="26" s="1"/>
  <c r="Q73" i="26"/>
  <c r="P73" i="26"/>
  <c r="M73" i="26"/>
  <c r="L73" i="26"/>
  <c r="I73" i="26"/>
  <c r="D73" i="26"/>
  <c r="C73" i="26"/>
  <c r="F73" i="26" s="1" a="1"/>
  <c r="F73" i="26" s="1"/>
  <c r="P72" i="26"/>
  <c r="Q72" i="26" s="1"/>
  <c r="M72" i="26"/>
  <c r="L72" i="26"/>
  <c r="I72" i="26"/>
  <c r="C72" i="26"/>
  <c r="F72" i="26" s="1" a="1"/>
  <c r="F72" i="26" s="1"/>
  <c r="P71" i="26"/>
  <c r="Q71" i="26" s="1"/>
  <c r="M71" i="26"/>
  <c r="L71" i="26"/>
  <c r="I71" i="26"/>
  <c r="F71" i="26" a="1"/>
  <c r="F71" i="26" s="1"/>
  <c r="C71" i="26"/>
  <c r="D71" i="26" s="1"/>
  <c r="P70" i="26"/>
  <c r="Q70" i="26" s="1"/>
  <c r="M70" i="26"/>
  <c r="L70" i="26"/>
  <c r="I70" i="26"/>
  <c r="C70" i="26"/>
  <c r="F70" i="26" s="1" a="1"/>
  <c r="F70" i="26" s="1"/>
  <c r="Q69" i="26"/>
  <c r="P69" i="26"/>
  <c r="M69" i="26"/>
  <c r="L69" i="26"/>
  <c r="I69" i="26"/>
  <c r="D69" i="26"/>
  <c r="C69" i="26"/>
  <c r="F69" i="26" s="1" a="1"/>
  <c r="F69" i="26" s="1"/>
  <c r="P68" i="26"/>
  <c r="Q68" i="26" s="1"/>
  <c r="M68" i="26"/>
  <c r="L68" i="26"/>
  <c r="I68" i="26"/>
  <c r="C68" i="26"/>
  <c r="F68" i="26" s="1" a="1"/>
  <c r="F68" i="26" s="1"/>
  <c r="P67" i="26"/>
  <c r="Q67" i="26" s="1"/>
  <c r="M67" i="26"/>
  <c r="L67" i="26"/>
  <c r="I67" i="26"/>
  <c r="F67" i="26" a="1"/>
  <c r="F67" i="26" s="1"/>
  <c r="C67" i="26"/>
  <c r="D67" i="26" s="1"/>
  <c r="P66" i="26"/>
  <c r="Q66" i="26" s="1"/>
  <c r="M66" i="26"/>
  <c r="L66" i="26"/>
  <c r="I66" i="26"/>
  <c r="C66" i="26"/>
  <c r="F66" i="26" s="1" a="1"/>
  <c r="F66" i="26" s="1"/>
  <c r="Q65" i="26"/>
  <c r="P65" i="26"/>
  <c r="M65" i="26"/>
  <c r="L65" i="26"/>
  <c r="I65" i="26"/>
  <c r="D65" i="26"/>
  <c r="C65" i="26"/>
  <c r="F65" i="26" s="1" a="1"/>
  <c r="F65" i="26" s="1"/>
  <c r="P64" i="26"/>
  <c r="Q64" i="26" s="1"/>
  <c r="M64" i="26"/>
  <c r="L64" i="26"/>
  <c r="I64" i="26"/>
  <c r="C64" i="26"/>
  <c r="F64" i="26" s="1" a="1"/>
  <c r="F64" i="26" s="1"/>
  <c r="P63" i="26"/>
  <c r="Q63" i="26" s="1"/>
  <c r="M63" i="26"/>
  <c r="L63" i="26"/>
  <c r="I63" i="26"/>
  <c r="F63" i="26" a="1"/>
  <c r="F63" i="26" s="1"/>
  <c r="C63" i="26"/>
  <c r="D63" i="26" s="1"/>
  <c r="P62" i="26"/>
  <c r="Q62" i="26" s="1"/>
  <c r="M62" i="26"/>
  <c r="L62" i="26"/>
  <c r="I62" i="26"/>
  <c r="C62" i="26"/>
  <c r="F62" i="26" s="1" a="1"/>
  <c r="F62" i="26" s="1"/>
  <c r="Q61" i="26"/>
  <c r="P61" i="26"/>
  <c r="M61" i="26"/>
  <c r="L61" i="26"/>
  <c r="I61" i="26"/>
  <c r="D61" i="26"/>
  <c r="C61" i="26"/>
  <c r="F61" i="26" s="1" a="1"/>
  <c r="F61" i="26" s="1"/>
  <c r="P60" i="26"/>
  <c r="Q60" i="26" s="1"/>
  <c r="M60" i="26"/>
  <c r="L60" i="26"/>
  <c r="I60" i="26"/>
  <c r="C60" i="26"/>
  <c r="F60" i="26" s="1" a="1"/>
  <c r="F60" i="26" s="1"/>
  <c r="P59" i="26"/>
  <c r="Q59" i="26" s="1"/>
  <c r="M59" i="26"/>
  <c r="L59" i="26"/>
  <c r="I59" i="26"/>
  <c r="F59" i="26" a="1"/>
  <c r="F59" i="26" s="1"/>
  <c r="C59" i="26"/>
  <c r="D59" i="26" s="1"/>
  <c r="P58" i="26"/>
  <c r="Q58" i="26" s="1"/>
  <c r="M58" i="26"/>
  <c r="L58" i="26"/>
  <c r="I58" i="26"/>
  <c r="C58" i="26"/>
  <c r="F58" i="26" s="1" a="1"/>
  <c r="F58" i="26" s="1"/>
  <c r="Q57" i="26"/>
  <c r="P57" i="26"/>
  <c r="M57" i="26"/>
  <c r="L57" i="26"/>
  <c r="I57" i="26"/>
  <c r="D57" i="26"/>
  <c r="C57" i="26"/>
  <c r="F57" i="26" s="1" a="1"/>
  <c r="F57" i="26" s="1"/>
  <c r="P56" i="26"/>
  <c r="Q56" i="26" s="1"/>
  <c r="M56" i="26"/>
  <c r="L56" i="26"/>
  <c r="I56" i="26"/>
  <c r="C56" i="26"/>
  <c r="F56" i="26" s="1" a="1"/>
  <c r="F56" i="26" s="1"/>
  <c r="P55" i="26"/>
  <c r="Q55" i="26" s="1"/>
  <c r="M55" i="26"/>
  <c r="L55" i="26"/>
  <c r="I55" i="26"/>
  <c r="F55" i="26" a="1"/>
  <c r="F55" i="26" s="1"/>
  <c r="C55" i="26"/>
  <c r="D55" i="26" s="1"/>
  <c r="P54" i="26"/>
  <c r="Q54" i="26" s="1"/>
  <c r="M54" i="26"/>
  <c r="L54" i="26"/>
  <c r="I54" i="26"/>
  <c r="C54" i="26"/>
  <c r="F54" i="26" s="1" a="1"/>
  <c r="F54" i="26" s="1"/>
  <c r="Q53" i="26"/>
  <c r="P53" i="26"/>
  <c r="M53" i="26"/>
  <c r="L53" i="26"/>
  <c r="I53" i="26"/>
  <c r="D53" i="26"/>
  <c r="C53" i="26"/>
  <c r="F53" i="26" s="1" a="1"/>
  <c r="F53" i="26" s="1"/>
  <c r="P52" i="26"/>
  <c r="Q52" i="26" s="1"/>
  <c r="M52" i="26"/>
  <c r="L52" i="26"/>
  <c r="I52" i="26"/>
  <c r="C52" i="26"/>
  <c r="F52" i="26" s="1" a="1"/>
  <c r="F52" i="26" s="1"/>
  <c r="P51" i="26"/>
  <c r="Q51" i="26" s="1"/>
  <c r="M51" i="26"/>
  <c r="L51" i="26"/>
  <c r="I51" i="26"/>
  <c r="F51" i="26" a="1"/>
  <c r="F51" i="26" s="1"/>
  <c r="C51" i="26"/>
  <c r="D51" i="26" s="1"/>
  <c r="P50" i="26"/>
  <c r="Q50" i="26" s="1"/>
  <c r="M50" i="26"/>
  <c r="L50" i="26"/>
  <c r="I50" i="26"/>
  <c r="C50" i="26"/>
  <c r="F50" i="26" s="1" a="1"/>
  <c r="F50" i="26" s="1"/>
  <c r="Q49" i="26"/>
  <c r="P49" i="26"/>
  <c r="M49" i="26"/>
  <c r="L49" i="26"/>
  <c r="I49" i="26"/>
  <c r="D49" i="26"/>
  <c r="C49" i="26"/>
  <c r="F49" i="26" s="1" a="1"/>
  <c r="F49" i="26" s="1"/>
  <c r="P48" i="26"/>
  <c r="Q48" i="26" s="1"/>
  <c r="M48" i="26"/>
  <c r="L48" i="26"/>
  <c r="I48" i="26"/>
  <c r="C48" i="26"/>
  <c r="F48" i="26" s="1" a="1"/>
  <c r="F48" i="26" s="1"/>
  <c r="P47" i="26"/>
  <c r="Q47" i="26" s="1"/>
  <c r="M47" i="26"/>
  <c r="L47" i="26"/>
  <c r="I47" i="26"/>
  <c r="F47" i="26" a="1"/>
  <c r="F47" i="26" s="1"/>
  <c r="C47" i="26"/>
  <c r="D47" i="26" s="1"/>
  <c r="P46" i="26"/>
  <c r="Q46" i="26" s="1"/>
  <c r="M46" i="26"/>
  <c r="L46" i="26"/>
  <c r="I46" i="26"/>
  <c r="C46" i="26"/>
  <c r="F46" i="26" s="1" a="1"/>
  <c r="F46" i="26" s="1"/>
  <c r="Q45" i="26"/>
  <c r="P45" i="26"/>
  <c r="M45" i="26"/>
  <c r="L45" i="26"/>
  <c r="I45" i="26"/>
  <c r="D45" i="26"/>
  <c r="C45" i="26"/>
  <c r="F45" i="26" s="1" a="1"/>
  <c r="F45" i="26" s="1"/>
  <c r="P44" i="26"/>
  <c r="Q44" i="26" s="1"/>
  <c r="M44" i="26"/>
  <c r="L44" i="26"/>
  <c r="I44" i="26"/>
  <c r="C44" i="26"/>
  <c r="F44" i="26" s="1" a="1"/>
  <c r="F44" i="26" s="1"/>
  <c r="P43" i="26"/>
  <c r="Q43" i="26" s="1"/>
  <c r="M43" i="26"/>
  <c r="L43" i="26"/>
  <c r="I43" i="26"/>
  <c r="F43" i="26" a="1"/>
  <c r="F43" i="26" s="1"/>
  <c r="C43" i="26"/>
  <c r="D43" i="26" s="1"/>
  <c r="P42" i="26"/>
  <c r="Q42" i="26" s="1"/>
  <c r="M42" i="26"/>
  <c r="L42" i="26"/>
  <c r="I42" i="26"/>
  <c r="C42" i="26"/>
  <c r="F42" i="26" s="1" a="1"/>
  <c r="F42" i="26" s="1"/>
  <c r="Q41" i="26"/>
  <c r="P41" i="26"/>
  <c r="M41" i="26"/>
  <c r="L41" i="26"/>
  <c r="I41" i="26"/>
  <c r="D41" i="26"/>
  <c r="C41" i="26"/>
  <c r="F41" i="26" s="1" a="1"/>
  <c r="F41" i="26" s="1"/>
  <c r="P40" i="26"/>
  <c r="Q40" i="26" s="1"/>
  <c r="M40" i="26"/>
  <c r="L40" i="26"/>
  <c r="I40" i="26"/>
  <c r="C40" i="26"/>
  <c r="F40" i="26" s="1" a="1"/>
  <c r="F40" i="26" s="1"/>
  <c r="P39" i="26"/>
  <c r="Q39" i="26" s="1"/>
  <c r="M39" i="26"/>
  <c r="L39" i="26"/>
  <c r="I39" i="26"/>
  <c r="F39" i="26" a="1"/>
  <c r="F39" i="26" s="1"/>
  <c r="C39" i="26"/>
  <c r="D39" i="26" s="1"/>
  <c r="P38" i="26"/>
  <c r="Q38" i="26" s="1"/>
  <c r="M38" i="26"/>
  <c r="L38" i="26"/>
  <c r="I38" i="26"/>
  <c r="C38" i="26"/>
  <c r="F38" i="26" s="1" a="1"/>
  <c r="F38" i="26" s="1"/>
  <c r="Q37" i="26"/>
  <c r="P37" i="26"/>
  <c r="M37" i="26"/>
  <c r="L37" i="26"/>
  <c r="I37" i="26"/>
  <c r="D37" i="26"/>
  <c r="C37" i="26"/>
  <c r="F37" i="26" s="1" a="1"/>
  <c r="F37" i="26" s="1"/>
  <c r="P36" i="26"/>
  <c r="Q36" i="26" s="1"/>
  <c r="M36" i="26"/>
  <c r="L36" i="26"/>
  <c r="I36" i="26"/>
  <c r="C36" i="26"/>
  <c r="F36" i="26" s="1" a="1"/>
  <c r="F36" i="26" s="1"/>
  <c r="P35" i="26"/>
  <c r="Q35" i="26" s="1"/>
  <c r="M35" i="26"/>
  <c r="L35" i="26"/>
  <c r="I35" i="26"/>
  <c r="F35" i="26" a="1"/>
  <c r="F35" i="26" s="1"/>
  <c r="C35" i="26"/>
  <c r="D35" i="26" s="1"/>
  <c r="P34" i="26"/>
  <c r="Q34" i="26" s="1"/>
  <c r="M34" i="26"/>
  <c r="L34" i="26"/>
  <c r="I34" i="26"/>
  <c r="C34" i="26"/>
  <c r="F34" i="26" s="1" a="1"/>
  <c r="F34" i="26" s="1"/>
  <c r="Q33" i="26"/>
  <c r="P33" i="26"/>
  <c r="M33" i="26"/>
  <c r="L33" i="26"/>
  <c r="I33" i="26"/>
  <c r="D33" i="26"/>
  <c r="C33" i="26"/>
  <c r="F33" i="26" s="1" a="1"/>
  <c r="F33" i="26" s="1"/>
  <c r="P32" i="26"/>
  <c r="Q32" i="26" s="1"/>
  <c r="M32" i="26"/>
  <c r="L32" i="26"/>
  <c r="I32" i="26"/>
  <c r="C32" i="26"/>
  <c r="F32" i="26" s="1" a="1"/>
  <c r="F32" i="26" s="1"/>
  <c r="P31" i="26"/>
  <c r="Q31" i="26" s="1"/>
  <c r="M31" i="26"/>
  <c r="L31" i="26"/>
  <c r="I31" i="26"/>
  <c r="F31" i="26" a="1"/>
  <c r="F31" i="26" s="1"/>
  <c r="C31" i="26"/>
  <c r="D31" i="26" s="1"/>
  <c r="P30" i="26"/>
  <c r="Q30" i="26" s="1"/>
  <c r="M30" i="26"/>
  <c r="L30" i="26"/>
  <c r="I30" i="26"/>
  <c r="C30" i="26"/>
  <c r="F30" i="26" s="1" a="1"/>
  <c r="F30" i="26" s="1"/>
  <c r="Q29" i="26"/>
  <c r="P29" i="26"/>
  <c r="M29" i="26"/>
  <c r="L29" i="26"/>
  <c r="I29" i="26"/>
  <c r="D29" i="26"/>
  <c r="C29" i="26"/>
  <c r="F29" i="26" s="1" a="1"/>
  <c r="F29" i="26" s="1"/>
  <c r="P28" i="26"/>
  <c r="Q28" i="26" s="1"/>
  <c r="M28" i="26"/>
  <c r="L28" i="26"/>
  <c r="I28" i="26"/>
  <c r="C28" i="26"/>
  <c r="F28" i="26" s="1" a="1"/>
  <c r="F28" i="26" s="1"/>
  <c r="P27" i="26"/>
  <c r="Q27" i="26" s="1"/>
  <c r="M27" i="26"/>
  <c r="L27" i="26"/>
  <c r="I27" i="26"/>
  <c r="F27" i="26" a="1"/>
  <c r="F27" i="26" s="1"/>
  <c r="C27" i="26"/>
  <c r="D27" i="26" s="1"/>
  <c r="P26" i="26"/>
  <c r="Q26" i="26" s="1"/>
  <c r="M26" i="26"/>
  <c r="L26" i="26"/>
  <c r="I26" i="26"/>
  <c r="C26" i="26"/>
  <c r="F26" i="26" s="1" a="1"/>
  <c r="F26" i="26" s="1"/>
  <c r="Q25" i="26"/>
  <c r="P25" i="26"/>
  <c r="M25" i="26"/>
  <c r="L25" i="26"/>
  <c r="I25" i="26"/>
  <c r="D25" i="26"/>
  <c r="C25" i="26"/>
  <c r="F25" i="26" s="1" a="1"/>
  <c r="F25" i="26" s="1"/>
  <c r="P24" i="26"/>
  <c r="Q24" i="26" s="1"/>
  <c r="M24" i="26"/>
  <c r="L24" i="26"/>
  <c r="I24" i="26"/>
  <c r="C24" i="26"/>
  <c r="F24" i="26" s="1" a="1"/>
  <c r="F24" i="26" s="1"/>
  <c r="P23" i="26"/>
  <c r="Q23" i="26" s="1"/>
  <c r="M23" i="26"/>
  <c r="L23" i="26"/>
  <c r="I23" i="26"/>
  <c r="F23" i="26" a="1"/>
  <c r="F23" i="26" s="1"/>
  <c r="C23" i="26"/>
  <c r="D23" i="26" s="1"/>
  <c r="P22" i="26"/>
  <c r="Q22" i="26" s="1"/>
  <c r="M22" i="26"/>
  <c r="L22" i="26"/>
  <c r="I22" i="26"/>
  <c r="C22" i="26"/>
  <c r="F22" i="26" s="1" a="1"/>
  <c r="F22" i="26" s="1"/>
  <c r="Q21" i="26"/>
  <c r="P21" i="26"/>
  <c r="M21" i="26"/>
  <c r="L21" i="26"/>
  <c r="I21" i="26"/>
  <c r="D21" i="26"/>
  <c r="C21" i="26"/>
  <c r="F21" i="26" s="1" a="1"/>
  <c r="F21" i="26" s="1"/>
  <c r="P20" i="26"/>
  <c r="Q20" i="26" s="1"/>
  <c r="M20" i="26"/>
  <c r="L20" i="26"/>
  <c r="I20" i="26"/>
  <c r="C20" i="26"/>
  <c r="F20" i="26" s="1" a="1"/>
  <c r="F20" i="26" s="1"/>
  <c r="P19" i="26"/>
  <c r="Q19" i="26" s="1"/>
  <c r="M19" i="26"/>
  <c r="L19" i="26"/>
  <c r="I19" i="26"/>
  <c r="F19" i="26" a="1"/>
  <c r="F19" i="26" s="1"/>
  <c r="C19" i="26"/>
  <c r="D19" i="26" s="1"/>
  <c r="P18" i="26"/>
  <c r="Q18" i="26" s="1"/>
  <c r="M18" i="26"/>
  <c r="L18" i="26"/>
  <c r="I18" i="26"/>
  <c r="C18" i="26"/>
  <c r="F18" i="26" s="1" a="1"/>
  <c r="F18" i="26" s="1"/>
  <c r="Q17" i="26"/>
  <c r="P17" i="26"/>
  <c r="M17" i="26"/>
  <c r="L17" i="26"/>
  <c r="I17" i="26"/>
  <c r="D17" i="26"/>
  <c r="C17" i="26"/>
  <c r="F17" i="26" s="1" a="1"/>
  <c r="F17" i="26" s="1"/>
  <c r="P16" i="26"/>
  <c r="Q16" i="26" s="1"/>
  <c r="M16" i="26"/>
  <c r="L16" i="26"/>
  <c r="I16" i="26"/>
  <c r="C16" i="26"/>
  <c r="F16" i="26" s="1" a="1"/>
  <c r="F16" i="26" s="1"/>
  <c r="P15" i="26"/>
  <c r="Q15" i="26" s="1"/>
  <c r="M15" i="26"/>
  <c r="L15" i="26"/>
  <c r="I15" i="26"/>
  <c r="F15" i="26" a="1"/>
  <c r="F15" i="26" s="1"/>
  <c r="C15" i="26"/>
  <c r="D15" i="26" s="1"/>
  <c r="P14" i="26"/>
  <c r="Q14" i="26" s="1"/>
  <c r="M14" i="26"/>
  <c r="L14" i="26"/>
  <c r="I14" i="26"/>
  <c r="P13" i="26"/>
  <c r="Q13" i="26" s="1"/>
  <c r="M13" i="26"/>
  <c r="L13" i="26"/>
  <c r="I13" i="26"/>
  <c r="P12" i="26"/>
  <c r="Q12" i="26" s="1"/>
  <c r="M12" i="26"/>
  <c r="L12" i="26"/>
  <c r="I12" i="26"/>
  <c r="P11" i="26"/>
  <c r="Q11" i="26" s="1"/>
  <c r="M11" i="26"/>
  <c r="L11" i="26"/>
  <c r="I11" i="26"/>
  <c r="P10" i="26"/>
  <c r="Q10" i="26" s="1"/>
  <c r="M10" i="26"/>
  <c r="L10" i="26"/>
  <c r="I10" i="26"/>
  <c r="P9" i="26"/>
  <c r="Q9" i="26" s="1"/>
  <c r="M9" i="26"/>
  <c r="L9" i="26"/>
  <c r="I9" i="26"/>
  <c r="P8" i="26"/>
  <c r="Q8" i="26" s="1"/>
  <c r="M8" i="26"/>
  <c r="L8" i="26"/>
  <c r="I8" i="26"/>
  <c r="Q7" i="26"/>
  <c r="P7" i="26"/>
  <c r="M7" i="26"/>
  <c r="L7" i="26"/>
  <c r="I7" i="26"/>
  <c r="Q6" i="26"/>
  <c r="P6" i="26"/>
  <c r="M6" i="26"/>
  <c r="L6" i="26"/>
  <c r="I6" i="26"/>
  <c r="Q100" i="25"/>
  <c r="P100" i="25"/>
  <c r="M100" i="25"/>
  <c r="L100" i="25"/>
  <c r="I100" i="25"/>
  <c r="C100" i="25"/>
  <c r="F100" i="25" s="1" a="1"/>
  <c r="F100" i="25" s="1"/>
  <c r="P99" i="25"/>
  <c r="Q99" i="25" s="1"/>
  <c r="M99" i="25"/>
  <c r="L99" i="25"/>
  <c r="I99" i="25"/>
  <c r="C99" i="25"/>
  <c r="F99" i="25" s="1" a="1"/>
  <c r="F99" i="25" s="1"/>
  <c r="P98" i="25"/>
  <c r="Q98" i="25" s="1"/>
  <c r="M98" i="25"/>
  <c r="L98" i="25"/>
  <c r="I98" i="25"/>
  <c r="F98" i="25" a="1"/>
  <c r="F98" i="25" s="1"/>
  <c r="C98" i="25"/>
  <c r="D98" i="25" s="1"/>
  <c r="P97" i="25"/>
  <c r="Q97" i="25" s="1"/>
  <c r="M97" i="25"/>
  <c r="L97" i="25"/>
  <c r="I97" i="25"/>
  <c r="D97" i="25"/>
  <c r="C97" i="25"/>
  <c r="F97" i="25" s="1" a="1"/>
  <c r="F97" i="25" s="1"/>
  <c r="Q96" i="25"/>
  <c r="P96" i="25"/>
  <c r="M96" i="25"/>
  <c r="L96" i="25"/>
  <c r="I96" i="25"/>
  <c r="C96" i="25"/>
  <c r="F96" i="25" s="1" a="1"/>
  <c r="F96" i="25" s="1"/>
  <c r="P95" i="25"/>
  <c r="Q95" i="25" s="1"/>
  <c r="M95" i="25"/>
  <c r="L95" i="25"/>
  <c r="I95" i="25"/>
  <c r="C95" i="25"/>
  <c r="F95" i="25" s="1" a="1"/>
  <c r="F95" i="25" s="1"/>
  <c r="P94" i="25"/>
  <c r="Q94" i="25" s="1"/>
  <c r="M94" i="25"/>
  <c r="L94" i="25"/>
  <c r="I94" i="25"/>
  <c r="F94" i="25" a="1"/>
  <c r="F94" i="25" s="1"/>
  <c r="C94" i="25"/>
  <c r="D94" i="25" s="1"/>
  <c r="P93" i="25"/>
  <c r="Q93" i="25" s="1"/>
  <c r="M93" i="25"/>
  <c r="L93" i="25"/>
  <c r="I93" i="25"/>
  <c r="D93" i="25"/>
  <c r="C93" i="25"/>
  <c r="F93" i="25" s="1" a="1"/>
  <c r="F93" i="25" s="1"/>
  <c r="Q92" i="25"/>
  <c r="P92" i="25"/>
  <c r="M92" i="25"/>
  <c r="L92" i="25"/>
  <c r="I92" i="25"/>
  <c r="C92" i="25"/>
  <c r="F92" i="25" s="1" a="1"/>
  <c r="F92" i="25" s="1"/>
  <c r="P91" i="25"/>
  <c r="Q91" i="25" s="1"/>
  <c r="M91" i="25"/>
  <c r="L91" i="25"/>
  <c r="I91" i="25"/>
  <c r="C91" i="25"/>
  <c r="F91" i="25" s="1" a="1"/>
  <c r="F91" i="25" s="1"/>
  <c r="P90" i="25"/>
  <c r="Q90" i="25" s="1"/>
  <c r="M90" i="25"/>
  <c r="L90" i="25"/>
  <c r="I90" i="25"/>
  <c r="F90" i="25" a="1"/>
  <c r="F90" i="25" s="1"/>
  <c r="C90" i="25"/>
  <c r="D90" i="25" s="1"/>
  <c r="P89" i="25"/>
  <c r="Q89" i="25" s="1"/>
  <c r="M89" i="25"/>
  <c r="L89" i="25"/>
  <c r="I89" i="25"/>
  <c r="D89" i="25"/>
  <c r="C89" i="25"/>
  <c r="F89" i="25" s="1" a="1"/>
  <c r="F89" i="25" s="1"/>
  <c r="Q88" i="25"/>
  <c r="P88" i="25"/>
  <c r="M88" i="25"/>
  <c r="L88" i="25"/>
  <c r="I88" i="25"/>
  <c r="C88" i="25"/>
  <c r="F88" i="25" s="1" a="1"/>
  <c r="F88" i="25" s="1"/>
  <c r="P87" i="25"/>
  <c r="Q87" i="25" s="1"/>
  <c r="M87" i="25"/>
  <c r="L87" i="25"/>
  <c r="I87" i="25"/>
  <c r="C87" i="25"/>
  <c r="F87" i="25" s="1" a="1"/>
  <c r="F87" i="25" s="1"/>
  <c r="P86" i="25"/>
  <c r="Q86" i="25" s="1"/>
  <c r="M86" i="25"/>
  <c r="L86" i="25"/>
  <c r="I86" i="25"/>
  <c r="F86" i="25" a="1"/>
  <c r="F86" i="25" s="1"/>
  <c r="C86" i="25"/>
  <c r="D86" i="25" s="1"/>
  <c r="P85" i="25"/>
  <c r="Q85" i="25" s="1"/>
  <c r="M85" i="25"/>
  <c r="L85" i="25"/>
  <c r="I85" i="25"/>
  <c r="D85" i="25"/>
  <c r="C85" i="25"/>
  <c r="F85" i="25" s="1" a="1"/>
  <c r="F85" i="25" s="1"/>
  <c r="Q84" i="25"/>
  <c r="P84" i="25"/>
  <c r="M84" i="25"/>
  <c r="L84" i="25"/>
  <c r="I84" i="25"/>
  <c r="C84" i="25"/>
  <c r="F84" i="25" s="1" a="1"/>
  <c r="F84" i="25" s="1"/>
  <c r="P83" i="25"/>
  <c r="Q83" i="25" s="1"/>
  <c r="M83" i="25"/>
  <c r="L83" i="25"/>
  <c r="I83" i="25"/>
  <c r="C83" i="25"/>
  <c r="F83" i="25" s="1" a="1"/>
  <c r="F83" i="25" s="1"/>
  <c r="P82" i="25"/>
  <c r="Q82" i="25" s="1"/>
  <c r="M82" i="25"/>
  <c r="L82" i="25"/>
  <c r="I82" i="25"/>
  <c r="F82" i="25" a="1"/>
  <c r="F82" i="25" s="1"/>
  <c r="C82" i="25"/>
  <c r="D82" i="25" s="1"/>
  <c r="P81" i="25"/>
  <c r="Q81" i="25" s="1"/>
  <c r="M81" i="25"/>
  <c r="L81" i="25"/>
  <c r="I81" i="25"/>
  <c r="D81" i="25"/>
  <c r="C81" i="25"/>
  <c r="F81" i="25" s="1" a="1"/>
  <c r="F81" i="25" s="1"/>
  <c r="Q80" i="25"/>
  <c r="P80" i="25"/>
  <c r="M80" i="25"/>
  <c r="L80" i="25"/>
  <c r="I80" i="25"/>
  <c r="C80" i="25"/>
  <c r="F80" i="25" s="1" a="1"/>
  <c r="F80" i="25" s="1"/>
  <c r="P79" i="25"/>
  <c r="Q79" i="25" s="1"/>
  <c r="M79" i="25"/>
  <c r="L79" i="25"/>
  <c r="I79" i="25"/>
  <c r="C79" i="25"/>
  <c r="F79" i="25" s="1" a="1"/>
  <c r="F79" i="25" s="1"/>
  <c r="P78" i="25"/>
  <c r="Q78" i="25" s="1"/>
  <c r="M78" i="25"/>
  <c r="L78" i="25"/>
  <c r="I78" i="25"/>
  <c r="F78" i="25" a="1"/>
  <c r="F78" i="25" s="1"/>
  <c r="C78" i="25"/>
  <c r="D78" i="25" s="1"/>
  <c r="P77" i="25"/>
  <c r="Q77" i="25" s="1"/>
  <c r="M77" i="25"/>
  <c r="L77" i="25"/>
  <c r="I77" i="25"/>
  <c r="D77" i="25"/>
  <c r="C77" i="25"/>
  <c r="F77" i="25" s="1" a="1"/>
  <c r="F77" i="25" s="1"/>
  <c r="Q76" i="25"/>
  <c r="P76" i="25"/>
  <c r="M76" i="25"/>
  <c r="L76" i="25"/>
  <c r="I76" i="25"/>
  <c r="C76" i="25"/>
  <c r="F76" i="25" s="1" a="1"/>
  <c r="F76" i="25" s="1"/>
  <c r="P75" i="25"/>
  <c r="Q75" i="25" s="1"/>
  <c r="M75" i="25"/>
  <c r="L75" i="25"/>
  <c r="I75" i="25"/>
  <c r="C75" i="25"/>
  <c r="F75" i="25" s="1" a="1"/>
  <c r="F75" i="25" s="1"/>
  <c r="P74" i="25"/>
  <c r="Q74" i="25" s="1"/>
  <c r="M74" i="25"/>
  <c r="L74" i="25"/>
  <c r="I74" i="25"/>
  <c r="F74" i="25" a="1"/>
  <c r="F74" i="25" s="1"/>
  <c r="C74" i="25"/>
  <c r="D74" i="25" s="1"/>
  <c r="P73" i="25"/>
  <c r="Q73" i="25" s="1"/>
  <c r="M73" i="25"/>
  <c r="L73" i="25"/>
  <c r="I73" i="25"/>
  <c r="D73" i="25"/>
  <c r="C73" i="25"/>
  <c r="F73" i="25" s="1" a="1"/>
  <c r="F73" i="25" s="1"/>
  <c r="Q72" i="25"/>
  <c r="P72" i="25"/>
  <c r="M72" i="25"/>
  <c r="L72" i="25"/>
  <c r="I72" i="25"/>
  <c r="C72" i="25"/>
  <c r="F72" i="25" s="1" a="1"/>
  <c r="F72" i="25" s="1"/>
  <c r="P71" i="25"/>
  <c r="Q71" i="25" s="1"/>
  <c r="M71" i="25"/>
  <c r="L71" i="25"/>
  <c r="I71" i="25"/>
  <c r="C71" i="25"/>
  <c r="F71" i="25" s="1" a="1"/>
  <c r="F71" i="25" s="1"/>
  <c r="P70" i="25"/>
  <c r="Q70" i="25" s="1"/>
  <c r="M70" i="25"/>
  <c r="L70" i="25"/>
  <c r="I70" i="25"/>
  <c r="F70" i="25" a="1"/>
  <c r="F70" i="25" s="1"/>
  <c r="C70" i="25"/>
  <c r="D70" i="25" s="1"/>
  <c r="P69" i="25"/>
  <c r="Q69" i="25" s="1"/>
  <c r="M69" i="25"/>
  <c r="L69" i="25"/>
  <c r="I69" i="25"/>
  <c r="D69" i="25"/>
  <c r="C69" i="25"/>
  <c r="F69" i="25" s="1" a="1"/>
  <c r="F69" i="25" s="1"/>
  <c r="Q68" i="25"/>
  <c r="P68" i="25"/>
  <c r="M68" i="25"/>
  <c r="L68" i="25"/>
  <c r="I68" i="25"/>
  <c r="C68" i="25"/>
  <c r="F68" i="25" s="1" a="1"/>
  <c r="F68" i="25" s="1"/>
  <c r="P67" i="25"/>
  <c r="Q67" i="25" s="1"/>
  <c r="M67" i="25"/>
  <c r="L67" i="25"/>
  <c r="I67" i="25"/>
  <c r="C67" i="25"/>
  <c r="F67" i="25" s="1" a="1"/>
  <c r="F67" i="25" s="1"/>
  <c r="P66" i="25"/>
  <c r="Q66" i="25" s="1"/>
  <c r="M66" i="25"/>
  <c r="L66" i="25"/>
  <c r="I66" i="25"/>
  <c r="F66" i="25" a="1"/>
  <c r="F66" i="25" s="1"/>
  <c r="C66" i="25"/>
  <c r="D66" i="25" s="1"/>
  <c r="P65" i="25"/>
  <c r="Q65" i="25" s="1"/>
  <c r="M65" i="25"/>
  <c r="L65" i="25"/>
  <c r="I65" i="25"/>
  <c r="D65" i="25"/>
  <c r="C65" i="25"/>
  <c r="F65" i="25" s="1" a="1"/>
  <c r="F65" i="25" s="1"/>
  <c r="Q64" i="25"/>
  <c r="P64" i="25"/>
  <c r="M64" i="25"/>
  <c r="L64" i="25"/>
  <c r="I64" i="25"/>
  <c r="F64" i="25" a="1"/>
  <c r="F64" i="25" s="1"/>
  <c r="C64" i="25"/>
  <c r="D64" i="25" s="1"/>
  <c r="P63" i="25"/>
  <c r="Q63" i="25" s="1"/>
  <c r="M63" i="25"/>
  <c r="L63" i="25"/>
  <c r="I63" i="25"/>
  <c r="C63" i="25"/>
  <c r="F63" i="25" s="1" a="1"/>
  <c r="F63" i="25" s="1"/>
  <c r="Q62" i="25"/>
  <c r="P62" i="25"/>
  <c r="M62" i="25"/>
  <c r="L62" i="25"/>
  <c r="I62" i="25"/>
  <c r="F62" i="25" a="1"/>
  <c r="F62" i="25" s="1"/>
  <c r="C62" i="25"/>
  <c r="D62" i="25" s="1"/>
  <c r="P61" i="25"/>
  <c r="Q61" i="25" s="1"/>
  <c r="M61" i="25"/>
  <c r="L61" i="25"/>
  <c r="I61" i="25"/>
  <c r="D61" i="25"/>
  <c r="C61" i="25"/>
  <c r="F61" i="25" s="1" a="1"/>
  <c r="F61" i="25" s="1"/>
  <c r="Q60" i="25"/>
  <c r="P60" i="25"/>
  <c r="M60" i="25"/>
  <c r="L60" i="25"/>
  <c r="I60" i="25"/>
  <c r="F60" i="25" a="1"/>
  <c r="F60" i="25" s="1"/>
  <c r="C60" i="25"/>
  <c r="D60" i="25" s="1"/>
  <c r="P59" i="25"/>
  <c r="Q59" i="25" s="1"/>
  <c r="M59" i="25"/>
  <c r="L59" i="25"/>
  <c r="I59" i="25"/>
  <c r="C59" i="25"/>
  <c r="F59" i="25" s="1" a="1"/>
  <c r="F59" i="25" s="1"/>
  <c r="Q58" i="25"/>
  <c r="P58" i="25"/>
  <c r="M58" i="25"/>
  <c r="L58" i="25"/>
  <c r="I58" i="25"/>
  <c r="F58" i="25" a="1"/>
  <c r="F58" i="25" s="1"/>
  <c r="C58" i="25"/>
  <c r="D58" i="25" s="1"/>
  <c r="P57" i="25"/>
  <c r="Q57" i="25" s="1"/>
  <c r="M57" i="25"/>
  <c r="L57" i="25"/>
  <c r="I57" i="25"/>
  <c r="D57" i="25"/>
  <c r="C57" i="25"/>
  <c r="F57" i="25" s="1" a="1"/>
  <c r="F57" i="25" s="1"/>
  <c r="Q56" i="25"/>
  <c r="P56" i="25"/>
  <c r="M56" i="25"/>
  <c r="L56" i="25"/>
  <c r="I56" i="25"/>
  <c r="F56" i="25" a="1"/>
  <c r="F56" i="25" s="1"/>
  <c r="C56" i="25"/>
  <c r="D56" i="25" s="1"/>
  <c r="P55" i="25"/>
  <c r="Q55" i="25" s="1"/>
  <c r="M55" i="25"/>
  <c r="L55" i="25"/>
  <c r="I55" i="25"/>
  <c r="C55" i="25"/>
  <c r="F55" i="25" s="1" a="1"/>
  <c r="F55" i="25" s="1"/>
  <c r="Q54" i="25"/>
  <c r="P54" i="25"/>
  <c r="M54" i="25"/>
  <c r="L54" i="25"/>
  <c r="I54" i="25"/>
  <c r="F54" i="25" a="1"/>
  <c r="F54" i="25" s="1"/>
  <c r="C54" i="25"/>
  <c r="D54" i="25" s="1"/>
  <c r="P53" i="25"/>
  <c r="Q53" i="25" s="1"/>
  <c r="M53" i="25"/>
  <c r="L53" i="25"/>
  <c r="I53" i="25"/>
  <c r="D53" i="25"/>
  <c r="C53" i="25"/>
  <c r="F53" i="25" s="1" a="1"/>
  <c r="F53" i="25" s="1"/>
  <c r="Q52" i="25"/>
  <c r="P52" i="25"/>
  <c r="M52" i="25"/>
  <c r="L52" i="25"/>
  <c r="I52" i="25"/>
  <c r="F52" i="25" a="1"/>
  <c r="F52" i="25" s="1"/>
  <c r="C52" i="25"/>
  <c r="D52" i="25" s="1"/>
  <c r="P51" i="25"/>
  <c r="Q51" i="25" s="1"/>
  <c r="M51" i="25"/>
  <c r="L51" i="25"/>
  <c r="I51" i="25"/>
  <c r="C51" i="25"/>
  <c r="F51" i="25" s="1" a="1"/>
  <c r="F51" i="25" s="1"/>
  <c r="Q50" i="25"/>
  <c r="P50" i="25"/>
  <c r="M50" i="25"/>
  <c r="L50" i="25"/>
  <c r="I50" i="25"/>
  <c r="F50" i="25" a="1"/>
  <c r="F50" i="25" s="1"/>
  <c r="C50" i="25"/>
  <c r="D50" i="25" s="1"/>
  <c r="P49" i="25"/>
  <c r="Q49" i="25" s="1"/>
  <c r="M49" i="25"/>
  <c r="L49" i="25"/>
  <c r="I49" i="25"/>
  <c r="D49" i="25"/>
  <c r="C49" i="25"/>
  <c r="F49" i="25" s="1" a="1"/>
  <c r="F49" i="25" s="1"/>
  <c r="Q48" i="25"/>
  <c r="P48" i="25"/>
  <c r="M48" i="25"/>
  <c r="L48" i="25"/>
  <c r="I48" i="25"/>
  <c r="F48" i="25" a="1"/>
  <c r="F48" i="25" s="1"/>
  <c r="C48" i="25"/>
  <c r="D48" i="25" s="1"/>
  <c r="P47" i="25"/>
  <c r="Q47" i="25" s="1"/>
  <c r="M47" i="25"/>
  <c r="L47" i="25"/>
  <c r="I47" i="25"/>
  <c r="C47" i="25"/>
  <c r="F47" i="25" s="1" a="1"/>
  <c r="F47" i="25" s="1"/>
  <c r="Q46" i="25"/>
  <c r="P46" i="25"/>
  <c r="M46" i="25"/>
  <c r="L46" i="25"/>
  <c r="I46" i="25"/>
  <c r="F46" i="25" a="1"/>
  <c r="F46" i="25" s="1"/>
  <c r="C46" i="25"/>
  <c r="D46" i="25" s="1"/>
  <c r="P45" i="25"/>
  <c r="Q45" i="25" s="1"/>
  <c r="M45" i="25"/>
  <c r="L45" i="25"/>
  <c r="I45" i="25"/>
  <c r="D45" i="25"/>
  <c r="C45" i="25"/>
  <c r="F45" i="25" s="1" a="1"/>
  <c r="F45" i="25" s="1"/>
  <c r="Q44" i="25"/>
  <c r="P44" i="25"/>
  <c r="M44" i="25"/>
  <c r="L44" i="25"/>
  <c r="I44" i="25"/>
  <c r="F44" i="25" a="1"/>
  <c r="F44" i="25" s="1"/>
  <c r="C44" i="25"/>
  <c r="D44" i="25" s="1"/>
  <c r="P43" i="25"/>
  <c r="Q43" i="25" s="1"/>
  <c r="M43" i="25"/>
  <c r="L43" i="25"/>
  <c r="I43" i="25"/>
  <c r="C43" i="25"/>
  <c r="F43" i="25" s="1" a="1"/>
  <c r="F43" i="25" s="1"/>
  <c r="Q42" i="25"/>
  <c r="P42" i="25"/>
  <c r="M42" i="25"/>
  <c r="L42" i="25"/>
  <c r="I42" i="25"/>
  <c r="F42" i="25" a="1"/>
  <c r="F42" i="25" s="1"/>
  <c r="C42" i="25"/>
  <c r="D42" i="25" s="1"/>
  <c r="P41" i="25"/>
  <c r="Q41" i="25" s="1"/>
  <c r="M41" i="25"/>
  <c r="L41" i="25"/>
  <c r="I41" i="25"/>
  <c r="D41" i="25"/>
  <c r="C41" i="25"/>
  <c r="F41" i="25" s="1" a="1"/>
  <c r="F41" i="25" s="1"/>
  <c r="Q40" i="25"/>
  <c r="P40" i="25"/>
  <c r="M40" i="25"/>
  <c r="L40" i="25"/>
  <c r="I40" i="25"/>
  <c r="F40" i="25" a="1"/>
  <c r="F40" i="25" s="1"/>
  <c r="C40" i="25"/>
  <c r="D40" i="25" s="1"/>
  <c r="P39" i="25"/>
  <c r="Q39" i="25" s="1"/>
  <c r="M39" i="25"/>
  <c r="L39" i="25"/>
  <c r="I39" i="25"/>
  <c r="C39" i="25"/>
  <c r="F39" i="25" s="1" a="1"/>
  <c r="F39" i="25" s="1"/>
  <c r="Q38" i="25"/>
  <c r="P38" i="25"/>
  <c r="M38" i="25"/>
  <c r="L38" i="25"/>
  <c r="I38" i="25"/>
  <c r="F38" i="25" a="1"/>
  <c r="F38" i="25" s="1"/>
  <c r="C38" i="25"/>
  <c r="D38" i="25" s="1"/>
  <c r="P37" i="25"/>
  <c r="Q37" i="25" s="1"/>
  <c r="M37" i="25"/>
  <c r="L37" i="25"/>
  <c r="I37" i="25"/>
  <c r="D37" i="25"/>
  <c r="C37" i="25"/>
  <c r="F37" i="25" s="1" a="1"/>
  <c r="F37" i="25" s="1"/>
  <c r="Q36" i="25"/>
  <c r="P36" i="25"/>
  <c r="M36" i="25"/>
  <c r="L36" i="25"/>
  <c r="I36" i="25"/>
  <c r="F36" i="25" a="1"/>
  <c r="F36" i="25" s="1"/>
  <c r="C36" i="25"/>
  <c r="D36" i="25" s="1"/>
  <c r="P35" i="25"/>
  <c r="Q35" i="25" s="1"/>
  <c r="M35" i="25"/>
  <c r="L35" i="25"/>
  <c r="I35" i="25"/>
  <c r="C35" i="25"/>
  <c r="F35" i="25" s="1" a="1"/>
  <c r="F35" i="25" s="1"/>
  <c r="Q34" i="25"/>
  <c r="P34" i="25"/>
  <c r="M34" i="25"/>
  <c r="L34" i="25"/>
  <c r="I34" i="25"/>
  <c r="F34" i="25" a="1"/>
  <c r="F34" i="25" s="1"/>
  <c r="C34" i="25"/>
  <c r="D34" i="25" s="1"/>
  <c r="P33" i="25"/>
  <c r="Q33" i="25" s="1"/>
  <c r="M33" i="25"/>
  <c r="L33" i="25"/>
  <c r="I33" i="25"/>
  <c r="D33" i="25"/>
  <c r="C33" i="25"/>
  <c r="F33" i="25" s="1" a="1"/>
  <c r="F33" i="25" s="1"/>
  <c r="Q32" i="25"/>
  <c r="P32" i="25"/>
  <c r="M32" i="25"/>
  <c r="L32" i="25"/>
  <c r="I32" i="25"/>
  <c r="F32" i="25" a="1"/>
  <c r="F32" i="25" s="1"/>
  <c r="C32" i="25"/>
  <c r="D32" i="25" s="1"/>
  <c r="P31" i="25"/>
  <c r="Q31" i="25" s="1"/>
  <c r="M31" i="25"/>
  <c r="L31" i="25"/>
  <c r="I31" i="25"/>
  <c r="C31" i="25"/>
  <c r="F31" i="25" s="1" a="1"/>
  <c r="F31" i="25" s="1"/>
  <c r="Q30" i="25"/>
  <c r="P30" i="25"/>
  <c r="M30" i="25"/>
  <c r="L30" i="25"/>
  <c r="I30" i="25"/>
  <c r="F30" i="25" a="1"/>
  <c r="F30" i="25" s="1"/>
  <c r="C30" i="25"/>
  <c r="D30" i="25" s="1"/>
  <c r="P29" i="25"/>
  <c r="Q29" i="25" s="1"/>
  <c r="M29" i="25"/>
  <c r="L29" i="25"/>
  <c r="I29" i="25"/>
  <c r="D29" i="25"/>
  <c r="C29" i="25"/>
  <c r="F29" i="25" s="1" a="1"/>
  <c r="F29" i="25" s="1"/>
  <c r="Q28" i="25"/>
  <c r="P28" i="25"/>
  <c r="M28" i="25"/>
  <c r="L28" i="25"/>
  <c r="I28" i="25"/>
  <c r="F28" i="25" a="1"/>
  <c r="F28" i="25" s="1"/>
  <c r="C28" i="25"/>
  <c r="D28" i="25" s="1"/>
  <c r="P27" i="25"/>
  <c r="Q27" i="25" s="1"/>
  <c r="M27" i="25"/>
  <c r="L27" i="25"/>
  <c r="I27" i="25"/>
  <c r="C27" i="25"/>
  <c r="F27" i="25" s="1" a="1"/>
  <c r="F27" i="25" s="1"/>
  <c r="Q26" i="25"/>
  <c r="P26" i="25"/>
  <c r="M26" i="25"/>
  <c r="L26" i="25"/>
  <c r="I26" i="25"/>
  <c r="F26" i="25" a="1"/>
  <c r="F26" i="25" s="1"/>
  <c r="C26" i="25"/>
  <c r="D26" i="25" s="1"/>
  <c r="P25" i="25"/>
  <c r="Q25" i="25" s="1"/>
  <c r="M25" i="25"/>
  <c r="L25" i="25"/>
  <c r="I25" i="25"/>
  <c r="D25" i="25"/>
  <c r="C25" i="25"/>
  <c r="F25" i="25" s="1" a="1"/>
  <c r="F25" i="25" s="1"/>
  <c r="Q24" i="25"/>
  <c r="P24" i="25"/>
  <c r="M24" i="25"/>
  <c r="L24" i="25"/>
  <c r="I24" i="25"/>
  <c r="F24" i="25" a="1"/>
  <c r="F24" i="25" s="1"/>
  <c r="C24" i="25"/>
  <c r="D24" i="25" s="1"/>
  <c r="P23" i="25"/>
  <c r="Q23" i="25" s="1"/>
  <c r="M23" i="25"/>
  <c r="L23" i="25"/>
  <c r="I23" i="25"/>
  <c r="C23" i="25"/>
  <c r="F23" i="25" s="1" a="1"/>
  <c r="F23" i="25" s="1"/>
  <c r="Q22" i="25"/>
  <c r="P22" i="25"/>
  <c r="M22" i="25"/>
  <c r="L22" i="25"/>
  <c r="I22" i="25"/>
  <c r="F22" i="25" a="1"/>
  <c r="F22" i="25" s="1"/>
  <c r="C22" i="25"/>
  <c r="D22" i="25" s="1"/>
  <c r="P21" i="25"/>
  <c r="Q21" i="25" s="1"/>
  <c r="M21" i="25"/>
  <c r="L21" i="25"/>
  <c r="I21" i="25"/>
  <c r="D21" i="25"/>
  <c r="C21" i="25"/>
  <c r="F21" i="25" s="1" a="1"/>
  <c r="F21" i="25" s="1"/>
  <c r="Q20" i="25"/>
  <c r="P20" i="25"/>
  <c r="M20" i="25"/>
  <c r="L20" i="25"/>
  <c r="I20" i="25"/>
  <c r="F20" i="25" a="1"/>
  <c r="F20" i="25" s="1"/>
  <c r="C20" i="25"/>
  <c r="D20" i="25" s="1"/>
  <c r="P19" i="25"/>
  <c r="Q19" i="25" s="1"/>
  <c r="M19" i="25"/>
  <c r="L19" i="25"/>
  <c r="I19" i="25"/>
  <c r="C19" i="25"/>
  <c r="F19" i="25" s="1" a="1"/>
  <c r="F19" i="25" s="1"/>
  <c r="Q18" i="25"/>
  <c r="P18" i="25"/>
  <c r="M18" i="25"/>
  <c r="L18" i="25"/>
  <c r="I18" i="25"/>
  <c r="F18" i="25" a="1"/>
  <c r="F18" i="25" s="1"/>
  <c r="C18" i="25"/>
  <c r="D18" i="25" s="1"/>
  <c r="P17" i="25"/>
  <c r="Q17" i="25" s="1"/>
  <c r="M17" i="25"/>
  <c r="L17" i="25"/>
  <c r="I17" i="25"/>
  <c r="D17" i="25"/>
  <c r="C17" i="25"/>
  <c r="F17" i="25" s="1" a="1"/>
  <c r="F17" i="25" s="1"/>
  <c r="Q16" i="25"/>
  <c r="P16" i="25"/>
  <c r="M16" i="25"/>
  <c r="L16" i="25"/>
  <c r="I16" i="25"/>
  <c r="F16" i="25" a="1"/>
  <c r="F16" i="25" s="1"/>
  <c r="C16" i="25"/>
  <c r="D16" i="25" s="1"/>
  <c r="P15" i="25"/>
  <c r="Q15" i="25" s="1"/>
  <c r="M15" i="25"/>
  <c r="L15" i="25"/>
  <c r="I15" i="25"/>
  <c r="C15" i="25"/>
  <c r="F15" i="25" s="1" a="1"/>
  <c r="F15" i="25" s="1"/>
  <c r="Q14" i="25"/>
  <c r="P14" i="25"/>
  <c r="M14" i="25"/>
  <c r="L14" i="25"/>
  <c r="I14" i="25"/>
  <c r="F14" i="25" a="1"/>
  <c r="F14" i="25" s="1"/>
  <c r="C14" i="25"/>
  <c r="D14" i="25" s="1"/>
  <c r="P13" i="25"/>
  <c r="Q13" i="25" s="1"/>
  <c r="M13" i="25"/>
  <c r="L13" i="25"/>
  <c r="I13" i="25"/>
  <c r="D13" i="25"/>
  <c r="C13" i="25"/>
  <c r="F13" i="25" s="1" a="1"/>
  <c r="F13" i="25" s="1"/>
  <c r="Q12" i="25"/>
  <c r="P12" i="25"/>
  <c r="M12" i="25"/>
  <c r="L12" i="25"/>
  <c r="I12" i="25"/>
  <c r="F12" i="25" a="1"/>
  <c r="F12" i="25" s="1"/>
  <c r="C12" i="25"/>
  <c r="D12" i="25" s="1"/>
  <c r="P11" i="25"/>
  <c r="Q11" i="25" s="1"/>
  <c r="M11" i="25"/>
  <c r="L11" i="25"/>
  <c r="I11" i="25"/>
  <c r="C11" i="25"/>
  <c r="F11" i="25" s="1" a="1"/>
  <c r="F11" i="25" s="1"/>
  <c r="Q10" i="25"/>
  <c r="P10" i="25"/>
  <c r="M10" i="25"/>
  <c r="L10" i="25"/>
  <c r="I10" i="25"/>
  <c r="F10" i="25" a="1"/>
  <c r="F10" i="25" s="1"/>
  <c r="C10" i="25"/>
  <c r="D10" i="25" s="1"/>
  <c r="P9" i="25"/>
  <c r="Q9" i="25" s="1"/>
  <c r="M9" i="25"/>
  <c r="L9" i="25"/>
  <c r="I9" i="25"/>
  <c r="D9" i="25"/>
  <c r="C9" i="25"/>
  <c r="F9" i="25" s="1" a="1"/>
  <c r="F9" i="25" s="1"/>
  <c r="Q8" i="25"/>
  <c r="P8" i="25"/>
  <c r="M8" i="25"/>
  <c r="L8" i="25"/>
  <c r="I8" i="25"/>
  <c r="P7" i="25"/>
  <c r="Q7" i="25" s="1"/>
  <c r="M7" i="25"/>
  <c r="L7" i="25"/>
  <c r="I7" i="25"/>
  <c r="Q6" i="25"/>
  <c r="P6" i="25"/>
  <c r="M6" i="25"/>
  <c r="L6" i="25"/>
  <c r="I6" i="25"/>
  <c r="D96" i="27" l="1"/>
  <c r="D100" i="27"/>
  <c r="D99" i="27"/>
  <c r="D50" i="27"/>
  <c r="D54" i="27"/>
  <c r="D58" i="27"/>
  <c r="D62" i="27"/>
  <c r="D66" i="27"/>
  <c r="D70" i="27"/>
  <c r="D74" i="27"/>
  <c r="D78" i="27"/>
  <c r="D82" i="27"/>
  <c r="D86" i="27"/>
  <c r="D90" i="27"/>
  <c r="D94" i="27"/>
  <c r="D98" i="27"/>
  <c r="D38" i="26"/>
  <c r="D50" i="26"/>
  <c r="D54" i="26"/>
  <c r="D16" i="26"/>
  <c r="D20" i="26"/>
  <c r="D24" i="26"/>
  <c r="D28" i="26"/>
  <c r="D32" i="26"/>
  <c r="D36" i="26"/>
  <c r="D40" i="26"/>
  <c r="D44" i="26"/>
  <c r="D48" i="26"/>
  <c r="D52" i="26"/>
  <c r="D56" i="26"/>
  <c r="D60" i="26"/>
  <c r="D64" i="26"/>
  <c r="D68" i="26"/>
  <c r="D72" i="26"/>
  <c r="D76" i="26"/>
  <c r="D80" i="26"/>
  <c r="D84" i="26"/>
  <c r="D88" i="26"/>
  <c r="D92" i="26"/>
  <c r="D96" i="26"/>
  <c r="D100" i="26"/>
  <c r="D22" i="26"/>
  <c r="D26" i="26"/>
  <c r="D34" i="26"/>
  <c r="D58" i="26"/>
  <c r="D66" i="26"/>
  <c r="D70" i="26"/>
  <c r="D74" i="26"/>
  <c r="D78" i="26"/>
  <c r="D82" i="26"/>
  <c r="D86" i="26"/>
  <c r="D90" i="26"/>
  <c r="D94" i="26"/>
  <c r="D98" i="26"/>
  <c r="D18" i="26"/>
  <c r="D30" i="26"/>
  <c r="D42" i="26"/>
  <c r="D46" i="26"/>
  <c r="D62" i="26"/>
  <c r="D68" i="25"/>
  <c r="D72" i="25"/>
  <c r="D76" i="25"/>
  <c r="D80" i="25"/>
  <c r="D84" i="25"/>
  <c r="D88" i="25"/>
  <c r="D92" i="25"/>
  <c r="D96" i="25"/>
  <c r="D100" i="25"/>
  <c r="D15" i="25"/>
  <c r="D19" i="25"/>
  <c r="D23" i="25"/>
  <c r="D27" i="25"/>
  <c r="D31" i="25"/>
  <c r="D35" i="25"/>
  <c r="D39" i="25"/>
  <c r="D43" i="25"/>
  <c r="D47" i="25"/>
  <c r="D51" i="25"/>
  <c r="D55" i="25"/>
  <c r="D59" i="25"/>
  <c r="D63" i="25"/>
  <c r="D67" i="25"/>
  <c r="D71" i="25"/>
  <c r="D75" i="25"/>
  <c r="D79" i="25"/>
  <c r="D83" i="25"/>
  <c r="D87" i="25"/>
  <c r="D91" i="25"/>
  <c r="D95" i="25"/>
  <c r="D99" i="25"/>
  <c r="D11" i="25"/>
  <c r="C98" i="10" l="1"/>
  <c r="F98" i="10" s="1" a="1"/>
  <c r="F98" i="10" s="1"/>
  <c r="I98" i="10"/>
  <c r="L98" i="10"/>
  <c r="M98" i="10"/>
  <c r="P98" i="10"/>
  <c r="Q98" i="10" s="1"/>
  <c r="D98" i="10" l="1"/>
  <c r="B11" i="24" l="1"/>
  <c r="P6" i="10" l="1"/>
  <c r="Q6" i="10" s="1"/>
  <c r="P7" i="10"/>
  <c r="Q7" i="10" s="1"/>
  <c r="P8" i="10"/>
  <c r="Q8" i="10" s="1"/>
  <c r="P9" i="10"/>
  <c r="Q9" i="10" s="1"/>
  <c r="P10" i="10"/>
  <c r="Q10" i="10" s="1"/>
  <c r="P11" i="10"/>
  <c r="Q11" i="10" s="1"/>
  <c r="P12" i="10"/>
  <c r="Q12" i="10" s="1"/>
  <c r="P13" i="10"/>
  <c r="Q13" i="10" s="1"/>
  <c r="P14" i="10"/>
  <c r="Q14" i="10" s="1"/>
  <c r="P15" i="10"/>
  <c r="Q15" i="10" s="1"/>
  <c r="P16" i="10"/>
  <c r="Q16" i="10" s="1"/>
  <c r="P17" i="10"/>
  <c r="Q17" i="10" s="1"/>
  <c r="P18" i="10"/>
  <c r="Q18" i="10" s="1"/>
  <c r="P19" i="10"/>
  <c r="Q19" i="10" s="1"/>
  <c r="P20" i="10"/>
  <c r="Q20" i="10" s="1"/>
  <c r="P21" i="10"/>
  <c r="Q21" i="10" s="1"/>
  <c r="P22" i="10"/>
  <c r="Q22" i="10" s="1"/>
  <c r="P23" i="10"/>
  <c r="Q23" i="10" s="1"/>
  <c r="P24" i="10"/>
  <c r="Q24" i="10" s="1"/>
  <c r="P25" i="10"/>
  <c r="Q25" i="10" s="1"/>
  <c r="P26" i="10"/>
  <c r="Q26" i="10" s="1"/>
  <c r="P27" i="10"/>
  <c r="Q27" i="10" s="1"/>
  <c r="P28" i="10"/>
  <c r="Q28" i="10" s="1"/>
  <c r="P29" i="10"/>
  <c r="Q29" i="10" s="1"/>
  <c r="P30" i="10"/>
  <c r="Q30" i="10" s="1"/>
  <c r="P31" i="10"/>
  <c r="Q31" i="10" s="1"/>
  <c r="P32" i="10"/>
  <c r="Q32" i="10" s="1"/>
  <c r="P33" i="10"/>
  <c r="Q33" i="10" s="1"/>
  <c r="P34" i="10"/>
  <c r="Q34" i="10" s="1"/>
  <c r="P35" i="10"/>
  <c r="Q35" i="10" s="1"/>
  <c r="P36" i="10"/>
  <c r="Q36" i="10" s="1"/>
  <c r="P37" i="10"/>
  <c r="Q37" i="10" s="1"/>
  <c r="P38" i="10"/>
  <c r="Q38" i="10" s="1"/>
  <c r="P39" i="10"/>
  <c r="Q39" i="10" s="1"/>
  <c r="P40" i="10"/>
  <c r="Q40" i="10" s="1"/>
  <c r="P41" i="10"/>
  <c r="Q41" i="10" s="1"/>
  <c r="P42" i="10"/>
  <c r="Q42" i="10" s="1"/>
  <c r="P43" i="10"/>
  <c r="Q43" i="10" s="1"/>
  <c r="P44" i="10"/>
  <c r="Q44" i="10" s="1"/>
  <c r="P45" i="10"/>
  <c r="Q45" i="10" s="1"/>
  <c r="P46" i="10"/>
  <c r="Q46" i="10" s="1"/>
  <c r="P47" i="10"/>
  <c r="Q47" i="10" s="1"/>
  <c r="P48" i="10"/>
  <c r="Q48" i="10" s="1"/>
  <c r="P49" i="10"/>
  <c r="Q49" i="10" s="1"/>
  <c r="P50" i="10"/>
  <c r="Q50" i="10" s="1"/>
  <c r="P51" i="10"/>
  <c r="Q51" i="10" s="1"/>
  <c r="P52" i="10"/>
  <c r="Q52" i="10" s="1"/>
  <c r="P53" i="10"/>
  <c r="Q53" i="10" s="1"/>
  <c r="P54" i="10"/>
  <c r="Q54" i="10" s="1"/>
  <c r="P55" i="10"/>
  <c r="Q55" i="10" s="1"/>
  <c r="P56" i="10"/>
  <c r="Q56" i="10" s="1"/>
  <c r="P57" i="10"/>
  <c r="Q57" i="10" s="1"/>
  <c r="P58" i="10"/>
  <c r="Q58" i="10" s="1"/>
  <c r="P59" i="10"/>
  <c r="Q59" i="10" s="1"/>
  <c r="P60" i="10"/>
  <c r="Q60" i="10" s="1"/>
  <c r="P61" i="10"/>
  <c r="Q61" i="10" s="1"/>
  <c r="P62" i="10"/>
  <c r="Q62" i="10" s="1"/>
  <c r="P63" i="10"/>
  <c r="Q63" i="10" s="1"/>
  <c r="P64" i="10"/>
  <c r="Q64" i="10" s="1"/>
  <c r="P65" i="10"/>
  <c r="Q65" i="10" s="1"/>
  <c r="P66" i="10"/>
  <c r="Q66" i="10" s="1"/>
  <c r="P67" i="10"/>
  <c r="Q67" i="10" s="1"/>
  <c r="P68" i="10"/>
  <c r="Q68" i="10" s="1"/>
  <c r="P69" i="10"/>
  <c r="Q69" i="10" s="1"/>
  <c r="P70" i="10"/>
  <c r="Q70" i="10" s="1"/>
  <c r="P71" i="10"/>
  <c r="Q71" i="10" s="1"/>
  <c r="P72" i="10"/>
  <c r="Q72" i="10" s="1"/>
  <c r="P73" i="10"/>
  <c r="Q73" i="10" s="1"/>
  <c r="P74" i="10"/>
  <c r="Q74" i="10" s="1"/>
  <c r="P75" i="10"/>
  <c r="Q75" i="10" s="1"/>
  <c r="P76" i="10"/>
  <c r="Q76" i="10" s="1"/>
  <c r="P77" i="10"/>
  <c r="Q77" i="10" s="1"/>
  <c r="P78" i="10"/>
  <c r="Q78" i="10" s="1"/>
  <c r="P79" i="10"/>
  <c r="Q79" i="10" s="1"/>
  <c r="P80" i="10"/>
  <c r="Q80" i="10" s="1"/>
  <c r="P81" i="10"/>
  <c r="Q81" i="10" s="1"/>
  <c r="P82" i="10"/>
  <c r="Q82" i="10" s="1"/>
  <c r="P83" i="10"/>
  <c r="Q83" i="10" s="1"/>
  <c r="P84" i="10"/>
  <c r="Q84" i="10" s="1"/>
  <c r="P85" i="10"/>
  <c r="Q85" i="10" s="1"/>
  <c r="P86" i="10"/>
  <c r="Q86" i="10" s="1"/>
  <c r="P87" i="10"/>
  <c r="Q87" i="10" s="1"/>
  <c r="P88" i="10"/>
  <c r="Q88" i="10" s="1"/>
  <c r="P89" i="10"/>
  <c r="Q89" i="10" s="1"/>
  <c r="P90" i="10"/>
  <c r="Q90" i="10" s="1"/>
  <c r="P91" i="10"/>
  <c r="Q91" i="10" s="1"/>
  <c r="P92" i="10"/>
  <c r="Q92" i="10" s="1"/>
  <c r="P93" i="10"/>
  <c r="Q93" i="10" s="1"/>
  <c r="P94" i="10"/>
  <c r="Q94" i="10" s="1"/>
  <c r="P95" i="10"/>
  <c r="Q95" i="10" s="1"/>
  <c r="P96" i="10"/>
  <c r="Q96" i="10" s="1"/>
  <c r="P97" i="10"/>
  <c r="Q97" i="10" s="1"/>
  <c r="P99" i="10"/>
  <c r="Q99" i="10" s="1"/>
  <c r="P100" i="10"/>
  <c r="Q100" i="10" s="1"/>
  <c r="B16" i="24"/>
  <c r="B14" i="24"/>
  <c r="M6" i="10" l="1"/>
  <c r="M7" i="10"/>
  <c r="M8" i="10"/>
  <c r="M9" i="10"/>
  <c r="M10" i="10"/>
  <c r="M11" i="10"/>
  <c r="M12" i="10"/>
  <c r="M13" i="10"/>
  <c r="M14" i="10"/>
  <c r="M15" i="10"/>
  <c r="M16" i="10"/>
  <c r="M17" i="10"/>
  <c r="M18" i="10"/>
  <c r="M19" i="10"/>
  <c r="M20" i="10"/>
  <c r="M21" i="10"/>
  <c r="M22" i="10"/>
  <c r="M23" i="10"/>
  <c r="M24" i="10"/>
  <c r="M25" i="10"/>
  <c r="M26" i="10"/>
  <c r="M27" i="10"/>
  <c r="M28" i="10"/>
  <c r="M29" i="10"/>
  <c r="M30" i="10"/>
  <c r="M31" i="10"/>
  <c r="M32" i="10"/>
  <c r="M33" i="10"/>
  <c r="M34" i="10"/>
  <c r="M35" i="10"/>
  <c r="M36" i="10"/>
  <c r="M37" i="10"/>
  <c r="M38" i="10"/>
  <c r="M39" i="10"/>
  <c r="M40" i="10"/>
  <c r="M41" i="10"/>
  <c r="M42" i="10"/>
  <c r="M43" i="10"/>
  <c r="M44" i="10"/>
  <c r="M45" i="10"/>
  <c r="M46" i="10"/>
  <c r="M47" i="10"/>
  <c r="M48" i="10"/>
  <c r="M49" i="10"/>
  <c r="M50" i="10"/>
  <c r="M51" i="10"/>
  <c r="M52" i="10"/>
  <c r="M53" i="10"/>
  <c r="M54" i="10"/>
  <c r="M55" i="10"/>
  <c r="M56" i="10"/>
  <c r="M57" i="10"/>
  <c r="M58" i="10"/>
  <c r="M59" i="10"/>
  <c r="M60" i="10"/>
  <c r="M61" i="10"/>
  <c r="M62" i="10"/>
  <c r="M63" i="10"/>
  <c r="M64" i="10"/>
  <c r="M65" i="10"/>
  <c r="M66" i="10"/>
  <c r="M67" i="10"/>
  <c r="M68" i="10"/>
  <c r="M69" i="10"/>
  <c r="M70" i="10"/>
  <c r="M71" i="10"/>
  <c r="M72" i="10"/>
  <c r="M73" i="10"/>
  <c r="M74" i="10"/>
  <c r="M75" i="10"/>
  <c r="M76" i="10"/>
  <c r="M77" i="10"/>
  <c r="M78" i="10"/>
  <c r="M79" i="10"/>
  <c r="M80" i="10"/>
  <c r="M81" i="10"/>
  <c r="M82" i="10"/>
  <c r="M83" i="10"/>
  <c r="M84" i="10"/>
  <c r="M85" i="10"/>
  <c r="M86" i="10"/>
  <c r="M87" i="10"/>
  <c r="M88" i="10"/>
  <c r="M89" i="10"/>
  <c r="M90" i="10"/>
  <c r="M91" i="10"/>
  <c r="M92" i="10"/>
  <c r="M93" i="10"/>
  <c r="M94" i="10"/>
  <c r="M95" i="10"/>
  <c r="M96" i="10"/>
  <c r="M97" i="10"/>
  <c r="M99" i="10"/>
  <c r="M100"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9" i="10"/>
  <c r="L100" i="10"/>
  <c r="B13" i="24"/>
  <c r="B15" i="24"/>
  <c r="B18" i="24"/>
  <c r="B19" i="24"/>
  <c r="B20" i="24"/>
  <c r="B21" i="24"/>
  <c r="B22" i="24"/>
  <c r="B23" i="24"/>
  <c r="B24" i="24"/>
  <c r="B25" i="24"/>
  <c r="B26" i="24"/>
  <c r="B27" i="24"/>
  <c r="B28" i="24"/>
  <c r="B29" i="24"/>
  <c r="B30" i="24"/>
  <c r="B31" i="24"/>
  <c r="B32" i="24"/>
  <c r="B33" i="24"/>
  <c r="B34" i="24"/>
  <c r="B35" i="24"/>
  <c r="B38" i="24"/>
  <c r="B17" i="24"/>
  <c r="B12"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9" i="10"/>
  <c r="D99" i="10" s="1"/>
  <c r="I97" i="10"/>
  <c r="I99" i="10"/>
  <c r="C100" i="10"/>
  <c r="D100" i="10" s="1"/>
  <c r="I100"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F99" i="10" l="1" a="1"/>
  <c r="F99" i="10" s="1"/>
  <c r="F97" i="10" a="1"/>
  <c r="F97" i="10" s="1"/>
  <c r="F100" i="10" a="1"/>
  <c r="F100" i="10" s="1"/>
  <c r="C96" i="10"/>
  <c r="D96" i="10" s="1"/>
  <c r="C87" i="10"/>
  <c r="D87" i="10" s="1"/>
  <c r="C88" i="10"/>
  <c r="D88" i="10" s="1"/>
  <c r="C89" i="10"/>
  <c r="D89" i="10" s="1"/>
  <c r="C90" i="10"/>
  <c r="D90" i="10" s="1"/>
  <c r="C91" i="10"/>
  <c r="D91" i="10" s="1"/>
  <c r="C92" i="10"/>
  <c r="D92" i="10" s="1"/>
  <c r="C93" i="10"/>
  <c r="D93" i="10" s="1"/>
  <c r="C94" i="10"/>
  <c r="D94" i="10" s="1"/>
  <c r="C95" i="10"/>
  <c r="D95" i="10" s="1"/>
  <c r="C59" i="10"/>
  <c r="D59" i="10" s="1"/>
  <c r="C60" i="10"/>
  <c r="D60" i="10" s="1"/>
  <c r="C61" i="10"/>
  <c r="D61" i="10" s="1"/>
  <c r="C62" i="10"/>
  <c r="D62" i="10" s="1"/>
  <c r="C63" i="10"/>
  <c r="D63" i="10" s="1"/>
  <c r="C64" i="10"/>
  <c r="D64" i="10" s="1"/>
  <c r="C65" i="10"/>
  <c r="D65" i="10" s="1"/>
  <c r="C66" i="10"/>
  <c r="D66" i="10" s="1"/>
  <c r="C67" i="10"/>
  <c r="D67" i="10" s="1"/>
  <c r="C68" i="10"/>
  <c r="D68" i="10" s="1"/>
  <c r="C69" i="10"/>
  <c r="D69" i="10" s="1"/>
  <c r="C70" i="10"/>
  <c r="D70" i="10" s="1"/>
  <c r="C71" i="10"/>
  <c r="D71" i="10" s="1"/>
  <c r="C72" i="10"/>
  <c r="D72" i="10" s="1"/>
  <c r="C73" i="10"/>
  <c r="D73" i="10" s="1"/>
  <c r="C74" i="10"/>
  <c r="D74" i="10" s="1"/>
  <c r="C75" i="10"/>
  <c r="D75" i="10" s="1"/>
  <c r="C76" i="10"/>
  <c r="D76" i="10" s="1"/>
  <c r="C77" i="10"/>
  <c r="D77" i="10" s="1"/>
  <c r="C78" i="10"/>
  <c r="D78" i="10" s="1"/>
  <c r="C79" i="10"/>
  <c r="D79" i="10" s="1"/>
  <c r="C80" i="10"/>
  <c r="D80" i="10" s="1"/>
  <c r="C81" i="10"/>
  <c r="D81" i="10" s="1"/>
  <c r="C82" i="10"/>
  <c r="D82" i="10" s="1"/>
  <c r="C83" i="10"/>
  <c r="D83" i="10" s="1"/>
  <c r="C84" i="10"/>
  <c r="D84" i="10" s="1"/>
  <c r="C85" i="10"/>
  <c r="D85" i="10" s="1"/>
  <c r="C86" i="10"/>
  <c r="D86" i="10" s="1"/>
  <c r="C31" i="10"/>
  <c r="D31" i="10" s="1"/>
  <c r="C32" i="10"/>
  <c r="D32" i="10" s="1"/>
  <c r="C33" i="10"/>
  <c r="D33" i="10" s="1"/>
  <c r="C34" i="10"/>
  <c r="D34" i="10" s="1"/>
  <c r="C35" i="10"/>
  <c r="D35" i="10" s="1"/>
  <c r="C36" i="10"/>
  <c r="D36" i="10" s="1"/>
  <c r="C37" i="10"/>
  <c r="D37" i="10" s="1"/>
  <c r="C38" i="10"/>
  <c r="D38" i="10" s="1"/>
  <c r="C39" i="10"/>
  <c r="D39" i="10" s="1"/>
  <c r="C40" i="10"/>
  <c r="D40" i="10" s="1"/>
  <c r="C41" i="10"/>
  <c r="D41" i="10" s="1"/>
  <c r="C42" i="10"/>
  <c r="D42" i="10" s="1"/>
  <c r="C43" i="10"/>
  <c r="D43" i="10" s="1"/>
  <c r="C44" i="10"/>
  <c r="D44" i="10" s="1"/>
  <c r="C45" i="10"/>
  <c r="D45" i="10" s="1"/>
  <c r="C46" i="10"/>
  <c r="D46" i="10" s="1"/>
  <c r="C47" i="10"/>
  <c r="D47" i="10" s="1"/>
  <c r="C48" i="10"/>
  <c r="D48" i="10" s="1"/>
  <c r="C49" i="10"/>
  <c r="D49" i="10" s="1"/>
  <c r="C50" i="10"/>
  <c r="D50" i="10" s="1"/>
  <c r="C51" i="10"/>
  <c r="D51" i="10" s="1"/>
  <c r="C52" i="10"/>
  <c r="D52" i="10" s="1"/>
  <c r="C53" i="10"/>
  <c r="D53" i="10" s="1"/>
  <c r="C54" i="10"/>
  <c r="D54" i="10" s="1"/>
  <c r="C55" i="10"/>
  <c r="D55" i="10" s="1"/>
  <c r="C56" i="10"/>
  <c r="D56" i="10" s="1"/>
  <c r="C57" i="10"/>
  <c r="D57" i="10" s="1"/>
  <c r="C58" i="10"/>
  <c r="D58" i="10" s="1"/>
  <c r="C17" i="10"/>
  <c r="D17" i="10" s="1"/>
  <c r="C18" i="10"/>
  <c r="D18" i="10" s="1"/>
  <c r="C19" i="10"/>
  <c r="D19" i="10" s="1"/>
  <c r="C20" i="10"/>
  <c r="D20" i="10" s="1"/>
  <c r="C21" i="10"/>
  <c r="D21" i="10" s="1"/>
  <c r="C22" i="10"/>
  <c r="D22" i="10" s="1"/>
  <c r="C23" i="10"/>
  <c r="D23" i="10" s="1"/>
  <c r="C24" i="10"/>
  <c r="D24" i="10" s="1"/>
  <c r="C25" i="10"/>
  <c r="D25" i="10" s="1"/>
  <c r="C26" i="10"/>
  <c r="D26" i="10" s="1"/>
  <c r="C27" i="10"/>
  <c r="D27" i="10" s="1"/>
  <c r="C28" i="10"/>
  <c r="D28" i="10" s="1"/>
  <c r="C29" i="10"/>
  <c r="D29" i="10" s="1"/>
  <c r="C30" i="10"/>
  <c r="D30" i="10" s="1"/>
  <c r="C16" i="10"/>
  <c r="D16" i="10" s="1"/>
  <c r="C15" i="10"/>
  <c r="D15" i="10" s="1"/>
  <c r="C14" i="10"/>
  <c r="D14" i="10" s="1"/>
  <c r="C13" i="10"/>
  <c r="D13" i="10" s="1"/>
  <c r="C12" i="10"/>
  <c r="D12" i="10" s="1"/>
  <c r="C11" i="10"/>
  <c r="D11" i="10" s="1"/>
  <c r="C10" i="10"/>
  <c r="D10" i="10" s="1"/>
  <c r="C9" i="10"/>
  <c r="D9" i="10" s="1"/>
  <c r="C8" i="10"/>
  <c r="D8" i="10" s="1"/>
  <c r="C7" i="10"/>
  <c r="D7" i="10" s="1"/>
  <c r="C6" i="10"/>
  <c r="D6" i="10" s="1"/>
  <c r="F66" i="10" l="1" a="1"/>
  <c r="F66" i="10" s="1"/>
  <c r="F9" i="10" a="1"/>
  <c r="F9" i="10" s="1"/>
  <c r="F30" i="10" a="1"/>
  <c r="F30" i="10" s="1"/>
  <c r="F48" i="10" a="1"/>
  <c r="F48" i="10" s="1"/>
  <c r="F32" i="10" a="1"/>
  <c r="F32" i="10" s="1"/>
  <c r="F81" i="10" a="1"/>
  <c r="F81" i="10" s="1"/>
  <c r="F10" i="10" a="1"/>
  <c r="F10" i="10" s="1"/>
  <c r="F21" i="10" a="1"/>
  <c r="F21" i="10" s="1"/>
  <c r="F55" i="10" a="1"/>
  <c r="F55" i="10" s="1"/>
  <c r="F31" i="10" a="1"/>
  <c r="F31" i="10" s="1"/>
  <c r="F49" i="10" a="1"/>
  <c r="F49" i="10" s="1"/>
  <c r="F11" i="10" a="1"/>
  <c r="F11" i="10" s="1"/>
  <c r="F79" i="10" a="1"/>
  <c r="F79" i="10" s="1"/>
  <c r="F63" i="10" a="1"/>
  <c r="F63" i="10" s="1"/>
  <c r="F19" i="10" a="1"/>
  <c r="F19" i="10" s="1"/>
  <c r="F45" i="10" a="1"/>
  <c r="F45" i="10" s="1"/>
  <c r="F86" i="10" a="1"/>
  <c r="F86" i="10" s="1"/>
  <c r="F78" i="10" a="1"/>
  <c r="F78" i="10" s="1"/>
  <c r="F70" i="10" a="1"/>
  <c r="F70" i="10" s="1"/>
  <c r="F62" i="10" a="1"/>
  <c r="F62" i="10" s="1"/>
  <c r="F91" i="10" a="1"/>
  <c r="F91" i="10" s="1"/>
  <c r="F20" i="10" a="1"/>
  <c r="F20" i="10" s="1"/>
  <c r="F13" i="10" a="1"/>
  <c r="F13" i="10" s="1"/>
  <c r="F26" i="10" a="1"/>
  <c r="F26" i="10" s="1"/>
  <c r="F90" i="10" a="1"/>
  <c r="F90" i="10" s="1"/>
  <c r="F8" i="10" a="1"/>
  <c r="F8" i="10" s="1"/>
  <c r="F82" i="10" a="1"/>
  <c r="F82" i="10" s="1"/>
  <c r="F14" i="10" a="1"/>
  <c r="F14" i="10" s="1"/>
  <c r="F51" i="10" a="1"/>
  <c r="F51" i="10" s="1"/>
  <c r="F43" i="10" a="1"/>
  <c r="F43" i="10" s="1"/>
  <c r="F84" i="10" a="1"/>
  <c r="F84" i="10" s="1"/>
  <c r="F76" i="10" a="1"/>
  <c r="F76" i="10" s="1"/>
  <c r="F89" i="10" a="1"/>
  <c r="F89" i="10" s="1"/>
  <c r="F23" i="10" a="1"/>
  <c r="F23" i="10" s="1"/>
  <c r="F74" i="10" a="1"/>
  <c r="F74" i="10" s="1"/>
  <c r="F7" i="10" a="1"/>
  <c r="F7" i="10" s="1"/>
  <c r="F24" i="10" a="1"/>
  <c r="F24" i="10" s="1"/>
  <c r="F58" i="10" a="1"/>
  <c r="F58" i="10" s="1"/>
  <c r="F50" i="10" a="1"/>
  <c r="F50" i="10" s="1"/>
  <c r="F83" i="10" a="1"/>
  <c r="F83" i="10" s="1"/>
  <c r="F75" i="10" a="1"/>
  <c r="F75" i="10" s="1"/>
  <c r="F88" i="10" a="1"/>
  <c r="F88" i="10" s="1"/>
  <c r="F41" i="10" a="1"/>
  <c r="F41" i="10" s="1"/>
  <c r="F33" i="10" a="1"/>
  <c r="F33" i="10" s="1"/>
  <c r="F57" i="10" a="1"/>
  <c r="F57" i="10" s="1"/>
  <c r="F35" i="10" a="1"/>
  <c r="F35" i="10" s="1"/>
  <c r="F40" i="10" a="1"/>
  <c r="F40" i="10" s="1"/>
  <c r="F71" i="10" a="1"/>
  <c r="F71" i="10" s="1"/>
  <c r="F53" i="10" a="1"/>
  <c r="F53" i="10" s="1"/>
  <c r="F60" i="10" a="1"/>
  <c r="F60" i="10" s="1"/>
  <c r="F42" i="10" a="1"/>
  <c r="F42" i="10" s="1"/>
  <c r="F93" i="10" a="1"/>
  <c r="F93" i="10" s="1"/>
  <c r="F34" i="10" a="1"/>
  <c r="F34" i="10" s="1"/>
  <c r="F68" i="10" a="1"/>
  <c r="F68" i="10" s="1"/>
  <c r="F28" i="10" a="1"/>
  <c r="F28" i="10" s="1"/>
  <c r="F56" i="10" a="1"/>
  <c r="F56" i="10" s="1"/>
  <c r="F22" i="10" a="1"/>
  <c r="F22" i="10" s="1"/>
  <c r="F96" i="10" a="1"/>
  <c r="F96" i="10" s="1"/>
  <c r="F61" i="10" a="1"/>
  <c r="F61" i="10" s="1"/>
  <c r="F47" i="10" a="1"/>
  <c r="F47" i="10" s="1"/>
  <c r="F73" i="10" a="1"/>
  <c r="F73" i="10" s="1"/>
  <c r="F25" i="10" a="1"/>
  <c r="F25" i="10" s="1"/>
  <c r="F85" i="10" a="1"/>
  <c r="F85" i="10" s="1"/>
  <c r="F69" i="10" a="1"/>
  <c r="F69" i="10" s="1"/>
  <c r="F65" i="10" a="1"/>
  <c r="F65" i="10" s="1"/>
  <c r="F52" i="10" a="1"/>
  <c r="F52" i="10" s="1"/>
  <c r="F18" i="10" a="1"/>
  <c r="F18" i="10" s="1"/>
  <c r="F77" i="10" a="1"/>
  <c r="F77" i="10" s="1"/>
  <c r="F17" i="10" a="1"/>
  <c r="F17" i="10" s="1"/>
  <c r="F29" i="10" a="1"/>
  <c r="F29" i="10" s="1"/>
  <c r="F39" i="10" a="1"/>
  <c r="F39" i="10" s="1"/>
  <c r="F27" i="10" a="1"/>
  <c r="F27" i="10" s="1"/>
  <c r="F44" i="10" a="1"/>
  <c r="F44" i="10" s="1"/>
  <c r="F67" i="10" a="1"/>
  <c r="F67" i="10" s="1"/>
  <c r="F59" i="10" a="1"/>
  <c r="F59" i="10" s="1"/>
  <c r="F92" i="10" a="1"/>
  <c r="F92" i="10" s="1"/>
  <c r="F37" i="10" a="1"/>
  <c r="F37" i="10" s="1"/>
  <c r="F36" i="10" a="1"/>
  <c r="F36" i="10" s="1"/>
  <c r="F95" i="10" a="1"/>
  <c r="F95" i="10" s="1"/>
  <c r="F87" i="10" a="1"/>
  <c r="F87" i="10" s="1"/>
  <c r="F94" i="10" a="1"/>
  <c r="F94" i="10" s="1"/>
  <c r="F64" i="10" a="1"/>
  <c r="F64" i="10" s="1"/>
  <c r="F80" i="10" a="1"/>
  <c r="F80" i="10" s="1"/>
  <c r="F72" i="10" a="1"/>
  <c r="F72" i="10" s="1"/>
  <c r="F54" i="10" a="1"/>
  <c r="F54" i="10" s="1"/>
  <c r="F46" i="10" a="1"/>
  <c r="F46" i="10" s="1"/>
  <c r="F38" i="10" a="1"/>
  <c r="F38" i="10" s="1"/>
  <c r="F16" i="10" a="1"/>
  <c r="F16" i="10" s="1"/>
  <c r="F15" i="10" a="1"/>
  <c r="F15" i="10" s="1"/>
  <c r="F12" i="10" a="1"/>
  <c r="F12" i="10" s="1"/>
  <c r="F6" i="10" a="1"/>
  <c r="F6"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<sst xmlns="http://schemas.openxmlformats.org/spreadsheetml/2006/main" count="1259" uniqueCount="350">
  <si>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</si>
  <si>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</si>
  <si>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</si>
  <si>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</si>
  <si>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</si>
  <si>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</si>
  <si>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</si>
  <si>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</si>
  <si>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</si>
  <si>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</si>
  <si>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</si>
  <si>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</si>
  <si>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</si>
  <si>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</si>
  <si>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</si>
  <si>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</si>
  <si>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</si>
  <si>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</si>
  <si>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</si>
  <si>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</si>
  <si>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</si>
  <si>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</si>
  <si>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</si>
  <si>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</si>
  <si>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</si>
  <si>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</si>
  <si>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</si>
  <si>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</si>
  <si>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</si>
  <si>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</si>
  <si>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</si>
  <si>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</si>
  <si>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</si>
  <si>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</si>
  <si>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</si>
  <si>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</si>
  <si>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</si>
  <si>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</si>
  <si>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</si>
  <si>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</si>
  <si>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</si>
  <si>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</si>
  <si>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</si>
  <si>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</si>
  <si>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</si>
  <si>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</si>
  <si>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</si>
  <si>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</si>
  <si>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</si>
  <si>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</si>
  <si>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</si>
  <si>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Betaketoadipate</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</si>
  <si>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</si>
  <si>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</si>
  <si>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</si>
  <si>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</si>
  <si>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</si>
  <si>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</si>
  <si>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</si>
  <si>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</si>
  <si>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</si>
  <si>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</si>
  <si>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</si>
  <si>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</si>
  <si>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</si>
  <si>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</si>
  <si>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</si>
  <si>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</si>
  <si>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</si>
  <si>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</si>
  <si>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</si>
  <si>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</si>
  <si>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</si>
  <si>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</si>
  <si>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</si>
  <si>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</si>
  <si>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</si>
  <si>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</si>
  <si>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</si>
  <si>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</si>
  <si>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</si>
  <si>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</si>
  <si>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</si>
  <si>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</si>
  <si>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</si>
  <si>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</si>
  <si>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</si>
  <si>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</si>
  <si>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</si>
  <si>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</si>
  <si>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</si>
  <si>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</si>
  <si>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</si>
  <si>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</si>
  <si>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</si>
  <si>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</si>
  <si>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</si>
  <si>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</si>
  <si>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</si>
  <si>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</si>
  <si>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</si>
  <si>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</si>
  <si>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</si>
  <si>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</si>
  <si>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</si>
  <si>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</si>
  <si>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</si>
  <si>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</si>
  <si>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</si>
  <si>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</si>
  <si>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</si>
  <si>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</si>
  <si>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</si>
  <si>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</si>
  <si>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</si>
  <si>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</si>
  <si>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</si>
  <si>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</si>
  <si>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</si>
  <si>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</si>
  <si>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</si>
  <si>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</si>
  <si>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</si>
  <si>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</si>
  <si>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</si>
  <si>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</si>
  <si>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</si>
  <si>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</si>
  <si>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</si>
  <si>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</si>
  <si>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</si>
  <si>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</si>
  <si>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</si>
  <si>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</si>
  <si>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</si>
  <si>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</si>
  <si>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</si>
  <si>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</si>
  <si>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</si>
  <si>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</si>
  <si>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</si>
  <si>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</si>
  <si>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</si>
  <si>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</si>
  <si>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</si>
  <si>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</si>
  <si>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</si>
  <si>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</si>
  <si>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</si>
  <si>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</si>
  <si>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</si>
  <si>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</si>
  <si>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</si>
  <si>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</si>
  <si>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</si>
  <si>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</si>
  <si>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</si>
  <si>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</si>
  <si>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</si>
  <si>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</si>
  <si>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</si>
  <si>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</si>
  <si>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</si>
  <si>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</si>
  <si>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</si>
  <si>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</si>
  <si>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</si>
  <si>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</si>
  <si>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</si>
  <si>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</si>
  <si>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</si>
  <si>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</si>
  <si>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</si>
  <si>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</si>
  <si>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</si>
  <si>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</si>
  <si>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</si>
  <si>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</si>
  <si>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</si>
  <si>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</si>
  <si>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</si>
  <si>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</si>
  <si>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</si>
  <si>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</si>
  <si>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</si>
  <si>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</si>
  <si>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</si>
  <si>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</si>
  <si>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</si>
  <si>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</si>
  <si>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</si>
  <si>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</si>
  <si>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</si>
  <si>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</si>
  <si>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</si>
  <si>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</si>
  <si>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</si>
  <si>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</si>
  <si>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</si>
  <si>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</si>
  <si>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</si>
  <si>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</si>
  <si>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</si>
  <si>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</si>
  <si>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</si>
  <si>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</si>
  <si>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</si>
  <si>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</si>
  <si>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</si>
  <si>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</si>
  <si>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</si>
  <si>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</si>
  <si>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</si>
  <si>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</si>
  <si>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</si>
  <si>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</si>
  <si>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</si>
  <si>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</si>
  <si>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</si>
  <si>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</si>
  <si>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</si>
  <si>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</si>
  <si>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</si>
  <si>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</si>
  <si>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</si>
  <si>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</si>
  <si>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</si>
  <si>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</si>
  <si>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</si>
  <si>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</si>
  <si>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</si>
  <si>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</si>
  <si>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</si>
  <si>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</si>
  <si>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</si>
  <si>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</si>
  <si>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</si>
  <si>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</si>
  <si>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</si>
  <si>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</si>
  <si>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</si>
  <si>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Fuel Distribution and Vehicle Operation</t>
  </si>
  <si>
    <t>Fuel Distribution</t>
  </si>
  <si>
    <t>Solids from Aqueous Treatment</t>
  </si>
  <si>
    <t>Process fuel</t>
  </si>
  <si>
    <t>Emissions and sequestration</t>
  </si>
  <si>
    <t>metric ton</t>
  </si>
  <si>
    <t>The category of the resource (i.e., fuel, chemicals and catalysts, etc.). To model the emissions from transportation of an input or a product, select "Transportation".</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</si>
  <si>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</si>
  <si>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</si>
  <si>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</si>
  <si>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Unit of the market price.</t>
  </si>
  <si>
    <t>Market price of the resource. The market price of co-products must be specified when market-value based allocation method is used.</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</si>
  <si>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</si>
  <si>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</si>
  <si>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Process</t>
  </si>
  <si>
    <t>The method used to adress the impact of the co-products generated in the life-cycle stage.</t>
  </si>
  <si>
    <t>Input from Another Stage</t>
  </si>
  <si>
    <t>Previous Stage</t>
  </si>
  <si>
    <t>Does this stage produce the end product</t>
  </si>
  <si>
    <t>2. Introduction of the required inputs for each life-cycle stage</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</si>
  <si>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</si>
  <si>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</si>
  <si>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</si>
  <si>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</si>
  <si>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</si>
  <si>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</si>
  <si>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</si>
  <si>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</si>
  <si>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</si>
  <si>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</si>
  <si>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</si>
  <si>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</si>
  <si>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r>
      <t xml:space="preserve">Input from another stage in the modeled pathway. </t>
    </r>
    <r>
      <rPr>
        <b/>
        <sz val="11"/>
        <color rgb="FFC00000"/>
        <rFont val="Calibri"/>
        <family val="2"/>
        <scheme val="minor"/>
      </rPr>
      <t>The name of the source stage must be specified in the "Previous Stage" column.</t>
    </r>
  </si>
  <si>
    <t>Note: It is highly recommended to set Excel to perform automatic calculation to help propogate default values of each column when available. This can be done by following the following step: Click "Formulas" tab -&gt; "Calculation Options" -&gt;  "Automatic".</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</si>
  <si>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</si>
  <si>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Bichem (BDO)</t>
  </si>
  <si>
    <t>Renewable Diesel - Biochem (Acids)</t>
  </si>
  <si>
    <t>Adipic Acid</t>
  </si>
  <si>
    <t>Corn Oil</t>
  </si>
  <si>
    <t>Sodium Sulfate Salt</t>
  </si>
  <si>
    <t>Column132</t>
  </si>
  <si>
    <t>Infrastructure</t>
  </si>
  <si>
    <t>Concrete</t>
  </si>
  <si>
    <t>Steel</t>
  </si>
  <si>
    <t>Plastic</t>
  </si>
  <si>
    <t>Cast Iron</t>
  </si>
  <si>
    <t>(NH4)2HPO4</t>
  </si>
  <si>
    <t>Algae</t>
  </si>
  <si>
    <t>Hexane</t>
  </si>
  <si>
    <t>H3PO4</t>
  </si>
  <si>
    <t>HT Catlysts (HTL)</t>
  </si>
  <si>
    <t>Hydrcracking catalyst  (HTL)</t>
  </si>
  <si>
    <t>Silica</t>
  </si>
  <si>
    <t>Clay</t>
  </si>
  <si>
    <t>Dehydration Catalyst</t>
  </si>
  <si>
    <t>Oligomerization Catalyst</t>
  </si>
  <si>
    <t>One step HDO/HI Catalyst</t>
  </si>
  <si>
    <t>Hydrotalcite</t>
  </si>
  <si>
    <t>Ketonization Catalyst (ZrO2)</t>
  </si>
  <si>
    <t>Condensation Catalyst (Niobic Acid)</t>
  </si>
  <si>
    <t>Formic acid</t>
  </si>
  <si>
    <t>H2O2</t>
  </si>
  <si>
    <t>Catalysts and Other Chemicals</t>
  </si>
  <si>
    <t>Nitrogen</t>
  </si>
  <si>
    <t>Toluene Diisocyanate</t>
  </si>
  <si>
    <t>Diethanolamine</t>
  </si>
  <si>
    <t>Surfactant</t>
  </si>
  <si>
    <t>Polyurethane</t>
  </si>
  <si>
    <t>Hydrogen for CAP</t>
  </si>
  <si>
    <t>Nitrogen Gas</t>
  </si>
  <si>
    <t>Ca(NO3)2</t>
  </si>
  <si>
    <t>Renewable Diesel - Algae (BDO)</t>
  </si>
  <si>
    <t>Renewable Diesel - Algae (Acids)</t>
  </si>
  <si>
    <t>MgO</t>
  </si>
  <si>
    <t>NaCl</t>
  </si>
  <si>
    <t>P2O5</t>
  </si>
  <si>
    <t>diesel_end_use</t>
  </si>
  <si>
    <t>ng_end_use</t>
  </si>
  <si>
    <t>rd_end_use</t>
  </si>
  <si>
    <t>electricity_end_use</t>
  </si>
  <si>
    <t>biomass_resource</t>
  </si>
  <si>
    <t>waste_resource</t>
  </si>
  <si>
    <t>electricity_resource</t>
  </si>
  <si>
    <t>water_resource</t>
  </si>
  <si>
    <t>other_resource</t>
  </si>
  <si>
    <t>fuel_resource</t>
  </si>
  <si>
    <t>chemicals_resource</t>
  </si>
  <si>
    <t>infra_resource</t>
  </si>
  <si>
    <t>emission_resource</t>
  </si>
  <si>
    <t>Placeholder</t>
  </si>
  <si>
    <t>mass_volume_energy</t>
  </si>
  <si>
    <t>mass_volume</t>
  </si>
  <si>
    <t>transport_resource</t>
  </si>
  <si>
    <t>Share of Process Urban Emissions</t>
  </si>
  <si>
    <t>Urban Share</t>
  </si>
  <si>
    <t>Surrogate For</t>
  </si>
  <si>
    <t/>
  </si>
  <si>
    <t>Coal electricity for CO2 capture. No transmission loss.</t>
  </si>
  <si>
    <t>CO2 delivery</t>
  </si>
  <si>
    <t>Algae growth</t>
  </si>
  <si>
    <t>$/mmBTU</t>
  </si>
  <si>
    <t>$/lb</t>
  </si>
  <si>
    <t>4.86% loss during electricity transmission.</t>
  </si>
  <si>
    <t>The carbon content of the PU is 66.16%, 73.20% of which is biogenic.</t>
  </si>
  <si>
    <t>AD Digestate cake bioavailable N</t>
  </si>
  <si>
    <t>AD Effluent NH3</t>
  </si>
  <si>
    <t>AD Effluent DAP</t>
  </si>
  <si>
    <t>CO2 recycled to pond, hence negative amount</t>
  </si>
  <si>
    <t>Fuel production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</si>
</sst>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F400]h:mm:ss\ AM/PM"/>
    <numFmt numFmtId="165" formatCode="_(* #,##0_);_(* \(#,##0\);_(* &quot;-&quot;??_);_(@_)"/>
    <numFmt numFmtId="166" formatCode="#,##0.0"/>
    <numFmt numFmtId="167" formatCode="_(* #,##0.000_);_(* \(#,##0.000\);_(* &quot;-&quot;??_);_(@_)"/>
    <numFmt numFmtId="168" formatCode="_(* #,##0.00000_);_(* \(#,##0.00000\);_(* &quot;-&quot;??_);_(@_)"/>
  </numFmts>
  <fonts count="1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s>
  <fills count="11">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
      <patternFill patternType="solid">
        <fgColor theme="5"/>
        <bgColor indexed="64"/>
      </patternFill>
    </fill>
  </fills>
  <borders count="12">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66">
    <xf numFmtId="0" fontId="0" fillId="0" borderId="0" xfId="0"/>
    <xf numFmtId="164" fontId="0" fillId="0" borderId="0" xfId="0" applyNumberFormat="1"/>
    <xf numFmtId="0" fontId="3" fillId="0" borderId="0" xfId="0" applyFont="1"/>
    <xf numFmtId="0" fontId="0" fillId="0" borderId="0" xfId="0" applyAlignment="1">
      <alignment horizontal="left"/>
    </xf>
    <xf numFmtId="0" fontId="4" fillId="0" borderId="0" xfId="0" applyFont="1" applyAlignment="1">
      <alignment horizontal="left" wrapText="1"/>
    </xf>
    <xf numFmtId="0" fontId="4" fillId="0" borderId="0" xfId="0" applyFont="1" applyAlignment="1">
      <alignment horizontal="left"/>
    </xf>
    <xf numFmtId="0" fontId="0" fillId="0" borderId="2" xfId="0" applyBorder="1"/>
    <xf numFmtId="0" fontId="2" fillId="2" borderId="0" xfId="0" applyFont="1" applyFill="1"/>
    <xf numFmtId="0" fontId="5" fillId="2" borderId="0" xfId="0" applyFont="1" applyFill="1"/>
    <xf numFmtId="0" fontId="2" fillId="0" borderId="0" xfId="0" applyFont="1"/>
    <xf numFmtId="0" fontId="2" fillId="0" borderId="0" xfId="0" applyFont="1" applyAlignment="1">
      <alignment horizontal="left"/>
    </xf>
    <xf numFmtId="0" fontId="0" fillId="3" borderId="1" xfId="0"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0" xfId="0" applyAlignment="1">
      <alignment wrapText="1"/>
    </xf>
    <xf numFmtId="0" fontId="9" fillId="0" borderId="0" xfId="0" applyFont="1" applyAlignment="1">
      <alignment vertical="center"/>
    </xf>
    <xf numFmtId="0" fontId="10" fillId="0" borderId="0" xfId="0" applyFont="1" applyAlignment="1">
      <alignment vertical="center"/>
    </xf>
    <xf numFmtId="0" fontId="11" fillId="0" borderId="0" xfId="0" applyFont="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Font="1" applyBorder="1"/>
    <xf numFmtId="0" fontId="0" fillId="0" borderId="2" xfId="2" applyNumberFormat="1" applyFont="1" applyBorder="1"/>
    <xf numFmtId="0" fontId="16" fillId="0" borderId="3" xfId="0" applyFont="1" applyBorder="1" applyAlignment="1">
      <alignment horizontal="right" wrapText="1"/>
    </xf>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7" xfId="0" applyNumberFormat="1" applyFont="1" applyFill="1" applyBorder="1"/>
    <xf numFmtId="0" fontId="4" fillId="0" borderId="7" xfId="0" applyFont="1" applyBorder="1"/>
    <xf numFmtId="3" fontId="4" fillId="7" borderId="0" xfId="0" applyNumberFormat="1" applyFont="1" applyFill="1"/>
    <xf numFmtId="3" fontId="4" fillId="8" borderId="0" xfId="0" applyNumberFormat="1" applyFont="1" applyFill="1"/>
    <xf numFmtId="3" fontId="4" fillId="0" borderId="8"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8" xfId="0" applyNumberFormat="1" applyFont="1" applyFill="1" applyBorder="1"/>
    <xf numFmtId="0" fontId="16" fillId="0" borderId="9" xfId="0" applyFont="1" applyBorder="1"/>
    <xf numFmtId="3" fontId="4" fillId="0" borderId="10" xfId="0" applyNumberFormat="1" applyFont="1" applyBorder="1"/>
    <xf numFmtId="3" fontId="4" fillId="5" borderId="10" xfId="0" applyNumberFormat="1" applyFont="1" applyFill="1" applyBorder="1"/>
    <xf numFmtId="0" fontId="4" fillId="0" borderId="10" xfId="0" applyFont="1" applyBorder="1"/>
    <xf numFmtId="0" fontId="4" fillId="7" borderId="10" xfId="0" applyFont="1" applyFill="1" applyBorder="1"/>
    <xf numFmtId="3" fontId="4" fillId="0" borderId="11" xfId="0" applyNumberFormat="1" applyFont="1" applyBorder="1"/>
    <xf numFmtId="3" fontId="0" fillId="0" borderId="0" xfId="0" applyNumberFormat="1"/>
    <xf numFmtId="166" fontId="0" fillId="0" borderId="0" xfId="0" applyNumberFormat="1"/>
    <xf numFmtId="0" fontId="0" fillId="10" borderId="0" xfId="0" applyFill="1"/>
    <xf numFmtId="0" fontId="3" fillId="10" borderId="0" xfId="0" applyFont="1" applyFill="1"/>
    <xf numFmtId="164" fontId="0" fillId="10" borderId="0" xfId="0" applyNumberFormat="1" applyFill="1"/>
    <xf numFmtId="0" fontId="4" fillId="10" borderId="4" xfId="0" applyFont="1" applyFill="1" applyBorder="1"/>
    <xf numFmtId="0" fontId="0" fillId="10" borderId="4" xfId="0" applyFill="1" applyBorder="1"/>
    <xf numFmtId="9" fontId="0" fillId="0" borderId="0" xfId="0" applyNumberFormat="1"/>
    <xf numFmtId="0" fontId="4" fillId="0" borderId="4" xfId="0" applyFont="1" applyBorder="1"/>
    <xf numFmtId="0" fontId="0" fillId="0" borderId="4" xfId="0" applyBorder="1"/>
    <xf numFmtId="167" fontId="0" fillId="0" borderId="2" xfId="1" applyNumberFormat="1" applyFont="1" applyBorder="1"/>
    <xf numFmtId="168" fontId="0" fillId="0" borderId="2" xfId="1" applyNumberFormat="1" applyFont="1" applyBorder="1"/>
    <xf numFmtId="43" fontId="0" fillId="0" borderId="2" xfId="1" applyFont="1" applyBorder="1"/>
    <xf numFmtId="0" fontId="0" fillId="0" borderId="0" xfId="0" applyAlignment="1">
      <alignment horizontal="left" vertical="center" wrapText="1"/>
    </xf>
    <xf numFmtId="0" fontId="8" fillId="0" borderId="0" xfId="0" applyFont="1" applyAlignment="1">
      <alignment horizontal="left" vertical="center" wrapText="1"/>
    </xf>
    <xf numFmtId="0" fontId="13" fillId="0" borderId="0" xfId="0" applyFont="1" applyAlignment="1">
      <alignment horizontal="left" vertical="center" wrapText="1"/>
    </xf>
  </cellXfs>
  <cellStyles count="3">
    <cellStyle name="Comma" xfId="1" builtinId="3"/>
    <cellStyle name="Normal" xfId="0" builtinId="0"/>
    <cellStyle name="Percent" xfId="2" builtinId="5"/>
  </cellStyles>
  <dxfs count="152">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F400]h:mm:ss\ AM/PM"/>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412750</xdr:colOff>
          <xdr:row>0</xdr:row>
          <xdr:rowOff>266700</xdr:rowOff>
        </xdr:from>
        <xdr:to>
          <xdr:col>1</xdr:col>
          <xdr:colOff>1879600</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700-000001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800-0000015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900-000001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73F1B018-CCA2-4443-8783-ABE5DB7E55BB}"/>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5:T100" totalsRowShown="0" headerRowDxfId="151" dataDxfId="150" tableBorderDxfId="149" dataCellStyle="Percent">
  <autoFilter ref="A5:T100" xr:uid="{1644AED8-49DE-4A1D-989C-1566C9A522B9}"/>
  <tableColumns count="20">
    <tableColumn id="1" xr3:uid="{3C4E83C1-4DAF-4B93-AE9A-B658DBA43631}" name="Type" dataDxfId="148"/>
    <tableColumn id="2" xr3:uid="{7AC9B54E-C457-49EC-A7D6-0ED656B6CFE9}" name="Category" dataDxfId="147"/>
    <tableColumn id="3" xr3:uid="{350F9A14-F368-49FE-AF21-19555EB999FB}" name="Resource" dataDxfId="146">
      <calculatedColumnFormula>_xlfn.XLOOKUP($B6,'SI - Resources'!$A$1:$J$1,'SI - Resources'!$A$2:$J$2, "")</calculatedColumnFormula>
    </tableColumn>
    <tableColumn id="4" xr3:uid="{A0B55D89-6640-4C29-88AC-93188C5097C5}" name="End Use" dataDxfId="145">
      <calculatedColumnFormula>IF(_xlfn.XLOOKUP($C6,'SI - End Use'!$B$2:$B$6,'SI - End Use'!$C$2:$C$6, "")="", "", _xlfn.XLOOKUP($C6,'SI - End Use'!$B$2:$B$6,'SI - End Use'!$C$2:$C$6, ""))</calculatedColumnFormula>
    </tableColumn>
    <tableColumn id="5" xr3:uid="{5ADDDF1D-4510-4428-A882-8D5C8F52BE8C}" name="Amount" dataDxfId="144" dataCellStyle="Comma"/>
    <tableColumn id="6" xr3:uid="{341D427F-5F42-4F22-98AD-9D6883E4330B}" name="Unit" dataDxfId="143">
      <calculatedColumnFormula array="1">IF($B6="Transportation",  'SI - Units'!$B$9:$B$9, _xlfn.XLOOKUP(_xlfn.XLOOKUP($C6,'SI - Units'!$B$24:$B$109,'SI - Units'!$C$24:$C$109, ""),'SI - Units'!$A$2:$A$8,'SI - Units'!$B$2:$B$8, ""))</calculatedColumnFormula>
    </tableColumn>
    <tableColumn id="7" xr3:uid="{515C4DB0-B187-40B1-8F47-45FF3483AEC1}" name="Moisture" dataDxfId="142" dataCellStyle="Percent"/>
    <tableColumn id="8" xr3:uid="{294BC856-42BB-4049-BD49-6A865E88E771}" name="Previous Stage" dataDxfId="141" dataCellStyle="Percent"/>
    <tableColumn id="9" xr3:uid="{CDA23678-EB57-4035-9101-F29AA45C63EE}" name="Always Use Displacement Method for Co-Product?" dataDxfId="140" dataCellStyle="Percent">
      <calculatedColumnFormula>IF(Table1[[#This Row],[Type]]="Co-product", "No", "")</calculatedColumnFormula>
    </tableColumn>
    <tableColumn id="19" xr3:uid="{9ACBBA67-4B7F-43A7-9CF8-0FBB7B61A832}" name="Urban Share" dataDxfId="139" dataCellStyle="Percent"/>
    <tableColumn id="10" xr3:uid="{0E5BF4B8-8667-40EE-B9EF-BC9E06D72AAB}" name="Product Train" dataDxfId="138"/>
    <tableColumn id="14" xr3:uid="{D99A9C54-A8C3-4803-A70D-4659D5193A9A}" name="Payload" dataDxfId="137">
      <calculatedColumnFormula>IF(Table1[[#This Row],[Category]]="Transportation", _xlfn.XLOOKUP(Table1[[#This Row],[Resource]], 'SI - Payload'!$A$10:$A$38,'SI - Payload'!$B$10:$B$38,"",0), "")</calculatedColumnFormula>
    </tableColumn>
    <tableColumn id="15" xr3:uid="{3BF278AE-6D04-4ABA-AACE-E651957B5676}" name="Payload Unit" dataDxfId="136">
      <calculatedColumnFormula>IF(Table1[[#This Row],[Category]]="Transportation", "ton", "")</calculatedColumnFormula>
    </tableColumn>
    <tableColumn id="16" xr3:uid="{B4587E16-116C-48C2-B897-34EA45D2B5E2}" name="Market Price" dataDxfId="135"/>
    <tableColumn id="17" xr3:uid="{CFF030DD-8740-4448-85CE-69419CA7344D}" name="Market Price Unit" dataDxfId="134"/>
    <tableColumn id="12" xr3:uid="{0A5A1CE9-5C17-482C-ACCA-BB3BA789761E}" name="Incumbent Product" dataDxfId="133">
      <calculatedColumnFormula>IF(OR(Table1[[#This Row],[Type]]="Main Product", Table1[[#This Row],[Type]]="Co-Product"), Table1[[#This Row],[Resource]], "")</calculatedColumnFormula>
    </tableColumn>
    <tableColumn id="13" xr3:uid="{A8C514D4-4EE9-4BFC-A5D9-1A3B1C61CAF3}" name="End Use of Incumbent Product" dataDxfId="132">
      <calculatedColumnFormula>IF(_xlfn.XLOOKUP($P6,'SI - End Use'!$B$2:$B$6,'SI - End Use'!$C$2:$C$6, "")="", "", _xlfn.XLOOKUP($C6,'SI - End Use'!$B$2:$B$6,'SI - End Use'!$C$2:$C$6, ""))</calculatedColumnFormula>
    </tableColumn>
    <tableColumn id="20" xr3:uid="{3D510D5D-99B7-4EB4-8590-3620FE598E5C}" name="Surrogate For" dataDxfId="131"/>
    <tableColumn id="18" xr3:uid="{1AFBF91D-E45D-442D-BA06-D58B0AE7953E}" name="Process" dataDxfId="130"/>
    <tableColumn id="11" xr3:uid="{34D8D993-53F9-46B7-8FE9-32F1A6F2DFD2}" name="Note" dataDxfId="12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K53" totalsRowShown="0" headerRowDxfId="128" dataDxfId="127">
  <autoFilter ref="A1:K53" xr:uid="{BF352F56-F627-4A8D-9B22-DA497E2644FC}"/>
  <tableColumns count="11">
    <tableColumn id="1" xr3:uid="{B4C1BEA4-EC08-4542-9BC0-5CAC3303F1DE}" name="Biomass" dataDxfId="126"/>
    <tableColumn id="8" xr3:uid="{CA09F49F-4D37-4D57-9F64-66042BBFCAF3}" name="Waste" dataDxfId="125"/>
    <tableColumn id="2" xr3:uid="{16936180-7E0F-4E08-BEC7-75346859C647}" name="Process fuel" dataDxfId="124"/>
    <tableColumn id="6" xr3:uid="{8ABA29FD-C6B0-4B51-8840-E17193E077EC}" name="Electricity" dataDxfId="123"/>
    <tableColumn id="3" xr3:uid="{C1A34163-30E4-47F2-BE75-A919CC80E9BF}" name="Chemicals and catalysts" dataDxfId="122"/>
    <tableColumn id="4" xr3:uid="{CA7E12F4-CA42-4C30-8167-75EC0AE0646A}" name="Water" dataDxfId="121"/>
    <tableColumn id="9" xr3:uid="{6ADE4401-0F6C-4911-9721-036C8287FC6F}" name="Infrastructure" dataDxfId="120"/>
    <tableColumn id="7" xr3:uid="{C235CCC4-A94E-464B-AE35-96309F90FA7A}" name="Transportation" dataDxfId="119"/>
    <tableColumn id="10" xr3:uid="{C8DE9AE9-442D-497B-B981-79FAEF638C23}" name="Other" dataDxfId="118"/>
    <tableColumn id="5" xr3:uid="{FBD24046-BCD6-418A-8FDF-2918685E10CE}" name="Emissions and sequestration" dataDxfId="117"/>
    <tableColumn id="11" xr3:uid="{B559EE47-EDB5-47AD-9A10-77802A08495D}" name="Placeholder" dataDxfId="11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O6" totalsRowShown="0">
  <autoFilter ref="A1:O6" xr:uid="{A2520818-4902-482A-9E88-A7A4D5A1D5DD}"/>
  <tableColumns count="15">
    <tableColumn id="1" xr3:uid="{75A5F75F-64ED-4232-9A1E-4D41B091D006}" name="Column1"/>
    <tableColumn id="2" xr3:uid="{18B5F0AA-5D76-44C7-A951-0327634C6CCB}" name="Column2"/>
    <tableColumn id="3" xr3:uid="{ECDC9495-57EB-459F-8C28-D2BCDB1550C0}" name="Column3" dataDxfId="115"/>
    <tableColumn id="4" xr3:uid="{066E5028-FE97-46DD-94DD-3F5362889CC8}" name="Column4" dataDxfId="114"/>
    <tableColumn id="5" xr3:uid="{518CF11D-9FC1-41DC-A48E-08F72F35ADAA}" name="Column5" dataDxfId="113"/>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5" xr3:uid="{42F15BD2-8E9D-461D-9426-12A882503BE2}" name="Column132"/>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112">
  <autoFilter ref="A1:R10" xr:uid="{A38095DD-9874-4EE7-A8C2-2706165CCEBD}"/>
  <tableColumns count="18">
    <tableColumn id="1" xr3:uid="{65B7BBF3-4BCE-43A4-9B03-83AE412598EC}" name="Column1"/>
    <tableColumn id="2" xr3:uid="{FFDF068B-D532-4DC4-904E-48D00A60A52E}" name="Column2" dataDxfId="111"/>
    <tableColumn id="3" xr3:uid="{22885E79-E7D2-4EEE-B0A6-74B1C5779681}" name="Column3" dataDxfId="110"/>
    <tableColumn id="4" xr3:uid="{C1DEFD79-EA05-47FD-8251-B29B3BCC06B2}" name="Column4" dataDxfId="109"/>
    <tableColumn id="5" xr3:uid="{29AEEBB1-E43B-4691-B73C-A8FA6D80443C}" name="Column5" dataDxfId="108"/>
    <tableColumn id="6" xr3:uid="{CC08C1F9-C485-4200-A0F9-C8E59BA65B97}" name="Column6" dataDxfId="107"/>
    <tableColumn id="7" xr3:uid="{6C28381F-6253-4E2E-A800-FF075582292A}" name="Column7" dataDxfId="106"/>
    <tableColumn id="8" xr3:uid="{CA3D0B6B-B24F-4751-A1CE-28D7D0B98174}" name="Column8" dataDxfId="105"/>
    <tableColumn id="9" xr3:uid="{7057E753-ED12-407E-950F-CC59E808A2BF}" name="Column9" dataDxfId="104"/>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109" totalsRowShown="0" dataDxfId="103">
  <autoFilter ref="B23:C109" xr:uid="{09147A22-E822-45D3-B3C2-ABDDF48EE5E6}"/>
  <tableColumns count="2">
    <tableColumn id="1" xr3:uid="{CDC0A0AC-3BED-4650-82CE-403A1BF28367}" name="Column1" dataDxfId="102"/>
    <tableColumn id="2" xr3:uid="{B6F8A3B9-3868-4A35-8F6E-BA3E60A1529E}" name="Column2" dataDxfId="101"/>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100">
  <autoFilter ref="A12:R20" xr:uid="{B01EA81C-1645-4ED3-BEC5-6C5396237E43}"/>
  <tableColumns count="18">
    <tableColumn id="1" xr3:uid="{821EE498-6278-4E39-82EF-1F47FBA85A36}" name="Column1"/>
    <tableColumn id="2" xr3:uid="{E81954FF-60B7-4ABD-BC14-40676F73AA3E}" name="Column2" dataDxfId="99">
      <calculatedColumnFormula>IF(B2&lt;&gt;"","$/"&amp;B2, "")</calculatedColumnFormula>
    </tableColumn>
    <tableColumn id="3" xr3:uid="{A15329FC-BC0D-46AE-9A0E-F4CFE0FF184A}" name="Column3" dataDxfId="98">
      <calculatedColumnFormula>IF(C2&lt;&gt;"","$/"&amp;C2, "")</calculatedColumnFormula>
    </tableColumn>
    <tableColumn id="4" xr3:uid="{2197BCF8-40A1-4D22-B05E-D0E1CBFBA215}" name="Column4" dataDxfId="97">
      <calculatedColumnFormula>IF(D2&lt;&gt;"","$/"&amp;D2, "")</calculatedColumnFormula>
    </tableColumn>
    <tableColumn id="5" xr3:uid="{3DAF72F2-745A-4FCF-BD44-BDC825984018}" name="Column5" dataDxfId="96">
      <calculatedColumnFormula>IF(E2&lt;&gt;"","$/"&amp;E2, "")</calculatedColumnFormula>
    </tableColumn>
    <tableColumn id="6" xr3:uid="{820E7353-19C6-4D63-B444-F7CAC7BF01AA}" name="Column6" dataDxfId="95">
      <calculatedColumnFormula>IF(F2&lt;&gt;"","$/"&amp;F2, "")</calculatedColumnFormula>
    </tableColumn>
    <tableColumn id="7" xr3:uid="{91F510E8-B638-43EB-BA78-D4632DA66CD4}" name="Column7" dataDxfId="94">
      <calculatedColumnFormula>IF(G2&lt;&gt;"","$/"&amp;G2, "")</calculatedColumnFormula>
    </tableColumn>
    <tableColumn id="8" xr3:uid="{9CD4EFF6-953E-4257-A2B2-041DCDDBD0BB}" name="Column8" dataDxfId="93">
      <calculatedColumnFormula>IF(H2&lt;&gt;"","$/"&amp;H2, "")</calculatedColumnFormula>
    </tableColumn>
    <tableColumn id="9" xr3:uid="{E1D1E2ED-A567-4428-8C9E-5EE867B5D225}" name="Column9" dataDxfId="92">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6FC01F8-BD46-4A26-90D3-02682CBB51B9}" name="Table13" displayName="Table13" ref="A5:T100" totalsRowShown="0" headerRowDxfId="91" dataDxfId="90" tableBorderDxfId="89" dataCellStyle="Percent">
  <autoFilter ref="A5:T100" xr:uid="{1644AED8-49DE-4A1D-989C-1566C9A522B9}"/>
  <tableColumns count="20">
    <tableColumn id="1" xr3:uid="{5C14494A-D5A7-4384-9BE6-EDADB9A49DA1}" name="Type" dataDxfId="88"/>
    <tableColumn id="2" xr3:uid="{F94EBBB0-529F-4367-99F4-F6B804F6F878}" name="Category" dataDxfId="87"/>
    <tableColumn id="3" xr3:uid="{6C3E8C27-720F-41E8-BDA3-20546064E67C}" name="Resource" dataDxfId="86">
      <calculatedColumnFormula>_xlfn.XLOOKUP($B6,'SI - Resources'!$A$1:$J$1,'SI - Resources'!$A$2:$J$2, "")</calculatedColumnFormula>
    </tableColumn>
    <tableColumn id="4" xr3:uid="{80894DA5-C440-42BB-97D8-9AEF3AA250DD}" name="End Use" dataDxfId="85">
      <calculatedColumnFormula>IF(_xlfn.XLOOKUP($C6,'SI - End Use'!$B$2:$B$6,'SI - End Use'!$C$2:$C$6, "")="", "", _xlfn.XLOOKUP($C6,'SI - End Use'!$B$2:$B$6,'SI - End Use'!$C$2:$C$6, ""))</calculatedColumnFormula>
    </tableColumn>
    <tableColumn id="5" xr3:uid="{50BB472B-3F35-4DC8-ACAB-87021B22A300}" name="Amount" dataDxfId="84" dataCellStyle="Comma"/>
    <tableColumn id="6" xr3:uid="{3BDD631E-6A2A-477E-913A-FC12253EBDD8}" name="Unit" dataDxfId="83">
      <calculatedColumnFormula array="1">IF($B6="Transportation",  'SI - Units'!$B$9:$B$9, _xlfn.XLOOKUP(_xlfn.XLOOKUP($C6,'SI - Units'!$B$24:$B$109,'SI - Units'!$C$24:$C$109, ""),'SI - Units'!$A$2:$A$8,'SI - Units'!$B$2:$B$8, ""))</calculatedColumnFormula>
    </tableColumn>
    <tableColumn id="7" xr3:uid="{4EE01B06-D222-4508-9931-902C581EFD90}" name="Moisture" dataDxfId="82" dataCellStyle="Percent"/>
    <tableColumn id="8" xr3:uid="{879CDC5A-148F-41D3-B45D-581A8E16F835}" name="Previous Stage" dataDxfId="81" dataCellStyle="Percent"/>
    <tableColumn id="9" xr3:uid="{2FD75FD6-A83C-4987-8E58-16B844248EE9}" name="Always Use Displacement Method for Co-Product?" dataDxfId="80" dataCellStyle="Percent">
      <calculatedColumnFormula>IF(Table13[[#This Row],[Type]]="Co-product", "No", "")</calculatedColumnFormula>
    </tableColumn>
    <tableColumn id="19" xr3:uid="{BD732883-5BF3-4D37-BB10-6CB6B03919F0}" name="Urban Share" dataDxfId="79" dataCellStyle="Percent"/>
    <tableColumn id="10" xr3:uid="{3AA89217-79AB-4F5A-B091-69D6E899927A}" name="Product Train" dataDxfId="78"/>
    <tableColumn id="14" xr3:uid="{F774A1BE-A8A8-4EF3-905C-D88A0E72F164}" name="Payload" dataDxfId="77">
      <calculatedColumnFormula>IF(Table13[[#This Row],[Category]]="Transportation", _xlfn.XLOOKUP(Table13[[#This Row],[Resource]], 'SI - Payload'!$A$10:$A$38,'SI - Payload'!$B$10:$B$38,"",0), "")</calculatedColumnFormula>
    </tableColumn>
    <tableColumn id="15" xr3:uid="{C77A7084-E87F-4DC1-A74F-23CB22D0AE8F}" name="Payload Unit" dataDxfId="76">
      <calculatedColumnFormula>IF(Table13[[#This Row],[Category]]="Transportation", "ton", "")</calculatedColumnFormula>
    </tableColumn>
    <tableColumn id="16" xr3:uid="{08EFBD21-F842-4EF6-A0D1-BD7F8826982F}" name="Market Price" dataDxfId="75"/>
    <tableColumn id="17" xr3:uid="{596024E1-87A9-47FC-90C3-A3DAE4E4656A}" name="Market Price Unit" dataDxfId="74"/>
    <tableColumn id="12" xr3:uid="{BF096D49-8C78-41C5-9009-134C663215AA}" name="Incumbent Product" dataDxfId="73">
      <calculatedColumnFormula>IF(OR(Table13[[#This Row],[Type]]="Main Product", Table13[[#This Row],[Type]]="Co-Product"), Table13[[#This Row],[Resource]], "")</calculatedColumnFormula>
    </tableColumn>
    <tableColumn id="13" xr3:uid="{D157D649-42B4-4A10-8A48-6B5B954B9033}" name="End Use of Incumbent Product" dataDxfId="72">
      <calculatedColumnFormula>IF(_xlfn.XLOOKUP($P6,'SI - End Use'!$B$2:$B$6,'SI - End Use'!$C$2:$C$6, "")="", "", _xlfn.XLOOKUP($C6,'SI - End Use'!$B$2:$B$6,'SI - End Use'!$C$2:$C$6, ""))</calculatedColumnFormula>
    </tableColumn>
    <tableColumn id="20" xr3:uid="{9A0C68B5-2C00-453B-BD44-6EB353C48AAA}" name="Surrogate For" dataDxfId="71"/>
    <tableColumn id="18" xr3:uid="{D6CB4ECB-3E2A-49E9-8839-1D66505226AC}" name="Process" dataDxfId="70"/>
    <tableColumn id="11" xr3:uid="{FC977AEA-8815-4A56-875B-A0E729B5481B}" name="Note" dataDxfId="69"/>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F1D4C84-23F8-41EE-A704-D5BAC39D07CC}" name="Table16" displayName="Table16" ref="A5:T100" totalsRowShown="0" headerRowDxfId="68" dataDxfId="67" tableBorderDxfId="66" dataCellStyle="Percent">
  <autoFilter ref="A5:T100" xr:uid="{1644AED8-49DE-4A1D-989C-1566C9A522B9}"/>
  <tableColumns count="20">
    <tableColumn id="1" xr3:uid="{B1E1B899-7802-451D-B0BD-A67CF42B043E}" name="Type" dataDxfId="65"/>
    <tableColumn id="2" xr3:uid="{A3FEACC3-FE0C-4E49-8BAE-FFF8C11C1D14}" name="Category" dataDxfId="64"/>
    <tableColumn id="3" xr3:uid="{D451C217-D78B-4598-8C0F-6C0C609A5FC5}" name="Resource" dataDxfId="63">
      <calculatedColumnFormula>_xlfn.XLOOKUP($B6,'SI - Resources'!$A$1:$J$1,'SI - Resources'!$A$2:$J$2, "")</calculatedColumnFormula>
    </tableColumn>
    <tableColumn id="4" xr3:uid="{8B094D5C-54AF-40FA-8AE8-7B0CC956B140}" name="End Use" dataDxfId="62">
      <calculatedColumnFormula>IF(_xlfn.XLOOKUP($C6,'SI - End Use'!$B$2:$B$6,'SI - End Use'!$C$2:$C$6, "")="", "", _xlfn.XLOOKUP($C6,'SI - End Use'!$B$2:$B$6,'SI - End Use'!$C$2:$C$6, ""))</calculatedColumnFormula>
    </tableColumn>
    <tableColumn id="5" xr3:uid="{F975F8E8-419C-4756-848A-8A0809237B5D}" name="Amount" dataDxfId="61" dataCellStyle="Comma"/>
    <tableColumn id="6" xr3:uid="{E9851DFF-EDF1-4386-8A51-02564BC99C5E}" name="Unit" dataDxfId="60">
      <calculatedColumnFormula array="1">IF($B6="Transportation",  'SI - Units'!$B$9:$B$9, _xlfn.XLOOKUP(_xlfn.XLOOKUP($C6,'SI - Units'!$B$24:$B$109,'SI - Units'!$C$24:$C$109, ""),'SI - Units'!$A$2:$A$8,'SI - Units'!$B$2:$B$8, ""))</calculatedColumnFormula>
    </tableColumn>
    <tableColumn id="7" xr3:uid="{84BCCC58-E141-4607-B0A1-1D384CAED6C1}" name="Moisture" dataDxfId="59" dataCellStyle="Percent"/>
    <tableColumn id="8" xr3:uid="{0DF5961B-A6FC-499F-8D53-FC3E0E60EABE}" name="Previous Stage" dataDxfId="58" dataCellStyle="Percent"/>
    <tableColumn id="9" xr3:uid="{6470BAD5-A74B-4AA4-AFDA-3219877865CC}" name="Always Use Displacement Method for Co-Product?" dataDxfId="57" dataCellStyle="Percent">
      <calculatedColumnFormula>IF(Table16[[#This Row],[Type]]="Co-product", "No", "")</calculatedColumnFormula>
    </tableColumn>
    <tableColumn id="19" xr3:uid="{C496D3CD-1497-40E5-80D5-0E172FA0BA77}" name="Urban Share" dataDxfId="56" dataCellStyle="Percent"/>
    <tableColumn id="10" xr3:uid="{2F8F8D32-BD83-45FE-8E8A-14A62AA4B315}" name="Product Train" dataDxfId="55"/>
    <tableColumn id="14" xr3:uid="{A458546C-B2B9-4366-B1F2-73D7EB6494B6}" name="Payload" dataDxfId="54">
      <calculatedColumnFormula>IF(Table16[[#This Row],[Category]]="Transportation", _xlfn.XLOOKUP(Table16[[#This Row],[Resource]], 'SI - Payload'!$A$10:$A$38,'SI - Payload'!$B$10:$B$38,"",0), "")</calculatedColumnFormula>
    </tableColumn>
    <tableColumn id="15" xr3:uid="{E2DBB816-FE1C-4500-9B1A-3516CFD6290D}" name="Payload Unit" dataDxfId="53">
      <calculatedColumnFormula>IF(Table16[[#This Row],[Category]]="Transportation", "ton", "")</calculatedColumnFormula>
    </tableColumn>
    <tableColumn id="16" xr3:uid="{FBBBA95E-D41A-444E-83E9-EEE504DB1F2D}" name="Market Price" dataDxfId="52"/>
    <tableColumn id="17" xr3:uid="{369ADA6E-B476-40AF-A3C1-5AE5E5D65121}" name="Market Price Unit" dataDxfId="51"/>
    <tableColumn id="12" xr3:uid="{BEC45118-CA98-421F-BDDA-E5A856A7032A}" name="Incumbent Product" dataDxfId="50">
      <calculatedColumnFormula>IF(OR(Table16[[#This Row],[Type]]="Main Product", Table16[[#This Row],[Type]]="Co-Product"), Table16[[#This Row],[Resource]], "")</calculatedColumnFormula>
    </tableColumn>
    <tableColumn id="13" xr3:uid="{BD99A87C-6C98-4C77-B3F1-3A9B7B1CCA69}" name="End Use of Incumbent Product" dataDxfId="49">
      <calculatedColumnFormula>IF(_xlfn.XLOOKUP($P6,'SI - End Use'!$B$2:$B$6,'SI - End Use'!$C$2:$C$6, "")="", "", _xlfn.XLOOKUP($C6,'SI - End Use'!$B$2:$B$6,'SI - End Use'!$C$2:$C$6, ""))</calculatedColumnFormula>
    </tableColumn>
    <tableColumn id="20" xr3:uid="{F4B88114-3F6B-4BB1-8DF2-98CAD3DCF8A1}" name="Surrogate For" dataDxfId="48"/>
    <tableColumn id="18" xr3:uid="{1B350A15-5218-4FED-8933-C6C3C59C7344}" name="Process" dataDxfId="47"/>
    <tableColumn id="11" xr3:uid="{9FC10FF8-5B7F-4AC1-9BE2-D5A083E424B6}" name="Note" dataDxfId="46"/>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AB7D2F1-C4E9-45A7-9821-01C74B4C8854}" name="Table18" displayName="Table18" ref="A5:T100" totalsRowShown="0" headerRowDxfId="45" dataDxfId="44" tableBorderDxfId="43" dataCellStyle="Percent">
  <autoFilter ref="A5:T100" xr:uid="{1644AED8-49DE-4A1D-989C-1566C9A522B9}"/>
  <tableColumns count="20">
    <tableColumn id="1" xr3:uid="{7EC87DCF-6251-4240-8F5B-613BAEF8BA4B}" name="Type" dataDxfId="42"/>
    <tableColumn id="2" xr3:uid="{7AC0C941-5EB1-4638-9442-07880AFAF357}" name="Category" dataDxfId="41"/>
    <tableColumn id="3" xr3:uid="{1B45774A-C5D3-4D10-B2DA-216965E9899D}" name="Resource" dataDxfId="40">
      <calculatedColumnFormula>_xlfn.XLOOKUP($B6,'SI - Resources'!$A$1:$J$1,'SI - Resources'!$A$2:$J$2, "")</calculatedColumnFormula>
    </tableColumn>
    <tableColumn id="4" xr3:uid="{35598BF0-9968-441A-ABE9-F58557295222}" name="End Use" dataDxfId="39">
      <calculatedColumnFormula>IF(_xlfn.XLOOKUP($C6,'SI - End Use'!$B$2:$B$6,'SI - End Use'!$C$2:$C$6, "")="", "", _xlfn.XLOOKUP($C6,'SI - End Use'!$B$2:$B$6,'SI - End Use'!$C$2:$C$6, ""))</calculatedColumnFormula>
    </tableColumn>
    <tableColumn id="5" xr3:uid="{8035282C-79EC-4419-940C-3B6F900FFA3E}" name="Amount" dataDxfId="38" dataCellStyle="Comma"/>
    <tableColumn id="6" xr3:uid="{7C2A0CDC-E90A-4876-A5C7-2266AF76E97C}" name="Unit" dataDxfId="37">
      <calculatedColumnFormula array="1">IF($B6="Transportation",  'SI - Units'!$B$9:$B$9, _xlfn.XLOOKUP(_xlfn.XLOOKUP($C6,'SI - Units'!$B$24:$B$109,'SI - Units'!$C$24:$C$109, ""),'SI - Units'!$A$2:$A$8,'SI - Units'!$B$2:$B$8, ""))</calculatedColumnFormula>
    </tableColumn>
    <tableColumn id="7" xr3:uid="{EC75E85E-569B-43DF-8ED0-E379204277B4}" name="Moisture" dataDxfId="36" dataCellStyle="Percent"/>
    <tableColumn id="8" xr3:uid="{258DAE84-6B7A-4825-A31A-5FAF2A05FEA9}" name="Previous Stage" dataDxfId="35" dataCellStyle="Percent"/>
    <tableColumn id="9" xr3:uid="{E940E76D-BC8A-427B-B344-DF1CA98194F2}" name="Always Use Displacement Method for Co-Product?" dataDxfId="34" dataCellStyle="Percent">
      <calculatedColumnFormula>IF(Table18[[#This Row],[Type]]="Co-product", "No", "")</calculatedColumnFormula>
    </tableColumn>
    <tableColumn id="19" xr3:uid="{65188A55-96A3-4170-9979-895D73E06177}" name="Urban Share" dataDxfId="33" dataCellStyle="Percent"/>
    <tableColumn id="10" xr3:uid="{C5725508-0FEE-4E75-9FC8-0A5432055E95}" name="Product Train" dataDxfId="32"/>
    <tableColumn id="14" xr3:uid="{ED6BF890-118D-4EA1-8C69-9E40D89D5BEB}" name="Payload" dataDxfId="31">
      <calculatedColumnFormula>IF(Table18[[#This Row],[Category]]="Transportation", _xlfn.XLOOKUP(Table18[[#This Row],[Resource]], 'SI - Payload'!$A$10:$A$38,'SI - Payload'!$B$10:$B$38,"",0), "")</calculatedColumnFormula>
    </tableColumn>
    <tableColumn id="15" xr3:uid="{D8B65983-31C2-4034-99F3-E8D2D54315EE}" name="Payload Unit" dataDxfId="30">
      <calculatedColumnFormula>IF(Table18[[#This Row],[Category]]="Transportation", "ton", "")</calculatedColumnFormula>
    </tableColumn>
    <tableColumn id="16" xr3:uid="{4F619B10-A0F1-4F2D-9FB1-BEE7A0D75C77}" name="Market Price" dataDxfId="29"/>
    <tableColumn id="17" xr3:uid="{207A3310-A728-4407-8642-5DB0B22BA967}" name="Market Price Unit" dataDxfId="28"/>
    <tableColumn id="12" xr3:uid="{7AAF70B5-6A10-48A8-AE77-DB21B9A4EE34}" name="Incumbent Product" dataDxfId="27">
      <calculatedColumnFormula>IF(OR(Table18[[#This Row],[Type]]="Main Product", Table18[[#This Row],[Type]]="Co-Product"), Table18[[#This Row],[Resource]], "")</calculatedColumnFormula>
    </tableColumn>
    <tableColumn id="13" xr3:uid="{529148C2-24C4-4201-8E6F-6B9D17834397}" name="End Use of Incumbent Product" dataDxfId="26">
      <calculatedColumnFormula>IF(_xlfn.XLOOKUP($P6,'SI - End Use'!$B$2:$B$6,'SI - End Use'!$C$2:$C$6, "")="", "", _xlfn.XLOOKUP($C6,'SI - End Use'!$B$2:$B$6,'SI - End Use'!$C$2:$C$6, ""))</calculatedColumnFormula>
    </tableColumn>
    <tableColumn id="20" xr3:uid="{64C311FB-4D25-4B48-8EDA-06F9BDFE5349}" name="Surrogate For" dataDxfId="25"/>
    <tableColumn id="18" xr3:uid="{3B4B9B49-1686-4899-8730-B1D785FEB379}" name="Process" dataDxfId="24"/>
    <tableColumn id="11" xr3:uid="{8CF0C64D-66C0-4CFD-95B3-9813C6B6127C}" name="Note" dataDxfId="23"/>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4C7317C-46F4-4447-AE37-02CCF0752E5F}" name="Table112" displayName="Table112" ref="A5:T100" totalsRowShown="0" headerRowDxfId="22" dataDxfId="21" tableBorderDxfId="20" dataCellStyle="Percent">
  <autoFilter ref="A5:T100" xr:uid="{1644AED8-49DE-4A1D-989C-1566C9A522B9}"/>
  <tableColumns count="20">
    <tableColumn id="1" xr3:uid="{27BA47F4-2858-4A2B-93AE-B43E2DD5897E}" name="Type" dataDxfId="19"/>
    <tableColumn id="2" xr3:uid="{E2A56930-7E8E-454F-B0AD-79DFA7E11680}" name="Category" dataDxfId="18"/>
    <tableColumn id="3" xr3:uid="{4FC63169-E45B-4848-BB2F-31E6FD5C9359}" name="Resource" dataDxfId="17">
      <calculatedColumnFormula>_xlfn.XLOOKUP($B6,'SI - Resources'!$A$1:$J$1,'SI - Resources'!$A$2:$J$2, "")</calculatedColumnFormula>
    </tableColumn>
    <tableColumn id="4" xr3:uid="{6F7114AB-7930-4077-A080-94EED9B5450A}" name="End Use" dataDxfId="16">
      <calculatedColumnFormula>IF(_xlfn.XLOOKUP($C6,'SI - End Use'!$B$2:$B$6,'SI - End Use'!$C$2:$C$6, "")="", "", _xlfn.XLOOKUP($C6,'SI - End Use'!$B$2:$B$6,'SI - End Use'!$C$2:$C$6, ""))</calculatedColumnFormula>
    </tableColumn>
    <tableColumn id="5" xr3:uid="{E92B5C7E-E3F5-4565-A61D-D9A26FF36EB0}" name="Amount" dataDxfId="15" dataCellStyle="Comma"/>
    <tableColumn id="6" xr3:uid="{90DE3C52-4B6D-4C23-B0D0-3194023D8E45}" name="Unit" dataDxfId="14">
      <calculatedColumnFormula array="1">IF($B6="Transportation",  'SI - Units'!$B$9:$B$9, _xlfn.XLOOKUP(_xlfn.XLOOKUP($C6,'SI - Units'!$B$24:$B$109,'SI - Units'!$C$24:$C$109, ""),'SI - Units'!$A$2:$A$8,'SI - Units'!$B$2:$B$8, ""))</calculatedColumnFormula>
    </tableColumn>
    <tableColumn id="7" xr3:uid="{6574AF84-C2B2-4B4F-AADD-E55AF5E8ACD7}" name="Moisture" dataDxfId="13" dataCellStyle="Percent"/>
    <tableColumn id="8" xr3:uid="{9B68D3F8-010F-41DA-9FE7-55C5B934DBFB}" name="Previous Stage" dataDxfId="12" dataCellStyle="Percent"/>
    <tableColumn id="9" xr3:uid="{CBB90C88-306C-447E-BA63-3CCABD63A2AF}" name="Always Use Displacement Method for Co-Product?" dataDxfId="11" dataCellStyle="Percent">
      <calculatedColumnFormula>IF(Table112[[#This Row],[Type]]="Co-product", "No", "")</calculatedColumnFormula>
    </tableColumn>
    <tableColumn id="19" xr3:uid="{FDEE240E-13E3-45A6-BF02-05AD85C50996}" name="Urban Share" dataDxfId="10" dataCellStyle="Percent"/>
    <tableColumn id="10" xr3:uid="{1FC05E29-781E-4EFD-87E9-AD1CD491366F}" name="Product Train" dataDxfId="9"/>
    <tableColumn id="14" xr3:uid="{2DAF2264-AEAF-427D-ACC8-97A09522C2B2}" name="Payload" dataDxfId="8">
      <calculatedColumnFormula>IF(Table112[[#This Row],[Category]]="Transportation", _xlfn.XLOOKUP(Table112[[#This Row],[Resource]], 'SI - Payload'!$A$10:$A$38,'SI - Payload'!$B$10:$B$38,"",0), "")</calculatedColumnFormula>
    </tableColumn>
    <tableColumn id="15" xr3:uid="{073FF9F7-EF2F-450E-8501-449FDE820097}" name="Payload Unit" dataDxfId="7">
      <calculatedColumnFormula>IF(Table112[[#This Row],[Category]]="Transportation", "ton", "")</calculatedColumnFormula>
    </tableColumn>
    <tableColumn id="16" xr3:uid="{F7DCEEE5-76B6-4A19-8FE1-B225F9F81617}" name="Market Price" dataDxfId="6"/>
    <tableColumn id="17" xr3:uid="{A65ABA09-580A-4BAF-A4CC-FCC343A9B917}" name="Market Price Unit" dataDxfId="5"/>
    <tableColumn id="12" xr3:uid="{5225F87A-312C-4E33-8A6E-59A8B1E186A1}" name="Incumbent Product" dataDxfId="4">
      <calculatedColumnFormula>IF(OR(Table112[[#This Row],[Type]]="Main Product", Table112[[#This Row],[Type]]="Co-Product"), Table112[[#This Row],[Resource]], "")</calculatedColumnFormula>
    </tableColumn>
    <tableColumn id="13" xr3:uid="{6500AF9D-64D7-4B2C-88A7-C2E28662C054}" name="End Use of Incumbent Product" dataDxfId="3">
      <calculatedColumnFormula>IF(_xlfn.XLOOKUP($P6,'SI - End Use'!$B$2:$B$6,'SI - End Use'!$C$2:$C$6, "")="", "", _xlfn.XLOOKUP($C6,'SI - End Use'!$B$2:$B$6,'SI - End Use'!$C$2:$C$6, ""))</calculatedColumnFormula>
    </tableColumn>
    <tableColumn id="20" xr3:uid="{D1C76156-9545-49D4-BBB1-5CC666FE5030}" name="Surrogate For" dataDxfId="2"/>
    <tableColumn id="18" xr3:uid="{CFFB5BE3-BAA7-4B7C-AF2E-8278DFFF5FAB}" name="Process" dataDxfId="1"/>
    <tableColumn id="11" xr3:uid="{46E6F4EB-9A7A-474E-9E95-BD5A52C73C48}" name="No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table" Target="../tables/table9.xml"/><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5" Type="http://schemas.openxmlformats.org/officeDocument/2006/relationships/table" Target="../tables/table10.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workbookViewId="0">
      <pane ySplit="1" topLeftCell="A16" activePane="bottomLeft" state="frozen"/>
      <selection pane="bottomLeft" activeCell="A34" sqref="A34"/>
    </sheetView>
  </sheetViews>
  <sheetFormatPr defaultRowHeight="14.5" x14ac:dyDescent="0.35"/>
  <cols>
    <col min="1" max="1" width="46.1796875" customWidth="1"/>
    <col min="2" max="2" width="139.54296875" customWidth="1"/>
  </cols>
  <sheetData>
    <row r="1" spans="1:3" ht="64" customHeight="1" x14ac:dyDescent="0.35"/>
    <row r="2" spans="1:3" ht="103.5" customHeight="1" x14ac:dyDescent="0.35">
      <c r="A2" s="63" t="s">
        <v>261</v>
      </c>
      <c r="B2" s="63"/>
    </row>
    <row r="3" spans="1:3" ht="29.15" customHeight="1" x14ac:dyDescent="0.35">
      <c r="A3" s="65" t="s">
        <v>274</v>
      </c>
      <c r="B3" s="65"/>
    </row>
    <row r="4" spans="1:3" ht="28" customHeight="1" x14ac:dyDescent="0.35">
      <c r="A4" s="19"/>
      <c r="B4" s="19"/>
    </row>
    <row r="5" spans="1:3" ht="28" customHeight="1" x14ac:dyDescent="0.35">
      <c r="A5" s="64" t="s">
        <v>260</v>
      </c>
      <c r="B5" s="64"/>
    </row>
    <row r="6" spans="1:3" ht="28" customHeight="1" x14ac:dyDescent="0.35">
      <c r="A6" s="21" t="s">
        <v>119</v>
      </c>
      <c r="B6" s="20"/>
    </row>
    <row r="7" spans="1:3" x14ac:dyDescent="0.35">
      <c r="A7" s="23" t="s">
        <v>125</v>
      </c>
      <c r="B7" s="15" t="s">
        <v>256</v>
      </c>
    </row>
    <row r="8" spans="1:3" x14ac:dyDescent="0.35">
      <c r="A8" s="23" t="s">
        <v>262</v>
      </c>
      <c r="B8" s="22" t="s">
        <v>263</v>
      </c>
      <c r="C8" s="14"/>
    </row>
    <row r="9" spans="1:3" ht="21" x14ac:dyDescent="0.35">
      <c r="A9" s="20"/>
      <c r="B9" s="20"/>
    </row>
    <row r="10" spans="1:3" ht="28" customHeight="1" x14ac:dyDescent="0.35">
      <c r="A10" s="21" t="s">
        <v>120</v>
      </c>
      <c r="B10" s="20"/>
    </row>
    <row r="11" spans="1:3" x14ac:dyDescent="0.35">
      <c r="A11" s="16" t="s">
        <v>6</v>
      </c>
      <c r="B11" s="15" t="s">
        <v>264</v>
      </c>
    </row>
    <row r="12" spans="1:3" x14ac:dyDescent="0.35">
      <c r="A12" s="18" t="s">
        <v>0</v>
      </c>
      <c r="B12" s="15" t="s">
        <v>115</v>
      </c>
    </row>
    <row r="13" spans="1:3" x14ac:dyDescent="0.35">
      <c r="A13" s="18" t="s">
        <v>265</v>
      </c>
      <c r="B13" s="15" t="s">
        <v>273</v>
      </c>
    </row>
    <row r="14" spans="1:3" ht="58" x14ac:dyDescent="0.35">
      <c r="A14" s="18" t="s">
        <v>113</v>
      </c>
      <c r="B14" s="15" t="s">
        <v>266</v>
      </c>
    </row>
    <row r="15" spans="1:3" ht="87" x14ac:dyDescent="0.35">
      <c r="A15" s="18" t="s">
        <v>85</v>
      </c>
      <c r="B15" s="15" t="s">
        <v>267</v>
      </c>
    </row>
    <row r="16" spans="1:3" ht="43.5" x14ac:dyDescent="0.35">
      <c r="A16" s="18" t="s">
        <v>240</v>
      </c>
      <c r="B16" s="15" t="s">
        <v>268</v>
      </c>
    </row>
    <row r="17" spans="1:2" x14ac:dyDescent="0.35">
      <c r="A17" s="17" t="s">
        <v>1</v>
      </c>
      <c r="B17" s="15" t="s">
        <v>247</v>
      </c>
    </row>
    <row r="18" spans="1:2" x14ac:dyDescent="0.35">
      <c r="A18" s="17" t="s">
        <v>35</v>
      </c>
      <c r="B18" s="15" t="s">
        <v>116</v>
      </c>
    </row>
    <row r="19" spans="1:2" ht="43.5" x14ac:dyDescent="0.35">
      <c r="A19" s="17" t="s">
        <v>5</v>
      </c>
      <c r="B19" s="15" t="s">
        <v>269</v>
      </c>
    </row>
    <row r="20" spans="1:2" x14ac:dyDescent="0.35">
      <c r="A20" s="17" t="s">
        <v>7</v>
      </c>
      <c r="B20" s="15" t="s">
        <v>118</v>
      </c>
    </row>
    <row r="21" spans="1:2" x14ac:dyDescent="0.35">
      <c r="A21" s="17" t="s">
        <v>8</v>
      </c>
      <c r="B21" s="15" t="s">
        <v>117</v>
      </c>
    </row>
    <row r="22" spans="1:2" ht="29" x14ac:dyDescent="0.35">
      <c r="A22" s="17" t="s">
        <v>111</v>
      </c>
      <c r="B22" s="15" t="s">
        <v>270</v>
      </c>
    </row>
    <row r="23" spans="1:2" ht="29" x14ac:dyDescent="0.35">
      <c r="A23" s="17" t="s">
        <v>258</v>
      </c>
      <c r="B23" s="15" t="s">
        <v>271</v>
      </c>
    </row>
    <row r="24" spans="1:2" ht="58" x14ac:dyDescent="0.35">
      <c r="A24" s="17" t="s">
        <v>122</v>
      </c>
      <c r="B24" s="15" t="s">
        <v>272</v>
      </c>
    </row>
    <row r="25" spans="1:2" ht="29" x14ac:dyDescent="0.35">
      <c r="A25" s="17" t="s">
        <v>84</v>
      </c>
      <c r="B25" s="15" t="s">
        <v>248</v>
      </c>
    </row>
    <row r="26" spans="1:2" x14ac:dyDescent="0.35">
      <c r="A26" s="17" t="s">
        <v>133</v>
      </c>
      <c r="B26" s="15" t="s">
        <v>249</v>
      </c>
    </row>
    <row r="27" spans="1:2" x14ac:dyDescent="0.35">
      <c r="A27" s="17" t="s">
        <v>134</v>
      </c>
      <c r="B27" t="s">
        <v>250</v>
      </c>
    </row>
    <row r="28" spans="1:2" x14ac:dyDescent="0.35">
      <c r="A28" s="17" t="s">
        <v>135</v>
      </c>
      <c r="B28" s="15" t="s">
        <v>252</v>
      </c>
    </row>
    <row r="29" spans="1:2" x14ac:dyDescent="0.35">
      <c r="A29" s="17" t="s">
        <v>136</v>
      </c>
      <c r="B29" t="s">
        <v>251</v>
      </c>
    </row>
    <row r="30" spans="1:2" ht="29" x14ac:dyDescent="0.35">
      <c r="A30" s="17" t="s">
        <v>137</v>
      </c>
      <c r="B30" s="15" t="s">
        <v>253</v>
      </c>
    </row>
    <row r="31" spans="1:2" x14ac:dyDescent="0.35">
      <c r="A31" s="17" t="s">
        <v>138</v>
      </c>
      <c r="B31" t="s">
        <v>254</v>
      </c>
    </row>
    <row r="32" spans="1:2" ht="58" x14ac:dyDescent="0.35">
      <c r="A32" s="17" t="s">
        <v>255</v>
      </c>
      <c r="B32" s="15" t="s">
        <v>275</v>
      </c>
    </row>
    <row r="33" spans="1:2" x14ac:dyDescent="0.35">
      <c r="A33" s="17" t="s">
        <v>4</v>
      </c>
      <c r="B33" s="15" t="s">
        <v>121</v>
      </c>
    </row>
  </sheetData>
  <mergeCells count="3">
    <mergeCell ref="A2:B2"/>
    <mergeCell ref="A5:B5"/>
    <mergeCell ref="A3:B3"/>
  </mergeCells>
  <dataValidations disablePrompts="1" count="1">
    <dataValidation type="custom" allowBlank="1" showInputMessage="1" showErrorMessage="1" sqref="A22" xr:uid="{6BD3DB0C-AE19-4CCC-B043-8DB6748088F6}">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412750</xdr:colOff>
                    <xdr:row>0</xdr:row>
                    <xdr:rowOff>266700</xdr:rowOff>
                  </from>
                  <to>
                    <xdr:col>1</xdr:col>
                    <xdr:colOff>1879600</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_xlfn.XLOOKUP(_xlfn.XLOOKUP($C22,'SI - Units'!$B$24:$B$109,'SI - Units'!$C$24:$C$109),'SI - Units'!$A$2:$A$8,'SI - Units'!$B$2:$R$8)</xm:f>
          </x14:formula1>
          <xm:sqref>A21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T100"/>
  <sheetViews>
    <sheetView workbookViewId="0">
      <pane ySplit="5" topLeftCell="A6" activePane="bottomLeft" state="frozen"/>
      <selection activeCell="C19" sqref="C19"/>
      <selection pane="bottomLeft" activeCell="I2" sqref="I2"/>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c r="B6" s="6"/>
      <c r="C6" s="6" t="str">
        <f>_xlfn.XLOOKUP($B6,'SI - Resources'!$A$1:$J$1,'SI - Resources'!$A$2:$J$2, "")</f>
        <v/>
      </c>
      <c r="D6" s="6" t="str">
        <f>IF(_xlfn.XLOOKUP($C6,'SI - End Use'!$B$2:$B$6,'SI - End Use'!$C$2:$C$6, "")="", "", _xlfn.XLOOKUP($C6,'SI - End Use'!$B$2:$B$6,'SI - End Use'!$C$2:$C$6, ""))</f>
        <v/>
      </c>
      <c r="E6" s="12"/>
      <c r="F6" s="6" t="str" cm="1">
        <f t="array" ref="F6">IF($B6="Transportation",  'SI - Units'!$B$9:$B$9, _xlfn.XLOOKUP(_xlfn.XLOOKUP($C6,'SI - Units'!$B$24:$B$109,'SI - Units'!$C$24:$C$109, ""),'SI - Units'!$A$2:$A$8,'SI - Units'!$B$2:$B$8, ""))</f>
        <v/>
      </c>
      <c r="G6" s="25"/>
      <c r="H6" s="25"/>
      <c r="I6" s="26" t="str">
        <f>IF(Table1[[#This Row],[Type]]="Co-product", "No", "")</f>
        <v/>
      </c>
      <c r="J6" s="25"/>
      <c r="K6" s="6"/>
      <c r="L6" s="6" t="str">
        <f>IF(Table1[[#This Row],[Category]]="Transportation", _xlfn.XLOOKUP(Table1[[#This Row],[Resource]], 'SI - Payload'!$A$10:$A$38,'SI - Payload'!$B$10:$B$38,"",0), "")</f>
        <v/>
      </c>
      <c r="M6" s="6" t="str">
        <f>IF(Table1[[#This Row],[Category]]="Transportation", "ton", "")</f>
        <v/>
      </c>
      <c r="N6" s="6"/>
      <c r="O6" s="6"/>
      <c r="P6" s="6" t="str">
        <f>IF(OR(Table1[[#This Row],[Type]]="Main Product", Table1[[#This Row],[Type]]="Co-Product"), Table1[[#This Row],[Resource]], "")</f>
        <v/>
      </c>
      <c r="Q6" s="6" t="str">
        <f>IF(_xlfn.XLOOKUP($P6,'SI - End Use'!$B$2:$B$6,'SI - End Use'!$C$2:$C$6, "")="", "", _xlfn.XLOOKUP($C6,'SI - End Use'!$B$2:$B$6,'SI - End Use'!$C$2:$C$6, ""))</f>
        <v/>
      </c>
      <c r="R6" s="6"/>
      <c r="S6" s="6"/>
      <c r="T6" s="6"/>
    </row>
    <row r="7" spans="1:20" x14ac:dyDescent="0.35">
      <c r="A7" s="6"/>
      <c r="B7" s="6"/>
      <c r="C7" s="6" t="str">
        <f>_xlfn.XLOOKUP($B7,'SI - Resources'!$A$1:$J$1,'SI - Resources'!$A$2:$J$2, "")</f>
        <v/>
      </c>
      <c r="D7" s="6" t="str">
        <f>IF(_xlfn.XLOOKUP($C7,'SI - End Use'!$B$2:$B$6,'SI - End Use'!$C$2:$C$6, "")="", "", _xlfn.XLOOKUP($C7,'SI - End Use'!$B$2:$B$6,'SI - End Use'!$C$2:$C$6, ""))</f>
        <v/>
      </c>
      <c r="E7" s="12"/>
      <c r="F7" s="6" t="str" cm="1">
        <f t="array" ref="F7">IF($B7="Transportation",  'SI - Units'!$B$9:$B$9, _xlfn.XLOOKUP(_xlfn.XLOOKUP($C7,'SI - Units'!$B$24:$B$109,'SI - Units'!$C$24:$C$109, ""),'SI - Units'!$A$2:$A$8,'SI - Units'!$B$2:$B$8, ""))</f>
        <v/>
      </c>
      <c r="G7" s="25"/>
      <c r="H7" s="25"/>
      <c r="I7" s="26" t="str">
        <f>IF(Table1[[#This Row],[Type]]="Co-product", "No", "")</f>
        <v/>
      </c>
      <c r="J7" s="25"/>
      <c r="K7" s="6"/>
      <c r="L7" s="6" t="str">
        <f>IF(Table1[[#This Row],[Category]]="Transportation", _xlfn.XLOOKUP(Table1[[#This Row],[Resource]], 'SI - Payload'!$A$10:$A$38,'SI - Payload'!$B$10:$B$38,"",0), "")</f>
        <v/>
      </c>
      <c r="M7" s="6" t="str">
        <f>IF(Table1[[#This Row],[Category]]="Transportation", "ton", "")</f>
        <v/>
      </c>
      <c r="N7" s="6"/>
      <c r="O7" s="6"/>
      <c r="P7" s="6" t="str">
        <f>IF(OR(Table1[[#This Row],[Type]]="Main Product", Table1[[#This Row],[Type]]="Co-Product"), Table1[[#This Row],[Resource]], "")</f>
        <v/>
      </c>
      <c r="Q7" s="6" t="str">
        <f>IF(_xlfn.XLOOKUP($P7,'SI - End Use'!$B$2:$B$6,'SI - End Use'!$C$2:$C$6, "")="", "", _xlfn.XLOOKUP($C7,'SI - End Use'!$B$2:$B$6,'SI - End Use'!$C$2:$C$6, ""))</f>
        <v/>
      </c>
      <c r="R7" s="6"/>
      <c r="S7" s="6"/>
      <c r="T7" s="6"/>
    </row>
    <row r="8" spans="1:20" x14ac:dyDescent="0.35">
      <c r="A8" s="6"/>
      <c r="B8" s="6"/>
      <c r="C8" s="6" t="str">
        <f>_xlfn.XLOOKUP($B8,'SI - Resources'!$A$1:$J$1,'SI - Resources'!$A$2:$J$2, "")</f>
        <v/>
      </c>
      <c r="D8" s="6" t="str">
        <f>IF(_xlfn.XLOOKUP($C8,'SI - End Use'!$B$2:$B$6,'SI - End Use'!$C$2:$C$6, "")="", "", _xlfn.XLOOKUP($C8,'SI - End Use'!$B$2:$B$6,'SI - End Use'!$C$2:$C$6, ""))</f>
        <v/>
      </c>
      <c r="E8" s="12"/>
      <c r="F8" s="6" t="str" cm="1">
        <f t="array" ref="F8">IF($B8="Transportation",  'SI - Units'!$B$9:$B$9, _xlfn.XLOOKUP(_xlfn.XLOOKUP($C8,'SI - Units'!$B$24:$B$109,'SI - Units'!$C$24:$C$109, ""),'SI - Units'!$A$2:$A$8,'SI - Units'!$B$2:$B$8, ""))</f>
        <v/>
      </c>
      <c r="G8" s="25"/>
      <c r="H8" s="25"/>
      <c r="I8" s="26" t="str">
        <f>IF(Table1[[#This Row],[Type]]="Co-product", "No", "")</f>
        <v/>
      </c>
      <c r="J8" s="25"/>
      <c r="K8" s="6"/>
      <c r="L8" s="6" t="str">
        <f>IF(Table1[[#This Row],[Category]]="Transportation", _xlfn.XLOOKUP(Table1[[#This Row],[Resource]], 'SI - Payload'!$A$10:$A$38,'SI - Payload'!$B$10:$B$38,"",0), "")</f>
        <v/>
      </c>
      <c r="M8" s="6" t="str">
        <f>IF(Table1[[#This Row],[Category]]="Transportation", "ton", "")</f>
        <v/>
      </c>
      <c r="N8" s="6"/>
      <c r="O8" s="6"/>
      <c r="P8" s="6" t="str">
        <f>IF(OR(Table1[[#This Row],[Type]]="Main Product", Table1[[#This Row],[Type]]="Co-Product"), Table1[[#This Row],[Resource]], "")</f>
        <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IF(Table1[[#This Row],[Type]]="Co-product", "No", "")</f>
        <v/>
      </c>
      <c r="J9" s="25"/>
      <c r="K9" s="6"/>
      <c r="L9" s="6" t="str">
        <f>IF(Table1[[#This Row],[Category]]="Transportation", _xlfn.XLOOKUP(Table1[[#This Row],[Resource]], 'SI - Payload'!$A$10:$A$38,'SI - Payload'!$B$10:$B$38,"",0), "")</f>
        <v/>
      </c>
      <c r="M9" s="6" t="str">
        <f>IF(Table1[[#This Row],[Category]]="Transportation", "ton", "")</f>
        <v/>
      </c>
      <c r="N9" s="6"/>
      <c r="O9" s="6"/>
      <c r="P9" s="6" t="str">
        <f>IF(OR(Table1[[#This Row],[Type]]="Main Product", Table1[[#This Row],[Type]]="Co-Product"), Table1[[#This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IF(Table1[[#This Row],[Type]]="Co-product", "No", "")</f>
        <v/>
      </c>
      <c r="J10" s="25"/>
      <c r="K10" s="6"/>
      <c r="L10" s="6" t="str">
        <f>IF(Table1[[#This Row],[Category]]="Transportation", _xlfn.XLOOKUP(Table1[[#This Row],[Resource]], 'SI - Payload'!$A$10:$A$38,'SI - Payload'!$B$10:$B$38,"",0), "")</f>
        <v/>
      </c>
      <c r="M10" s="6" t="str">
        <f>IF(Table1[[#This Row],[Category]]="Transportation", "ton", "")</f>
        <v/>
      </c>
      <c r="N10" s="6"/>
      <c r="O10" s="6"/>
      <c r="P10" s="6" t="str">
        <f>IF(OR(Table1[[#This Row],[Type]]="Main Product", Table1[[#This Row],[Type]]="Co-Product"), Table1[[#This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IF(Table1[[#This Row],[Type]]="Co-product", "No", "")</f>
        <v/>
      </c>
      <c r="J11" s="25"/>
      <c r="K11" s="6"/>
      <c r="L11" s="6" t="str">
        <f>IF(Table1[[#This Row],[Category]]="Transportation", _xlfn.XLOOKUP(Table1[[#This Row],[Resource]], 'SI - Payload'!$A$10:$A$38,'SI - Payload'!$B$10:$B$38,"",0), "")</f>
        <v/>
      </c>
      <c r="M11" s="6" t="str">
        <f>IF(Table1[[#This Row],[Category]]="Transportation", "ton", "")</f>
        <v/>
      </c>
      <c r="N11" s="6"/>
      <c r="O11" s="6"/>
      <c r="P11" s="6" t="str">
        <f>IF(OR(Table1[[#This Row],[Type]]="Main Product", Table1[[#This Row],[Type]]="Co-Product"), Table1[[#This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IF(Table1[[#This Row],[Type]]="Co-product", "No", "")</f>
        <v/>
      </c>
      <c r="J12" s="25"/>
      <c r="K12" s="6"/>
      <c r="L12" s="6" t="str">
        <f>IF(Table1[[#This Row],[Category]]="Transportation", _xlfn.XLOOKUP(Table1[[#This Row],[Resource]], 'SI - Payload'!$A$10:$A$38,'SI - Payload'!$B$10:$B$38,"",0), "")</f>
        <v/>
      </c>
      <c r="M12" s="6" t="str">
        <f>IF(Table1[[#This Row],[Category]]="Transportation", "ton", "")</f>
        <v/>
      </c>
      <c r="N12" s="6"/>
      <c r="O12" s="6"/>
      <c r="P12" s="6" t="str">
        <f>IF(OR(Table1[[#This Row],[Type]]="Main Product", Table1[[#This Row],[Type]]="Co-Product"), Table1[[#This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IF(Table1[[#This Row],[Type]]="Co-product", "No", "")</f>
        <v/>
      </c>
      <c r="J13" s="25"/>
      <c r="K13" s="6"/>
      <c r="L13" s="6" t="str">
        <f>IF(Table1[[#This Row],[Category]]="Transportation", _xlfn.XLOOKUP(Table1[[#This Row],[Resource]], 'SI - Payload'!$A$10:$A$38,'SI - Payload'!$B$10:$B$38,"",0), "")</f>
        <v/>
      </c>
      <c r="M13" s="6" t="str">
        <f>IF(Table1[[#This Row],[Category]]="Transportation", "ton", "")</f>
        <v/>
      </c>
      <c r="N13" s="6"/>
      <c r="O13" s="6"/>
      <c r="P13" s="6" t="str">
        <f>IF(OR(Table1[[#This Row],[Type]]="Main Product", Table1[[#This Row],[Type]]="Co-Product"), Table1[[#This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IF(Table1[[#This Row],[Type]]="Co-product", "No", "")</f>
        <v/>
      </c>
      <c r="J14" s="25"/>
      <c r="K14" s="6"/>
      <c r="L14" s="6" t="str">
        <f>IF(Table1[[#This Row],[Category]]="Transportation", _xlfn.XLOOKUP(Table1[[#This Row],[Resource]], 'SI - Payload'!$A$10:$A$38,'SI - Payload'!$B$10:$B$38,"",0), "")</f>
        <v/>
      </c>
      <c r="M14" s="6" t="str">
        <f>IF(Table1[[#This Row],[Category]]="Transportation", "ton", "")</f>
        <v/>
      </c>
      <c r="N14" s="6"/>
      <c r="O14" s="6"/>
      <c r="P14" s="6" t="str">
        <f>IF(OR(Table1[[#This Row],[Type]]="Main Product", Table1[[#This Row],[Type]]="Co-Product"), Table1[[#This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IF(Table1[[#This Row],[Type]]="Co-product", "No", "")</f>
        <v/>
      </c>
      <c r="J15" s="25"/>
      <c r="K15" s="6"/>
      <c r="L15" s="6" t="str">
        <f>IF(Table1[[#This Row],[Category]]="Transportation", _xlfn.XLOOKUP(Table1[[#This Row],[Resource]], 'SI - Payload'!$A$10:$A$38,'SI - Payload'!$B$10:$B$38,"",0), "")</f>
        <v/>
      </c>
      <c r="M15" s="6" t="str">
        <f>IF(Table1[[#This Row],[Category]]="Transportation", "ton", "")</f>
        <v/>
      </c>
      <c r="N15" s="6"/>
      <c r="O15" s="6"/>
      <c r="P15" s="6" t="str">
        <f>IF(OR(Table1[[#This Row],[Type]]="Main Product", Table1[[#This Row],[Type]]="Co-Product"), Table1[[#This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IF(Table1[[#This Row],[Type]]="Co-product", "No", "")</f>
        <v/>
      </c>
      <c r="J16" s="25"/>
      <c r="K16" s="6"/>
      <c r="L16" s="6" t="str">
        <f>IF(Table1[[#This Row],[Category]]="Transportation", _xlfn.XLOOKUP(Table1[[#This Row],[Resource]], 'SI - Payload'!$A$10:$A$38,'SI - Payload'!$B$10:$B$38,"",0), "")</f>
        <v/>
      </c>
      <c r="M16" s="6" t="str">
        <f>IF(Table1[[#This Row],[Category]]="Transportation", "ton", "")</f>
        <v/>
      </c>
      <c r="N16" s="6"/>
      <c r="O16" s="6"/>
      <c r="P16" s="6" t="str">
        <f>IF(OR(Table1[[#This Row],[Type]]="Main Product", Table1[[#This Row],[Type]]="Co-Product"), Table1[[#This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IF(Table1[[#This Row],[Type]]="Co-product", "No", "")</f>
        <v/>
      </c>
      <c r="J17" s="25"/>
      <c r="K17" s="6"/>
      <c r="L17" s="6" t="str">
        <f>IF(Table1[[#This Row],[Category]]="Transportation", _xlfn.XLOOKUP(Table1[[#This Row],[Resource]], 'SI - Payload'!$A$10:$A$38,'SI - Payload'!$B$10:$B$38,"",0), "")</f>
        <v/>
      </c>
      <c r="M17" s="6" t="str">
        <f>IF(Table1[[#This Row],[Category]]="Transportation", "ton", "")</f>
        <v/>
      </c>
      <c r="N17" s="6"/>
      <c r="O17" s="6"/>
      <c r="P17" s="6" t="str">
        <f>IF(OR(Table1[[#This Row],[Type]]="Main Product", Table1[[#This Row],[Type]]="Co-Product"), Table1[[#This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IF(Table1[[#This Row],[Type]]="Co-product", "No", "")</f>
        <v/>
      </c>
      <c r="J18" s="25"/>
      <c r="K18" s="6"/>
      <c r="L18" s="6" t="str">
        <f>IF(Table1[[#This Row],[Category]]="Transportation", _xlfn.XLOOKUP(Table1[[#This Row],[Resource]], 'SI - Payload'!$A$10:$A$38,'SI - Payload'!$B$10:$B$38,"",0), "")</f>
        <v/>
      </c>
      <c r="M18" s="6" t="str">
        <f>IF(Table1[[#This Row],[Category]]="Transportation", "ton", "")</f>
        <v/>
      </c>
      <c r="N18" s="6"/>
      <c r="O18" s="6"/>
      <c r="P18" s="6" t="str">
        <f>IF(OR(Table1[[#This Row],[Type]]="Main Product", Table1[[#This Row],[Type]]="Co-Product"), Table1[[#This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IF(Table1[[#This Row],[Type]]="Co-product", "No", "")</f>
        <v/>
      </c>
      <c r="J19" s="25"/>
      <c r="K19" s="6"/>
      <c r="L19" s="6" t="str">
        <f>IF(Table1[[#This Row],[Category]]="Transportation", _xlfn.XLOOKUP(Table1[[#This Row],[Resource]], 'SI - Payload'!$A$10:$A$38,'SI - Payload'!$B$10:$B$38,"",0), "")</f>
        <v/>
      </c>
      <c r="M19" s="6" t="str">
        <f>IF(Table1[[#This Row],[Category]]="Transportation", "ton", "")</f>
        <v/>
      </c>
      <c r="N19" s="6"/>
      <c r="O19" s="6"/>
      <c r="P19" s="6" t="str">
        <f>IF(OR(Table1[[#This Row],[Type]]="Main Product", Table1[[#This Row],[Type]]="Co-Product"), Table1[[#This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IF(Table1[[#This Row],[Type]]="Co-product", "No", "")</f>
        <v/>
      </c>
      <c r="J20" s="25"/>
      <c r="K20" s="6"/>
      <c r="L20" s="6" t="str">
        <f>IF(Table1[[#This Row],[Category]]="Transportation", _xlfn.XLOOKUP(Table1[[#This Row],[Resource]], 'SI - Payload'!$A$10:$A$38,'SI - Payload'!$B$10:$B$38,"",0), "")</f>
        <v/>
      </c>
      <c r="M20" s="6" t="str">
        <f>IF(Table1[[#This Row],[Category]]="Transportation", "ton", "")</f>
        <v/>
      </c>
      <c r="N20" s="6"/>
      <c r="O20" s="6"/>
      <c r="P20" s="6" t="str">
        <f>IF(OR(Table1[[#This Row],[Type]]="Main Product", Table1[[#This Row],[Type]]="Co-Product"), Table1[[#This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IF(Table1[[#This Row],[Type]]="Co-product", "No", "")</f>
        <v/>
      </c>
      <c r="J21" s="25"/>
      <c r="K21" s="6"/>
      <c r="L21" s="6" t="str">
        <f>IF(Table1[[#This Row],[Category]]="Transportation", _xlfn.XLOOKUP(Table1[[#This Row],[Resource]], 'SI - Payload'!$A$10:$A$38,'SI - Payload'!$B$10:$B$38,"",0), "")</f>
        <v/>
      </c>
      <c r="M21" s="6" t="str">
        <f>IF(Table1[[#This Row],[Category]]="Transportation", "ton", "")</f>
        <v/>
      </c>
      <c r="N21" s="6"/>
      <c r="O21" s="6"/>
      <c r="P21" s="6" t="str">
        <f>IF(OR(Table1[[#This Row],[Type]]="Main Product", Table1[[#This Row],[Type]]="Co-Product"), Table1[[#This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IF(Table1[[#This Row],[Type]]="Co-product", "No", "")</f>
        <v/>
      </c>
      <c r="J22" s="25"/>
      <c r="K22" s="6"/>
      <c r="L22" s="6" t="str">
        <f>IF(Table1[[#This Row],[Category]]="Transportation", _xlfn.XLOOKUP(Table1[[#This Row],[Resource]], 'SI - Payload'!$A$10:$A$38,'SI - Payload'!$B$10:$B$38,"",0), "")</f>
        <v/>
      </c>
      <c r="M22" s="6" t="str">
        <f>IF(Table1[[#This Row],[Category]]="Transportation", "ton", "")</f>
        <v/>
      </c>
      <c r="N22" s="6"/>
      <c r="O22" s="6"/>
      <c r="P22" s="6" t="str">
        <f>IF(OR(Table1[[#This Row],[Type]]="Main Product", Table1[[#This Row],[Type]]="Co-Product"), Table1[[#This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IF(Table1[[#This Row],[Type]]="Co-product", "No", "")</f>
        <v/>
      </c>
      <c r="J23" s="25"/>
      <c r="K23" s="6"/>
      <c r="L23" s="6" t="str">
        <f>IF(Table1[[#This Row],[Category]]="Transportation", _xlfn.XLOOKUP(Table1[[#This Row],[Resource]], 'SI - Payload'!$A$10:$A$38,'SI - Payload'!$B$10:$B$38,"",0), "")</f>
        <v/>
      </c>
      <c r="M23" s="6" t="str">
        <f>IF(Table1[[#This Row],[Category]]="Transportation", "ton", "")</f>
        <v/>
      </c>
      <c r="N23" s="6"/>
      <c r="O23" s="6"/>
      <c r="P23" s="6" t="str">
        <f>IF(OR(Table1[[#This Row],[Type]]="Main Product", Table1[[#This Row],[Type]]="Co-Product"), Table1[[#This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IF(Table1[[#This Row],[Type]]="Co-product", "No", "")</f>
        <v/>
      </c>
      <c r="J24" s="25"/>
      <c r="K24" s="6"/>
      <c r="L24" s="6" t="str">
        <f>IF(Table1[[#This Row],[Category]]="Transportation", _xlfn.XLOOKUP(Table1[[#This Row],[Resource]], 'SI - Payload'!$A$10:$A$38,'SI - Payload'!$B$10:$B$38,"",0), "")</f>
        <v/>
      </c>
      <c r="M24" s="6" t="str">
        <f>IF(Table1[[#This Row],[Category]]="Transportation", "ton", "")</f>
        <v/>
      </c>
      <c r="N24" s="6"/>
      <c r="O24" s="6"/>
      <c r="P24" s="6" t="str">
        <f>IF(OR(Table1[[#This Row],[Type]]="Main Product", Table1[[#This Row],[Type]]="Co-Product"), Table1[[#This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IF(Table1[[#This Row],[Type]]="Co-product", "No", "")</f>
        <v/>
      </c>
      <c r="J25" s="25"/>
      <c r="K25" s="6"/>
      <c r="L25" s="6" t="str">
        <f>IF(Table1[[#This Row],[Category]]="Transportation", _xlfn.XLOOKUP(Table1[[#This Row],[Resource]], 'SI - Payload'!$A$10:$A$38,'SI - Payload'!$B$10:$B$38,"",0), "")</f>
        <v/>
      </c>
      <c r="M25" s="6" t="str">
        <f>IF(Table1[[#This Row],[Category]]="Transportation", "ton", "")</f>
        <v/>
      </c>
      <c r="N25" s="6"/>
      <c r="O25" s="6"/>
      <c r="P25" s="6" t="str">
        <f>IF(OR(Table1[[#This Row],[Type]]="Main Product", Table1[[#This Row],[Type]]="Co-Product"), Table1[[#This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IF(Table1[[#This Row],[Type]]="Co-product", "No", "")</f>
        <v/>
      </c>
      <c r="J26" s="25"/>
      <c r="K26" s="6"/>
      <c r="L26" s="6" t="str">
        <f>IF(Table1[[#This Row],[Category]]="Transportation", _xlfn.XLOOKUP(Table1[[#This Row],[Resource]], 'SI - Payload'!$A$10:$A$38,'SI - Payload'!$B$10:$B$38,"",0), "")</f>
        <v/>
      </c>
      <c r="M26" s="6" t="str">
        <f>IF(Table1[[#This Row],[Category]]="Transportation", "ton", "")</f>
        <v/>
      </c>
      <c r="N26" s="6"/>
      <c r="O26" s="6"/>
      <c r="P26" s="6" t="str">
        <f>IF(OR(Table1[[#This Row],[Type]]="Main Product", Table1[[#This Row],[Type]]="Co-Product"), Table1[[#This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IF(Table1[[#This Row],[Type]]="Co-product", "No", "")</f>
        <v/>
      </c>
      <c r="J27" s="25"/>
      <c r="K27" s="6"/>
      <c r="L27" s="6" t="str">
        <f>IF(Table1[[#This Row],[Category]]="Transportation", _xlfn.XLOOKUP(Table1[[#This Row],[Resource]], 'SI - Payload'!$A$10:$A$38,'SI - Payload'!$B$10:$B$38,"",0), "")</f>
        <v/>
      </c>
      <c r="M27" s="6" t="str">
        <f>IF(Table1[[#This Row],[Category]]="Transportation", "ton", "")</f>
        <v/>
      </c>
      <c r="N27" s="6"/>
      <c r="O27" s="6"/>
      <c r="P27" s="6" t="str">
        <f>IF(OR(Table1[[#This Row],[Type]]="Main Product", Table1[[#This Row],[Type]]="Co-Product"), Table1[[#This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IF(Table1[[#This Row],[Type]]="Co-product", "No", "")</f>
        <v/>
      </c>
      <c r="J28" s="25"/>
      <c r="K28" s="6"/>
      <c r="L28" s="6" t="str">
        <f>IF(Table1[[#This Row],[Category]]="Transportation", _xlfn.XLOOKUP(Table1[[#This Row],[Resource]], 'SI - Payload'!$A$10:$A$38,'SI - Payload'!$B$10:$B$38,"",0), "")</f>
        <v/>
      </c>
      <c r="M28" s="6" t="str">
        <f>IF(Table1[[#This Row],[Category]]="Transportation", "ton", "")</f>
        <v/>
      </c>
      <c r="N28" s="6"/>
      <c r="O28" s="6"/>
      <c r="P28" s="6" t="str">
        <f>IF(OR(Table1[[#This Row],[Type]]="Main Product", Table1[[#This Row],[Type]]="Co-Product"), Table1[[#This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IF(Table1[[#This Row],[Type]]="Co-product", "No", "")</f>
        <v/>
      </c>
      <c r="J29" s="25"/>
      <c r="K29" s="6"/>
      <c r="L29" s="6" t="str">
        <f>IF(Table1[[#This Row],[Category]]="Transportation", _xlfn.XLOOKUP(Table1[[#This Row],[Resource]], 'SI - Payload'!$A$10:$A$38,'SI - Payload'!$B$10:$B$38,"",0), "")</f>
        <v/>
      </c>
      <c r="M29" s="6" t="str">
        <f>IF(Table1[[#This Row],[Category]]="Transportation", "ton", "")</f>
        <v/>
      </c>
      <c r="N29" s="6"/>
      <c r="O29" s="6"/>
      <c r="P29" s="6" t="str">
        <f>IF(OR(Table1[[#This Row],[Type]]="Main Product", Table1[[#This Row],[Type]]="Co-Product"), Table1[[#This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IF(Table1[[#This Row],[Type]]="Co-product", "No", "")</f>
        <v/>
      </c>
      <c r="J30" s="25"/>
      <c r="K30" s="6"/>
      <c r="L30" s="6" t="str">
        <f>IF(Table1[[#This Row],[Category]]="Transportation", _xlfn.XLOOKUP(Table1[[#This Row],[Resource]], 'SI - Payload'!$A$10:$A$38,'SI - Payload'!$B$10:$B$38,"",0), "")</f>
        <v/>
      </c>
      <c r="M30" s="6" t="str">
        <f>IF(Table1[[#This Row],[Category]]="Transportation", "ton", "")</f>
        <v/>
      </c>
      <c r="N30" s="6"/>
      <c r="O30" s="6"/>
      <c r="P30" s="6" t="str">
        <f>IF(OR(Table1[[#This Row],[Type]]="Main Product", Table1[[#This Row],[Type]]="Co-Product"), Table1[[#This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IF(Table1[[#This Row],[Type]]="Co-product", "No", "")</f>
        <v/>
      </c>
      <c r="J31" s="25"/>
      <c r="K31" s="6"/>
      <c r="L31" s="6" t="str">
        <f>IF(Table1[[#This Row],[Category]]="Transportation", _xlfn.XLOOKUP(Table1[[#This Row],[Resource]], 'SI - Payload'!$A$10:$A$38,'SI - Payload'!$B$10:$B$38,"",0), "")</f>
        <v/>
      </c>
      <c r="M31" s="6" t="str">
        <f>IF(Table1[[#This Row],[Category]]="Transportation", "ton", "")</f>
        <v/>
      </c>
      <c r="N31" s="6"/>
      <c r="O31" s="6"/>
      <c r="P31" s="6" t="str">
        <f>IF(OR(Table1[[#This Row],[Type]]="Main Product", Table1[[#This Row],[Type]]="Co-Product"), Table1[[#This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IF(Table1[[#This Row],[Type]]="Co-product", "No", "")</f>
        <v/>
      </c>
      <c r="J32" s="25"/>
      <c r="K32" s="6"/>
      <c r="L32" s="6" t="str">
        <f>IF(Table1[[#This Row],[Category]]="Transportation", _xlfn.XLOOKUP(Table1[[#This Row],[Resource]], 'SI - Payload'!$A$10:$A$38,'SI - Payload'!$B$10:$B$38,"",0), "")</f>
        <v/>
      </c>
      <c r="M32" s="6" t="str">
        <f>IF(Table1[[#This Row],[Category]]="Transportation", "ton", "")</f>
        <v/>
      </c>
      <c r="N32" s="6"/>
      <c r="O32" s="6"/>
      <c r="P32" s="6" t="str">
        <f>IF(OR(Table1[[#This Row],[Type]]="Main Product", Table1[[#This Row],[Type]]="Co-Product"), Table1[[#This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IF(Table1[[#This Row],[Type]]="Co-product", "No", "")</f>
        <v/>
      </c>
      <c r="J33" s="25"/>
      <c r="K33" s="6"/>
      <c r="L33" s="6" t="str">
        <f>IF(Table1[[#This Row],[Category]]="Transportation", _xlfn.XLOOKUP(Table1[[#This Row],[Resource]], 'SI - Payload'!$A$10:$A$38,'SI - Payload'!$B$10:$B$38,"",0), "")</f>
        <v/>
      </c>
      <c r="M33" s="6" t="str">
        <f>IF(Table1[[#This Row],[Category]]="Transportation", "ton", "")</f>
        <v/>
      </c>
      <c r="N33" s="6"/>
      <c r="O33" s="6"/>
      <c r="P33" s="6" t="str">
        <f>IF(OR(Table1[[#This Row],[Type]]="Main Product", Table1[[#This Row],[Type]]="Co-Product"), Table1[[#This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IF(Table1[[#This Row],[Type]]="Co-product", "No", "")</f>
        <v/>
      </c>
      <c r="J34" s="25"/>
      <c r="K34" s="6"/>
      <c r="L34" s="6" t="str">
        <f>IF(Table1[[#This Row],[Category]]="Transportation", _xlfn.XLOOKUP(Table1[[#This Row],[Resource]], 'SI - Payload'!$A$10:$A$38,'SI - Payload'!$B$10:$B$38,"",0), "")</f>
        <v/>
      </c>
      <c r="M34" s="6" t="str">
        <f>IF(Table1[[#This Row],[Category]]="Transportation", "ton", "")</f>
        <v/>
      </c>
      <c r="N34" s="6"/>
      <c r="O34" s="6"/>
      <c r="P34" s="6" t="str">
        <f>IF(OR(Table1[[#This Row],[Type]]="Main Product", Table1[[#This Row],[Type]]="Co-Product"), Table1[[#This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IF(Table1[[#This Row],[Type]]="Co-product", "No", "")</f>
        <v/>
      </c>
      <c r="J35" s="25"/>
      <c r="K35" s="6"/>
      <c r="L35" s="6" t="str">
        <f>IF(Table1[[#This Row],[Category]]="Transportation", _xlfn.XLOOKUP(Table1[[#This Row],[Resource]], 'SI - Payload'!$A$10:$A$38,'SI - Payload'!$B$10:$B$38,"",0), "")</f>
        <v/>
      </c>
      <c r="M35" s="6" t="str">
        <f>IF(Table1[[#This Row],[Category]]="Transportation", "ton", "")</f>
        <v/>
      </c>
      <c r="N35" s="6"/>
      <c r="O35" s="6"/>
      <c r="P35" s="6" t="str">
        <f>IF(OR(Table1[[#This Row],[Type]]="Main Product", Table1[[#This Row],[Type]]="Co-Product"), Table1[[#This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IF(Table1[[#This Row],[Type]]="Co-product", "No", "")</f>
        <v/>
      </c>
      <c r="J36" s="25"/>
      <c r="K36" s="6"/>
      <c r="L36" s="6" t="str">
        <f>IF(Table1[[#This Row],[Category]]="Transportation", _xlfn.XLOOKUP(Table1[[#This Row],[Resource]], 'SI - Payload'!$A$10:$A$38,'SI - Payload'!$B$10:$B$38,"",0), "")</f>
        <v/>
      </c>
      <c r="M36" s="6" t="str">
        <f>IF(Table1[[#This Row],[Category]]="Transportation", "ton", "")</f>
        <v/>
      </c>
      <c r="N36" s="6"/>
      <c r="O36" s="6"/>
      <c r="P36" s="6" t="str">
        <f>IF(OR(Table1[[#This Row],[Type]]="Main Product", Table1[[#This Row],[Type]]="Co-Product"), Table1[[#This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IF(Table1[[#This Row],[Type]]="Co-product", "No", "")</f>
        <v/>
      </c>
      <c r="J37" s="25"/>
      <c r="K37" s="6"/>
      <c r="L37" s="6" t="str">
        <f>IF(Table1[[#This Row],[Category]]="Transportation", _xlfn.XLOOKUP(Table1[[#This Row],[Resource]], 'SI - Payload'!$A$10:$A$38,'SI - Payload'!$B$10:$B$38,"",0), "")</f>
        <v/>
      </c>
      <c r="M37" s="6" t="str">
        <f>IF(Table1[[#This Row],[Category]]="Transportation", "ton", "")</f>
        <v/>
      </c>
      <c r="N37" s="6"/>
      <c r="O37" s="6"/>
      <c r="P37" s="6" t="str">
        <f>IF(OR(Table1[[#This Row],[Type]]="Main Product", Table1[[#This Row],[Type]]="Co-Product"), Table1[[#This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IF(Table1[[#This Row],[Type]]="Co-product", "No", "")</f>
        <v/>
      </c>
      <c r="J38" s="25"/>
      <c r="K38" s="6"/>
      <c r="L38" s="6" t="str">
        <f>IF(Table1[[#This Row],[Category]]="Transportation", _xlfn.XLOOKUP(Table1[[#This Row],[Resource]], 'SI - Payload'!$A$10:$A$38,'SI - Payload'!$B$10:$B$38,"",0), "")</f>
        <v/>
      </c>
      <c r="M38" s="6" t="str">
        <f>IF(Table1[[#This Row],[Category]]="Transportation", "ton", "")</f>
        <v/>
      </c>
      <c r="N38" s="6"/>
      <c r="O38" s="6"/>
      <c r="P38" s="6" t="str">
        <f>IF(OR(Table1[[#This Row],[Type]]="Main Product", Table1[[#This Row],[Type]]="Co-Product"), Table1[[#This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IF(Table1[[#This Row],[Type]]="Co-product", "No", "")</f>
        <v/>
      </c>
      <c r="J39" s="25"/>
      <c r="K39" s="6"/>
      <c r="L39" s="6" t="str">
        <f>IF(Table1[[#This Row],[Category]]="Transportation", _xlfn.XLOOKUP(Table1[[#This Row],[Resource]], 'SI - Payload'!$A$10:$A$38,'SI - Payload'!$B$10:$B$38,"",0), "")</f>
        <v/>
      </c>
      <c r="M39" s="6" t="str">
        <f>IF(Table1[[#This Row],[Category]]="Transportation", "ton", "")</f>
        <v/>
      </c>
      <c r="N39" s="6"/>
      <c r="O39" s="6"/>
      <c r="P39" s="6" t="str">
        <f>IF(OR(Table1[[#This Row],[Type]]="Main Product", Table1[[#This Row],[Type]]="Co-Product"), Table1[[#This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IF(Table1[[#This Row],[Type]]="Co-product", "No", "")</f>
        <v/>
      </c>
      <c r="J40" s="25"/>
      <c r="K40" s="6"/>
      <c r="L40" s="6" t="str">
        <f>IF(Table1[[#This Row],[Category]]="Transportation", _xlfn.XLOOKUP(Table1[[#This Row],[Resource]], 'SI - Payload'!$A$10:$A$38,'SI - Payload'!$B$10:$B$38,"",0), "")</f>
        <v/>
      </c>
      <c r="M40" s="6" t="str">
        <f>IF(Table1[[#This Row],[Category]]="Transportation", "ton", "")</f>
        <v/>
      </c>
      <c r="N40" s="6"/>
      <c r="O40" s="6"/>
      <c r="P40" s="6" t="str">
        <f>IF(OR(Table1[[#This Row],[Type]]="Main Product", Table1[[#This Row],[Type]]="Co-Product"), Table1[[#This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IF(Table1[[#This Row],[Type]]="Co-product", "No", "")</f>
        <v/>
      </c>
      <c r="J41" s="25"/>
      <c r="K41" s="6"/>
      <c r="L41" s="6" t="str">
        <f>IF(Table1[[#This Row],[Category]]="Transportation", _xlfn.XLOOKUP(Table1[[#This Row],[Resource]], 'SI - Payload'!$A$10:$A$38,'SI - Payload'!$B$10:$B$38,"",0), "")</f>
        <v/>
      </c>
      <c r="M41" s="6" t="str">
        <f>IF(Table1[[#This Row],[Category]]="Transportation", "ton", "")</f>
        <v/>
      </c>
      <c r="N41" s="6"/>
      <c r="O41" s="6"/>
      <c r="P41" s="6" t="str">
        <f>IF(OR(Table1[[#This Row],[Type]]="Main Product", Table1[[#This Row],[Type]]="Co-Product"), Table1[[#This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IF(Table1[[#This Row],[Type]]="Co-product", "No", "")</f>
        <v/>
      </c>
      <c r="J42" s="25"/>
      <c r="K42" s="6"/>
      <c r="L42" s="6" t="str">
        <f>IF(Table1[[#This Row],[Category]]="Transportation", _xlfn.XLOOKUP(Table1[[#This Row],[Resource]], 'SI - Payload'!$A$10:$A$38,'SI - Payload'!$B$10:$B$38,"",0), "")</f>
        <v/>
      </c>
      <c r="M42" s="6" t="str">
        <f>IF(Table1[[#This Row],[Category]]="Transportation", "ton", "")</f>
        <v/>
      </c>
      <c r="N42" s="6"/>
      <c r="O42" s="6"/>
      <c r="P42" s="6" t="str">
        <f>IF(OR(Table1[[#This Row],[Type]]="Main Product", Table1[[#This Row],[Type]]="Co-Product"), Table1[[#This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IF(Table1[[#This Row],[Type]]="Co-product", "No", "")</f>
        <v/>
      </c>
      <c r="J43" s="25"/>
      <c r="K43" s="6"/>
      <c r="L43" s="6" t="str">
        <f>IF(Table1[[#This Row],[Category]]="Transportation", _xlfn.XLOOKUP(Table1[[#This Row],[Resource]], 'SI - Payload'!$A$10:$A$38,'SI - Payload'!$B$10:$B$38,"",0), "")</f>
        <v/>
      </c>
      <c r="M43" s="6" t="str">
        <f>IF(Table1[[#This Row],[Category]]="Transportation", "ton", "")</f>
        <v/>
      </c>
      <c r="N43" s="6"/>
      <c r="O43" s="6"/>
      <c r="P43" s="6" t="str">
        <f>IF(OR(Table1[[#This Row],[Type]]="Main Product", Table1[[#This Row],[Type]]="Co-Product"), Table1[[#This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IF(Table1[[#This Row],[Type]]="Co-product", "No", "")</f>
        <v/>
      </c>
      <c r="J44" s="25"/>
      <c r="K44" s="6"/>
      <c r="L44" s="6" t="str">
        <f>IF(Table1[[#This Row],[Category]]="Transportation", _xlfn.XLOOKUP(Table1[[#This Row],[Resource]], 'SI - Payload'!$A$10:$A$38,'SI - Payload'!$B$10:$B$38,"",0), "")</f>
        <v/>
      </c>
      <c r="M44" s="6" t="str">
        <f>IF(Table1[[#This Row],[Category]]="Transportation", "ton", "")</f>
        <v/>
      </c>
      <c r="N44" s="6"/>
      <c r="O44" s="6"/>
      <c r="P44" s="6" t="str">
        <f>IF(OR(Table1[[#This Row],[Type]]="Main Product", Table1[[#This Row],[Type]]="Co-Product"), Table1[[#This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IF(Table1[[#This Row],[Type]]="Co-product", "No", "")</f>
        <v/>
      </c>
      <c r="J45" s="25"/>
      <c r="K45" s="6"/>
      <c r="L45" s="6" t="str">
        <f>IF(Table1[[#This Row],[Category]]="Transportation", _xlfn.XLOOKUP(Table1[[#This Row],[Resource]], 'SI - Payload'!$A$10:$A$38,'SI - Payload'!$B$10:$B$38,"",0), "")</f>
        <v/>
      </c>
      <c r="M45" s="6" t="str">
        <f>IF(Table1[[#This Row],[Category]]="Transportation", "ton", "")</f>
        <v/>
      </c>
      <c r="N45" s="6"/>
      <c r="O45" s="6"/>
      <c r="P45" s="6" t="str">
        <f>IF(OR(Table1[[#This Row],[Type]]="Main Product", Table1[[#This Row],[Type]]="Co-Product"), Table1[[#This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IF(Table1[[#This Row],[Type]]="Co-product", "No", "")</f>
        <v/>
      </c>
      <c r="J46" s="25"/>
      <c r="K46" s="6"/>
      <c r="L46" s="6" t="str">
        <f>IF(Table1[[#This Row],[Category]]="Transportation", _xlfn.XLOOKUP(Table1[[#This Row],[Resource]], 'SI - Payload'!$A$10:$A$38,'SI - Payload'!$B$10:$B$38,"",0), "")</f>
        <v/>
      </c>
      <c r="M46" s="6" t="str">
        <f>IF(Table1[[#This Row],[Category]]="Transportation", "ton", "")</f>
        <v/>
      </c>
      <c r="N46" s="6"/>
      <c r="O46" s="6"/>
      <c r="P46" s="6" t="str">
        <f>IF(OR(Table1[[#This Row],[Type]]="Main Product", Table1[[#This Row],[Type]]="Co-Product"), Table1[[#This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IF(Table1[[#This Row],[Type]]="Co-product", "No", "")</f>
        <v/>
      </c>
      <c r="J47" s="25"/>
      <c r="K47" s="6"/>
      <c r="L47" s="6" t="str">
        <f>IF(Table1[[#This Row],[Category]]="Transportation", _xlfn.XLOOKUP(Table1[[#This Row],[Resource]], 'SI - Payload'!$A$10:$A$38,'SI - Payload'!$B$10:$B$38,"",0), "")</f>
        <v/>
      </c>
      <c r="M47" s="6" t="str">
        <f>IF(Table1[[#This Row],[Category]]="Transportation", "ton", "")</f>
        <v/>
      </c>
      <c r="N47" s="6"/>
      <c r="O47" s="6"/>
      <c r="P47" s="6" t="str">
        <f>IF(OR(Table1[[#This Row],[Type]]="Main Product", Table1[[#This Row],[Type]]="Co-Product"), Table1[[#This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IF(Table1[[#This Row],[Type]]="Co-product", "No", "")</f>
        <v/>
      </c>
      <c r="J48" s="25"/>
      <c r="K48" s="6"/>
      <c r="L48" s="6" t="str">
        <f>IF(Table1[[#This Row],[Category]]="Transportation", _xlfn.XLOOKUP(Table1[[#This Row],[Resource]], 'SI - Payload'!$A$10:$A$38,'SI - Payload'!$B$10:$B$38,"",0), "")</f>
        <v/>
      </c>
      <c r="M48" s="6" t="str">
        <f>IF(Table1[[#This Row],[Category]]="Transportation", "ton", "")</f>
        <v/>
      </c>
      <c r="N48" s="6"/>
      <c r="O48" s="6"/>
      <c r="P48" s="6" t="str">
        <f>IF(OR(Table1[[#This Row],[Type]]="Main Product", Table1[[#This Row],[Type]]="Co-Product"), Table1[[#This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IF(Table1[[#This Row],[Type]]="Co-product", "No", "")</f>
        <v/>
      </c>
      <c r="J49" s="25"/>
      <c r="K49" s="6"/>
      <c r="L49" s="6" t="str">
        <f>IF(Table1[[#This Row],[Category]]="Transportation", _xlfn.XLOOKUP(Table1[[#This Row],[Resource]], 'SI - Payload'!$A$10:$A$38,'SI - Payload'!$B$10:$B$38,"",0), "")</f>
        <v/>
      </c>
      <c r="M49" s="6" t="str">
        <f>IF(Table1[[#This Row],[Category]]="Transportation", "ton", "")</f>
        <v/>
      </c>
      <c r="N49" s="6"/>
      <c r="O49" s="6"/>
      <c r="P49" s="6" t="str">
        <f>IF(OR(Table1[[#This Row],[Type]]="Main Product", Table1[[#This Row],[Type]]="Co-Product"), Table1[[#This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IF(Table1[[#This Row],[Type]]="Co-product", "No", "")</f>
        <v/>
      </c>
      <c r="J50" s="25"/>
      <c r="K50" s="6"/>
      <c r="L50" s="6" t="str">
        <f>IF(Table1[[#This Row],[Category]]="Transportation", _xlfn.XLOOKUP(Table1[[#This Row],[Resource]], 'SI - Payload'!$A$10:$A$38,'SI - Payload'!$B$10:$B$38,"",0), "")</f>
        <v/>
      </c>
      <c r="M50" s="6" t="str">
        <f>IF(Table1[[#This Row],[Category]]="Transportation", "ton", "")</f>
        <v/>
      </c>
      <c r="N50" s="6"/>
      <c r="O50" s="6"/>
      <c r="P50" s="6" t="str">
        <f>IF(OR(Table1[[#This Row],[Type]]="Main Product", Table1[[#This Row],[Type]]="Co-Product"), Table1[[#This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IF(Table1[[#This Row],[Type]]="Co-product", "No", "")</f>
        <v/>
      </c>
      <c r="J51" s="25"/>
      <c r="K51" s="6"/>
      <c r="L51" s="6" t="str">
        <f>IF(Table1[[#This Row],[Category]]="Transportation", _xlfn.XLOOKUP(Table1[[#This Row],[Resource]], 'SI - Payload'!$A$10:$A$38,'SI - Payload'!$B$10:$B$38,"",0), "")</f>
        <v/>
      </c>
      <c r="M51" s="6" t="str">
        <f>IF(Table1[[#This Row],[Category]]="Transportation", "ton", "")</f>
        <v/>
      </c>
      <c r="N51" s="6"/>
      <c r="O51" s="6"/>
      <c r="P51" s="6" t="str">
        <f>IF(OR(Table1[[#This Row],[Type]]="Main Product", Table1[[#This Row],[Type]]="Co-Product"), Table1[[#This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IF(Table1[[#This Row],[Type]]="Co-product", "No", "")</f>
        <v/>
      </c>
      <c r="J52" s="25"/>
      <c r="K52" s="6"/>
      <c r="L52" s="6" t="str">
        <f>IF(Table1[[#This Row],[Category]]="Transportation", _xlfn.XLOOKUP(Table1[[#This Row],[Resource]], 'SI - Payload'!$A$10:$A$38,'SI - Payload'!$B$10:$B$38,"",0), "")</f>
        <v/>
      </c>
      <c r="M52" s="6" t="str">
        <f>IF(Table1[[#This Row],[Category]]="Transportation", "ton", "")</f>
        <v/>
      </c>
      <c r="N52" s="6"/>
      <c r="O52" s="6"/>
      <c r="P52" s="6" t="str">
        <f>IF(OR(Table1[[#This Row],[Type]]="Main Product", Table1[[#This Row],[Type]]="Co-Product"), Table1[[#This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IF(Table1[[#This Row],[Type]]="Co-product", "No", "")</f>
        <v/>
      </c>
      <c r="J53" s="25"/>
      <c r="K53" s="6"/>
      <c r="L53" s="6" t="str">
        <f>IF(Table1[[#This Row],[Category]]="Transportation", _xlfn.XLOOKUP(Table1[[#This Row],[Resource]], 'SI - Payload'!$A$10:$A$38,'SI - Payload'!$B$10:$B$38,"",0), "")</f>
        <v/>
      </c>
      <c r="M53" s="6" t="str">
        <f>IF(Table1[[#This Row],[Category]]="Transportation", "ton", "")</f>
        <v/>
      </c>
      <c r="N53" s="6"/>
      <c r="O53" s="6"/>
      <c r="P53" s="6" t="str">
        <f>IF(OR(Table1[[#This Row],[Type]]="Main Product", Table1[[#This Row],[Type]]="Co-Product"), Table1[[#This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IF(Table1[[#This Row],[Type]]="Co-product", "No", "")</f>
        <v/>
      </c>
      <c r="J54" s="25"/>
      <c r="K54" s="6"/>
      <c r="L54" s="6" t="str">
        <f>IF(Table1[[#This Row],[Category]]="Transportation", _xlfn.XLOOKUP(Table1[[#This Row],[Resource]], 'SI - Payload'!$A$10:$A$38,'SI - Payload'!$B$10:$B$38,"",0), "")</f>
        <v/>
      </c>
      <c r="M54" s="6" t="str">
        <f>IF(Table1[[#This Row],[Category]]="Transportation", "ton", "")</f>
        <v/>
      </c>
      <c r="N54" s="6"/>
      <c r="O54" s="6"/>
      <c r="P54" s="6" t="str">
        <f>IF(OR(Table1[[#This Row],[Type]]="Main Product", Table1[[#This Row],[Type]]="Co-Product"), Table1[[#This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IF(Table1[[#This Row],[Type]]="Co-product", "No", "")</f>
        <v/>
      </c>
      <c r="J55" s="25"/>
      <c r="K55" s="6"/>
      <c r="L55" s="6" t="str">
        <f>IF(Table1[[#This Row],[Category]]="Transportation", _xlfn.XLOOKUP(Table1[[#This Row],[Resource]], 'SI - Payload'!$A$10:$A$38,'SI - Payload'!$B$10:$B$38,"",0), "")</f>
        <v/>
      </c>
      <c r="M55" s="6" t="str">
        <f>IF(Table1[[#This Row],[Category]]="Transportation", "ton", "")</f>
        <v/>
      </c>
      <c r="N55" s="6"/>
      <c r="O55" s="6"/>
      <c r="P55" s="6" t="str">
        <f>IF(OR(Table1[[#This Row],[Type]]="Main Product", Table1[[#This Row],[Type]]="Co-Product"), Table1[[#This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IF(Table1[[#This Row],[Type]]="Co-product", "No", "")</f>
        <v/>
      </c>
      <c r="J56" s="25"/>
      <c r="K56" s="6"/>
      <c r="L56" s="6" t="str">
        <f>IF(Table1[[#This Row],[Category]]="Transportation", _xlfn.XLOOKUP(Table1[[#This Row],[Resource]], 'SI - Payload'!$A$10:$A$38,'SI - Payload'!$B$10:$B$38,"",0), "")</f>
        <v/>
      </c>
      <c r="M56" s="6" t="str">
        <f>IF(Table1[[#This Row],[Category]]="Transportation", "ton", "")</f>
        <v/>
      </c>
      <c r="N56" s="6"/>
      <c r="O56" s="6"/>
      <c r="P56" s="6" t="str">
        <f>IF(OR(Table1[[#This Row],[Type]]="Main Product", Table1[[#This Row],[Type]]="Co-Product"), Table1[[#This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IF(Table1[[#This Row],[Type]]="Co-product", "No", "")</f>
        <v/>
      </c>
      <c r="J57" s="25"/>
      <c r="K57" s="6"/>
      <c r="L57" s="6" t="str">
        <f>IF(Table1[[#This Row],[Category]]="Transportation", _xlfn.XLOOKUP(Table1[[#This Row],[Resource]], 'SI - Payload'!$A$10:$A$38,'SI - Payload'!$B$10:$B$38,"",0), "")</f>
        <v/>
      </c>
      <c r="M57" s="6" t="str">
        <f>IF(Table1[[#This Row],[Category]]="Transportation", "ton", "")</f>
        <v/>
      </c>
      <c r="N57" s="6"/>
      <c r="O57" s="6"/>
      <c r="P57" s="6" t="str">
        <f>IF(OR(Table1[[#This Row],[Type]]="Main Product", Table1[[#This Row],[Type]]="Co-Product"), Table1[[#This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IF(Table1[[#This Row],[Type]]="Co-product", "No", "")</f>
        <v/>
      </c>
      <c r="J58" s="25"/>
      <c r="K58" s="6"/>
      <c r="L58" s="6" t="str">
        <f>IF(Table1[[#This Row],[Category]]="Transportation", _xlfn.XLOOKUP(Table1[[#This Row],[Resource]], 'SI - Payload'!$A$10:$A$38,'SI - Payload'!$B$10:$B$38,"",0), "")</f>
        <v/>
      </c>
      <c r="M58" s="6" t="str">
        <f>IF(Table1[[#This Row],[Category]]="Transportation", "ton", "")</f>
        <v/>
      </c>
      <c r="N58" s="6"/>
      <c r="O58" s="6"/>
      <c r="P58" s="6" t="str">
        <f>IF(OR(Table1[[#This Row],[Type]]="Main Product", Table1[[#This Row],[Type]]="Co-Product"), Table1[[#This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IF(Table1[[#This Row],[Type]]="Co-product", "No", "")</f>
        <v/>
      </c>
      <c r="J59" s="25"/>
      <c r="K59" s="6"/>
      <c r="L59" s="6" t="str">
        <f>IF(Table1[[#This Row],[Category]]="Transportation", _xlfn.XLOOKUP(Table1[[#This Row],[Resource]], 'SI - Payload'!$A$10:$A$38,'SI - Payload'!$B$10:$B$38,"",0), "")</f>
        <v/>
      </c>
      <c r="M59" s="6" t="str">
        <f>IF(Table1[[#This Row],[Category]]="Transportation", "ton", "")</f>
        <v/>
      </c>
      <c r="N59" s="6"/>
      <c r="O59" s="6"/>
      <c r="P59" s="6" t="str">
        <f>IF(OR(Table1[[#This Row],[Type]]="Main Product", Table1[[#This Row],[Type]]="Co-Product"), Table1[[#This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IF(Table1[[#This Row],[Type]]="Co-product", "No", "")</f>
        <v/>
      </c>
      <c r="J60" s="25"/>
      <c r="K60" s="6"/>
      <c r="L60" s="6" t="str">
        <f>IF(Table1[[#This Row],[Category]]="Transportation", _xlfn.XLOOKUP(Table1[[#This Row],[Resource]], 'SI - Payload'!$A$10:$A$38,'SI - Payload'!$B$10:$B$38,"",0), "")</f>
        <v/>
      </c>
      <c r="M60" s="6" t="str">
        <f>IF(Table1[[#This Row],[Category]]="Transportation", "ton", "")</f>
        <v/>
      </c>
      <c r="N60" s="6"/>
      <c r="O60" s="6"/>
      <c r="P60" s="6" t="str">
        <f>IF(OR(Table1[[#This Row],[Type]]="Main Product", Table1[[#This Row],[Type]]="Co-Product"), Table1[[#This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IF(Table1[[#This Row],[Type]]="Co-product", "No", "")</f>
        <v/>
      </c>
      <c r="J61" s="25"/>
      <c r="K61" s="6"/>
      <c r="L61" s="6" t="str">
        <f>IF(Table1[[#This Row],[Category]]="Transportation", _xlfn.XLOOKUP(Table1[[#This Row],[Resource]], 'SI - Payload'!$A$10:$A$38,'SI - Payload'!$B$10:$B$38,"",0), "")</f>
        <v/>
      </c>
      <c r="M61" s="6" t="str">
        <f>IF(Table1[[#This Row],[Category]]="Transportation", "ton", "")</f>
        <v/>
      </c>
      <c r="N61" s="6"/>
      <c r="O61" s="6"/>
      <c r="P61" s="6" t="str">
        <f>IF(OR(Table1[[#This Row],[Type]]="Main Product", Table1[[#This Row],[Type]]="Co-Product"), Table1[[#This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IF(Table1[[#This Row],[Type]]="Co-product", "No", "")</f>
        <v/>
      </c>
      <c r="J62" s="25"/>
      <c r="K62" s="6"/>
      <c r="L62" s="6" t="str">
        <f>IF(Table1[[#This Row],[Category]]="Transportation", _xlfn.XLOOKUP(Table1[[#This Row],[Resource]], 'SI - Payload'!$A$10:$A$38,'SI - Payload'!$B$10:$B$38,"",0), "")</f>
        <v/>
      </c>
      <c r="M62" s="6" t="str">
        <f>IF(Table1[[#This Row],[Category]]="Transportation", "ton", "")</f>
        <v/>
      </c>
      <c r="N62" s="6"/>
      <c r="O62" s="6"/>
      <c r="P62" s="6" t="str">
        <f>IF(OR(Table1[[#This Row],[Type]]="Main Product", Table1[[#This Row],[Type]]="Co-Product"), Table1[[#This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IF(Table1[[#This Row],[Type]]="Co-product", "No", "")</f>
        <v/>
      </c>
      <c r="J63" s="25"/>
      <c r="K63" s="6"/>
      <c r="L63" s="6" t="str">
        <f>IF(Table1[[#This Row],[Category]]="Transportation", _xlfn.XLOOKUP(Table1[[#This Row],[Resource]], 'SI - Payload'!$A$10:$A$38,'SI - Payload'!$B$10:$B$38,"",0), "")</f>
        <v/>
      </c>
      <c r="M63" s="6" t="str">
        <f>IF(Table1[[#This Row],[Category]]="Transportation", "ton", "")</f>
        <v/>
      </c>
      <c r="N63" s="6"/>
      <c r="O63" s="6"/>
      <c r="P63" s="6" t="str">
        <f>IF(OR(Table1[[#This Row],[Type]]="Main Product", Table1[[#This Row],[Type]]="Co-Product"), Table1[[#This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IF(Table1[[#This Row],[Type]]="Co-product", "No", "")</f>
        <v/>
      </c>
      <c r="J64" s="25"/>
      <c r="K64" s="6"/>
      <c r="L64" s="6" t="str">
        <f>IF(Table1[[#This Row],[Category]]="Transportation", _xlfn.XLOOKUP(Table1[[#This Row],[Resource]], 'SI - Payload'!$A$10:$A$38,'SI - Payload'!$B$10:$B$38,"",0), "")</f>
        <v/>
      </c>
      <c r="M64" s="6" t="str">
        <f>IF(Table1[[#This Row],[Category]]="Transportation", "ton", "")</f>
        <v/>
      </c>
      <c r="N64" s="6"/>
      <c r="O64" s="6"/>
      <c r="P64" s="6" t="str">
        <f>IF(OR(Table1[[#This Row],[Type]]="Main Product", Table1[[#This Row],[Type]]="Co-Product"), Table1[[#This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IF(Table1[[#This Row],[Type]]="Co-product", "No", "")</f>
        <v/>
      </c>
      <c r="J65" s="25"/>
      <c r="K65" s="6"/>
      <c r="L65" s="6" t="str">
        <f>IF(Table1[[#This Row],[Category]]="Transportation", _xlfn.XLOOKUP(Table1[[#This Row],[Resource]], 'SI - Payload'!$A$10:$A$38,'SI - Payload'!$B$10:$B$38,"",0), "")</f>
        <v/>
      </c>
      <c r="M65" s="6" t="str">
        <f>IF(Table1[[#This Row],[Category]]="Transportation", "ton", "")</f>
        <v/>
      </c>
      <c r="N65" s="6"/>
      <c r="O65" s="6"/>
      <c r="P65" s="6" t="str">
        <f>IF(OR(Table1[[#This Row],[Type]]="Main Product", Table1[[#This Row],[Type]]="Co-Product"), Table1[[#This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IF(Table1[[#This Row],[Type]]="Co-product", "No", "")</f>
        <v/>
      </c>
      <c r="J66" s="25"/>
      <c r="K66" s="6"/>
      <c r="L66" s="6" t="str">
        <f>IF(Table1[[#This Row],[Category]]="Transportation", _xlfn.XLOOKUP(Table1[[#This Row],[Resource]], 'SI - Payload'!$A$10:$A$38,'SI - Payload'!$B$10:$B$38,"",0), "")</f>
        <v/>
      </c>
      <c r="M66" s="6" t="str">
        <f>IF(Table1[[#This Row],[Category]]="Transportation", "ton", "")</f>
        <v/>
      </c>
      <c r="N66" s="6"/>
      <c r="O66" s="6"/>
      <c r="P66" s="6" t="str">
        <f>IF(OR(Table1[[#This Row],[Type]]="Main Product", Table1[[#This Row],[Type]]="Co-Product"), Table1[[#This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IF(Table1[[#This Row],[Type]]="Co-product", "No", "")</f>
        <v/>
      </c>
      <c r="J67" s="25"/>
      <c r="K67" s="6"/>
      <c r="L67" s="6" t="str">
        <f>IF(Table1[[#This Row],[Category]]="Transportation", _xlfn.XLOOKUP(Table1[[#This Row],[Resource]], 'SI - Payload'!$A$10:$A$38,'SI - Payload'!$B$10:$B$38,"",0), "")</f>
        <v/>
      </c>
      <c r="M67" s="6" t="str">
        <f>IF(Table1[[#This Row],[Category]]="Transportation", "ton", "")</f>
        <v/>
      </c>
      <c r="N67" s="6"/>
      <c r="O67" s="6"/>
      <c r="P67" s="6" t="str">
        <f>IF(OR(Table1[[#This Row],[Type]]="Main Product", Table1[[#This Row],[Type]]="Co-Product"), Table1[[#This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IF(Table1[[#This Row],[Type]]="Co-product", "No", "")</f>
        <v/>
      </c>
      <c r="J68" s="25"/>
      <c r="K68" s="6"/>
      <c r="L68" s="6" t="str">
        <f>IF(Table1[[#This Row],[Category]]="Transportation", _xlfn.XLOOKUP(Table1[[#This Row],[Resource]], 'SI - Payload'!$A$10:$A$38,'SI - Payload'!$B$10:$B$38,"",0), "")</f>
        <v/>
      </c>
      <c r="M68" s="6" t="str">
        <f>IF(Table1[[#This Row],[Category]]="Transportation", "ton", "")</f>
        <v/>
      </c>
      <c r="N68" s="6"/>
      <c r="O68" s="6"/>
      <c r="P68" s="6" t="str">
        <f>IF(OR(Table1[[#This Row],[Type]]="Main Product", Table1[[#This Row],[Type]]="Co-Product"), Table1[[#This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IF(Table1[[#This Row],[Type]]="Co-product", "No", "")</f>
        <v/>
      </c>
      <c r="J69" s="25"/>
      <c r="K69" s="6"/>
      <c r="L69" s="6" t="str">
        <f>IF(Table1[[#This Row],[Category]]="Transportation", _xlfn.XLOOKUP(Table1[[#This Row],[Resource]], 'SI - Payload'!$A$10:$A$38,'SI - Payload'!$B$10:$B$38,"",0), "")</f>
        <v/>
      </c>
      <c r="M69" s="6" t="str">
        <f>IF(Table1[[#This Row],[Category]]="Transportation", "ton", "")</f>
        <v/>
      </c>
      <c r="N69" s="6"/>
      <c r="O69" s="6"/>
      <c r="P69" s="6" t="str">
        <f>IF(OR(Table1[[#This Row],[Type]]="Main Product", Table1[[#This Row],[Type]]="Co-Product"), Table1[[#This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IF(Table1[[#This Row],[Type]]="Co-product", "No", "")</f>
        <v/>
      </c>
      <c r="J70" s="25"/>
      <c r="K70" s="6"/>
      <c r="L70" s="6" t="str">
        <f>IF(Table1[[#This Row],[Category]]="Transportation", _xlfn.XLOOKUP(Table1[[#This Row],[Resource]], 'SI - Payload'!$A$10:$A$38,'SI - Payload'!$B$10:$B$38,"",0), "")</f>
        <v/>
      </c>
      <c r="M70" s="6" t="str">
        <f>IF(Table1[[#This Row],[Category]]="Transportation", "ton", "")</f>
        <v/>
      </c>
      <c r="N70" s="6"/>
      <c r="O70" s="6"/>
      <c r="P70" s="6" t="str">
        <f>IF(OR(Table1[[#This Row],[Type]]="Main Product", Table1[[#This Row],[Type]]="Co-Product"), Table1[[#This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IF(Table1[[#This Row],[Type]]="Co-product", "No", "")</f>
        <v/>
      </c>
      <c r="J71" s="25"/>
      <c r="K71" s="6"/>
      <c r="L71" s="6" t="str">
        <f>IF(Table1[[#This Row],[Category]]="Transportation", _xlfn.XLOOKUP(Table1[[#This Row],[Resource]], 'SI - Payload'!$A$10:$A$38,'SI - Payload'!$B$10:$B$38,"",0), "")</f>
        <v/>
      </c>
      <c r="M71" s="6" t="str">
        <f>IF(Table1[[#This Row],[Category]]="Transportation", "ton", "")</f>
        <v/>
      </c>
      <c r="N71" s="6"/>
      <c r="O71" s="6"/>
      <c r="P71" s="6" t="str">
        <f>IF(OR(Table1[[#This Row],[Type]]="Main Product", Table1[[#This Row],[Type]]="Co-Product"), Table1[[#This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IF(Table1[[#This Row],[Type]]="Co-product", "No", "")</f>
        <v/>
      </c>
      <c r="J72" s="25"/>
      <c r="K72" s="6"/>
      <c r="L72" s="6" t="str">
        <f>IF(Table1[[#This Row],[Category]]="Transportation", _xlfn.XLOOKUP(Table1[[#This Row],[Resource]], 'SI - Payload'!$A$10:$A$38,'SI - Payload'!$B$10:$B$38,"",0), "")</f>
        <v/>
      </c>
      <c r="M72" s="6" t="str">
        <f>IF(Table1[[#This Row],[Category]]="Transportation", "ton", "")</f>
        <v/>
      </c>
      <c r="N72" s="6"/>
      <c r="O72" s="6"/>
      <c r="P72" s="6" t="str">
        <f>IF(OR(Table1[[#This Row],[Type]]="Main Product", Table1[[#This Row],[Type]]="Co-Product"), Table1[[#This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IF(Table1[[#This Row],[Type]]="Co-product", "No", "")</f>
        <v/>
      </c>
      <c r="J73" s="25"/>
      <c r="K73" s="6"/>
      <c r="L73" s="6" t="str">
        <f>IF(Table1[[#This Row],[Category]]="Transportation", _xlfn.XLOOKUP(Table1[[#This Row],[Resource]], 'SI - Payload'!$A$10:$A$38,'SI - Payload'!$B$10:$B$38,"",0), "")</f>
        <v/>
      </c>
      <c r="M73" s="6" t="str">
        <f>IF(Table1[[#This Row],[Category]]="Transportation", "ton", "")</f>
        <v/>
      </c>
      <c r="N73" s="6"/>
      <c r="O73" s="6"/>
      <c r="P73" s="6" t="str">
        <f>IF(OR(Table1[[#This Row],[Type]]="Main Product", Table1[[#This Row],[Type]]="Co-Product"), Table1[[#This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IF(Table1[[#This Row],[Type]]="Co-product", "No", "")</f>
        <v/>
      </c>
      <c r="J74" s="25"/>
      <c r="K74" s="6"/>
      <c r="L74" s="6" t="str">
        <f>IF(Table1[[#This Row],[Category]]="Transportation", _xlfn.XLOOKUP(Table1[[#This Row],[Resource]], 'SI - Payload'!$A$10:$A$38,'SI - Payload'!$B$10:$B$38,"",0), "")</f>
        <v/>
      </c>
      <c r="M74" s="6" t="str">
        <f>IF(Table1[[#This Row],[Category]]="Transportation", "ton", "")</f>
        <v/>
      </c>
      <c r="N74" s="6"/>
      <c r="O74" s="6"/>
      <c r="P74" s="6" t="str">
        <f>IF(OR(Table1[[#This Row],[Type]]="Main Product", Table1[[#This Row],[Type]]="Co-Product"), Table1[[#This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IF(Table1[[#This Row],[Type]]="Co-product", "No", "")</f>
        <v/>
      </c>
      <c r="J75" s="25"/>
      <c r="K75" s="6"/>
      <c r="L75" s="6" t="str">
        <f>IF(Table1[[#This Row],[Category]]="Transportation", _xlfn.XLOOKUP(Table1[[#This Row],[Resource]], 'SI - Payload'!$A$10:$A$38,'SI - Payload'!$B$10:$B$38,"",0), "")</f>
        <v/>
      </c>
      <c r="M75" s="6" t="str">
        <f>IF(Table1[[#This Row],[Category]]="Transportation", "ton", "")</f>
        <v/>
      </c>
      <c r="N75" s="6"/>
      <c r="O75" s="6"/>
      <c r="P75" s="6" t="str">
        <f>IF(OR(Table1[[#This Row],[Type]]="Main Product", Table1[[#This Row],[Type]]="Co-Product"), Table1[[#This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IF(Table1[[#This Row],[Type]]="Co-product", "No", "")</f>
        <v/>
      </c>
      <c r="J76" s="25"/>
      <c r="K76" s="6"/>
      <c r="L76" s="6" t="str">
        <f>IF(Table1[[#This Row],[Category]]="Transportation", _xlfn.XLOOKUP(Table1[[#This Row],[Resource]], 'SI - Payload'!$A$10:$A$38,'SI - Payload'!$B$10:$B$38,"",0), "")</f>
        <v/>
      </c>
      <c r="M76" s="6" t="str">
        <f>IF(Table1[[#This Row],[Category]]="Transportation", "ton", "")</f>
        <v/>
      </c>
      <c r="N76" s="6"/>
      <c r="O76" s="6"/>
      <c r="P76" s="6" t="str">
        <f>IF(OR(Table1[[#This Row],[Type]]="Main Product", Table1[[#This Row],[Type]]="Co-Product"), Table1[[#This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IF(Table1[[#This Row],[Type]]="Co-product", "No", "")</f>
        <v/>
      </c>
      <c r="J77" s="25"/>
      <c r="K77" s="6"/>
      <c r="L77" s="6" t="str">
        <f>IF(Table1[[#This Row],[Category]]="Transportation", _xlfn.XLOOKUP(Table1[[#This Row],[Resource]], 'SI - Payload'!$A$10:$A$38,'SI - Payload'!$B$10:$B$38,"",0), "")</f>
        <v/>
      </c>
      <c r="M77" s="6" t="str">
        <f>IF(Table1[[#This Row],[Category]]="Transportation", "ton", "")</f>
        <v/>
      </c>
      <c r="N77" s="6"/>
      <c r="O77" s="6"/>
      <c r="P77" s="6" t="str">
        <f>IF(OR(Table1[[#This Row],[Type]]="Main Product", Table1[[#This Row],[Type]]="Co-Product"), Table1[[#This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IF(Table1[[#This Row],[Type]]="Co-product", "No", "")</f>
        <v/>
      </c>
      <c r="J78" s="25"/>
      <c r="K78" s="6"/>
      <c r="L78" s="6" t="str">
        <f>IF(Table1[[#This Row],[Category]]="Transportation", _xlfn.XLOOKUP(Table1[[#This Row],[Resource]], 'SI - Payload'!$A$10:$A$38,'SI - Payload'!$B$10:$B$38,"",0), "")</f>
        <v/>
      </c>
      <c r="M78" s="6" t="str">
        <f>IF(Table1[[#This Row],[Category]]="Transportation", "ton", "")</f>
        <v/>
      </c>
      <c r="N78" s="6"/>
      <c r="O78" s="6"/>
      <c r="P78" s="6" t="str">
        <f>IF(OR(Table1[[#This Row],[Type]]="Main Product", Table1[[#This Row],[Type]]="Co-Product"), Table1[[#This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IF(Table1[[#This Row],[Type]]="Co-product", "No", "")</f>
        <v/>
      </c>
      <c r="J79" s="25"/>
      <c r="K79" s="6"/>
      <c r="L79" s="6" t="str">
        <f>IF(Table1[[#This Row],[Category]]="Transportation", _xlfn.XLOOKUP(Table1[[#This Row],[Resource]], 'SI - Payload'!$A$10:$A$38,'SI - Payload'!$B$10:$B$38,"",0), "")</f>
        <v/>
      </c>
      <c r="M79" s="6" t="str">
        <f>IF(Table1[[#This Row],[Category]]="Transportation", "ton", "")</f>
        <v/>
      </c>
      <c r="N79" s="6"/>
      <c r="O79" s="6"/>
      <c r="P79" s="6" t="str">
        <f>IF(OR(Table1[[#This Row],[Type]]="Main Product", Table1[[#This Row],[Type]]="Co-Product"), Table1[[#This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IF(Table1[[#This Row],[Type]]="Co-product", "No", "")</f>
        <v/>
      </c>
      <c r="J80" s="25"/>
      <c r="K80" s="6"/>
      <c r="L80" s="6" t="str">
        <f>IF(Table1[[#This Row],[Category]]="Transportation", _xlfn.XLOOKUP(Table1[[#This Row],[Resource]], 'SI - Payload'!$A$10:$A$38,'SI - Payload'!$B$10:$B$38,"",0), "")</f>
        <v/>
      </c>
      <c r="M80" s="6" t="str">
        <f>IF(Table1[[#This Row],[Category]]="Transportation", "ton", "")</f>
        <v/>
      </c>
      <c r="N80" s="6"/>
      <c r="O80" s="6"/>
      <c r="P80" s="6" t="str">
        <f>IF(OR(Table1[[#This Row],[Type]]="Main Product", Table1[[#This Row],[Type]]="Co-Product"), Table1[[#This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IF(Table1[[#This Row],[Type]]="Co-product", "No", "")</f>
        <v/>
      </c>
      <c r="J81" s="25"/>
      <c r="K81" s="6"/>
      <c r="L81" s="6" t="str">
        <f>IF(Table1[[#This Row],[Category]]="Transportation", _xlfn.XLOOKUP(Table1[[#This Row],[Resource]], 'SI - Payload'!$A$10:$A$38,'SI - Payload'!$B$10:$B$38,"",0), "")</f>
        <v/>
      </c>
      <c r="M81" s="6" t="str">
        <f>IF(Table1[[#This Row],[Category]]="Transportation", "ton", "")</f>
        <v/>
      </c>
      <c r="N81" s="6"/>
      <c r="O81" s="6"/>
      <c r="P81" s="6" t="str">
        <f>IF(OR(Table1[[#This Row],[Type]]="Main Product", Table1[[#This Row],[Type]]="Co-Product"), Table1[[#This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IF(Table1[[#This Row],[Type]]="Co-product", "No", "")</f>
        <v/>
      </c>
      <c r="J82" s="25"/>
      <c r="K82" s="6"/>
      <c r="L82" s="6" t="str">
        <f>IF(Table1[[#This Row],[Category]]="Transportation", _xlfn.XLOOKUP(Table1[[#This Row],[Resource]], 'SI - Payload'!$A$10:$A$38,'SI - Payload'!$B$10:$B$38,"",0), "")</f>
        <v/>
      </c>
      <c r="M82" s="6" t="str">
        <f>IF(Table1[[#This Row],[Category]]="Transportation", "ton", "")</f>
        <v/>
      </c>
      <c r="N82" s="6"/>
      <c r="O82" s="6"/>
      <c r="P82" s="6" t="str">
        <f>IF(OR(Table1[[#This Row],[Type]]="Main Product", Table1[[#This Row],[Type]]="Co-Product"), Table1[[#This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IF(Table1[[#This Row],[Type]]="Co-product", "No", "")</f>
        <v/>
      </c>
      <c r="J83" s="25"/>
      <c r="K83" s="6"/>
      <c r="L83" s="6" t="str">
        <f>IF(Table1[[#This Row],[Category]]="Transportation", _xlfn.XLOOKUP(Table1[[#This Row],[Resource]], 'SI - Payload'!$A$10:$A$38,'SI - Payload'!$B$10:$B$38,"",0), "")</f>
        <v/>
      </c>
      <c r="M83" s="6" t="str">
        <f>IF(Table1[[#This Row],[Category]]="Transportation", "ton", "")</f>
        <v/>
      </c>
      <c r="N83" s="6"/>
      <c r="O83" s="6"/>
      <c r="P83" s="6" t="str">
        <f>IF(OR(Table1[[#This Row],[Type]]="Main Product", Table1[[#This Row],[Type]]="Co-Product"), Table1[[#This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IF(Table1[[#This Row],[Type]]="Co-product", "No", "")</f>
        <v/>
      </c>
      <c r="J84" s="25"/>
      <c r="K84" s="6"/>
      <c r="L84" s="6" t="str">
        <f>IF(Table1[[#This Row],[Category]]="Transportation", _xlfn.XLOOKUP(Table1[[#This Row],[Resource]], 'SI - Payload'!$A$10:$A$38,'SI - Payload'!$B$10:$B$38,"",0), "")</f>
        <v/>
      </c>
      <c r="M84" s="6" t="str">
        <f>IF(Table1[[#This Row],[Category]]="Transportation", "ton", "")</f>
        <v/>
      </c>
      <c r="N84" s="6"/>
      <c r="O84" s="6"/>
      <c r="P84" s="6" t="str">
        <f>IF(OR(Table1[[#This Row],[Type]]="Main Product", Table1[[#This Row],[Type]]="Co-Product"), Table1[[#This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IF(Table1[[#This Row],[Type]]="Co-product", "No", "")</f>
        <v/>
      </c>
      <c r="J85" s="25"/>
      <c r="K85" s="6"/>
      <c r="L85" s="6" t="str">
        <f>IF(Table1[[#This Row],[Category]]="Transportation", _xlfn.XLOOKUP(Table1[[#This Row],[Resource]], 'SI - Payload'!$A$10:$A$38,'SI - Payload'!$B$10:$B$38,"",0), "")</f>
        <v/>
      </c>
      <c r="M85" s="6" t="str">
        <f>IF(Table1[[#This Row],[Category]]="Transportation", "ton", "")</f>
        <v/>
      </c>
      <c r="N85" s="6"/>
      <c r="O85" s="6"/>
      <c r="P85" s="6" t="str">
        <f>IF(OR(Table1[[#This Row],[Type]]="Main Product", Table1[[#This Row],[Type]]="Co-Product"), Table1[[#This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IF(Table1[[#This Row],[Type]]="Co-product", "No", "")</f>
        <v/>
      </c>
      <c r="J86" s="25"/>
      <c r="K86" s="6"/>
      <c r="L86" s="6" t="str">
        <f>IF(Table1[[#This Row],[Category]]="Transportation", _xlfn.XLOOKUP(Table1[[#This Row],[Resource]], 'SI - Payload'!$A$10:$A$38,'SI - Payload'!$B$10:$B$38,"",0), "")</f>
        <v/>
      </c>
      <c r="M86" s="6" t="str">
        <f>IF(Table1[[#This Row],[Category]]="Transportation", "ton", "")</f>
        <v/>
      </c>
      <c r="N86" s="6"/>
      <c r="O86" s="6"/>
      <c r="P86" s="6" t="str">
        <f>IF(OR(Table1[[#This Row],[Type]]="Main Product", Table1[[#This Row],[Type]]="Co-Product"), Table1[[#This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IF(Table1[[#This Row],[Type]]="Co-product", "No", "")</f>
        <v/>
      </c>
      <c r="J87" s="25"/>
      <c r="K87" s="6"/>
      <c r="L87" s="6" t="str">
        <f>IF(Table1[[#This Row],[Category]]="Transportation", _xlfn.XLOOKUP(Table1[[#This Row],[Resource]], 'SI - Payload'!$A$10:$A$38,'SI - Payload'!$B$10:$B$38,"",0), "")</f>
        <v/>
      </c>
      <c r="M87" s="6" t="str">
        <f>IF(Table1[[#This Row],[Category]]="Transportation", "ton", "")</f>
        <v/>
      </c>
      <c r="N87" s="6"/>
      <c r="O87" s="6"/>
      <c r="P87" s="6" t="str">
        <f>IF(OR(Table1[[#This Row],[Type]]="Main Product", Table1[[#This Row],[Type]]="Co-Product"), Table1[[#This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IF(Table1[[#This Row],[Type]]="Co-product", "No", "")</f>
        <v/>
      </c>
      <c r="J88" s="25"/>
      <c r="K88" s="6"/>
      <c r="L88" s="6" t="str">
        <f>IF(Table1[[#This Row],[Category]]="Transportation", _xlfn.XLOOKUP(Table1[[#This Row],[Resource]], 'SI - Payload'!$A$10:$A$38,'SI - Payload'!$B$10:$B$38,"",0), "")</f>
        <v/>
      </c>
      <c r="M88" s="6" t="str">
        <f>IF(Table1[[#This Row],[Category]]="Transportation", "ton", "")</f>
        <v/>
      </c>
      <c r="N88" s="6"/>
      <c r="O88" s="6"/>
      <c r="P88" s="6" t="str">
        <f>IF(OR(Table1[[#This Row],[Type]]="Main Product", Table1[[#This Row],[Type]]="Co-Product"), Table1[[#This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IF(Table1[[#This Row],[Type]]="Co-product", "No", "")</f>
        <v/>
      </c>
      <c r="J89" s="25"/>
      <c r="K89" s="6"/>
      <c r="L89" s="6" t="str">
        <f>IF(Table1[[#This Row],[Category]]="Transportation", _xlfn.XLOOKUP(Table1[[#This Row],[Resource]], 'SI - Payload'!$A$10:$A$38,'SI - Payload'!$B$10:$B$38,"",0), "")</f>
        <v/>
      </c>
      <c r="M89" s="6" t="str">
        <f>IF(Table1[[#This Row],[Category]]="Transportation", "ton", "")</f>
        <v/>
      </c>
      <c r="N89" s="6"/>
      <c r="O89" s="6"/>
      <c r="P89" s="6" t="str">
        <f>IF(OR(Table1[[#This Row],[Type]]="Main Product", Table1[[#This Row],[Type]]="Co-Product"), Table1[[#This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IF(Table1[[#This Row],[Type]]="Co-product", "No", "")</f>
        <v/>
      </c>
      <c r="J90" s="25"/>
      <c r="K90" s="6"/>
      <c r="L90" s="6" t="str">
        <f>IF(Table1[[#This Row],[Category]]="Transportation", _xlfn.XLOOKUP(Table1[[#This Row],[Resource]], 'SI - Payload'!$A$10:$A$38,'SI - Payload'!$B$10:$B$38,"",0), "")</f>
        <v/>
      </c>
      <c r="M90" s="6" t="str">
        <f>IF(Table1[[#This Row],[Category]]="Transportation", "ton", "")</f>
        <v/>
      </c>
      <c r="N90" s="6"/>
      <c r="O90" s="6"/>
      <c r="P90" s="6" t="str">
        <f>IF(OR(Table1[[#This Row],[Type]]="Main Product", Table1[[#This Row],[Type]]="Co-Product"), Table1[[#This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IF(Table1[[#This Row],[Type]]="Co-product", "No", "")</f>
        <v/>
      </c>
      <c r="J91" s="25"/>
      <c r="K91" s="6"/>
      <c r="L91" s="6" t="str">
        <f>IF(Table1[[#This Row],[Category]]="Transportation", _xlfn.XLOOKUP(Table1[[#This Row],[Resource]], 'SI - Payload'!$A$10:$A$38,'SI - Payload'!$B$10:$B$38,"",0), "")</f>
        <v/>
      </c>
      <c r="M91" s="6" t="str">
        <f>IF(Table1[[#This Row],[Category]]="Transportation", "ton", "")</f>
        <v/>
      </c>
      <c r="N91" s="6"/>
      <c r="O91" s="6"/>
      <c r="P91" s="6" t="str">
        <f>IF(OR(Table1[[#This Row],[Type]]="Main Product", Table1[[#This Row],[Type]]="Co-Product"), Table1[[#This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IF(Table1[[#This Row],[Type]]="Co-product", "No", "")</f>
        <v/>
      </c>
      <c r="J92" s="25"/>
      <c r="K92" s="6"/>
      <c r="L92" s="6" t="str">
        <f>IF(Table1[[#This Row],[Category]]="Transportation", _xlfn.XLOOKUP(Table1[[#This Row],[Resource]], 'SI - Payload'!$A$10:$A$38,'SI - Payload'!$B$10:$B$38,"",0), "")</f>
        <v/>
      </c>
      <c r="M92" s="6" t="str">
        <f>IF(Table1[[#This Row],[Category]]="Transportation", "ton", "")</f>
        <v/>
      </c>
      <c r="N92" s="6"/>
      <c r="O92" s="6"/>
      <c r="P92" s="6" t="str">
        <f>IF(OR(Table1[[#This Row],[Type]]="Main Product", Table1[[#This Row],[Type]]="Co-Product"), Table1[[#This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IF(Table1[[#This Row],[Type]]="Co-product", "No", "")</f>
        <v/>
      </c>
      <c r="J93" s="25"/>
      <c r="K93" s="6"/>
      <c r="L93" s="6" t="str">
        <f>IF(Table1[[#This Row],[Category]]="Transportation", _xlfn.XLOOKUP(Table1[[#This Row],[Resource]], 'SI - Payload'!$A$10:$A$38,'SI - Payload'!$B$10:$B$38,"",0), "")</f>
        <v/>
      </c>
      <c r="M93" s="6" t="str">
        <f>IF(Table1[[#This Row],[Category]]="Transportation", "ton", "")</f>
        <v/>
      </c>
      <c r="N93" s="6"/>
      <c r="O93" s="6"/>
      <c r="P93" s="6" t="str">
        <f>IF(OR(Table1[[#This Row],[Type]]="Main Product", Table1[[#This Row],[Type]]="Co-Product"), Table1[[#This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IF(Table1[[#This Row],[Type]]="Co-product", "No", "")</f>
        <v/>
      </c>
      <c r="J94" s="25"/>
      <c r="K94" s="6"/>
      <c r="L94" s="6" t="str">
        <f>IF(Table1[[#This Row],[Category]]="Transportation", _xlfn.XLOOKUP(Table1[[#This Row],[Resource]], 'SI - Payload'!$A$10:$A$38,'SI - Payload'!$B$10:$B$38,"",0), "")</f>
        <v/>
      </c>
      <c r="M94" s="6" t="str">
        <f>IF(Table1[[#This Row],[Category]]="Transportation", "ton", "")</f>
        <v/>
      </c>
      <c r="N94" s="6"/>
      <c r="O94" s="6"/>
      <c r="P94" s="6" t="str">
        <f>IF(OR(Table1[[#This Row],[Type]]="Main Product", Table1[[#This Row],[Type]]="Co-Product"), Table1[[#This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IF(Table1[[#This Row],[Type]]="Co-product", "No", "")</f>
        <v/>
      </c>
      <c r="J95" s="25"/>
      <c r="K95" s="6"/>
      <c r="L95" s="6" t="str">
        <f>IF(Table1[[#This Row],[Category]]="Transportation", _xlfn.XLOOKUP(Table1[[#This Row],[Resource]], 'SI - Payload'!$A$10:$A$38,'SI - Payload'!$B$10:$B$38,"",0), "")</f>
        <v/>
      </c>
      <c r="M95" s="6" t="str">
        <f>IF(Table1[[#This Row],[Category]]="Transportation", "ton", "")</f>
        <v/>
      </c>
      <c r="N95" s="6"/>
      <c r="O95" s="6"/>
      <c r="P95" s="6" t="str">
        <f>IF(OR(Table1[[#This Row],[Type]]="Main Product", Table1[[#This Row],[Type]]="Co-Product"), Table1[[#This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IF(Table1[[#This Row],[Type]]="Co-product", "No", "")</f>
        <v/>
      </c>
      <c r="J96" s="25"/>
      <c r="K96" s="6"/>
      <c r="L96" s="6" t="str">
        <f>IF(Table1[[#This Row],[Category]]="Transportation", _xlfn.XLOOKUP(Table1[[#This Row],[Resource]], 'SI - Payload'!$A$10:$A$38,'SI - Payload'!$B$10:$B$38,"",0), "")</f>
        <v/>
      </c>
      <c r="M96" s="6" t="str">
        <f>IF(Table1[[#This Row],[Category]]="Transportation", "ton", "")</f>
        <v/>
      </c>
      <c r="N96" s="6"/>
      <c r="O96" s="6"/>
      <c r="P96" s="6" t="str">
        <f>IF(OR(Table1[[#This Row],[Type]]="Main Product", Table1[[#This Row],[Type]]="Co-Product"), Table1[[#This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IF(Table1[[#This Row],[Type]]="Co-product", "No", "")</f>
        <v/>
      </c>
      <c r="J97" s="25"/>
      <c r="K97" s="6"/>
      <c r="L97" s="6" t="str">
        <f>IF(Table1[[#This Row],[Category]]="Transportation", _xlfn.XLOOKUP(Table1[[#This Row],[Resource]], 'SI - Payload'!$A$10:$A$38,'SI - Payload'!$B$10:$B$38,"",0), "")</f>
        <v/>
      </c>
      <c r="M97" s="6" t="str">
        <f>IF(Table1[[#This Row],[Category]]="Transportation", "ton", "")</f>
        <v/>
      </c>
      <c r="N97" s="6"/>
      <c r="O97" s="6"/>
      <c r="P97" s="6" t="str">
        <f>IF(OR(Table1[[#This Row],[Type]]="Main Product", Table1[[#This Row],[Type]]="Co-Product"), Table1[[#This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IF(Table1[[#This Row],[Type]]="Co-product", "No", "")</f>
        <v/>
      </c>
      <c r="J98" s="25"/>
      <c r="K98" s="6"/>
      <c r="L98" s="6" t="str">
        <f>IF(Table1[[#This Row],[Category]]="Transportation", _xlfn.XLOOKUP(Table1[[#This Row],[Resource]], 'SI - Payload'!$A$10:$A$38,'SI - Payload'!$B$10:$B$38,"",0), "")</f>
        <v/>
      </c>
      <c r="M98" s="6" t="str">
        <f>IF(Table1[[#This Row],[Category]]="Transportation", "ton", "")</f>
        <v/>
      </c>
      <c r="N98" s="6"/>
      <c r="O98" s="6"/>
      <c r="P98" s="6" t="str">
        <f>IF(OR(Table1[[#This Row],[Type]]="Main Product", Table1[[#This Row],[Type]]="Co-Product"), Table1[[#This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IF(Table1[[#This Row],[Type]]="Co-product", "No", "")</f>
        <v/>
      </c>
      <c r="J99" s="25"/>
      <c r="K99" s="6"/>
      <c r="L99" s="6" t="str">
        <f>IF(Table1[[#This Row],[Category]]="Transportation", _xlfn.XLOOKUP(Table1[[#This Row],[Resource]], 'SI - Payload'!$A$10:$A$38,'SI - Payload'!$B$10:$B$38,"",0), "")</f>
        <v/>
      </c>
      <c r="M99" s="6" t="str">
        <f>IF(Table1[[#This Row],[Category]]="Transportation", "ton", "")</f>
        <v/>
      </c>
      <c r="N99" s="6"/>
      <c r="O99" s="6"/>
      <c r="P99" s="6" t="str">
        <f>IF(OR(Table1[[#This Row],[Type]]="Main Product", Table1[[#This Row],[Type]]="Co-Product"), Table1[[#This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IF(Table1[[#This Row],[Type]]="Co-product", "No", "")</f>
        <v/>
      </c>
      <c r="J100" s="25"/>
      <c r="K100" s="6"/>
      <c r="L100" s="6" t="str">
        <f>IF(Table1[[#This Row],[Category]]="Transportation", _xlfn.XLOOKUP(Table1[[#This Row],[Resource]], 'SI - Payload'!$A$10:$A$38,'SI - Payload'!$B$10:$B$38,"",0), "")</f>
        <v/>
      </c>
      <c r="M100" s="6" t="str">
        <f>IF(Table1[[#This Row],[Category]]="Transportation", "ton", "")</f>
        <v/>
      </c>
      <c r="N100" s="6"/>
      <c r="O100" s="6"/>
      <c r="P100" s="6" t="str">
        <f>IF(OR(Table1[[#This Row],[Type]]="Main Product", Table1[[#This Row],[Type]]="Co-Product"), Table1[[#This Row],[Resource]], "")</f>
        <v/>
      </c>
      <c r="Q100" s="6" t="str">
        <f>IF(_xlfn.XLOOKUP($P100,'SI - End Use'!$B$2:$B$6,'SI - End Use'!$C$2:$C$6, "")="", "", _xlfn.XLOOKUP($C100,'SI - End Use'!$B$2:$B$6,'SI - End Use'!$C$2:$C$6, ""))</f>
        <v/>
      </c>
      <c r="R100" s="6"/>
      <c r="S100" s="6"/>
      <c r="T100" s="6"/>
    </row>
  </sheetData>
  <phoneticPr fontId="15" type="noConversion"/>
  <dataValidations count="7">
    <dataValidation type="list" allowBlank="1" showInputMessage="1" showErrorMessage="1" sqref="C2" xr:uid="{73449F48-79DC-469F-BA4A-33C89F8E76C2}">
      <formula1>"Yes, No"</formula1>
    </dataValidation>
    <dataValidation type="custom" allowBlank="1" showInputMessage="1" showErrorMessage="1" sqref="E6:E100" xr:uid="{0628AE1A-88FC-4B0C-B79D-862BD1EDF44B}">
      <formula1>ISNUMBER(E6)</formula1>
    </dataValidation>
    <dataValidation type="decimal" allowBlank="1" showInputMessage="1" showErrorMessage="1" error="Please type a number between 0 and 1." sqref="G6:G100" xr:uid="{77F9124D-1D0E-4379-AF61-9A752A5D05DC}">
      <formula1>0</formula1>
      <formula2>1</formula2>
    </dataValidation>
    <dataValidation type="decimal" operator="greaterThan" allowBlank="1" showInputMessage="1" showErrorMessage="1" error="Please type a positive price." sqref="N6:N100" xr:uid="{2F05DDD3-7CC2-4F6E-8CEB-5225CE706D4E}">
      <formula1>0</formula1>
    </dataValidation>
    <dataValidation type="decimal" operator="greaterThan" allowBlank="1" showInputMessage="1" showErrorMessage="1" error="Please type a positive number." sqref="L6:L100" xr:uid="{751FB50C-1C6A-47E6-B503-A56F763BA60D}">
      <formula1>0</formula1>
    </dataValidation>
    <dataValidation type="list" allowBlank="1" showInputMessage="1" showErrorMessage="1" sqref="M6:M100" xr:uid="{2D00DD87-99F7-4095-AC51-B3DA0B074971}">
      <formula1>payload_units</formula1>
    </dataValidation>
    <dataValidation type="decimal" allowBlank="1" showInputMessage="1" showErrorMessage="1" sqref="J6:J100" xr:uid="{0D15966B-8CA3-49FA-91F0-FC231371E901}">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Units'!$B$24:$B$109,'SI - Units'!$C$24:$C$109),'SI - Units'!$A$2:$A$8,'SI - Units'!$B$2:$R$8)</xm:f>
          </x14:formula1>
          <xm:sqref>F5</xm:sqref>
        </x14:dataValidation>
        <x14:dataValidation type="list" allowBlank="1" showInputMessage="1" showErrorMessage="1" xr:uid="{98C737DB-05DE-4B55-BC21-D443B4AFD73C}">
          <x14:formula1>
            <xm:f>'SI - Co-products'!$A$2:$A$5</xm:f>
          </x14:formula1>
          <xm:sqref>K6:K100</xm:sqref>
        </x14:dataValidation>
        <x14:dataValidation type="list" allowBlank="1" showInputMessage="1" showErrorMessage="1" xr:uid="{A661F3EB-4472-4021-BF1D-5407F0EC0D4D}">
          <x14:formula1>
            <xm:f>'SI - Co-products'!$C$2:$C$4</xm:f>
          </x14:formula1>
          <xm:sqref>I6:I100</xm:sqref>
        </x14:dataValidation>
        <x14:dataValidation type="list" allowBlank="1" showInputMessage="1" showErrorMessage="1" xr:uid="{8A3E68E7-60EC-4BD9-8B2B-6DBC01684E36}">
          <x14:formula1>
            <xm:f>'SI - Resources'!$A$1:$J$1</xm:f>
          </x14:formula1>
          <xm:sqref>B6:B100</xm:sqref>
        </x14:dataValidation>
        <x14:dataValidation type="list" allowBlank="1" showInputMessage="1" showErrorMessage="1" xr:uid="{7278667E-A56C-4614-A6ED-00C2D0D6E674}">
          <x14:formula1>
            <xm:f>'SI - Co-products'!$B$2:$B$6</xm:f>
          </x14:formula1>
          <xm:sqref>A6:A100</xm:sqref>
        </x14:dataValidation>
        <x14:dataValidation type="list" allowBlank="1" showInputMessage="1" showErrorMessage="1" xr:uid="{CB2C94B2-2061-419A-98FA-978462E1885E}">
          <x14:formula1>
            <xm:f>INDIRECT(_xlfn.XLOOKUP($B6, 'SI - Resources'!$R$1:$R$10,'SI - Resources'!$S$1:$S$10, "placeholder_resource", 0))</xm:f>
          </x14:formula1>
          <xm:sqref>P6:P100 C6:C100</xm:sqref>
        </x14:dataValidation>
        <x14:dataValidation type="list" allowBlank="1" showInputMessage="1" xr:uid="{E72F2434-6FC6-48BC-A1D3-F7F1254C28A5}">
          <x14:formula1>
            <xm:f>INDIRECT(_xlfn.XLOOKUP($C6,'SI - End Use'!$A$11:$A$17,'SI - End Use'!$B$11:$B$17,"other_end_use",0))</xm:f>
          </x14:formula1>
          <xm:sqref>D6:D100</xm:sqref>
        </x14:dataValidation>
        <x14:dataValidation type="list" allowBlank="1" showInputMessage="1" showErrorMessage="1" xr:uid="{DC2C16C8-CE07-4FE6-9DEE-2F41BAAE693C}">
          <x14:formula1>
            <xm:f>INDIRECT(_xlfn.XLOOKUP($P6,'SI - End Use'!$A$11:$A$17,'SI - End Use'!$B$11:$B$17,"other_end_use",0))</xm:f>
          </x14:formula1>
          <xm:sqref>Q6:R100</xm:sqref>
        </x14:dataValidation>
        <x14:dataValidation type="list" allowBlank="1" showInputMessage="1" showErrorMessage="1" xr:uid="{CE4F3BE5-4A30-4B88-911F-8304175FD33C}">
          <x14:formula1>
            <xm:f>IF($B6="Transportation",  transport_units, INDIRECT(_xlfn.XLOOKUP($C6, 'SI - Units'!$F$26:$F$36,'SI - Units'!$G$26:$G$36,"mass",0)))</xm:f>
          </x14:formula1>
          <xm:sqref>F6:F100</xm:sqref>
        </x14:dataValidation>
        <x14:dataValidation type="list" allowBlank="1" showInputMessage="1" showErrorMessage="1" xr:uid="{05496563-CC83-4996-B1CE-3FED2D55798A}">
          <x14:formula1>
            <xm:f>INDIRECT("p_"&amp;_xlfn.XLOOKUP($C6,'SI - Units'!$F$26:$F$36,'SI - Units'!$G$26:$G$36,"mass",0))</xm:f>
          </x14:formula1>
          <xm:sqref>O6:O100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dimension ref="A1:BZ38"/>
  <sheetViews>
    <sheetView workbookViewId="0">
      <selection activeCell="J20" sqref="J20"/>
    </sheetView>
  </sheetViews>
  <sheetFormatPr defaultRowHeight="14.5" x14ac:dyDescent="0.35"/>
  <cols>
    <col min="1" max="1" width="25" bestFit="1" customWidth="1"/>
    <col min="7" max="7" width="8.81640625" bestFit="1" customWidth="1"/>
  </cols>
  <sheetData>
    <row r="1" spans="1:78" ht="65.5" x14ac:dyDescent="0.35">
      <c r="A1" s="27" t="s">
        <v>139</v>
      </c>
      <c r="B1" s="28" t="s">
        <v>140</v>
      </c>
      <c r="C1" s="28" t="s">
        <v>141</v>
      </c>
      <c r="D1" s="28" t="s">
        <v>2</v>
      </c>
      <c r="E1" s="28" t="s">
        <v>142</v>
      </c>
      <c r="F1" s="28" t="s">
        <v>143</v>
      </c>
      <c r="G1" s="28" t="s">
        <v>144</v>
      </c>
      <c r="H1" s="28" t="s">
        <v>145</v>
      </c>
      <c r="I1" s="28" t="s">
        <v>146</v>
      </c>
      <c r="J1" s="28" t="s">
        <v>147</v>
      </c>
      <c r="K1" s="28" t="s">
        <v>148</v>
      </c>
      <c r="L1" s="28" t="s">
        <v>149</v>
      </c>
      <c r="M1" s="28" t="s">
        <v>150</v>
      </c>
      <c r="N1" s="28" t="s">
        <v>151</v>
      </c>
      <c r="O1" s="28" t="s">
        <v>152</v>
      </c>
      <c r="P1" s="28" t="s">
        <v>153</v>
      </c>
      <c r="Q1" s="28" t="s">
        <v>154</v>
      </c>
      <c r="R1" s="28" t="s">
        <v>155</v>
      </c>
      <c r="S1" s="28" t="s">
        <v>156</v>
      </c>
      <c r="T1" s="28" t="s">
        <v>157</v>
      </c>
      <c r="U1" s="28" t="s">
        <v>158</v>
      </c>
      <c r="V1" s="28" t="s">
        <v>159</v>
      </c>
      <c r="W1" s="28" t="s">
        <v>71</v>
      </c>
      <c r="X1" s="28" t="s">
        <v>160</v>
      </c>
      <c r="Y1" s="28" t="s">
        <v>161</v>
      </c>
      <c r="Z1" s="28" t="s">
        <v>162</v>
      </c>
      <c r="AA1" s="28" t="s">
        <v>163</v>
      </c>
      <c r="AB1" s="28" t="s">
        <v>164</v>
      </c>
      <c r="AC1" s="28" t="s">
        <v>165</v>
      </c>
      <c r="AD1" s="28" t="s">
        <v>166</v>
      </c>
      <c r="AE1" s="28" t="s">
        <v>167</v>
      </c>
      <c r="AF1" s="28" t="s">
        <v>168</v>
      </c>
      <c r="AG1" s="28" t="s">
        <v>169</v>
      </c>
      <c r="AH1" s="28" t="s">
        <v>170</v>
      </c>
      <c r="AI1" s="28" t="s">
        <v>171</v>
      </c>
      <c r="AJ1" s="28" t="s">
        <v>172</v>
      </c>
      <c r="AK1" s="28" t="s">
        <v>173</v>
      </c>
      <c r="AL1" s="28" t="s">
        <v>174</v>
      </c>
      <c r="AM1" s="28" t="s">
        <v>175</v>
      </c>
      <c r="AN1" s="28" t="s">
        <v>176</v>
      </c>
      <c r="AO1" s="28" t="s">
        <v>177</v>
      </c>
      <c r="AP1" s="28" t="s">
        <v>178</v>
      </c>
      <c r="AQ1" s="28" t="s">
        <v>179</v>
      </c>
      <c r="AR1" s="28" t="s">
        <v>180</v>
      </c>
      <c r="AS1" s="28" t="s">
        <v>181</v>
      </c>
      <c r="AT1" s="28" t="s">
        <v>182</v>
      </c>
      <c r="AU1" s="28" t="s">
        <v>183</v>
      </c>
      <c r="AV1" s="28" t="s">
        <v>184</v>
      </c>
      <c r="AW1" s="28" t="s">
        <v>185</v>
      </c>
      <c r="AX1" s="28" t="s">
        <v>186</v>
      </c>
      <c r="AY1" s="28" t="s">
        <v>187</v>
      </c>
      <c r="AZ1" s="28" t="s">
        <v>188</v>
      </c>
      <c r="BA1" s="28" t="s">
        <v>189</v>
      </c>
      <c r="BB1" s="28" t="s">
        <v>190</v>
      </c>
      <c r="BC1" s="28" t="s">
        <v>15</v>
      </c>
      <c r="BD1" s="28" t="s">
        <v>191</v>
      </c>
      <c r="BE1" s="28" t="s">
        <v>192</v>
      </c>
      <c r="BF1" s="28" t="s">
        <v>19</v>
      </c>
      <c r="BG1" s="28" t="s">
        <v>193</v>
      </c>
      <c r="BH1" s="28" t="s">
        <v>194</v>
      </c>
      <c r="BI1" s="28" t="s">
        <v>195</v>
      </c>
      <c r="BJ1" s="28" t="s">
        <v>196</v>
      </c>
      <c r="BK1" s="28" t="s">
        <v>197</v>
      </c>
      <c r="BL1" s="28" t="s">
        <v>198</v>
      </c>
      <c r="BM1" s="28" t="s">
        <v>199</v>
      </c>
      <c r="BN1" s="28" t="s">
        <v>200</v>
      </c>
      <c r="BO1" s="28" t="s">
        <v>201</v>
      </c>
      <c r="BP1" s="28" t="s">
        <v>202</v>
      </c>
      <c r="BQ1" s="28" t="s">
        <v>203</v>
      </c>
      <c r="BR1" s="28" t="s">
        <v>204</v>
      </c>
      <c r="BS1" s="28" t="s">
        <v>205</v>
      </c>
      <c r="BT1" s="28" t="s">
        <v>206</v>
      </c>
      <c r="BU1" s="28" t="s">
        <v>207</v>
      </c>
      <c r="BV1" s="28" t="s">
        <v>208</v>
      </c>
      <c r="BW1" s="28" t="s">
        <v>209</v>
      </c>
      <c r="BX1" s="28" t="s">
        <v>210</v>
      </c>
      <c r="BY1" s="28" t="s">
        <v>211</v>
      </c>
      <c r="BZ1" s="29" t="s">
        <v>212</v>
      </c>
    </row>
    <row r="2" spans="1:78" x14ac:dyDescent="0.35">
      <c r="A2" s="30" t="s">
        <v>213</v>
      </c>
      <c r="B2" s="31">
        <v>133526.27602620388</v>
      </c>
      <c r="C2" s="31">
        <v>90000</v>
      </c>
      <c r="D2" s="31">
        <v>100000</v>
      </c>
      <c r="E2" s="32">
        <v>80000</v>
      </c>
      <c r="F2" s="31">
        <v>90000</v>
      </c>
      <c r="G2" s="32">
        <v>100000</v>
      </c>
      <c r="H2" s="32">
        <v>100000</v>
      </c>
      <c r="I2" s="32">
        <v>100000</v>
      </c>
      <c r="J2" s="32">
        <v>100000</v>
      </c>
      <c r="K2" s="33"/>
      <c r="L2" s="31">
        <v>65000</v>
      </c>
      <c r="M2" s="31">
        <v>90000</v>
      </c>
      <c r="N2" s="32">
        <v>80000</v>
      </c>
      <c r="O2" s="31">
        <v>100000</v>
      </c>
      <c r="P2" s="31">
        <v>90000</v>
      </c>
      <c r="Q2" s="33"/>
      <c r="R2" s="31">
        <v>15000</v>
      </c>
      <c r="S2" s="32">
        <v>22000</v>
      </c>
      <c r="T2" s="33"/>
      <c r="U2" s="33"/>
      <c r="V2" s="33"/>
      <c r="W2" s="33"/>
      <c r="X2" s="33"/>
      <c r="Y2" s="32">
        <v>65000</v>
      </c>
      <c r="Z2" s="33"/>
      <c r="AA2" s="33"/>
      <c r="AB2" s="33"/>
      <c r="AC2" s="33"/>
      <c r="AD2" s="33"/>
      <c r="AE2" s="33"/>
      <c r="AF2" s="33"/>
      <c r="AG2" s="33"/>
      <c r="AH2" s="33"/>
      <c r="AI2" s="33"/>
      <c r="AJ2" s="33"/>
      <c r="AK2" s="32">
        <v>150000</v>
      </c>
      <c r="AL2" s="33"/>
      <c r="AM2" s="34"/>
      <c r="AN2" s="33"/>
      <c r="AO2" s="33"/>
      <c r="AP2" s="33"/>
      <c r="AQ2" s="33"/>
      <c r="AR2" s="35">
        <v>100000</v>
      </c>
      <c r="AS2" s="35">
        <v>100000</v>
      </c>
      <c r="AT2" s="36"/>
      <c r="AU2" s="33"/>
      <c r="AV2" s="33"/>
      <c r="AW2" s="33"/>
      <c r="AX2" s="33"/>
      <c r="AY2" s="33"/>
      <c r="AZ2" s="33"/>
      <c r="BA2" s="33"/>
      <c r="BB2" s="33"/>
      <c r="BC2" s="33"/>
      <c r="BD2" s="33"/>
      <c r="BE2" s="33"/>
      <c r="BF2" s="33"/>
      <c r="BG2" s="33"/>
      <c r="BH2" s="33"/>
      <c r="BI2" s="33"/>
      <c r="BJ2" s="33"/>
      <c r="BK2" s="33"/>
      <c r="BL2" s="34"/>
      <c r="BM2" s="33"/>
      <c r="BN2" s="37">
        <v>100000</v>
      </c>
      <c r="BO2" s="34"/>
      <c r="BP2" s="38">
        <v>90000</v>
      </c>
      <c r="BQ2" s="33"/>
      <c r="BR2" s="34"/>
      <c r="BS2" s="38">
        <v>80000</v>
      </c>
      <c r="BT2" s="33"/>
      <c r="BU2" s="33"/>
      <c r="BV2" s="33"/>
      <c r="BW2" s="33"/>
      <c r="BX2" s="33"/>
      <c r="BY2" s="33"/>
      <c r="BZ2" s="39"/>
    </row>
    <row r="3" spans="1:78" x14ac:dyDescent="0.35">
      <c r="A3" s="30" t="s">
        <v>214</v>
      </c>
      <c r="B3" s="32">
        <v>22500</v>
      </c>
      <c r="C3" s="32">
        <v>20000</v>
      </c>
      <c r="D3" s="32">
        <v>22500</v>
      </c>
      <c r="E3" s="32">
        <v>18000</v>
      </c>
      <c r="F3" s="32">
        <v>19000</v>
      </c>
      <c r="G3" s="32">
        <v>22500</v>
      </c>
      <c r="H3" s="32">
        <v>20000</v>
      </c>
      <c r="I3" s="32">
        <v>20000</v>
      </c>
      <c r="J3" s="32">
        <v>20000</v>
      </c>
      <c r="K3" s="33"/>
      <c r="L3" s="32">
        <v>15000</v>
      </c>
      <c r="M3" s="32">
        <v>20000</v>
      </c>
      <c r="N3" s="32">
        <v>18000</v>
      </c>
      <c r="O3" s="32">
        <v>20000</v>
      </c>
      <c r="P3" s="32">
        <v>19000</v>
      </c>
      <c r="Q3" s="33"/>
      <c r="R3" s="32">
        <v>3000</v>
      </c>
      <c r="S3" s="32">
        <v>20000</v>
      </c>
      <c r="T3" s="32">
        <v>20000</v>
      </c>
      <c r="U3" s="33">
        <v>20000</v>
      </c>
      <c r="V3" s="32">
        <v>22500</v>
      </c>
      <c r="W3" s="33">
        <v>20000</v>
      </c>
      <c r="X3" s="33">
        <v>20000</v>
      </c>
      <c r="Y3" s="32">
        <v>22500</v>
      </c>
      <c r="Z3" s="32">
        <v>20000</v>
      </c>
      <c r="AA3" s="32">
        <v>20000</v>
      </c>
      <c r="AB3" s="32">
        <v>20000</v>
      </c>
      <c r="AC3" s="32">
        <v>20000</v>
      </c>
      <c r="AD3" s="32">
        <v>20000</v>
      </c>
      <c r="AE3" s="32">
        <v>20000</v>
      </c>
      <c r="AF3" s="32">
        <v>20000</v>
      </c>
      <c r="AG3" s="33"/>
      <c r="AH3" s="33"/>
      <c r="AI3" s="33"/>
      <c r="AJ3" s="32">
        <v>20000</v>
      </c>
      <c r="AK3" s="33"/>
      <c r="AL3" s="32">
        <v>20000</v>
      </c>
      <c r="AM3" s="32">
        <v>20000</v>
      </c>
      <c r="AN3" s="32">
        <v>20000</v>
      </c>
      <c r="AO3" s="32">
        <v>30000</v>
      </c>
      <c r="AP3" s="33"/>
      <c r="AQ3" s="32">
        <v>30000</v>
      </c>
      <c r="AR3" s="32">
        <v>22500</v>
      </c>
      <c r="AS3" s="32">
        <v>20000</v>
      </c>
      <c r="AT3" s="32">
        <v>20000</v>
      </c>
      <c r="AU3" s="32">
        <v>20000</v>
      </c>
      <c r="AV3" s="33"/>
      <c r="AW3" s="32">
        <v>22500</v>
      </c>
      <c r="AX3" s="33"/>
      <c r="AY3" s="33"/>
      <c r="AZ3" s="33"/>
      <c r="BA3" s="33"/>
      <c r="BB3" s="33"/>
      <c r="BC3" s="33"/>
      <c r="BD3" s="33"/>
      <c r="BE3" s="33"/>
      <c r="BF3" s="33"/>
      <c r="BG3" s="33"/>
      <c r="BH3" s="33"/>
      <c r="BI3" s="32">
        <v>20000</v>
      </c>
      <c r="BJ3" s="33"/>
      <c r="BK3" s="32">
        <v>20000</v>
      </c>
      <c r="BL3" s="33"/>
      <c r="BM3" s="32"/>
      <c r="BN3" s="33"/>
      <c r="BO3" s="34"/>
      <c r="BP3" s="32">
        <v>19000</v>
      </c>
      <c r="BQ3" s="32">
        <v>20000</v>
      </c>
      <c r="BR3" s="34"/>
      <c r="BS3" s="32">
        <v>18000</v>
      </c>
      <c r="BT3" s="32">
        <v>20000</v>
      </c>
      <c r="BU3" s="33"/>
      <c r="BV3" s="33"/>
      <c r="BW3" s="33"/>
      <c r="BX3" s="33"/>
      <c r="BY3" s="33"/>
      <c r="BZ3" s="39"/>
    </row>
    <row r="4" spans="1:78" x14ac:dyDescent="0.35">
      <c r="A4" s="30" t="s">
        <v>215</v>
      </c>
      <c r="B4" s="32">
        <v>25</v>
      </c>
      <c r="C4" s="32">
        <v>25</v>
      </c>
      <c r="D4" s="32">
        <v>25</v>
      </c>
      <c r="E4" s="32">
        <v>20</v>
      </c>
      <c r="F4" s="32">
        <v>22</v>
      </c>
      <c r="G4" s="32">
        <v>25</v>
      </c>
      <c r="H4" s="32">
        <v>25</v>
      </c>
      <c r="I4" s="32">
        <v>25</v>
      </c>
      <c r="J4" s="32">
        <v>25</v>
      </c>
      <c r="K4" s="32">
        <v>25</v>
      </c>
      <c r="L4" s="32">
        <v>15</v>
      </c>
      <c r="M4" s="32">
        <v>25</v>
      </c>
      <c r="N4" s="32">
        <v>20</v>
      </c>
      <c r="O4" s="32">
        <v>25</v>
      </c>
      <c r="P4" s="32">
        <v>22</v>
      </c>
      <c r="Q4" s="32">
        <v>0.4</v>
      </c>
      <c r="R4" s="32">
        <v>4</v>
      </c>
      <c r="S4" s="32">
        <v>33</v>
      </c>
      <c r="T4" s="32">
        <v>25</v>
      </c>
      <c r="U4" s="33">
        <v>25</v>
      </c>
      <c r="V4" s="32">
        <v>25</v>
      </c>
      <c r="W4" s="33">
        <v>25</v>
      </c>
      <c r="X4" s="33">
        <v>25</v>
      </c>
      <c r="Y4" s="32">
        <v>22.5</v>
      </c>
      <c r="Z4" s="32">
        <v>17.5</v>
      </c>
      <c r="AA4" s="32">
        <v>17.5</v>
      </c>
      <c r="AB4" s="32">
        <v>25</v>
      </c>
      <c r="AC4" s="32">
        <v>15</v>
      </c>
      <c r="AD4" s="40">
        <v>17.684999999999999</v>
      </c>
      <c r="AE4" s="40">
        <v>20.889521999999999</v>
      </c>
      <c r="AF4" s="32">
        <v>17.5</v>
      </c>
      <c r="AG4" s="32">
        <v>25</v>
      </c>
      <c r="AH4" s="32">
        <v>17</v>
      </c>
      <c r="AI4" s="32">
        <v>17</v>
      </c>
      <c r="AJ4" s="32">
        <v>15</v>
      </c>
      <c r="AK4" s="32">
        <v>25</v>
      </c>
      <c r="AL4" s="32">
        <v>15</v>
      </c>
      <c r="AM4" s="32">
        <v>15</v>
      </c>
      <c r="AN4" s="32">
        <v>15</v>
      </c>
      <c r="AO4" s="32">
        <v>25</v>
      </c>
      <c r="AP4" s="32">
        <v>25</v>
      </c>
      <c r="AQ4" s="32">
        <v>25</v>
      </c>
      <c r="AR4" s="32">
        <v>25</v>
      </c>
      <c r="AS4" s="32">
        <v>25</v>
      </c>
      <c r="AT4" s="32">
        <v>25</v>
      </c>
      <c r="AU4" s="32">
        <v>24</v>
      </c>
      <c r="AV4" s="32">
        <v>25</v>
      </c>
      <c r="AW4" s="32">
        <v>25</v>
      </c>
      <c r="AX4" s="32">
        <v>25</v>
      </c>
      <c r="AY4" s="32">
        <v>25</v>
      </c>
      <c r="AZ4" s="32">
        <v>25</v>
      </c>
      <c r="BA4" s="32">
        <v>25</v>
      </c>
      <c r="BB4" s="32">
        <v>23</v>
      </c>
      <c r="BC4" s="32">
        <v>23</v>
      </c>
      <c r="BD4" s="32">
        <v>23</v>
      </c>
      <c r="BE4" s="32">
        <v>23</v>
      </c>
      <c r="BF4" s="32">
        <v>23</v>
      </c>
      <c r="BG4" s="32">
        <v>23</v>
      </c>
      <c r="BH4" s="32">
        <v>23</v>
      </c>
      <c r="BI4" s="32">
        <v>25</v>
      </c>
      <c r="BJ4" s="32">
        <v>25</v>
      </c>
      <c r="BK4" s="32">
        <v>20</v>
      </c>
      <c r="BL4" s="41">
        <v>23</v>
      </c>
      <c r="BM4" s="32">
        <v>21.75</v>
      </c>
      <c r="BN4" s="34"/>
      <c r="BO4" s="42">
        <v>23</v>
      </c>
      <c r="BP4" s="32">
        <v>22</v>
      </c>
      <c r="BQ4" s="37">
        <v>17.62</v>
      </c>
      <c r="BR4" s="42">
        <v>17.68</v>
      </c>
      <c r="BS4" s="32">
        <v>20</v>
      </c>
      <c r="BT4" s="32">
        <v>17.62</v>
      </c>
      <c r="BU4" s="32">
        <v>24</v>
      </c>
      <c r="BV4" s="32">
        <v>15</v>
      </c>
      <c r="BW4" s="32">
        <v>15</v>
      </c>
      <c r="BX4" s="32">
        <v>21</v>
      </c>
      <c r="BY4" s="32">
        <v>24</v>
      </c>
      <c r="BZ4" s="43">
        <v>17.5</v>
      </c>
    </row>
    <row r="5" spans="1:78" x14ac:dyDescent="0.35">
      <c r="A5" s="44" t="s">
        <v>216</v>
      </c>
      <c r="B5" s="45"/>
      <c r="C5" s="45"/>
      <c r="D5" s="45"/>
      <c r="E5" s="45"/>
      <c r="F5" s="45"/>
      <c r="G5" s="45"/>
      <c r="H5" s="45"/>
      <c r="I5" s="45"/>
      <c r="J5" s="45"/>
      <c r="K5" s="46">
        <v>8</v>
      </c>
      <c r="L5" s="45"/>
      <c r="M5" s="45"/>
      <c r="N5" s="45"/>
      <c r="O5" s="45"/>
      <c r="P5" s="45"/>
      <c r="Q5" s="46">
        <v>0.4</v>
      </c>
      <c r="R5" s="46">
        <v>1.28</v>
      </c>
      <c r="S5" s="46"/>
      <c r="T5" s="45"/>
      <c r="U5" s="45"/>
      <c r="V5" s="45"/>
      <c r="W5" s="45"/>
      <c r="X5" s="45"/>
      <c r="Y5" s="46">
        <v>8</v>
      </c>
      <c r="Z5" s="45"/>
      <c r="AA5" s="45"/>
      <c r="AB5" s="45"/>
      <c r="AC5" s="46">
        <v>8</v>
      </c>
      <c r="AD5" s="45"/>
      <c r="AE5" s="45"/>
      <c r="AF5" s="45"/>
      <c r="AG5" s="45"/>
      <c r="AH5" s="45"/>
      <c r="AI5" s="45"/>
      <c r="AJ5" s="46">
        <v>8</v>
      </c>
      <c r="AK5" s="46">
        <v>8</v>
      </c>
      <c r="AL5" s="46">
        <v>8</v>
      </c>
      <c r="AM5" s="46">
        <v>8</v>
      </c>
      <c r="AN5" s="46">
        <v>8</v>
      </c>
      <c r="AO5" s="45"/>
      <c r="AP5" s="45"/>
      <c r="AQ5" s="45"/>
      <c r="AR5" s="47"/>
      <c r="AS5" s="47"/>
      <c r="AT5" s="47"/>
      <c r="AU5" s="45"/>
      <c r="AV5" s="46">
        <v>8</v>
      </c>
      <c r="AW5" s="45"/>
      <c r="AX5" s="45"/>
      <c r="AY5" s="45"/>
      <c r="AZ5" s="46">
        <v>8</v>
      </c>
      <c r="BA5" s="46">
        <v>8</v>
      </c>
      <c r="BB5" s="46">
        <v>8</v>
      </c>
      <c r="BC5" s="46">
        <v>8</v>
      </c>
      <c r="BD5" s="46">
        <v>8</v>
      </c>
      <c r="BE5" s="46">
        <v>8</v>
      </c>
      <c r="BF5" s="46">
        <v>8</v>
      </c>
      <c r="BG5" s="46">
        <v>8</v>
      </c>
      <c r="BH5" s="46">
        <v>8</v>
      </c>
      <c r="BI5" s="45"/>
      <c r="BJ5" s="45"/>
      <c r="BK5" s="45">
        <v>5</v>
      </c>
      <c r="BL5" s="48">
        <v>8</v>
      </c>
      <c r="BM5" s="45"/>
      <c r="BN5" s="47"/>
      <c r="BO5" s="47"/>
      <c r="BP5" s="45"/>
      <c r="BQ5" s="45"/>
      <c r="BR5" s="47"/>
      <c r="BS5" s="45"/>
      <c r="BT5" s="45"/>
      <c r="BU5" s="45"/>
      <c r="BV5" s="45">
        <v>8</v>
      </c>
      <c r="BW5" s="45"/>
      <c r="BX5" s="45"/>
      <c r="BY5" s="45"/>
      <c r="BZ5" s="49"/>
    </row>
    <row r="10" spans="1:78" x14ac:dyDescent="0.35">
      <c r="A10" t="s">
        <v>32</v>
      </c>
      <c r="B10" s="50">
        <f>AC4</f>
        <v>15</v>
      </c>
    </row>
    <row r="11" spans="1:78" x14ac:dyDescent="0.35">
      <c r="A11" t="s">
        <v>288</v>
      </c>
      <c r="B11" s="50">
        <f>AV4</f>
        <v>25</v>
      </c>
    </row>
    <row r="12" spans="1:78" x14ac:dyDescent="0.35">
      <c r="A12" t="s">
        <v>2</v>
      </c>
      <c r="B12" s="50">
        <f>D4</f>
        <v>25</v>
      </c>
    </row>
    <row r="13" spans="1:78" x14ac:dyDescent="0.35">
      <c r="A13" t="s">
        <v>22</v>
      </c>
      <c r="B13" s="51">
        <f>Q4</f>
        <v>0.4</v>
      </c>
    </row>
    <row r="14" spans="1:78" x14ac:dyDescent="0.35">
      <c r="A14" t="s">
        <v>71</v>
      </c>
      <c r="B14" s="50">
        <f>W4</f>
        <v>25</v>
      </c>
    </row>
    <row r="15" spans="1:78" x14ac:dyDescent="0.35">
      <c r="A15" t="s">
        <v>276</v>
      </c>
      <c r="B15" s="50">
        <f>W4</f>
        <v>25</v>
      </c>
    </row>
    <row r="16" spans="1:78" x14ac:dyDescent="0.35">
      <c r="A16" t="s">
        <v>277</v>
      </c>
      <c r="B16" s="50">
        <f>W4</f>
        <v>25</v>
      </c>
    </row>
    <row r="17" spans="1:2" x14ac:dyDescent="0.35">
      <c r="A17" t="s">
        <v>13</v>
      </c>
      <c r="B17" s="50">
        <f>$Y$4</f>
        <v>22.5</v>
      </c>
    </row>
    <row r="18" spans="1:2" x14ac:dyDescent="0.35">
      <c r="A18" t="s">
        <v>14</v>
      </c>
      <c r="B18" s="50">
        <f t="shared" ref="B18:B38" si="0">$Y$4</f>
        <v>22.5</v>
      </c>
    </row>
    <row r="19" spans="1:2" x14ac:dyDescent="0.35">
      <c r="A19" t="s">
        <v>15</v>
      </c>
      <c r="B19" s="50">
        <f t="shared" si="0"/>
        <v>22.5</v>
      </c>
    </row>
    <row r="20" spans="1:2" x14ac:dyDescent="0.35">
      <c r="A20" t="s">
        <v>16</v>
      </c>
      <c r="B20" s="50">
        <f t="shared" si="0"/>
        <v>22.5</v>
      </c>
    </row>
    <row r="21" spans="1:2" x14ac:dyDescent="0.35">
      <c r="A21" t="s">
        <v>17</v>
      </c>
      <c r="B21" s="50">
        <f t="shared" si="0"/>
        <v>22.5</v>
      </c>
    </row>
    <row r="22" spans="1:2" x14ac:dyDescent="0.35">
      <c r="A22" t="s">
        <v>18</v>
      </c>
      <c r="B22" s="50">
        <f t="shared" si="0"/>
        <v>22.5</v>
      </c>
    </row>
    <row r="23" spans="1:2" x14ac:dyDescent="0.35">
      <c r="A23" t="s">
        <v>19</v>
      </c>
      <c r="B23" s="50">
        <f t="shared" si="0"/>
        <v>22.5</v>
      </c>
    </row>
    <row r="24" spans="1:2" x14ac:dyDescent="0.35">
      <c r="A24" t="s">
        <v>107</v>
      </c>
      <c r="B24" s="50">
        <f t="shared" si="0"/>
        <v>22.5</v>
      </c>
    </row>
    <row r="25" spans="1:2" x14ac:dyDescent="0.35">
      <c r="A25" t="s">
        <v>106</v>
      </c>
      <c r="B25" s="50">
        <f t="shared" si="0"/>
        <v>22.5</v>
      </c>
    </row>
    <row r="26" spans="1:2" x14ac:dyDescent="0.35">
      <c r="A26" t="s">
        <v>21</v>
      </c>
      <c r="B26" s="50">
        <f t="shared" si="0"/>
        <v>22.5</v>
      </c>
    </row>
    <row r="27" spans="1:2" x14ac:dyDescent="0.35">
      <c r="A27" t="s">
        <v>36</v>
      </c>
      <c r="B27" s="50">
        <f t="shared" si="0"/>
        <v>22.5</v>
      </c>
    </row>
    <row r="28" spans="1:2" x14ac:dyDescent="0.35">
      <c r="A28" t="s">
        <v>23</v>
      </c>
      <c r="B28" s="50">
        <f t="shared" si="0"/>
        <v>22.5</v>
      </c>
    </row>
    <row r="29" spans="1:2" x14ac:dyDescent="0.35">
      <c r="A29" t="s">
        <v>25</v>
      </c>
      <c r="B29" s="50">
        <f t="shared" si="0"/>
        <v>22.5</v>
      </c>
    </row>
    <row r="30" spans="1:2" x14ac:dyDescent="0.35">
      <c r="A30" t="s">
        <v>26</v>
      </c>
      <c r="B30" s="50">
        <f t="shared" si="0"/>
        <v>22.5</v>
      </c>
    </row>
    <row r="31" spans="1:2" x14ac:dyDescent="0.35">
      <c r="A31" t="s">
        <v>30</v>
      </c>
      <c r="B31" s="50">
        <f t="shared" si="0"/>
        <v>22.5</v>
      </c>
    </row>
    <row r="32" spans="1:2" x14ac:dyDescent="0.35">
      <c r="A32" t="s">
        <v>21</v>
      </c>
      <c r="B32" s="50">
        <f t="shared" si="0"/>
        <v>22.5</v>
      </c>
    </row>
    <row r="33" spans="1:2" x14ac:dyDescent="0.35">
      <c r="A33" t="s">
        <v>20</v>
      </c>
      <c r="B33" s="50">
        <f t="shared" si="0"/>
        <v>22.5</v>
      </c>
    </row>
    <row r="34" spans="1:2" x14ac:dyDescent="0.35">
      <c r="A34" t="s">
        <v>36</v>
      </c>
      <c r="B34" s="50">
        <f t="shared" si="0"/>
        <v>22.5</v>
      </c>
    </row>
    <row r="35" spans="1:2" x14ac:dyDescent="0.35">
      <c r="A35" t="s">
        <v>25</v>
      </c>
      <c r="B35" s="50">
        <f t="shared" si="0"/>
        <v>22.5</v>
      </c>
    </row>
    <row r="36" spans="1:2" x14ac:dyDescent="0.35">
      <c r="A36" t="s">
        <v>239</v>
      </c>
      <c r="B36" s="50">
        <v>23</v>
      </c>
    </row>
    <row r="37" spans="1:2" x14ac:dyDescent="0.35">
      <c r="A37" t="s">
        <v>243</v>
      </c>
      <c r="B37" s="50">
        <v>23</v>
      </c>
    </row>
    <row r="38" spans="1:2" x14ac:dyDescent="0.35">
      <c r="A38" t="s">
        <v>51</v>
      </c>
      <c r="B38" s="50">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S53"/>
  <sheetViews>
    <sheetView workbookViewId="0">
      <selection activeCell="N51" sqref="N51"/>
    </sheetView>
  </sheetViews>
  <sheetFormatPr defaultRowHeight="14.5" x14ac:dyDescent="0.35"/>
  <cols>
    <col min="1" max="2" width="9.81640625" customWidth="1"/>
    <col min="3" max="3" width="10.54296875" bestFit="1" customWidth="1"/>
    <col min="4" max="4" width="10.54296875" customWidth="1"/>
    <col min="5" max="5" width="22.54296875" customWidth="1"/>
    <col min="7" max="7" width="15.54296875" bestFit="1" customWidth="1"/>
    <col min="10" max="10" width="15.81640625" bestFit="1" customWidth="1"/>
  </cols>
  <sheetData>
    <row r="1" spans="1:19" x14ac:dyDescent="0.35">
      <c r="A1" s="2" t="s">
        <v>38</v>
      </c>
      <c r="B1" s="2" t="s">
        <v>230</v>
      </c>
      <c r="C1" s="2" t="s">
        <v>244</v>
      </c>
      <c r="D1" s="2" t="s">
        <v>3</v>
      </c>
      <c r="E1" s="2" t="s">
        <v>37</v>
      </c>
      <c r="F1" s="2" t="s">
        <v>29</v>
      </c>
      <c r="G1" s="2" t="s">
        <v>282</v>
      </c>
      <c r="H1" s="2" t="s">
        <v>33</v>
      </c>
      <c r="I1" s="2" t="s">
        <v>217</v>
      </c>
      <c r="J1" s="2" t="s">
        <v>245</v>
      </c>
      <c r="K1" s="2" t="s">
        <v>330</v>
      </c>
      <c r="R1" t="s">
        <v>38</v>
      </c>
      <c r="S1" t="s">
        <v>321</v>
      </c>
    </row>
    <row r="2" spans="1:19" x14ac:dyDescent="0.35">
      <c r="A2" t="s">
        <v>32</v>
      </c>
      <c r="B2" t="s">
        <v>231</v>
      </c>
      <c r="C2" t="s">
        <v>2</v>
      </c>
      <c r="D2" t="s">
        <v>3</v>
      </c>
      <c r="E2" t="s">
        <v>278</v>
      </c>
      <c r="F2" t="s">
        <v>29</v>
      </c>
      <c r="G2" t="s">
        <v>283</v>
      </c>
      <c r="H2" t="s">
        <v>32</v>
      </c>
      <c r="I2" t="s">
        <v>239</v>
      </c>
      <c r="J2" t="s">
        <v>218</v>
      </c>
      <c r="R2" t="s">
        <v>230</v>
      </c>
      <c r="S2" t="s">
        <v>322</v>
      </c>
    </row>
    <row r="3" spans="1:19" x14ac:dyDescent="0.35">
      <c r="A3" t="s">
        <v>288</v>
      </c>
      <c r="C3" s="1" t="s">
        <v>24</v>
      </c>
      <c r="E3" s="1" t="s">
        <v>14</v>
      </c>
      <c r="G3" t="s">
        <v>284</v>
      </c>
      <c r="H3" t="s">
        <v>239</v>
      </c>
      <c r="I3" t="s">
        <v>243</v>
      </c>
      <c r="J3" t="s">
        <v>219</v>
      </c>
      <c r="R3" t="s">
        <v>244</v>
      </c>
      <c r="S3" t="s">
        <v>326</v>
      </c>
    </row>
    <row r="4" spans="1:19" x14ac:dyDescent="0.35">
      <c r="C4" s="1" t="s">
        <v>22</v>
      </c>
      <c r="D4" s="1"/>
      <c r="E4" s="1" t="s">
        <v>51</v>
      </c>
      <c r="G4" t="s">
        <v>285</v>
      </c>
      <c r="H4" t="s">
        <v>243</v>
      </c>
      <c r="J4" t="s">
        <v>220</v>
      </c>
      <c r="R4" t="s">
        <v>3</v>
      </c>
      <c r="S4" t="s">
        <v>323</v>
      </c>
    </row>
    <row r="5" spans="1:19" x14ac:dyDescent="0.35">
      <c r="C5" s="1" t="s">
        <v>309</v>
      </c>
      <c r="D5" s="1"/>
      <c r="E5" s="1" t="s">
        <v>36</v>
      </c>
      <c r="G5" t="s">
        <v>286</v>
      </c>
      <c r="H5" t="s">
        <v>288</v>
      </c>
      <c r="J5" t="s">
        <v>221</v>
      </c>
      <c r="R5" t="s">
        <v>37</v>
      </c>
      <c r="S5" t="s">
        <v>327</v>
      </c>
    </row>
    <row r="6" spans="1:19" x14ac:dyDescent="0.35">
      <c r="C6" t="s">
        <v>71</v>
      </c>
      <c r="E6" s="1" t="s">
        <v>13</v>
      </c>
      <c r="J6" t="s">
        <v>222</v>
      </c>
      <c r="R6" t="s">
        <v>29</v>
      </c>
      <c r="S6" t="s">
        <v>324</v>
      </c>
    </row>
    <row r="7" spans="1:19" x14ac:dyDescent="0.35">
      <c r="C7" t="s">
        <v>276</v>
      </c>
      <c r="E7" s="1" t="s">
        <v>235</v>
      </c>
      <c r="J7" t="s">
        <v>223</v>
      </c>
      <c r="R7" t="s">
        <v>282</v>
      </c>
      <c r="S7" t="s">
        <v>328</v>
      </c>
    </row>
    <row r="8" spans="1:19" x14ac:dyDescent="0.35">
      <c r="C8" t="s">
        <v>277</v>
      </c>
      <c r="E8" s="1" t="s">
        <v>25</v>
      </c>
      <c r="J8" t="s">
        <v>224</v>
      </c>
      <c r="R8" t="s">
        <v>33</v>
      </c>
      <c r="S8" t="s">
        <v>333</v>
      </c>
    </row>
    <row r="9" spans="1:19" x14ac:dyDescent="0.35">
      <c r="C9" t="s">
        <v>312</v>
      </c>
      <c r="E9" s="1" t="s">
        <v>279</v>
      </c>
      <c r="J9" t="s">
        <v>225</v>
      </c>
      <c r="R9" t="s">
        <v>217</v>
      </c>
      <c r="S9" t="s">
        <v>325</v>
      </c>
    </row>
    <row r="10" spans="1:19" x14ac:dyDescent="0.35">
      <c r="C10" t="s">
        <v>313</v>
      </c>
      <c r="E10" s="1" t="s">
        <v>15</v>
      </c>
      <c r="J10" t="s">
        <v>226</v>
      </c>
      <c r="R10" t="s">
        <v>245</v>
      </c>
      <c r="S10" t="s">
        <v>329</v>
      </c>
    </row>
    <row r="11" spans="1:19" x14ac:dyDescent="0.35">
      <c r="E11" s="1" t="s">
        <v>16</v>
      </c>
      <c r="J11" t="s">
        <v>227</v>
      </c>
    </row>
    <row r="12" spans="1:19" x14ac:dyDescent="0.35">
      <c r="E12" s="1" t="s">
        <v>23</v>
      </c>
      <c r="J12" t="s">
        <v>228</v>
      </c>
      <c r="P12" s="34"/>
    </row>
    <row r="13" spans="1:19" x14ac:dyDescent="0.35">
      <c r="E13" t="s">
        <v>18</v>
      </c>
      <c r="J13" t="s">
        <v>229</v>
      </c>
      <c r="P13" s="34"/>
    </row>
    <row r="14" spans="1:19" x14ac:dyDescent="0.35">
      <c r="E14" t="s">
        <v>19</v>
      </c>
      <c r="P14" s="34"/>
    </row>
    <row r="15" spans="1:19" x14ac:dyDescent="0.35">
      <c r="E15" s="1" t="s">
        <v>107</v>
      </c>
    </row>
    <row r="16" spans="1:19" x14ac:dyDescent="0.35">
      <c r="E16" s="1" t="s">
        <v>234</v>
      </c>
    </row>
    <row r="17" spans="5:5" x14ac:dyDescent="0.35">
      <c r="E17" s="1" t="s">
        <v>238</v>
      </c>
    </row>
    <row r="18" spans="5:5" x14ac:dyDescent="0.35">
      <c r="E18" s="1" t="s">
        <v>236</v>
      </c>
    </row>
    <row r="19" spans="5:5" x14ac:dyDescent="0.35">
      <c r="E19" s="1" t="s">
        <v>233</v>
      </c>
    </row>
    <row r="20" spans="5:5" x14ac:dyDescent="0.35">
      <c r="E20" s="1" t="s">
        <v>237</v>
      </c>
    </row>
    <row r="21" spans="5:5" x14ac:dyDescent="0.35">
      <c r="E21" s="1" t="s">
        <v>49</v>
      </c>
    </row>
    <row r="22" spans="5:5" x14ac:dyDescent="0.35">
      <c r="E22" s="1" t="s">
        <v>280</v>
      </c>
    </row>
    <row r="23" spans="5:5" x14ac:dyDescent="0.35">
      <c r="E23" s="1" t="s">
        <v>21</v>
      </c>
    </row>
    <row r="24" spans="5:5" x14ac:dyDescent="0.35">
      <c r="E24" s="1" t="s">
        <v>106</v>
      </c>
    </row>
    <row r="25" spans="5:5" x14ac:dyDescent="0.35">
      <c r="E25" t="s">
        <v>287</v>
      </c>
    </row>
    <row r="26" spans="5:5" x14ac:dyDescent="0.35">
      <c r="E26" s="1" t="s">
        <v>289</v>
      </c>
    </row>
    <row r="27" spans="5:5" x14ac:dyDescent="0.35">
      <c r="E27" s="1" t="s">
        <v>87</v>
      </c>
    </row>
    <row r="28" spans="5:5" x14ac:dyDescent="0.35">
      <c r="E28" s="1" t="s">
        <v>15</v>
      </c>
    </row>
    <row r="29" spans="5:5" x14ac:dyDescent="0.35">
      <c r="E29" s="1" t="s">
        <v>290</v>
      </c>
    </row>
    <row r="30" spans="5:5" x14ac:dyDescent="0.35">
      <c r="E30" s="58" t="s">
        <v>291</v>
      </c>
    </row>
    <row r="31" spans="5:5" x14ac:dyDescent="0.35">
      <c r="E31" s="58" t="s">
        <v>292</v>
      </c>
    </row>
    <row r="32" spans="5:5" x14ac:dyDescent="0.35">
      <c r="E32" s="59" t="s">
        <v>293</v>
      </c>
    </row>
    <row r="33" spans="5:5" x14ac:dyDescent="0.35">
      <c r="E33" s="59" t="s">
        <v>294</v>
      </c>
    </row>
    <row r="34" spans="5:5" x14ac:dyDescent="0.35">
      <c r="E34" s="59" t="s">
        <v>295</v>
      </c>
    </row>
    <row r="35" spans="5:5" x14ac:dyDescent="0.35">
      <c r="E35" s="59" t="s">
        <v>296</v>
      </c>
    </row>
    <row r="36" spans="5:5" x14ac:dyDescent="0.35">
      <c r="E36" s="59" t="s">
        <v>297</v>
      </c>
    </row>
    <row r="37" spans="5:5" x14ac:dyDescent="0.35">
      <c r="E37" s="59" t="s">
        <v>298</v>
      </c>
    </row>
    <row r="38" spans="5:5" x14ac:dyDescent="0.35">
      <c r="E38" s="59" t="s">
        <v>299</v>
      </c>
    </row>
    <row r="39" spans="5:5" x14ac:dyDescent="0.35">
      <c r="E39" s="59" t="s">
        <v>300</v>
      </c>
    </row>
    <row r="40" spans="5:5" x14ac:dyDescent="0.35">
      <c r="E40" s="59" t="s">
        <v>301</v>
      </c>
    </row>
    <row r="41" spans="5:5" x14ac:dyDescent="0.35">
      <c r="E41" s="59" t="s">
        <v>302</v>
      </c>
    </row>
    <row r="42" spans="5:5" x14ac:dyDescent="0.35">
      <c r="E42" s="59" t="s">
        <v>303</v>
      </c>
    </row>
    <row r="43" spans="5:5" x14ac:dyDescent="0.35">
      <c r="E43" s="59" t="s">
        <v>304</v>
      </c>
    </row>
    <row r="44" spans="5:5" x14ac:dyDescent="0.35">
      <c r="E44" s="59" t="s">
        <v>305</v>
      </c>
    </row>
    <row r="45" spans="5:5" x14ac:dyDescent="0.35">
      <c r="E45" s="59" t="s">
        <v>306</v>
      </c>
    </row>
    <row r="46" spans="5:5" x14ac:dyDescent="0.35">
      <c r="E46" s="59" t="s">
        <v>307</v>
      </c>
    </row>
    <row r="47" spans="5:5" x14ac:dyDescent="0.35">
      <c r="E47" s="59" t="s">
        <v>308</v>
      </c>
    </row>
    <row r="48" spans="5:5" x14ac:dyDescent="0.35">
      <c r="E48" s="59" t="s">
        <v>310</v>
      </c>
    </row>
    <row r="49" spans="5:5" x14ac:dyDescent="0.35">
      <c r="E49" s="59" t="s">
        <v>311</v>
      </c>
    </row>
    <row r="50" spans="5:5" x14ac:dyDescent="0.35">
      <c r="E50" s="1" t="s">
        <v>314</v>
      </c>
    </row>
    <row r="51" spans="5:5" x14ac:dyDescent="0.35">
      <c r="E51" s="1" t="s">
        <v>315</v>
      </c>
    </row>
    <row r="52" spans="5:5" x14ac:dyDescent="0.35">
      <c r="E52" s="1" t="s">
        <v>316</v>
      </c>
    </row>
    <row r="53" spans="5:5" x14ac:dyDescent="0.35">
      <c r="E53" s="1" t="s">
        <v>50</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O17"/>
  <sheetViews>
    <sheetView workbookViewId="0">
      <selection activeCell="C18" sqref="C18"/>
    </sheetView>
  </sheetViews>
  <sheetFormatPr defaultRowHeight="14.5" x14ac:dyDescent="0.35"/>
  <cols>
    <col min="1" max="1" width="21.1796875" bestFit="1" customWidth="1"/>
    <col min="2" max="2" width="26.1796875" style="3" customWidth="1"/>
    <col min="3" max="3" width="38.7265625" style="3" bestFit="1" customWidth="1"/>
    <col min="4" max="4" width="38.7265625" style="3" customWidth="1"/>
    <col min="5" max="5" width="16.7265625" bestFit="1" customWidth="1"/>
    <col min="6" max="6" width="11.1796875" bestFit="1" customWidth="1"/>
    <col min="7" max="7" width="12.26953125" bestFit="1" customWidth="1"/>
    <col min="8" max="8" width="15.1796875" bestFit="1" customWidth="1"/>
    <col min="9" max="9" width="10.453125" customWidth="1"/>
    <col min="10" max="15" width="11.453125" customWidth="1"/>
  </cols>
  <sheetData>
    <row r="1" spans="1:15" x14ac:dyDescent="0.35">
      <c r="A1" t="s">
        <v>88</v>
      </c>
      <c r="B1" s="3" t="s">
        <v>89</v>
      </c>
      <c r="C1" s="3" t="s">
        <v>90</v>
      </c>
      <c r="D1" s="3" t="s">
        <v>91</v>
      </c>
      <c r="E1" t="s">
        <v>92</v>
      </c>
      <c r="F1" t="s">
        <v>93</v>
      </c>
      <c r="G1" t="s">
        <v>94</v>
      </c>
      <c r="H1" t="s">
        <v>95</v>
      </c>
      <c r="I1" t="s">
        <v>96</v>
      </c>
      <c r="J1" t="s">
        <v>97</v>
      </c>
      <c r="K1" t="s">
        <v>98</v>
      </c>
      <c r="L1" t="s">
        <v>99</v>
      </c>
      <c r="M1" t="s">
        <v>100</v>
      </c>
      <c r="N1" t="s">
        <v>281</v>
      </c>
      <c r="O1" t="s">
        <v>101</v>
      </c>
    </row>
    <row r="2" spans="1:15" ht="38.5" x14ac:dyDescent="0.35">
      <c r="A2" t="s">
        <v>244</v>
      </c>
      <c r="B2" s="3" t="s">
        <v>2</v>
      </c>
      <c r="C2" s="4" t="s">
        <v>39</v>
      </c>
      <c r="D2" s="4" t="s">
        <v>40</v>
      </c>
      <c r="E2" s="4" t="s">
        <v>9</v>
      </c>
      <c r="F2" s="4" t="s">
        <v>41</v>
      </c>
      <c r="G2" s="4" t="s">
        <v>12</v>
      </c>
      <c r="H2" s="3" t="s">
        <v>83</v>
      </c>
      <c r="I2" s="3"/>
      <c r="J2" s="3"/>
      <c r="K2" s="3"/>
      <c r="L2" s="3"/>
      <c r="M2" s="3"/>
      <c r="N2" s="3"/>
      <c r="O2" s="3"/>
    </row>
    <row r="3" spans="1:15" x14ac:dyDescent="0.35">
      <c r="B3" s="3" t="s">
        <v>24</v>
      </c>
      <c r="C3" s="5" t="s">
        <v>31</v>
      </c>
      <c r="D3" s="5" t="s">
        <v>42</v>
      </c>
      <c r="E3" s="5" t="s">
        <v>43</v>
      </c>
      <c r="F3" s="5" t="s">
        <v>44</v>
      </c>
      <c r="G3" s="5" t="s">
        <v>45</v>
      </c>
      <c r="H3" s="5" t="s">
        <v>9</v>
      </c>
      <c r="I3" s="5" t="s">
        <v>46</v>
      </c>
      <c r="J3" s="5" t="s">
        <v>47</v>
      </c>
      <c r="K3" s="5" t="s">
        <v>48</v>
      </c>
      <c r="L3" s="3" t="s">
        <v>232</v>
      </c>
      <c r="M3" s="3"/>
      <c r="N3" s="3"/>
      <c r="O3" s="3"/>
    </row>
    <row r="4" spans="1:15" x14ac:dyDescent="0.35">
      <c r="B4" s="3" t="s">
        <v>71</v>
      </c>
      <c r="C4" s="5" t="s">
        <v>241</v>
      </c>
      <c r="D4" s="5" t="s">
        <v>83</v>
      </c>
      <c r="E4" s="5" t="s">
        <v>242</v>
      </c>
      <c r="F4" s="5"/>
      <c r="G4" s="5"/>
      <c r="H4" s="5"/>
      <c r="I4" s="5"/>
      <c r="J4" s="5"/>
      <c r="K4" s="5"/>
      <c r="L4" s="3"/>
      <c r="M4" s="3"/>
      <c r="N4" s="3"/>
      <c r="O4" s="3"/>
    </row>
    <row r="5" spans="1:15" x14ac:dyDescent="0.35">
      <c r="A5" t="s">
        <v>3</v>
      </c>
      <c r="B5" s="3" t="s">
        <v>3</v>
      </c>
      <c r="C5" s="5" t="s">
        <v>10</v>
      </c>
      <c r="D5" s="5" t="s">
        <v>177</v>
      </c>
      <c r="E5" s="5" t="s">
        <v>72</v>
      </c>
      <c r="F5" s="5" t="s">
        <v>73</v>
      </c>
      <c r="G5" s="5" t="s">
        <v>74</v>
      </c>
      <c r="H5" s="5" t="s">
        <v>75</v>
      </c>
      <c r="I5" s="5" t="s">
        <v>76</v>
      </c>
      <c r="J5" s="5" t="s">
        <v>77</v>
      </c>
      <c r="K5" s="5" t="s">
        <v>78</v>
      </c>
      <c r="L5" s="5" t="s">
        <v>79</v>
      </c>
      <c r="M5" s="3" t="s">
        <v>80</v>
      </c>
      <c r="N5" s="3" t="s">
        <v>81</v>
      </c>
      <c r="O5" s="3" t="s">
        <v>82</v>
      </c>
    </row>
    <row r="6" spans="1:15" x14ac:dyDescent="0.35">
      <c r="A6" t="s">
        <v>217</v>
      </c>
      <c r="B6" s="3" t="s">
        <v>217</v>
      </c>
    </row>
    <row r="11" spans="1:15" x14ac:dyDescent="0.35">
      <c r="A11" s="3" t="s">
        <v>2</v>
      </c>
      <c r="B11" s="3" t="s">
        <v>317</v>
      </c>
    </row>
    <row r="12" spans="1:15" x14ac:dyDescent="0.35">
      <c r="A12" s="3" t="s">
        <v>24</v>
      </c>
      <c r="B12" s="3" t="s">
        <v>318</v>
      </c>
    </row>
    <row r="13" spans="1:15" x14ac:dyDescent="0.35">
      <c r="A13" s="3" t="s">
        <v>71</v>
      </c>
      <c r="B13" s="3" t="s">
        <v>319</v>
      </c>
    </row>
    <row r="14" spans="1:15" x14ac:dyDescent="0.35">
      <c r="A14" s="3" t="s">
        <v>277</v>
      </c>
      <c r="B14" s="3" t="s">
        <v>319</v>
      </c>
    </row>
    <row r="15" spans="1:15" x14ac:dyDescent="0.35">
      <c r="A15" s="3" t="s">
        <v>312</v>
      </c>
      <c r="B15" s="3" t="s">
        <v>319</v>
      </c>
    </row>
    <row r="16" spans="1:15" x14ac:dyDescent="0.35">
      <c r="A16" s="3" t="s">
        <v>313</v>
      </c>
      <c r="B16" s="3" t="s">
        <v>319</v>
      </c>
    </row>
    <row r="17" spans="1:2" x14ac:dyDescent="0.35">
      <c r="A17" s="3" t="s">
        <v>3</v>
      </c>
      <c r="B17" s="3" t="s">
        <v>320</v>
      </c>
    </row>
  </sheetData>
  <phoneticPr fontId="1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109"/>
  <sheetViews>
    <sheetView topLeftCell="A6" workbookViewId="0">
      <selection activeCell="G40" sqref="G40"/>
    </sheetView>
  </sheetViews>
  <sheetFormatPr defaultRowHeight="14.5" x14ac:dyDescent="0.35"/>
  <cols>
    <col min="1" max="1" width="21.1796875" bestFit="1" customWidth="1"/>
    <col min="2" max="2" width="35.7265625" customWidth="1"/>
    <col min="3" max="6" width="10.453125" customWidth="1"/>
    <col min="7" max="7" width="20.54296875" bestFit="1" customWidth="1"/>
    <col min="8" max="9" width="10.453125" customWidth="1"/>
    <col min="10" max="18" width="11.453125" customWidth="1"/>
  </cols>
  <sheetData>
    <row r="1" spans="1:19" x14ac:dyDescent="0.35">
      <c r="A1" t="s">
        <v>88</v>
      </c>
      <c r="B1" s="3" t="s">
        <v>89</v>
      </c>
      <c r="C1" s="3" t="s">
        <v>90</v>
      </c>
      <c r="D1" s="3" t="s">
        <v>91</v>
      </c>
      <c r="E1" s="3" t="s">
        <v>92</v>
      </c>
      <c r="F1" s="3" t="s">
        <v>93</v>
      </c>
      <c r="G1" s="3" t="s">
        <v>94</v>
      </c>
      <c r="H1" s="3" t="s">
        <v>95</v>
      </c>
      <c r="I1" s="3" t="s">
        <v>96</v>
      </c>
      <c r="J1" s="3" t="s">
        <v>97</v>
      </c>
      <c r="K1" s="3" t="s">
        <v>98</v>
      </c>
      <c r="L1" s="3" t="s">
        <v>99</v>
      </c>
      <c r="M1" s="3" t="s">
        <v>100</v>
      </c>
      <c r="N1" s="3" t="s">
        <v>101</v>
      </c>
      <c r="O1" s="3" t="s">
        <v>102</v>
      </c>
      <c r="P1" s="3" t="s">
        <v>103</v>
      </c>
      <c r="Q1" s="3" t="s">
        <v>104</v>
      </c>
      <c r="R1" s="3" t="s">
        <v>105</v>
      </c>
      <c r="S1" s="3"/>
    </row>
    <row r="2" spans="1:19" x14ac:dyDescent="0.35">
      <c r="A2" t="s">
        <v>52</v>
      </c>
      <c r="B2" s="3" t="s">
        <v>69</v>
      </c>
      <c r="C2" s="3" t="s">
        <v>70</v>
      </c>
      <c r="D2" s="3" t="s">
        <v>68</v>
      </c>
      <c r="E2" s="3" t="s">
        <v>64</v>
      </c>
      <c r="F2" s="3" t="s">
        <v>65</v>
      </c>
      <c r="G2" s="3" t="s">
        <v>66</v>
      </c>
      <c r="H2" s="3" t="s">
        <v>67</v>
      </c>
      <c r="I2" s="11" t="s">
        <v>58</v>
      </c>
      <c r="J2" s="11" t="s">
        <v>59</v>
      </c>
      <c r="K2" s="11" t="s">
        <v>27</v>
      </c>
      <c r="L2" s="11" t="s">
        <v>11</v>
      </c>
      <c r="M2" s="3" t="s">
        <v>246</v>
      </c>
      <c r="N2" s="3" t="s">
        <v>28</v>
      </c>
      <c r="O2" s="3" t="s">
        <v>63</v>
      </c>
      <c r="P2" s="3" t="s">
        <v>62</v>
      </c>
      <c r="Q2" s="3" t="s">
        <v>61</v>
      </c>
      <c r="R2" s="3" t="s">
        <v>60</v>
      </c>
    </row>
    <row r="3" spans="1:19" x14ac:dyDescent="0.35">
      <c r="A3" t="s">
        <v>53</v>
      </c>
      <c r="B3" s="11" t="s">
        <v>58</v>
      </c>
      <c r="C3" s="11" t="s">
        <v>59</v>
      </c>
      <c r="D3" s="11" t="s">
        <v>27</v>
      </c>
      <c r="E3" s="11" t="s">
        <v>11</v>
      </c>
      <c r="F3" s="3" t="s">
        <v>246</v>
      </c>
      <c r="G3" s="3" t="s">
        <v>28</v>
      </c>
      <c r="H3" s="3" t="s">
        <v>63</v>
      </c>
      <c r="I3" s="3" t="s">
        <v>62</v>
      </c>
      <c r="J3" s="3" t="s">
        <v>61</v>
      </c>
      <c r="K3" s="3" t="s">
        <v>60</v>
      </c>
      <c r="L3" s="3"/>
    </row>
    <row r="4" spans="1:19" x14ac:dyDescent="0.35">
      <c r="A4" t="s">
        <v>54</v>
      </c>
      <c r="B4" s="3" t="s">
        <v>69</v>
      </c>
      <c r="C4" s="3" t="s">
        <v>70</v>
      </c>
      <c r="D4" s="3" t="s">
        <v>68</v>
      </c>
      <c r="E4" s="3" t="s">
        <v>64</v>
      </c>
      <c r="F4" s="3" t="s">
        <v>65</v>
      </c>
      <c r="G4" s="3" t="s">
        <v>66</v>
      </c>
      <c r="H4" s="3" t="s">
        <v>67</v>
      </c>
      <c r="I4" s="11" t="s">
        <v>58</v>
      </c>
      <c r="J4" s="11" t="s">
        <v>59</v>
      </c>
      <c r="K4" s="11" t="s">
        <v>27</v>
      </c>
      <c r="L4" s="11" t="s">
        <v>11</v>
      </c>
      <c r="M4" s="3" t="s">
        <v>246</v>
      </c>
      <c r="N4" s="3"/>
    </row>
    <row r="5" spans="1:19" x14ac:dyDescent="0.35">
      <c r="A5" t="s">
        <v>55</v>
      </c>
      <c r="B5" s="3" t="s">
        <v>69</v>
      </c>
      <c r="C5" s="3" t="s">
        <v>70</v>
      </c>
      <c r="D5" s="3" t="s">
        <v>68</v>
      </c>
      <c r="E5" s="3" t="s">
        <v>64</v>
      </c>
      <c r="F5" s="3" t="s">
        <v>65</v>
      </c>
      <c r="G5" s="3" t="s">
        <v>66</v>
      </c>
      <c r="H5" s="3" t="s">
        <v>67</v>
      </c>
      <c r="I5" s="3" t="s">
        <v>28</v>
      </c>
      <c r="J5" s="3" t="s">
        <v>63</v>
      </c>
      <c r="K5" s="3" t="s">
        <v>62</v>
      </c>
      <c r="L5" s="3" t="s">
        <v>61</v>
      </c>
      <c r="M5" s="3" t="s">
        <v>60</v>
      </c>
      <c r="N5" s="3"/>
    </row>
    <row r="6" spans="1:19" x14ac:dyDescent="0.35">
      <c r="A6" t="s">
        <v>56</v>
      </c>
      <c r="B6" s="11" t="s">
        <v>58</v>
      </c>
      <c r="C6" s="11" t="s">
        <v>59</v>
      </c>
      <c r="D6" s="11" t="s">
        <v>27</v>
      </c>
      <c r="E6" s="11" t="s">
        <v>11</v>
      </c>
      <c r="F6" s="3" t="s">
        <v>246</v>
      </c>
    </row>
    <row r="7" spans="1:19" x14ac:dyDescent="0.35">
      <c r="A7" t="s">
        <v>57</v>
      </c>
      <c r="B7" s="3" t="s">
        <v>28</v>
      </c>
      <c r="C7" s="3" t="s">
        <v>63</v>
      </c>
      <c r="D7" s="3" t="s">
        <v>62</v>
      </c>
      <c r="E7" s="3" t="s">
        <v>61</v>
      </c>
      <c r="F7" s="3" t="s">
        <v>60</v>
      </c>
    </row>
    <row r="8" spans="1:19" x14ac:dyDescent="0.35">
      <c r="A8" t="s">
        <v>3</v>
      </c>
      <c r="B8" s="3" t="s">
        <v>68</v>
      </c>
      <c r="C8" s="3" t="s">
        <v>69</v>
      </c>
      <c r="D8" s="3" t="s">
        <v>70</v>
      </c>
      <c r="E8" s="3" t="s">
        <v>67</v>
      </c>
      <c r="F8" s="3" t="s">
        <v>64</v>
      </c>
      <c r="G8" s="3" t="s">
        <v>65</v>
      </c>
      <c r="H8" s="3" t="s">
        <v>66</v>
      </c>
      <c r="I8" s="3"/>
      <c r="J8" s="3"/>
      <c r="K8" s="3"/>
    </row>
    <row r="9" spans="1:19" x14ac:dyDescent="0.35">
      <c r="A9" t="s">
        <v>33</v>
      </c>
      <c r="B9" s="3" t="s">
        <v>34</v>
      </c>
      <c r="C9" s="3" t="s">
        <v>109</v>
      </c>
      <c r="D9" s="3" t="s">
        <v>108</v>
      </c>
      <c r="E9" s="3" t="s">
        <v>110</v>
      </c>
      <c r="F9" s="3"/>
      <c r="G9" s="3"/>
      <c r="H9" s="3"/>
      <c r="I9" s="3"/>
    </row>
    <row r="10" spans="1:19" x14ac:dyDescent="0.35">
      <c r="A10" t="s">
        <v>133</v>
      </c>
      <c r="B10" s="3" t="s">
        <v>11</v>
      </c>
      <c r="C10" s="3" t="s">
        <v>246</v>
      </c>
      <c r="D10" s="3" t="s">
        <v>59</v>
      </c>
      <c r="E10" s="3" t="s">
        <v>58</v>
      </c>
      <c r="F10" s="3" t="s">
        <v>27</v>
      </c>
      <c r="G10" s="3"/>
      <c r="H10" s="3"/>
      <c r="I10" s="3"/>
    </row>
    <row r="11" spans="1:19" x14ac:dyDescent="0.35">
      <c r="B11" s="3"/>
      <c r="C11" s="3"/>
      <c r="D11" s="3"/>
      <c r="E11" s="3"/>
      <c r="F11" s="3"/>
      <c r="G11" s="3"/>
      <c r="H11" s="3"/>
      <c r="I11" s="3"/>
    </row>
    <row r="12" spans="1:19" x14ac:dyDescent="0.35">
      <c r="A12" t="s">
        <v>88</v>
      </c>
      <c r="B12" s="3" t="s">
        <v>89</v>
      </c>
      <c r="C12" s="3" t="s">
        <v>90</v>
      </c>
      <c r="D12" s="3" t="s">
        <v>91</v>
      </c>
      <c r="E12" s="3" t="s">
        <v>92</v>
      </c>
      <c r="F12" s="3" t="s">
        <v>93</v>
      </c>
      <c r="G12" s="3" t="s">
        <v>94</v>
      </c>
      <c r="H12" s="3" t="s">
        <v>95</v>
      </c>
      <c r="I12" s="3" t="s">
        <v>96</v>
      </c>
      <c r="J12" s="3" t="s">
        <v>97</v>
      </c>
      <c r="K12" s="3" t="s">
        <v>98</v>
      </c>
      <c r="L12" s="3" t="s">
        <v>99</v>
      </c>
      <c r="M12" s="3" t="s">
        <v>100</v>
      </c>
      <c r="N12" s="3" t="s">
        <v>101</v>
      </c>
      <c r="O12" s="3" t="s">
        <v>102</v>
      </c>
      <c r="P12" s="3" t="s">
        <v>103</v>
      </c>
      <c r="Q12" s="3" t="s">
        <v>104</v>
      </c>
      <c r="R12" s="3" t="s">
        <v>105</v>
      </c>
    </row>
    <row r="13" spans="1:19" x14ac:dyDescent="0.35">
      <c r="A13" t="s">
        <v>52</v>
      </c>
      <c r="B13" s="3" t="str">
        <f t="shared" ref="B13:Q19" si="0">IF(B2&lt;&gt;"","$/"&amp;B2, "")</f>
        <v>$/BTU</v>
      </c>
      <c r="C13" s="3" t="str">
        <f t="shared" si="0"/>
        <v>$/mmBTU</v>
      </c>
      <c r="D13" s="3" t="str">
        <f t="shared" si="0"/>
        <v>$/kWh</v>
      </c>
      <c r="E13" s="3" t="str">
        <f t="shared" si="0"/>
        <v>$/J</v>
      </c>
      <c r="F13" s="3" t="str">
        <f t="shared" si="0"/>
        <v>$/kJ</v>
      </c>
      <c r="G13" s="3" t="str">
        <f t="shared" si="0"/>
        <v>$/MJ</v>
      </c>
      <c r="H13" s="3" t="str">
        <f t="shared" si="0"/>
        <v>$/Wh</v>
      </c>
      <c r="I13" s="3" t="str">
        <f t="shared" si="0"/>
        <v>$/kg</v>
      </c>
      <c r="J13" s="3" t="str">
        <f t="shared" si="0"/>
        <v>$/lb</v>
      </c>
      <c r="K13" s="3" t="str">
        <f t="shared" si="0"/>
        <v>$/g</v>
      </c>
      <c r="L13" s="3" t="str">
        <f t="shared" si="0"/>
        <v>$/ton</v>
      </c>
      <c r="M13" s="3" t="str">
        <f t="shared" si="0"/>
        <v>$/metric ton</v>
      </c>
      <c r="N13" s="3" t="str">
        <f t="shared" si="0"/>
        <v>$/gal</v>
      </c>
      <c r="O13" s="3" t="str">
        <f t="shared" si="0"/>
        <v>$/ft3</v>
      </c>
      <c r="P13" s="3" t="str">
        <f t="shared" si="0"/>
        <v>$/L</v>
      </c>
      <c r="Q13" s="3" t="str">
        <f t="shared" si="0"/>
        <v>$/ml</v>
      </c>
      <c r="R13" s="3" t="str">
        <f t="shared" ref="C13:R20" si="1">IF(R2&lt;&gt;"","$/"&amp;R2, "")</f>
        <v>$/m3</v>
      </c>
    </row>
    <row r="14" spans="1:19" x14ac:dyDescent="0.35">
      <c r="A14" t="s">
        <v>53</v>
      </c>
      <c r="B14" s="3" t="str">
        <f t="shared" si="0"/>
        <v>$/kg</v>
      </c>
      <c r="C14" s="3" t="str">
        <f t="shared" si="1"/>
        <v>$/lb</v>
      </c>
      <c r="D14" s="3" t="str">
        <f t="shared" si="1"/>
        <v>$/g</v>
      </c>
      <c r="E14" s="3" t="str">
        <f t="shared" si="1"/>
        <v>$/ton</v>
      </c>
      <c r="F14" s="3" t="str">
        <f t="shared" si="1"/>
        <v>$/metric ton</v>
      </c>
      <c r="G14" s="3" t="str">
        <f t="shared" si="1"/>
        <v>$/gal</v>
      </c>
      <c r="H14" s="3" t="str">
        <f t="shared" si="1"/>
        <v>$/ft3</v>
      </c>
      <c r="I14" s="3" t="str">
        <f t="shared" si="1"/>
        <v>$/L</v>
      </c>
      <c r="J14" s="3" t="str">
        <f t="shared" si="1"/>
        <v>$/ml</v>
      </c>
      <c r="K14" s="3" t="str">
        <f t="shared" si="1"/>
        <v>$/m3</v>
      </c>
      <c r="L14" s="3" t="str">
        <f t="shared" si="1"/>
        <v/>
      </c>
      <c r="M14" s="3" t="str">
        <f t="shared" si="1"/>
        <v/>
      </c>
      <c r="N14" s="3" t="str">
        <f t="shared" si="1"/>
        <v/>
      </c>
      <c r="O14" s="3" t="str">
        <f t="shared" si="1"/>
        <v/>
      </c>
      <c r="P14" s="3" t="str">
        <f t="shared" si="1"/>
        <v/>
      </c>
      <c r="Q14" s="3" t="str">
        <f t="shared" si="1"/>
        <v/>
      </c>
      <c r="R14" s="3" t="str">
        <f t="shared" si="1"/>
        <v/>
      </c>
    </row>
    <row r="15" spans="1:19" x14ac:dyDescent="0.35">
      <c r="A15" t="s">
        <v>54</v>
      </c>
      <c r="B15" s="3" t="str">
        <f t="shared" si="0"/>
        <v>$/BTU</v>
      </c>
      <c r="C15" s="3" t="str">
        <f t="shared" si="1"/>
        <v>$/mmBTU</v>
      </c>
      <c r="D15" s="3" t="str">
        <f t="shared" si="1"/>
        <v>$/kWh</v>
      </c>
      <c r="E15" s="3" t="str">
        <f t="shared" si="1"/>
        <v>$/J</v>
      </c>
      <c r="F15" s="3" t="str">
        <f t="shared" si="1"/>
        <v>$/kJ</v>
      </c>
      <c r="G15" s="3" t="str">
        <f t="shared" si="1"/>
        <v>$/MJ</v>
      </c>
      <c r="H15" s="3" t="str">
        <f t="shared" si="1"/>
        <v>$/Wh</v>
      </c>
      <c r="I15" s="3" t="str">
        <f t="shared" si="1"/>
        <v>$/kg</v>
      </c>
      <c r="J15" s="3" t="str">
        <f t="shared" si="1"/>
        <v>$/lb</v>
      </c>
      <c r="K15" s="3" t="str">
        <f t="shared" si="1"/>
        <v>$/g</v>
      </c>
      <c r="L15" s="3" t="str">
        <f t="shared" si="1"/>
        <v>$/ton</v>
      </c>
      <c r="M15" s="3" t="str">
        <f t="shared" si="1"/>
        <v>$/metric ton</v>
      </c>
      <c r="N15" s="3" t="str">
        <f t="shared" si="1"/>
        <v/>
      </c>
      <c r="O15" s="3" t="str">
        <f t="shared" si="1"/>
        <v/>
      </c>
      <c r="P15" s="3" t="str">
        <f t="shared" si="1"/>
        <v/>
      </c>
      <c r="Q15" s="3" t="str">
        <f t="shared" si="1"/>
        <v/>
      </c>
      <c r="R15" s="3" t="str">
        <f t="shared" si="1"/>
        <v/>
      </c>
    </row>
    <row r="16" spans="1:19" x14ac:dyDescent="0.35">
      <c r="A16" t="s">
        <v>55</v>
      </c>
      <c r="B16" s="3" t="str">
        <f t="shared" si="0"/>
        <v>$/BTU</v>
      </c>
      <c r="C16" s="3" t="str">
        <f t="shared" si="1"/>
        <v>$/mmBTU</v>
      </c>
      <c r="D16" s="3" t="str">
        <f t="shared" si="1"/>
        <v>$/kWh</v>
      </c>
      <c r="E16" s="3" t="str">
        <f t="shared" si="1"/>
        <v>$/J</v>
      </c>
      <c r="F16" s="3" t="str">
        <f t="shared" si="1"/>
        <v>$/kJ</v>
      </c>
      <c r="G16" s="3" t="str">
        <f t="shared" si="1"/>
        <v>$/MJ</v>
      </c>
      <c r="H16" s="3" t="str">
        <f t="shared" si="1"/>
        <v>$/Wh</v>
      </c>
      <c r="I16" s="3" t="str">
        <f t="shared" si="1"/>
        <v>$/gal</v>
      </c>
      <c r="J16" s="3" t="str">
        <f t="shared" si="1"/>
        <v>$/ft3</v>
      </c>
      <c r="K16" s="3" t="str">
        <f t="shared" si="1"/>
        <v>$/L</v>
      </c>
      <c r="L16" s="3" t="str">
        <f t="shared" si="1"/>
        <v>$/ml</v>
      </c>
      <c r="M16" s="3" t="str">
        <f t="shared" si="1"/>
        <v>$/m3</v>
      </c>
      <c r="N16" s="3" t="str">
        <f t="shared" si="1"/>
        <v/>
      </c>
      <c r="O16" s="3" t="str">
        <f t="shared" si="1"/>
        <v/>
      </c>
      <c r="P16" s="3" t="str">
        <f t="shared" si="1"/>
        <v/>
      </c>
      <c r="Q16" s="3" t="str">
        <f t="shared" si="1"/>
        <v/>
      </c>
      <c r="R16" s="3" t="str">
        <f t="shared" si="1"/>
        <v/>
      </c>
    </row>
    <row r="17" spans="1:23" x14ac:dyDescent="0.35">
      <c r="A17" t="s">
        <v>56</v>
      </c>
      <c r="B17" s="3" t="str">
        <f t="shared" si="0"/>
        <v>$/kg</v>
      </c>
      <c r="C17" s="3" t="str">
        <f t="shared" si="1"/>
        <v>$/lb</v>
      </c>
      <c r="D17" s="3" t="str">
        <f t="shared" si="1"/>
        <v>$/g</v>
      </c>
      <c r="E17" s="3" t="str">
        <f t="shared" si="1"/>
        <v>$/ton</v>
      </c>
      <c r="F17" s="3" t="str">
        <f t="shared" si="1"/>
        <v>$/metric ton</v>
      </c>
      <c r="G17" s="3" t="str">
        <f t="shared" si="1"/>
        <v/>
      </c>
      <c r="H17" s="3" t="str">
        <f t="shared" si="1"/>
        <v/>
      </c>
      <c r="I17" s="3" t="str">
        <f t="shared" si="1"/>
        <v/>
      </c>
      <c r="J17" s="3" t="str">
        <f t="shared" si="1"/>
        <v/>
      </c>
      <c r="K17" s="3" t="str">
        <f t="shared" si="1"/>
        <v/>
      </c>
      <c r="L17" s="3" t="str">
        <f t="shared" si="1"/>
        <v/>
      </c>
      <c r="M17" s="3" t="str">
        <f t="shared" si="1"/>
        <v/>
      </c>
      <c r="N17" s="3" t="str">
        <f t="shared" si="1"/>
        <v/>
      </c>
      <c r="O17" s="3" t="str">
        <f t="shared" si="1"/>
        <v/>
      </c>
      <c r="P17" s="3" t="str">
        <f t="shared" si="1"/>
        <v/>
      </c>
      <c r="Q17" s="3" t="str">
        <f t="shared" si="1"/>
        <v/>
      </c>
      <c r="R17" s="3" t="str">
        <f t="shared" si="1"/>
        <v/>
      </c>
    </row>
    <row r="18" spans="1:23" x14ac:dyDescent="0.35">
      <c r="A18" t="s">
        <v>57</v>
      </c>
      <c r="B18" s="3" t="str">
        <f t="shared" si="0"/>
        <v>$/gal</v>
      </c>
      <c r="C18" s="3" t="str">
        <f t="shared" si="1"/>
        <v>$/ft3</v>
      </c>
      <c r="D18" s="3" t="str">
        <f t="shared" si="1"/>
        <v>$/L</v>
      </c>
      <c r="E18" s="3" t="str">
        <f t="shared" si="1"/>
        <v>$/ml</v>
      </c>
      <c r="F18" s="3" t="str">
        <f t="shared" si="1"/>
        <v>$/m3</v>
      </c>
      <c r="G18" s="3" t="str">
        <f t="shared" si="1"/>
        <v/>
      </c>
      <c r="H18" s="3" t="str">
        <f t="shared" si="1"/>
        <v/>
      </c>
      <c r="I18" s="3" t="str">
        <f t="shared" si="1"/>
        <v/>
      </c>
      <c r="J18" s="3" t="str">
        <f t="shared" si="1"/>
        <v/>
      </c>
      <c r="K18" s="3" t="str">
        <f t="shared" si="1"/>
        <v/>
      </c>
      <c r="L18" s="3" t="str">
        <f t="shared" si="1"/>
        <v/>
      </c>
      <c r="M18" s="3" t="str">
        <f t="shared" si="1"/>
        <v/>
      </c>
      <c r="N18" s="3" t="str">
        <f t="shared" si="1"/>
        <v/>
      </c>
      <c r="O18" s="3" t="str">
        <f t="shared" si="1"/>
        <v/>
      </c>
      <c r="P18" s="3" t="str">
        <f t="shared" si="1"/>
        <v/>
      </c>
      <c r="Q18" s="3" t="str">
        <f t="shared" si="1"/>
        <v/>
      </c>
      <c r="R18" s="3" t="str">
        <f t="shared" si="1"/>
        <v/>
      </c>
    </row>
    <row r="19" spans="1:23" x14ac:dyDescent="0.35">
      <c r="A19" t="s">
        <v>3</v>
      </c>
      <c r="B19" s="3" t="str">
        <f t="shared" si="0"/>
        <v>$/kWh</v>
      </c>
      <c r="C19" s="3" t="str">
        <f t="shared" si="1"/>
        <v>$/BTU</v>
      </c>
      <c r="D19" s="3" t="str">
        <f t="shared" si="1"/>
        <v>$/mmBTU</v>
      </c>
      <c r="E19" s="3" t="str">
        <f t="shared" si="1"/>
        <v>$/Wh</v>
      </c>
      <c r="F19" s="3" t="str">
        <f t="shared" si="1"/>
        <v>$/J</v>
      </c>
      <c r="G19" s="3" t="str">
        <f t="shared" si="1"/>
        <v>$/kJ</v>
      </c>
      <c r="H19" s="3" t="str">
        <f t="shared" si="1"/>
        <v>$/MJ</v>
      </c>
      <c r="I19" s="3" t="str">
        <f t="shared" si="1"/>
        <v/>
      </c>
      <c r="J19" s="3" t="str">
        <f t="shared" si="1"/>
        <v/>
      </c>
      <c r="K19" s="3" t="str">
        <f t="shared" si="1"/>
        <v/>
      </c>
      <c r="L19" s="3" t="str">
        <f t="shared" si="1"/>
        <v/>
      </c>
      <c r="M19" s="3" t="str">
        <f t="shared" si="1"/>
        <v/>
      </c>
      <c r="N19" s="3" t="str">
        <f t="shared" si="1"/>
        <v/>
      </c>
      <c r="O19" s="3" t="str">
        <f t="shared" si="1"/>
        <v/>
      </c>
      <c r="P19" s="3" t="str">
        <f t="shared" si="1"/>
        <v/>
      </c>
      <c r="Q19" s="3" t="str">
        <f t="shared" si="1"/>
        <v/>
      </c>
      <c r="R19" s="3" t="str">
        <f t="shared" si="1"/>
        <v/>
      </c>
    </row>
    <row r="20" spans="1:23" x14ac:dyDescent="0.35">
      <c r="A20" t="s">
        <v>33</v>
      </c>
      <c r="B20" s="3"/>
      <c r="C20" s="3"/>
      <c r="D20" s="3"/>
      <c r="E20" s="3"/>
      <c r="F20" s="3" t="str">
        <f t="shared" si="1"/>
        <v/>
      </c>
      <c r="G20" s="3" t="str">
        <f t="shared" si="1"/>
        <v/>
      </c>
      <c r="H20" s="3" t="str">
        <f t="shared" si="1"/>
        <v/>
      </c>
      <c r="I20" s="3" t="str">
        <f t="shared" si="1"/>
        <v/>
      </c>
      <c r="J20" s="3" t="str">
        <f t="shared" si="1"/>
        <v/>
      </c>
      <c r="K20" s="3" t="str">
        <f t="shared" si="1"/>
        <v/>
      </c>
      <c r="L20" s="3" t="str">
        <f t="shared" si="1"/>
        <v/>
      </c>
      <c r="M20" s="3" t="str">
        <f t="shared" si="1"/>
        <v/>
      </c>
      <c r="N20" s="3" t="str">
        <f t="shared" si="1"/>
        <v/>
      </c>
      <c r="O20" s="3" t="str">
        <f t="shared" si="1"/>
        <v/>
      </c>
      <c r="P20" s="3" t="str">
        <f t="shared" si="1"/>
        <v/>
      </c>
      <c r="Q20" s="3" t="str">
        <f t="shared" si="1"/>
        <v/>
      </c>
      <c r="R20" s="3" t="str">
        <f t="shared" si="1"/>
        <v/>
      </c>
    </row>
    <row r="21" spans="1:23" x14ac:dyDescent="0.35">
      <c r="B21" s="3"/>
      <c r="C21" s="3"/>
      <c r="D21" s="3"/>
      <c r="E21" s="3"/>
      <c r="F21" s="3"/>
      <c r="G21" s="3"/>
      <c r="H21" s="3"/>
      <c r="I21" s="3"/>
    </row>
    <row r="22" spans="1:23" x14ac:dyDescent="0.35">
      <c r="A22" s="9" t="s">
        <v>88</v>
      </c>
      <c r="B22" s="9" t="s">
        <v>89</v>
      </c>
      <c r="C22" s="10" t="s">
        <v>90</v>
      </c>
    </row>
    <row r="23" spans="1:23" x14ac:dyDescent="0.35">
      <c r="B23" t="s">
        <v>88</v>
      </c>
      <c r="C23" s="3" t="s">
        <v>89</v>
      </c>
      <c r="G23" s="3"/>
      <c r="H23" s="3"/>
      <c r="I23" s="3"/>
      <c r="J23" s="3"/>
      <c r="K23" s="3"/>
      <c r="L23" s="3"/>
      <c r="M23" s="3"/>
      <c r="N23" s="3"/>
      <c r="O23" s="3"/>
      <c r="P23" s="3"/>
      <c r="Q23" s="3"/>
      <c r="R23" s="3"/>
      <c r="S23" s="3"/>
      <c r="T23" s="3"/>
      <c r="U23" s="3"/>
      <c r="V23" s="3"/>
      <c r="W23" s="3"/>
    </row>
    <row r="24" spans="1:23" x14ac:dyDescent="0.35">
      <c r="A24" s="2" t="s">
        <v>38</v>
      </c>
      <c r="B24" t="s">
        <v>32</v>
      </c>
      <c r="C24" s="3" t="s">
        <v>56</v>
      </c>
      <c r="G24" s="3"/>
      <c r="H24" s="3"/>
      <c r="I24" s="3"/>
      <c r="J24" s="3"/>
    </row>
    <row r="25" spans="1:23" x14ac:dyDescent="0.35">
      <c r="A25" s="2"/>
      <c r="B25" t="s">
        <v>288</v>
      </c>
      <c r="C25" s="3" t="s">
        <v>56</v>
      </c>
      <c r="G25" s="3"/>
      <c r="H25" s="3"/>
      <c r="I25" s="3"/>
      <c r="J25" s="3"/>
    </row>
    <row r="26" spans="1:23" x14ac:dyDescent="0.35">
      <c r="A26" s="2" t="s">
        <v>230</v>
      </c>
      <c r="B26" t="s">
        <v>231</v>
      </c>
      <c r="C26" s="3" t="s">
        <v>56</v>
      </c>
      <c r="F26" t="s">
        <v>2</v>
      </c>
      <c r="G26" s="3" t="s">
        <v>331</v>
      </c>
      <c r="H26" s="3"/>
      <c r="I26" s="3"/>
      <c r="J26" s="3"/>
    </row>
    <row r="27" spans="1:23" x14ac:dyDescent="0.35">
      <c r="A27" s="2" t="s">
        <v>244</v>
      </c>
      <c r="B27" t="s">
        <v>2</v>
      </c>
      <c r="C27" t="s">
        <v>52</v>
      </c>
      <c r="F27" s="1" t="s">
        <v>24</v>
      </c>
      <c r="G27" s="3" t="s">
        <v>331</v>
      </c>
    </row>
    <row r="28" spans="1:23" x14ac:dyDescent="0.35">
      <c r="A28" s="2"/>
      <c r="B28" t="s">
        <v>3</v>
      </c>
      <c r="C28" t="s">
        <v>3</v>
      </c>
      <c r="F28" s="1" t="s">
        <v>22</v>
      </c>
      <c r="G28" s="3" t="s">
        <v>331</v>
      </c>
    </row>
    <row r="29" spans="1:23" x14ac:dyDescent="0.35">
      <c r="A29" s="2"/>
      <c r="B29" s="1" t="s">
        <v>24</v>
      </c>
      <c r="C29" t="s">
        <v>52</v>
      </c>
      <c r="F29" s="1" t="s">
        <v>309</v>
      </c>
      <c r="G29" s="3" t="s">
        <v>331</v>
      </c>
      <c r="H29" s="3"/>
      <c r="I29" s="3"/>
      <c r="J29" s="3"/>
      <c r="K29" s="3"/>
      <c r="L29" s="3"/>
    </row>
    <row r="30" spans="1:23" x14ac:dyDescent="0.35">
      <c r="A30" s="2"/>
      <c r="B30" s="1" t="s">
        <v>22</v>
      </c>
      <c r="C30" t="s">
        <v>52</v>
      </c>
      <c r="F30" s="1" t="s">
        <v>71</v>
      </c>
      <c r="G30" s="3" t="s">
        <v>331</v>
      </c>
      <c r="H30" s="3"/>
      <c r="I30" s="3"/>
      <c r="J30" s="3"/>
      <c r="K30" s="3"/>
      <c r="L30" s="3"/>
    </row>
    <row r="31" spans="1:23" x14ac:dyDescent="0.35">
      <c r="A31" s="2"/>
      <c r="B31" s="1" t="s">
        <v>309</v>
      </c>
      <c r="C31" t="s">
        <v>52</v>
      </c>
      <c r="F31" s="1" t="s">
        <v>276</v>
      </c>
      <c r="G31" s="3" t="s">
        <v>331</v>
      </c>
      <c r="H31" s="3"/>
      <c r="I31" s="3"/>
      <c r="J31" s="3"/>
      <c r="K31" s="3"/>
      <c r="L31" s="3"/>
    </row>
    <row r="32" spans="1:23" x14ac:dyDescent="0.35">
      <c r="A32" s="2"/>
      <c r="B32" s="1" t="s">
        <v>71</v>
      </c>
      <c r="C32" t="s">
        <v>52</v>
      </c>
      <c r="F32" s="1" t="s">
        <v>277</v>
      </c>
      <c r="G32" s="3" t="s">
        <v>331</v>
      </c>
      <c r="H32" s="3"/>
      <c r="I32" s="3"/>
      <c r="J32" s="3"/>
      <c r="K32" s="3"/>
      <c r="L32" s="3"/>
    </row>
    <row r="33" spans="1:7" x14ac:dyDescent="0.35">
      <c r="A33" s="2"/>
      <c r="B33" s="1" t="s">
        <v>276</v>
      </c>
      <c r="C33" t="s">
        <v>52</v>
      </c>
      <c r="F33" t="s">
        <v>312</v>
      </c>
      <c r="G33" s="3" t="s">
        <v>331</v>
      </c>
    </row>
    <row r="34" spans="1:7" x14ac:dyDescent="0.35">
      <c r="A34" s="2"/>
      <c r="B34" s="1" t="s">
        <v>277</v>
      </c>
      <c r="C34" t="s">
        <v>52</v>
      </c>
      <c r="F34" t="s">
        <v>313</v>
      </c>
      <c r="G34" s="3" t="s">
        <v>331</v>
      </c>
    </row>
    <row r="35" spans="1:7" x14ac:dyDescent="0.35">
      <c r="A35" s="2"/>
      <c r="B35" t="s">
        <v>312</v>
      </c>
      <c r="C35" t="s">
        <v>52</v>
      </c>
      <c r="F35" s="1" t="s">
        <v>87</v>
      </c>
      <c r="G35" s="3" t="s">
        <v>331</v>
      </c>
    </row>
    <row r="36" spans="1:7" x14ac:dyDescent="0.35">
      <c r="A36" s="2"/>
      <c r="B36" t="s">
        <v>313</v>
      </c>
      <c r="C36" t="s">
        <v>52</v>
      </c>
      <c r="F36" t="s">
        <v>29</v>
      </c>
      <c r="G36" s="3" t="s">
        <v>332</v>
      </c>
    </row>
    <row r="37" spans="1:7" x14ac:dyDescent="0.35">
      <c r="A37" s="2"/>
      <c r="B37" s="1" t="s">
        <v>87</v>
      </c>
      <c r="C37" t="s">
        <v>52</v>
      </c>
      <c r="G37" s="3"/>
    </row>
    <row r="38" spans="1:7" x14ac:dyDescent="0.35">
      <c r="A38" s="2" t="s">
        <v>37</v>
      </c>
      <c r="B38" t="s">
        <v>13</v>
      </c>
      <c r="C38" t="s">
        <v>56</v>
      </c>
    </row>
    <row r="39" spans="1:7" x14ac:dyDescent="0.35">
      <c r="A39" s="2"/>
      <c r="B39" s="1" t="s">
        <v>14</v>
      </c>
      <c r="C39" t="s">
        <v>56</v>
      </c>
    </row>
    <row r="40" spans="1:7" x14ac:dyDescent="0.35">
      <c r="A40" s="2"/>
      <c r="B40" s="1" t="s">
        <v>15</v>
      </c>
      <c r="C40" t="s">
        <v>56</v>
      </c>
    </row>
    <row r="41" spans="1:7" x14ac:dyDescent="0.35">
      <c r="A41" s="2"/>
      <c r="B41" s="1" t="s">
        <v>16</v>
      </c>
      <c r="C41" t="s">
        <v>56</v>
      </c>
    </row>
    <row r="42" spans="1:7" x14ac:dyDescent="0.35">
      <c r="A42" s="2"/>
      <c r="B42" s="1" t="s">
        <v>17</v>
      </c>
      <c r="C42" t="s">
        <v>56</v>
      </c>
    </row>
    <row r="43" spans="1:7" x14ac:dyDescent="0.35">
      <c r="A43" s="2"/>
      <c r="B43" s="1" t="s">
        <v>18</v>
      </c>
      <c r="C43" t="s">
        <v>56</v>
      </c>
    </row>
    <row r="44" spans="1:7" x14ac:dyDescent="0.35">
      <c r="A44" s="2"/>
      <c r="B44" s="1" t="s">
        <v>19</v>
      </c>
      <c r="C44" t="s">
        <v>56</v>
      </c>
    </row>
    <row r="45" spans="1:7" x14ac:dyDescent="0.35">
      <c r="A45" s="2"/>
      <c r="B45" s="1" t="s">
        <v>20</v>
      </c>
      <c r="C45" t="s">
        <v>56</v>
      </c>
    </row>
    <row r="46" spans="1:7" x14ac:dyDescent="0.35">
      <c r="A46" s="2"/>
      <c r="B46" s="1" t="s">
        <v>21</v>
      </c>
      <c r="C46" t="s">
        <v>56</v>
      </c>
    </row>
    <row r="47" spans="1:7" x14ac:dyDescent="0.35">
      <c r="A47" s="2"/>
      <c r="B47" s="1" t="s">
        <v>106</v>
      </c>
      <c r="C47" t="s">
        <v>56</v>
      </c>
    </row>
    <row r="48" spans="1:7" x14ac:dyDescent="0.35">
      <c r="A48" s="2"/>
      <c r="B48" s="1" t="s">
        <v>36</v>
      </c>
      <c r="C48" t="s">
        <v>56</v>
      </c>
    </row>
    <row r="49" spans="1:3" x14ac:dyDescent="0.35">
      <c r="A49" s="2"/>
      <c r="B49" s="1" t="s">
        <v>23</v>
      </c>
      <c r="C49" t="s">
        <v>56</v>
      </c>
    </row>
    <row r="50" spans="1:3" x14ac:dyDescent="0.35">
      <c r="A50" s="2"/>
      <c r="B50" s="1" t="s">
        <v>25</v>
      </c>
      <c r="C50" t="s">
        <v>56</v>
      </c>
    </row>
    <row r="51" spans="1:3" x14ac:dyDescent="0.35">
      <c r="A51" s="2"/>
      <c r="B51" t="s">
        <v>26</v>
      </c>
      <c r="C51" t="s">
        <v>56</v>
      </c>
    </row>
    <row r="52" spans="1:3" x14ac:dyDescent="0.35">
      <c r="A52" s="2"/>
      <c r="B52" t="s">
        <v>30</v>
      </c>
      <c r="C52" t="s">
        <v>56</v>
      </c>
    </row>
    <row r="53" spans="1:3" x14ac:dyDescent="0.35">
      <c r="B53" t="s">
        <v>21</v>
      </c>
      <c r="C53" t="s">
        <v>56</v>
      </c>
    </row>
    <row r="54" spans="1:3" x14ac:dyDescent="0.35">
      <c r="B54" t="s">
        <v>20</v>
      </c>
      <c r="C54" t="s">
        <v>56</v>
      </c>
    </row>
    <row r="55" spans="1:3" x14ac:dyDescent="0.35">
      <c r="B55" t="s">
        <v>36</v>
      </c>
      <c r="C55" t="s">
        <v>56</v>
      </c>
    </row>
    <row r="56" spans="1:3" x14ac:dyDescent="0.35">
      <c r="B56" t="s">
        <v>25</v>
      </c>
      <c r="C56" t="s">
        <v>56</v>
      </c>
    </row>
    <row r="57" spans="1:3" x14ac:dyDescent="0.35">
      <c r="B57" t="s">
        <v>51</v>
      </c>
      <c r="C57" t="s">
        <v>56</v>
      </c>
    </row>
    <row r="58" spans="1:3" x14ac:dyDescent="0.35">
      <c r="B58" t="s">
        <v>233</v>
      </c>
      <c r="C58" t="s">
        <v>56</v>
      </c>
    </row>
    <row r="59" spans="1:3" x14ac:dyDescent="0.35">
      <c r="B59" t="s">
        <v>234</v>
      </c>
      <c r="C59" t="s">
        <v>56</v>
      </c>
    </row>
    <row r="60" spans="1:3" x14ac:dyDescent="0.35">
      <c r="B60" t="s">
        <v>50</v>
      </c>
      <c r="C60" t="s">
        <v>56</v>
      </c>
    </row>
    <row r="61" spans="1:3" x14ac:dyDescent="0.35">
      <c r="B61" t="s">
        <v>235</v>
      </c>
      <c r="C61" t="s">
        <v>56</v>
      </c>
    </row>
    <row r="62" spans="1:3" x14ac:dyDescent="0.35">
      <c r="B62" t="s">
        <v>236</v>
      </c>
      <c r="C62" t="s">
        <v>56</v>
      </c>
    </row>
    <row r="63" spans="1:3" x14ac:dyDescent="0.35">
      <c r="B63" t="s">
        <v>237</v>
      </c>
      <c r="C63" t="s">
        <v>56</v>
      </c>
    </row>
    <row r="64" spans="1:3" x14ac:dyDescent="0.35">
      <c r="B64" s="52" t="s">
        <v>287</v>
      </c>
      <c r="C64" s="52" t="s">
        <v>56</v>
      </c>
    </row>
    <row r="65" spans="2:3" x14ac:dyDescent="0.35">
      <c r="B65" s="54" t="s">
        <v>15</v>
      </c>
      <c r="C65" s="52" t="s">
        <v>56</v>
      </c>
    </row>
    <row r="66" spans="2:3" x14ac:dyDescent="0.35">
      <c r="B66" s="54" t="s">
        <v>290</v>
      </c>
      <c r="C66" s="52" t="s">
        <v>56</v>
      </c>
    </row>
    <row r="67" spans="2:3" x14ac:dyDescent="0.35">
      <c r="B67" s="55" t="s">
        <v>291</v>
      </c>
      <c r="C67" s="52" t="s">
        <v>56</v>
      </c>
    </row>
    <row r="68" spans="2:3" x14ac:dyDescent="0.35">
      <c r="B68" s="55" t="s">
        <v>292</v>
      </c>
      <c r="C68" s="52" t="s">
        <v>56</v>
      </c>
    </row>
    <row r="69" spans="2:3" x14ac:dyDescent="0.35">
      <c r="B69" s="56" t="s">
        <v>293</v>
      </c>
      <c r="C69" s="52" t="s">
        <v>56</v>
      </c>
    </row>
    <row r="70" spans="2:3" x14ac:dyDescent="0.35">
      <c r="B70" s="56" t="s">
        <v>294</v>
      </c>
      <c r="C70" s="52" t="s">
        <v>56</v>
      </c>
    </row>
    <row r="71" spans="2:3" x14ac:dyDescent="0.35">
      <c r="B71" s="56" t="s">
        <v>295</v>
      </c>
      <c r="C71" s="52" t="s">
        <v>56</v>
      </c>
    </row>
    <row r="72" spans="2:3" x14ac:dyDescent="0.35">
      <c r="B72" s="56" t="s">
        <v>296</v>
      </c>
      <c r="C72" s="52" t="s">
        <v>56</v>
      </c>
    </row>
    <row r="73" spans="2:3" x14ac:dyDescent="0.35">
      <c r="B73" s="56" t="s">
        <v>297</v>
      </c>
      <c r="C73" s="52" t="s">
        <v>56</v>
      </c>
    </row>
    <row r="74" spans="2:3" x14ac:dyDescent="0.35">
      <c r="B74" s="56" t="s">
        <v>298</v>
      </c>
      <c r="C74" s="52" t="s">
        <v>56</v>
      </c>
    </row>
    <row r="75" spans="2:3" x14ac:dyDescent="0.35">
      <c r="B75" s="56" t="s">
        <v>299</v>
      </c>
      <c r="C75" s="52" t="s">
        <v>56</v>
      </c>
    </row>
    <row r="76" spans="2:3" x14ac:dyDescent="0.35">
      <c r="B76" s="56" t="s">
        <v>300</v>
      </c>
      <c r="C76" s="52" t="s">
        <v>56</v>
      </c>
    </row>
    <row r="77" spans="2:3" x14ac:dyDescent="0.35">
      <c r="B77" s="56" t="s">
        <v>301</v>
      </c>
      <c r="C77" s="52" t="s">
        <v>56</v>
      </c>
    </row>
    <row r="78" spans="2:3" x14ac:dyDescent="0.35">
      <c r="B78" s="56" t="s">
        <v>302</v>
      </c>
      <c r="C78" s="52" t="s">
        <v>56</v>
      </c>
    </row>
    <row r="79" spans="2:3" x14ac:dyDescent="0.35">
      <c r="B79" s="56" t="s">
        <v>303</v>
      </c>
      <c r="C79" s="52" t="s">
        <v>56</v>
      </c>
    </row>
    <row r="80" spans="2:3" x14ac:dyDescent="0.35">
      <c r="B80" s="56" t="s">
        <v>304</v>
      </c>
      <c r="C80" s="52" t="s">
        <v>56</v>
      </c>
    </row>
    <row r="81" spans="1:3" x14ac:dyDescent="0.35">
      <c r="B81" s="56" t="s">
        <v>305</v>
      </c>
      <c r="C81" s="52" t="s">
        <v>56</v>
      </c>
    </row>
    <row r="82" spans="1:3" x14ac:dyDescent="0.35">
      <c r="B82" s="56" t="s">
        <v>306</v>
      </c>
      <c r="C82" s="52" t="s">
        <v>56</v>
      </c>
    </row>
    <row r="83" spans="1:3" x14ac:dyDescent="0.35">
      <c r="B83" s="56" t="s">
        <v>307</v>
      </c>
      <c r="C83" s="52" t="s">
        <v>56</v>
      </c>
    </row>
    <row r="84" spans="1:3" x14ac:dyDescent="0.35">
      <c r="B84" s="56" t="s">
        <v>308</v>
      </c>
      <c r="C84" s="52" t="s">
        <v>56</v>
      </c>
    </row>
    <row r="85" spans="1:3" x14ac:dyDescent="0.35">
      <c r="B85" s="52" t="s">
        <v>310</v>
      </c>
      <c r="C85" s="52" t="s">
        <v>56</v>
      </c>
    </row>
    <row r="86" spans="1:3" x14ac:dyDescent="0.35">
      <c r="B86" s="52" t="s">
        <v>311</v>
      </c>
      <c r="C86" s="52" t="s">
        <v>56</v>
      </c>
    </row>
    <row r="87" spans="1:3" x14ac:dyDescent="0.35">
      <c r="B87" s="52" t="s">
        <v>314</v>
      </c>
      <c r="C87" s="52" t="s">
        <v>56</v>
      </c>
    </row>
    <row r="88" spans="1:3" x14ac:dyDescent="0.35">
      <c r="B88" s="52" t="s">
        <v>315</v>
      </c>
      <c r="C88" s="52" t="s">
        <v>56</v>
      </c>
    </row>
    <row r="89" spans="1:3" x14ac:dyDescent="0.35">
      <c r="B89" s="52" t="s">
        <v>316</v>
      </c>
      <c r="C89" s="52" t="s">
        <v>56</v>
      </c>
    </row>
    <row r="90" spans="1:3" x14ac:dyDescent="0.35">
      <c r="B90" t="s">
        <v>238</v>
      </c>
      <c r="C90" t="s">
        <v>56</v>
      </c>
    </row>
    <row r="91" spans="1:3" s="52" customFormat="1" x14ac:dyDescent="0.35">
      <c r="A91" s="53" t="s">
        <v>282</v>
      </c>
      <c r="B91" s="52" t="s">
        <v>283</v>
      </c>
      <c r="C91" s="52" t="s">
        <v>56</v>
      </c>
    </row>
    <row r="92" spans="1:3" s="52" customFormat="1" x14ac:dyDescent="0.35">
      <c r="B92" s="52" t="s">
        <v>284</v>
      </c>
      <c r="C92" s="52" t="s">
        <v>56</v>
      </c>
    </row>
    <row r="93" spans="1:3" s="52" customFormat="1" x14ac:dyDescent="0.35">
      <c r="B93" s="52" t="s">
        <v>285</v>
      </c>
      <c r="C93" s="52" t="s">
        <v>56</v>
      </c>
    </row>
    <row r="94" spans="1:3" s="52" customFormat="1" x14ac:dyDescent="0.35">
      <c r="B94" s="52" t="s">
        <v>286</v>
      </c>
      <c r="C94" s="52" t="s">
        <v>56</v>
      </c>
    </row>
    <row r="95" spans="1:3" x14ac:dyDescent="0.35">
      <c r="A95" s="2" t="s">
        <v>245</v>
      </c>
      <c r="B95" t="s">
        <v>218</v>
      </c>
      <c r="C95" t="s">
        <v>56</v>
      </c>
    </row>
    <row r="96" spans="1:3" x14ac:dyDescent="0.35">
      <c r="B96" t="s">
        <v>219</v>
      </c>
      <c r="C96" t="s">
        <v>56</v>
      </c>
    </row>
    <row r="97" spans="1:3" x14ac:dyDescent="0.35">
      <c r="B97" t="s">
        <v>220</v>
      </c>
      <c r="C97" t="s">
        <v>56</v>
      </c>
    </row>
    <row r="98" spans="1:3" x14ac:dyDescent="0.35">
      <c r="B98" t="s">
        <v>221</v>
      </c>
      <c r="C98" t="s">
        <v>56</v>
      </c>
    </row>
    <row r="99" spans="1:3" x14ac:dyDescent="0.35">
      <c r="B99" t="s">
        <v>222</v>
      </c>
      <c r="C99" t="s">
        <v>56</v>
      </c>
    </row>
    <row r="100" spans="1:3" x14ac:dyDescent="0.35">
      <c r="B100" t="s">
        <v>223</v>
      </c>
      <c r="C100" t="s">
        <v>56</v>
      </c>
    </row>
    <row r="101" spans="1:3" x14ac:dyDescent="0.35">
      <c r="B101" t="s">
        <v>224</v>
      </c>
      <c r="C101" t="s">
        <v>56</v>
      </c>
    </row>
    <row r="102" spans="1:3" x14ac:dyDescent="0.35">
      <c r="B102" t="s">
        <v>225</v>
      </c>
      <c r="C102" t="s">
        <v>56</v>
      </c>
    </row>
    <row r="103" spans="1:3" x14ac:dyDescent="0.35">
      <c r="B103" t="s">
        <v>226</v>
      </c>
      <c r="C103" t="s">
        <v>56</v>
      </c>
    </row>
    <row r="104" spans="1:3" x14ac:dyDescent="0.35">
      <c r="B104" t="s">
        <v>227</v>
      </c>
      <c r="C104" t="s">
        <v>56</v>
      </c>
    </row>
    <row r="105" spans="1:3" x14ac:dyDescent="0.35">
      <c r="B105" t="s">
        <v>228</v>
      </c>
      <c r="C105" t="s">
        <v>56</v>
      </c>
    </row>
    <row r="106" spans="1:3" x14ac:dyDescent="0.35">
      <c r="B106" t="s">
        <v>229</v>
      </c>
      <c r="C106" t="s">
        <v>56</v>
      </c>
    </row>
    <row r="107" spans="1:3" x14ac:dyDescent="0.35">
      <c r="A107" s="2" t="s">
        <v>217</v>
      </c>
      <c r="B107" t="s">
        <v>239</v>
      </c>
      <c r="C107" t="s">
        <v>56</v>
      </c>
    </row>
    <row r="108" spans="1:3" x14ac:dyDescent="0.35">
      <c r="A108" s="2"/>
      <c r="B108" t="s">
        <v>243</v>
      </c>
      <c r="C108" t="s">
        <v>56</v>
      </c>
    </row>
    <row r="109" spans="1:3" x14ac:dyDescent="0.35">
      <c r="A109" s="2" t="s">
        <v>29</v>
      </c>
      <c r="B109" t="s">
        <v>29</v>
      </c>
      <c r="C109" t="s">
        <v>53</v>
      </c>
    </row>
  </sheetData>
  <phoneticPr fontId="15" type="noConversion"/>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C19" sqref="C19"/>
    </sheetView>
  </sheetViews>
  <sheetFormatPr defaultRowHeight="14.5" x14ac:dyDescent="0.35"/>
  <cols>
    <col min="1" max="1" width="12.1796875" bestFit="1" customWidth="1"/>
    <col min="2" max="2" width="26.453125" bestFit="1" customWidth="1"/>
  </cols>
  <sheetData>
    <row r="1" spans="1:4" x14ac:dyDescent="0.35">
      <c r="A1" s="2" t="s">
        <v>112</v>
      </c>
      <c r="B1" s="2" t="s">
        <v>6</v>
      </c>
      <c r="C1" s="2" t="s">
        <v>123</v>
      </c>
      <c r="D1" s="2" t="s">
        <v>125</v>
      </c>
    </row>
    <row r="2" spans="1:4" x14ac:dyDescent="0.35">
      <c r="B2" t="s">
        <v>0</v>
      </c>
      <c r="D2" t="s">
        <v>126</v>
      </c>
    </row>
    <row r="3" spans="1:4" x14ac:dyDescent="0.35">
      <c r="A3" t="s">
        <v>86</v>
      </c>
      <c r="B3" t="s">
        <v>257</v>
      </c>
      <c r="C3" t="s">
        <v>124</v>
      </c>
      <c r="D3" t="s">
        <v>130</v>
      </c>
    </row>
    <row r="4" spans="1:4" x14ac:dyDescent="0.35">
      <c r="A4" t="s">
        <v>113</v>
      </c>
      <c r="B4" t="s">
        <v>113</v>
      </c>
      <c r="C4" t="s">
        <v>114</v>
      </c>
      <c r="D4" t="s">
        <v>131</v>
      </c>
    </row>
    <row r="5" spans="1:4" x14ac:dyDescent="0.35">
      <c r="A5" t="s">
        <v>85</v>
      </c>
      <c r="B5" t="s">
        <v>85</v>
      </c>
      <c r="D5" t="s">
        <v>132</v>
      </c>
    </row>
    <row r="6" spans="1:4" x14ac:dyDescent="0.35">
      <c r="B6" t="s">
        <v>240</v>
      </c>
      <c r="D6" t="s">
        <v>127</v>
      </c>
    </row>
    <row r="7" spans="1:4" x14ac:dyDescent="0.35">
      <c r="D7" t="s">
        <v>128</v>
      </c>
    </row>
    <row r="8" spans="1:4" x14ac:dyDescent="0.35">
      <c r="D8" t="s">
        <v>129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D9BD88-915D-45A8-8208-449CBA5DFE76}">
  <sheetPr codeName="Sheet9"/>
  <dimension ref="A1:T100"/>
  <sheetViews>
    <sheetView topLeftCell="E1" workbookViewId="0">
      <pane ySplit="5" topLeftCell="A6" activePane="bottomLeft" state="frozen"/>
      <selection activeCell="C19" sqref="C19"/>
      <selection pane="bottomLeft" activeCell="I16" sqref="I16"/>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0</v>
      </c>
      <c r="B6" s="6" t="s">
        <v>3</v>
      </c>
      <c r="C6" s="6" t="s">
        <v>3</v>
      </c>
      <c r="D6" s="6" t="s">
        <v>177</v>
      </c>
      <c r="E6" s="61">
        <v>0.16648835369602799</v>
      </c>
      <c r="F6" s="6" t="s">
        <v>68</v>
      </c>
      <c r="G6" s="25"/>
      <c r="H6" s="25"/>
      <c r="I6" s="26" t="str">
        <f>IF(Table13[[#This Row],[Type]]="Co-product", "No", "")</f>
        <v/>
      </c>
      <c r="J6" s="25"/>
      <c r="K6" s="6"/>
      <c r="L6" s="6" t="str">
        <f>IF(Table13[[#This Row],[Category]]="Transportation", _xlfn.XLOOKUP(Table13[[#This Row],[Resource]], 'SI - Payload'!$A$10:$A$38,'SI - Payload'!$B$10:$B$38,"",0), "")</f>
        <v/>
      </c>
      <c r="M6" s="6" t="str">
        <f>IF(Table13[[#This Row],[Category]]="Transportation", "ton", "")</f>
        <v/>
      </c>
      <c r="N6" s="6"/>
      <c r="O6" s="6"/>
      <c r="P6" s="6" t="str">
        <f>IF(OR(Table13[[#This Row],[Type]]="Main Product", Table13[[#This Row],[Type]]="Co-Product"), Table13[[#This Row],[Resource]], "")</f>
        <v/>
      </c>
      <c r="Q6" s="6" t="str">
        <f>IF(_xlfn.XLOOKUP($P6,'SI - End Use'!$B$2:$B$6,'SI - End Use'!$C$2:$C$6, "")="", "", _xlfn.XLOOKUP($C6,'SI - End Use'!$B$2:$B$6,'SI - End Use'!$C$2:$C$6, ""))</f>
        <v/>
      </c>
      <c r="R6" s="6"/>
      <c r="S6" s="6"/>
      <c r="T6" s="6" t="s">
        <v>338</v>
      </c>
    </row>
    <row r="7" spans="1:20" x14ac:dyDescent="0.35">
      <c r="A7" s="6" t="s">
        <v>0</v>
      </c>
      <c r="B7" s="6" t="s">
        <v>3</v>
      </c>
      <c r="C7" s="6" t="s">
        <v>3</v>
      </c>
      <c r="D7" s="6" t="s">
        <v>10</v>
      </c>
      <c r="E7" s="61">
        <v>1.6131362008370701E-3</v>
      </c>
      <c r="F7" s="6" t="s">
        <v>68</v>
      </c>
      <c r="G7" s="25"/>
      <c r="H7" s="25"/>
      <c r="I7" s="26" t="str">
        <f>IF(Table13[[#This Row],[Type]]="Co-product", "No", "")</f>
        <v/>
      </c>
      <c r="J7" s="25"/>
      <c r="K7" s="6"/>
      <c r="L7" s="6" t="str">
        <f>IF(Table13[[#This Row],[Category]]="Transportation", _xlfn.XLOOKUP(Table13[[#This Row],[Resource]], 'SI - Payload'!$A$10:$A$38,'SI - Payload'!$B$10:$B$38,"",0), "")</f>
        <v/>
      </c>
      <c r="M7" s="6" t="str">
        <f>IF(Table13[[#This Row],[Category]]="Transportation", "ton", "")</f>
        <v/>
      </c>
      <c r="N7" s="6"/>
      <c r="O7" s="6"/>
      <c r="P7" s="6" t="str">
        <f>IF(OR(Table13[[#This Row],[Type]]="Main Product", Table13[[#This Row],[Type]]="Co-Product"), Table13[[#This Row],[Resource]], "")</f>
        <v/>
      </c>
      <c r="Q7" s="6" t="str">
        <f>IF(_xlfn.XLOOKUP($P7,'SI - End Use'!$B$2:$B$6,'SI - End Use'!$C$2:$C$6, "")="", "", _xlfn.XLOOKUP($C7,'SI - End Use'!$B$2:$B$6,'SI - End Use'!$C$2:$C$6, ""))</f>
        <v/>
      </c>
      <c r="R7" s="6"/>
      <c r="S7" s="6"/>
      <c r="T7" s="6"/>
    </row>
    <row r="8" spans="1:20" x14ac:dyDescent="0.35">
      <c r="A8" s="6" t="s">
        <v>113</v>
      </c>
      <c r="B8" s="6" t="s">
        <v>245</v>
      </c>
      <c r="C8" s="6" t="s">
        <v>228</v>
      </c>
      <c r="D8" s="6" t="s">
        <v>337</v>
      </c>
      <c r="E8" s="12">
        <v>1</v>
      </c>
      <c r="F8" s="6" t="s">
        <v>58</v>
      </c>
      <c r="G8" s="25"/>
      <c r="H8" s="25"/>
      <c r="I8" s="26" t="str">
        <f>IF(Table13[[#This Row],[Type]]="Co-product", "No", "")</f>
        <v/>
      </c>
      <c r="J8" s="25"/>
      <c r="K8" s="6"/>
      <c r="L8" s="6" t="str">
        <f>IF(Table13[[#This Row],[Category]]="Transportation", _xlfn.XLOOKUP(Table13[[#This Row],[Resource]], 'SI - Payload'!$A$10:$A$38,'SI - Payload'!$B$10:$B$38,"",0), "")</f>
        <v/>
      </c>
      <c r="M8" s="6" t="str">
        <f>IF(Table13[[#This Row],[Category]]="Transportation", "ton", "")</f>
        <v/>
      </c>
      <c r="N8" s="6"/>
      <c r="O8" s="6"/>
      <c r="P8" s="6" t="str">
        <f>IF(OR(Table13[[#This Row],[Type]]="Main Product", Table13[[#This Row],[Type]]="Co-Product"), Table13[[#This Row],[Resource]], "")</f>
        <v>CO2</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IF(Table13[[#This Row],[Type]]="Co-product", "No", "")</f>
        <v/>
      </c>
      <c r="J9" s="25"/>
      <c r="K9" s="6"/>
      <c r="L9" s="6" t="str">
        <f>IF(Table13[[#This Row],[Category]]="Transportation", _xlfn.XLOOKUP(Table13[[#This Row],[Resource]], 'SI - Payload'!$A$10:$A$38,'SI - Payload'!$B$10:$B$38,"",0), "")</f>
        <v/>
      </c>
      <c r="M9" s="6" t="str">
        <f>IF(Table13[[#This Row],[Category]]="Transportation", "ton", "")</f>
        <v/>
      </c>
      <c r="N9" s="6"/>
      <c r="O9" s="6"/>
      <c r="P9" s="6" t="str">
        <f>IF(OR(Table13[[#This Row],[Type]]="Main Product", Table13[[#This Row],[Type]]="Co-Product"), Table13[[#This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IF(Table13[[#This Row],[Type]]="Co-product", "No", "")</f>
        <v/>
      </c>
      <c r="J10" s="25"/>
      <c r="K10" s="6"/>
      <c r="L10" s="6" t="str">
        <f>IF(Table13[[#This Row],[Category]]="Transportation", _xlfn.XLOOKUP(Table13[[#This Row],[Resource]], 'SI - Payload'!$A$10:$A$38,'SI - Payload'!$B$10:$B$38,"",0), "")</f>
        <v/>
      </c>
      <c r="M10" s="6" t="str">
        <f>IF(Table13[[#This Row],[Category]]="Transportation", "ton", "")</f>
        <v/>
      </c>
      <c r="N10" s="6"/>
      <c r="O10" s="6"/>
      <c r="P10" s="6" t="str">
        <f>IF(OR(Table13[[#This Row],[Type]]="Main Product", Table13[[#This Row],[Type]]="Co-Product"), Table13[[#This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IF(Table13[[#This Row],[Type]]="Co-product", "No", "")</f>
        <v/>
      </c>
      <c r="J11" s="25"/>
      <c r="K11" s="6"/>
      <c r="L11" s="6" t="str">
        <f>IF(Table13[[#This Row],[Category]]="Transportation", _xlfn.XLOOKUP(Table13[[#This Row],[Resource]], 'SI - Payload'!$A$10:$A$38,'SI - Payload'!$B$10:$B$38,"",0), "")</f>
        <v/>
      </c>
      <c r="M11" s="6" t="str">
        <f>IF(Table13[[#This Row],[Category]]="Transportation", "ton", "")</f>
        <v/>
      </c>
      <c r="N11" s="6"/>
      <c r="O11" s="6"/>
      <c r="P11" s="6" t="str">
        <f>IF(OR(Table13[[#This Row],[Type]]="Main Product", Table13[[#This Row],[Type]]="Co-Product"), Table13[[#This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IF(Table13[[#This Row],[Type]]="Co-product", "No", "")</f>
        <v/>
      </c>
      <c r="J12" s="25"/>
      <c r="K12" s="6"/>
      <c r="L12" s="6" t="str">
        <f>IF(Table13[[#This Row],[Category]]="Transportation", _xlfn.XLOOKUP(Table13[[#This Row],[Resource]], 'SI - Payload'!$A$10:$A$38,'SI - Payload'!$B$10:$B$38,"",0), "")</f>
        <v/>
      </c>
      <c r="M12" s="6" t="str">
        <f>IF(Table13[[#This Row],[Category]]="Transportation", "ton", "")</f>
        <v/>
      </c>
      <c r="N12" s="6"/>
      <c r="O12" s="6"/>
      <c r="P12" s="6" t="str">
        <f>IF(OR(Table13[[#This Row],[Type]]="Main Product", Table13[[#This Row],[Type]]="Co-Product"), Table13[[#This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IF(Table13[[#This Row],[Type]]="Co-product", "No", "")</f>
        <v/>
      </c>
      <c r="J13" s="25"/>
      <c r="K13" s="6"/>
      <c r="L13" s="6" t="str">
        <f>IF(Table13[[#This Row],[Category]]="Transportation", _xlfn.XLOOKUP(Table13[[#This Row],[Resource]], 'SI - Payload'!$A$10:$A$38,'SI - Payload'!$B$10:$B$38,"",0), "")</f>
        <v/>
      </c>
      <c r="M13" s="6" t="str">
        <f>IF(Table13[[#This Row],[Category]]="Transportation", "ton", "")</f>
        <v/>
      </c>
      <c r="N13" s="6"/>
      <c r="O13" s="6"/>
      <c r="P13" s="6" t="str">
        <f>IF(OR(Table13[[#This Row],[Type]]="Main Product", Table13[[#This Row],[Type]]="Co-Product"), Table13[[#This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IF(Table13[[#This Row],[Type]]="Co-product", "No", "")</f>
        <v/>
      </c>
      <c r="J14" s="25"/>
      <c r="K14" s="6"/>
      <c r="L14" s="6" t="str">
        <f>IF(Table13[[#This Row],[Category]]="Transportation", _xlfn.XLOOKUP(Table13[[#This Row],[Resource]], 'SI - Payload'!$A$10:$A$38,'SI - Payload'!$B$10:$B$38,"",0), "")</f>
        <v/>
      </c>
      <c r="M14" s="6" t="str">
        <f>IF(Table13[[#This Row],[Category]]="Transportation", "ton", "")</f>
        <v/>
      </c>
      <c r="N14" s="6"/>
      <c r="O14" s="6"/>
      <c r="P14" s="6" t="str">
        <f>IF(OR(Table13[[#This Row],[Type]]="Main Product", Table13[[#This Row],[Type]]="Co-Product"), Table13[[#This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IF(Table13[[#This Row],[Type]]="Co-product", "No", "")</f>
        <v/>
      </c>
      <c r="J15" s="25"/>
      <c r="K15" s="6"/>
      <c r="L15" s="6" t="str">
        <f>IF(Table13[[#This Row],[Category]]="Transportation", _xlfn.XLOOKUP(Table13[[#This Row],[Resource]], 'SI - Payload'!$A$10:$A$38,'SI - Payload'!$B$10:$B$38,"",0), "")</f>
        <v/>
      </c>
      <c r="M15" s="6" t="str">
        <f>IF(Table13[[#This Row],[Category]]="Transportation", "ton", "")</f>
        <v/>
      </c>
      <c r="N15" s="6"/>
      <c r="O15" s="6"/>
      <c r="P15" s="6" t="str">
        <f>IF(OR(Table13[[#This Row],[Type]]="Main Product", Table13[[#This Row],[Type]]="Co-Product"), Table13[[#This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IF(Table13[[#This Row],[Type]]="Co-product", "No", "")</f>
        <v/>
      </c>
      <c r="J16" s="25"/>
      <c r="K16" s="6"/>
      <c r="L16" s="6" t="str">
        <f>IF(Table13[[#This Row],[Category]]="Transportation", _xlfn.XLOOKUP(Table13[[#This Row],[Resource]], 'SI - Payload'!$A$10:$A$38,'SI - Payload'!$B$10:$B$38,"",0), "")</f>
        <v/>
      </c>
      <c r="M16" s="6" t="str">
        <f>IF(Table13[[#This Row],[Category]]="Transportation", "ton", "")</f>
        <v/>
      </c>
      <c r="N16" s="6"/>
      <c r="O16" s="6"/>
      <c r="P16" s="6" t="str">
        <f>IF(OR(Table13[[#This Row],[Type]]="Main Product", Table13[[#This Row],[Type]]="Co-Product"), Table13[[#This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IF(Table13[[#This Row],[Type]]="Co-product", "No", "")</f>
        <v/>
      </c>
      <c r="J17" s="25"/>
      <c r="K17" s="6"/>
      <c r="L17" s="6" t="str">
        <f>IF(Table13[[#This Row],[Category]]="Transportation", _xlfn.XLOOKUP(Table13[[#This Row],[Resource]], 'SI - Payload'!$A$10:$A$38,'SI - Payload'!$B$10:$B$38,"",0), "")</f>
        <v/>
      </c>
      <c r="M17" s="6" t="str">
        <f>IF(Table13[[#This Row],[Category]]="Transportation", "ton", "")</f>
        <v/>
      </c>
      <c r="N17" s="6"/>
      <c r="O17" s="6"/>
      <c r="P17" s="6" t="str">
        <f>IF(OR(Table13[[#This Row],[Type]]="Main Product", Table13[[#This Row],[Type]]="Co-Product"), Table13[[#This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IF(Table13[[#This Row],[Type]]="Co-product", "No", "")</f>
        <v/>
      </c>
      <c r="J18" s="25"/>
      <c r="K18" s="6"/>
      <c r="L18" s="6" t="str">
        <f>IF(Table13[[#This Row],[Category]]="Transportation", _xlfn.XLOOKUP(Table13[[#This Row],[Resource]], 'SI - Payload'!$A$10:$A$38,'SI - Payload'!$B$10:$B$38,"",0), "")</f>
        <v/>
      </c>
      <c r="M18" s="6" t="str">
        <f>IF(Table13[[#This Row],[Category]]="Transportation", "ton", "")</f>
        <v/>
      </c>
      <c r="N18" s="6"/>
      <c r="O18" s="6"/>
      <c r="P18" s="6" t="str">
        <f>IF(OR(Table13[[#This Row],[Type]]="Main Product", Table13[[#This Row],[Type]]="Co-Product"), Table13[[#This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IF(Table13[[#This Row],[Type]]="Co-product", "No", "")</f>
        <v/>
      </c>
      <c r="J19" s="25"/>
      <c r="K19" s="6"/>
      <c r="L19" s="6" t="str">
        <f>IF(Table13[[#This Row],[Category]]="Transportation", _xlfn.XLOOKUP(Table13[[#This Row],[Resource]], 'SI - Payload'!$A$10:$A$38,'SI - Payload'!$B$10:$B$38,"",0), "")</f>
        <v/>
      </c>
      <c r="M19" s="6" t="str">
        <f>IF(Table13[[#This Row],[Category]]="Transportation", "ton", "")</f>
        <v/>
      </c>
      <c r="N19" s="6"/>
      <c r="O19" s="6"/>
      <c r="P19" s="6" t="str">
        <f>IF(OR(Table13[[#This Row],[Type]]="Main Product", Table13[[#This Row],[Type]]="Co-Product"), Table13[[#This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IF(Table13[[#This Row],[Type]]="Co-product", "No", "")</f>
        <v/>
      </c>
      <c r="J20" s="25"/>
      <c r="K20" s="6"/>
      <c r="L20" s="6" t="str">
        <f>IF(Table13[[#This Row],[Category]]="Transportation", _xlfn.XLOOKUP(Table13[[#This Row],[Resource]], 'SI - Payload'!$A$10:$A$38,'SI - Payload'!$B$10:$B$38,"",0), "")</f>
        <v/>
      </c>
      <c r="M20" s="6" t="str">
        <f>IF(Table13[[#This Row],[Category]]="Transportation", "ton", "")</f>
        <v/>
      </c>
      <c r="N20" s="6"/>
      <c r="O20" s="6"/>
      <c r="P20" s="6" t="str">
        <f>IF(OR(Table13[[#This Row],[Type]]="Main Product", Table13[[#This Row],[Type]]="Co-Product"), Table13[[#This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IF(Table13[[#This Row],[Type]]="Co-product", "No", "")</f>
        <v/>
      </c>
      <c r="J21" s="25"/>
      <c r="K21" s="6"/>
      <c r="L21" s="6" t="str">
        <f>IF(Table13[[#This Row],[Category]]="Transportation", _xlfn.XLOOKUP(Table13[[#This Row],[Resource]], 'SI - Payload'!$A$10:$A$38,'SI - Payload'!$B$10:$B$38,"",0), "")</f>
        <v/>
      </c>
      <c r="M21" s="6" t="str">
        <f>IF(Table13[[#This Row],[Category]]="Transportation", "ton", "")</f>
        <v/>
      </c>
      <c r="N21" s="6"/>
      <c r="O21" s="6"/>
      <c r="P21" s="6" t="str">
        <f>IF(OR(Table13[[#This Row],[Type]]="Main Product", Table13[[#This Row],[Type]]="Co-Product"), Table13[[#This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IF(Table13[[#This Row],[Type]]="Co-product", "No", "")</f>
        <v/>
      </c>
      <c r="J22" s="25"/>
      <c r="K22" s="6"/>
      <c r="L22" s="6" t="str">
        <f>IF(Table13[[#This Row],[Category]]="Transportation", _xlfn.XLOOKUP(Table13[[#This Row],[Resource]], 'SI - Payload'!$A$10:$A$38,'SI - Payload'!$B$10:$B$38,"",0), "")</f>
        <v/>
      </c>
      <c r="M22" s="6" t="str">
        <f>IF(Table13[[#This Row],[Category]]="Transportation", "ton", "")</f>
        <v/>
      </c>
      <c r="N22" s="6"/>
      <c r="O22" s="6"/>
      <c r="P22" s="6" t="str">
        <f>IF(OR(Table13[[#This Row],[Type]]="Main Product", Table13[[#This Row],[Type]]="Co-Product"), Table13[[#This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IF(Table13[[#This Row],[Type]]="Co-product", "No", "")</f>
        <v/>
      </c>
      <c r="J23" s="25"/>
      <c r="K23" s="6"/>
      <c r="L23" s="6" t="str">
        <f>IF(Table13[[#This Row],[Category]]="Transportation", _xlfn.XLOOKUP(Table13[[#This Row],[Resource]], 'SI - Payload'!$A$10:$A$38,'SI - Payload'!$B$10:$B$38,"",0), "")</f>
        <v/>
      </c>
      <c r="M23" s="6" t="str">
        <f>IF(Table13[[#This Row],[Category]]="Transportation", "ton", "")</f>
        <v/>
      </c>
      <c r="N23" s="6"/>
      <c r="O23" s="6"/>
      <c r="P23" s="6" t="str">
        <f>IF(OR(Table13[[#This Row],[Type]]="Main Product", Table13[[#This Row],[Type]]="Co-Product"), Table13[[#This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IF(Table13[[#This Row],[Type]]="Co-product", "No", "")</f>
        <v/>
      </c>
      <c r="J24" s="25"/>
      <c r="K24" s="6"/>
      <c r="L24" s="6" t="str">
        <f>IF(Table13[[#This Row],[Category]]="Transportation", _xlfn.XLOOKUP(Table13[[#This Row],[Resource]], 'SI - Payload'!$A$10:$A$38,'SI - Payload'!$B$10:$B$38,"",0), "")</f>
        <v/>
      </c>
      <c r="M24" s="6" t="str">
        <f>IF(Table13[[#This Row],[Category]]="Transportation", "ton", "")</f>
        <v/>
      </c>
      <c r="N24" s="6"/>
      <c r="O24" s="6"/>
      <c r="P24" s="6" t="str">
        <f>IF(OR(Table13[[#This Row],[Type]]="Main Product", Table13[[#This Row],[Type]]="Co-Product"), Table13[[#This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IF(Table13[[#This Row],[Type]]="Co-product", "No", "")</f>
        <v/>
      </c>
      <c r="J25" s="25"/>
      <c r="K25" s="6"/>
      <c r="L25" s="6" t="str">
        <f>IF(Table13[[#This Row],[Category]]="Transportation", _xlfn.XLOOKUP(Table13[[#This Row],[Resource]], 'SI - Payload'!$A$10:$A$38,'SI - Payload'!$B$10:$B$38,"",0), "")</f>
        <v/>
      </c>
      <c r="M25" s="6" t="str">
        <f>IF(Table13[[#This Row],[Category]]="Transportation", "ton", "")</f>
        <v/>
      </c>
      <c r="N25" s="6"/>
      <c r="O25" s="6"/>
      <c r="P25" s="6" t="str">
        <f>IF(OR(Table13[[#This Row],[Type]]="Main Product", Table13[[#This Row],[Type]]="Co-Product"), Table13[[#This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IF(Table13[[#This Row],[Type]]="Co-product", "No", "")</f>
        <v/>
      </c>
      <c r="J26" s="25"/>
      <c r="K26" s="6"/>
      <c r="L26" s="6" t="str">
        <f>IF(Table13[[#This Row],[Category]]="Transportation", _xlfn.XLOOKUP(Table13[[#This Row],[Resource]], 'SI - Payload'!$A$10:$A$38,'SI - Payload'!$B$10:$B$38,"",0), "")</f>
        <v/>
      </c>
      <c r="M26" s="6" t="str">
        <f>IF(Table13[[#This Row],[Category]]="Transportation", "ton", "")</f>
        <v/>
      </c>
      <c r="N26" s="6"/>
      <c r="O26" s="6"/>
      <c r="P26" s="6" t="str">
        <f>IF(OR(Table13[[#This Row],[Type]]="Main Product", Table13[[#This Row],[Type]]="Co-Product"), Table13[[#This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IF(Table13[[#This Row],[Type]]="Co-product", "No", "")</f>
        <v/>
      </c>
      <c r="J27" s="25"/>
      <c r="K27" s="6"/>
      <c r="L27" s="6" t="str">
        <f>IF(Table13[[#This Row],[Category]]="Transportation", _xlfn.XLOOKUP(Table13[[#This Row],[Resource]], 'SI - Payload'!$A$10:$A$38,'SI - Payload'!$B$10:$B$38,"",0), "")</f>
        <v/>
      </c>
      <c r="M27" s="6" t="str">
        <f>IF(Table13[[#This Row],[Category]]="Transportation", "ton", "")</f>
        <v/>
      </c>
      <c r="N27" s="6"/>
      <c r="O27" s="6"/>
      <c r="P27" s="6" t="str">
        <f>IF(OR(Table13[[#This Row],[Type]]="Main Product", Table13[[#This Row],[Type]]="Co-Product"), Table13[[#This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IF(Table13[[#This Row],[Type]]="Co-product", "No", "")</f>
        <v/>
      </c>
      <c r="J28" s="25"/>
      <c r="K28" s="6"/>
      <c r="L28" s="6" t="str">
        <f>IF(Table13[[#This Row],[Category]]="Transportation", _xlfn.XLOOKUP(Table13[[#This Row],[Resource]], 'SI - Payload'!$A$10:$A$38,'SI - Payload'!$B$10:$B$38,"",0), "")</f>
        <v/>
      </c>
      <c r="M28" s="6" t="str">
        <f>IF(Table13[[#This Row],[Category]]="Transportation", "ton", "")</f>
        <v/>
      </c>
      <c r="N28" s="6"/>
      <c r="O28" s="6"/>
      <c r="P28" s="6" t="str">
        <f>IF(OR(Table13[[#This Row],[Type]]="Main Product", Table13[[#This Row],[Type]]="Co-Product"), Table13[[#This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IF(Table13[[#This Row],[Type]]="Co-product", "No", "")</f>
        <v/>
      </c>
      <c r="J29" s="25"/>
      <c r="K29" s="6"/>
      <c r="L29" s="6" t="str">
        <f>IF(Table13[[#This Row],[Category]]="Transportation", _xlfn.XLOOKUP(Table13[[#This Row],[Resource]], 'SI - Payload'!$A$10:$A$38,'SI - Payload'!$B$10:$B$38,"",0), "")</f>
        <v/>
      </c>
      <c r="M29" s="6" t="str">
        <f>IF(Table13[[#This Row],[Category]]="Transportation", "ton", "")</f>
        <v/>
      </c>
      <c r="N29" s="6"/>
      <c r="O29" s="6"/>
      <c r="P29" s="6" t="str">
        <f>IF(OR(Table13[[#This Row],[Type]]="Main Product", Table13[[#This Row],[Type]]="Co-Product"), Table13[[#This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IF(Table13[[#This Row],[Type]]="Co-product", "No", "")</f>
        <v/>
      </c>
      <c r="J30" s="25"/>
      <c r="K30" s="6"/>
      <c r="L30" s="6" t="str">
        <f>IF(Table13[[#This Row],[Category]]="Transportation", _xlfn.XLOOKUP(Table13[[#This Row],[Resource]], 'SI - Payload'!$A$10:$A$38,'SI - Payload'!$B$10:$B$38,"",0), "")</f>
        <v/>
      </c>
      <c r="M30" s="6" t="str">
        <f>IF(Table13[[#This Row],[Category]]="Transportation", "ton", "")</f>
        <v/>
      </c>
      <c r="N30" s="6"/>
      <c r="O30" s="6"/>
      <c r="P30" s="6" t="str">
        <f>IF(OR(Table13[[#This Row],[Type]]="Main Product", Table13[[#This Row],[Type]]="Co-Product"), Table13[[#This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IF(Table13[[#This Row],[Type]]="Co-product", "No", "")</f>
        <v/>
      </c>
      <c r="J31" s="25"/>
      <c r="K31" s="6"/>
      <c r="L31" s="6" t="str">
        <f>IF(Table13[[#This Row],[Category]]="Transportation", _xlfn.XLOOKUP(Table13[[#This Row],[Resource]], 'SI - Payload'!$A$10:$A$38,'SI - Payload'!$B$10:$B$38,"",0), "")</f>
        <v/>
      </c>
      <c r="M31" s="6" t="str">
        <f>IF(Table13[[#This Row],[Category]]="Transportation", "ton", "")</f>
        <v/>
      </c>
      <c r="N31" s="6"/>
      <c r="O31" s="6"/>
      <c r="P31" s="6" t="str">
        <f>IF(OR(Table13[[#This Row],[Type]]="Main Product", Table13[[#This Row],[Type]]="Co-Product"), Table13[[#This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IF(Table13[[#This Row],[Type]]="Co-product", "No", "")</f>
        <v/>
      </c>
      <c r="J32" s="25"/>
      <c r="K32" s="6"/>
      <c r="L32" s="6" t="str">
        <f>IF(Table13[[#This Row],[Category]]="Transportation", _xlfn.XLOOKUP(Table13[[#This Row],[Resource]], 'SI - Payload'!$A$10:$A$38,'SI - Payload'!$B$10:$B$38,"",0), "")</f>
        <v/>
      </c>
      <c r="M32" s="6" t="str">
        <f>IF(Table13[[#This Row],[Category]]="Transportation", "ton", "")</f>
        <v/>
      </c>
      <c r="N32" s="6"/>
      <c r="O32" s="6"/>
      <c r="P32" s="6" t="str">
        <f>IF(OR(Table13[[#This Row],[Type]]="Main Product", Table13[[#This Row],[Type]]="Co-Product"), Table13[[#This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IF(Table13[[#This Row],[Type]]="Co-product", "No", "")</f>
        <v/>
      </c>
      <c r="J33" s="25"/>
      <c r="K33" s="6"/>
      <c r="L33" s="6" t="str">
        <f>IF(Table13[[#This Row],[Category]]="Transportation", _xlfn.XLOOKUP(Table13[[#This Row],[Resource]], 'SI - Payload'!$A$10:$A$38,'SI - Payload'!$B$10:$B$38,"",0), "")</f>
        <v/>
      </c>
      <c r="M33" s="6" t="str">
        <f>IF(Table13[[#This Row],[Category]]="Transportation", "ton", "")</f>
        <v/>
      </c>
      <c r="N33" s="6"/>
      <c r="O33" s="6"/>
      <c r="P33" s="6" t="str">
        <f>IF(OR(Table13[[#This Row],[Type]]="Main Product", Table13[[#This Row],[Type]]="Co-Product"), Table13[[#This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IF(Table13[[#This Row],[Type]]="Co-product", "No", "")</f>
        <v/>
      </c>
      <c r="J34" s="25"/>
      <c r="K34" s="6"/>
      <c r="L34" s="6" t="str">
        <f>IF(Table13[[#This Row],[Category]]="Transportation", _xlfn.XLOOKUP(Table13[[#This Row],[Resource]], 'SI - Payload'!$A$10:$A$38,'SI - Payload'!$B$10:$B$38,"",0), "")</f>
        <v/>
      </c>
      <c r="M34" s="6" t="str">
        <f>IF(Table13[[#This Row],[Category]]="Transportation", "ton", "")</f>
        <v/>
      </c>
      <c r="N34" s="6"/>
      <c r="O34" s="6"/>
      <c r="P34" s="6" t="str">
        <f>IF(OR(Table13[[#This Row],[Type]]="Main Product", Table13[[#This Row],[Type]]="Co-Product"), Table13[[#This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IF(Table13[[#This Row],[Type]]="Co-product", "No", "")</f>
        <v/>
      </c>
      <c r="J35" s="25"/>
      <c r="K35" s="6"/>
      <c r="L35" s="6" t="str">
        <f>IF(Table13[[#This Row],[Category]]="Transportation", _xlfn.XLOOKUP(Table13[[#This Row],[Resource]], 'SI - Payload'!$A$10:$A$38,'SI - Payload'!$B$10:$B$38,"",0), "")</f>
        <v/>
      </c>
      <c r="M35" s="6" t="str">
        <f>IF(Table13[[#This Row],[Category]]="Transportation", "ton", "")</f>
        <v/>
      </c>
      <c r="N35" s="6"/>
      <c r="O35" s="6"/>
      <c r="P35" s="6" t="str">
        <f>IF(OR(Table13[[#This Row],[Type]]="Main Product", Table13[[#This Row],[Type]]="Co-Product"), Table13[[#This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IF(Table13[[#This Row],[Type]]="Co-product", "No", "")</f>
        <v/>
      </c>
      <c r="J36" s="25"/>
      <c r="K36" s="6"/>
      <c r="L36" s="6" t="str">
        <f>IF(Table13[[#This Row],[Category]]="Transportation", _xlfn.XLOOKUP(Table13[[#This Row],[Resource]], 'SI - Payload'!$A$10:$A$38,'SI - Payload'!$B$10:$B$38,"",0), "")</f>
        <v/>
      </c>
      <c r="M36" s="6" t="str">
        <f>IF(Table13[[#This Row],[Category]]="Transportation", "ton", "")</f>
        <v/>
      </c>
      <c r="N36" s="6"/>
      <c r="O36" s="6"/>
      <c r="P36" s="6" t="str">
        <f>IF(OR(Table13[[#This Row],[Type]]="Main Product", Table13[[#This Row],[Type]]="Co-Product"), Table13[[#This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IF(Table13[[#This Row],[Type]]="Co-product", "No", "")</f>
        <v/>
      </c>
      <c r="J37" s="25"/>
      <c r="K37" s="6"/>
      <c r="L37" s="6" t="str">
        <f>IF(Table13[[#This Row],[Category]]="Transportation", _xlfn.XLOOKUP(Table13[[#This Row],[Resource]], 'SI - Payload'!$A$10:$A$38,'SI - Payload'!$B$10:$B$38,"",0), "")</f>
        <v/>
      </c>
      <c r="M37" s="6" t="str">
        <f>IF(Table13[[#This Row],[Category]]="Transportation", "ton", "")</f>
        <v/>
      </c>
      <c r="N37" s="6"/>
      <c r="O37" s="6"/>
      <c r="P37" s="6" t="str">
        <f>IF(OR(Table13[[#This Row],[Type]]="Main Product", Table13[[#This Row],[Type]]="Co-Product"), Table13[[#This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IF(Table13[[#This Row],[Type]]="Co-product", "No", "")</f>
        <v/>
      </c>
      <c r="J38" s="25"/>
      <c r="K38" s="6"/>
      <c r="L38" s="6" t="str">
        <f>IF(Table13[[#This Row],[Category]]="Transportation", _xlfn.XLOOKUP(Table13[[#This Row],[Resource]], 'SI - Payload'!$A$10:$A$38,'SI - Payload'!$B$10:$B$38,"",0), "")</f>
        <v/>
      </c>
      <c r="M38" s="6" t="str">
        <f>IF(Table13[[#This Row],[Category]]="Transportation", "ton", "")</f>
        <v/>
      </c>
      <c r="N38" s="6"/>
      <c r="O38" s="6"/>
      <c r="P38" s="6" t="str">
        <f>IF(OR(Table13[[#This Row],[Type]]="Main Product", Table13[[#This Row],[Type]]="Co-Product"), Table13[[#This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IF(Table13[[#This Row],[Type]]="Co-product", "No", "")</f>
        <v/>
      </c>
      <c r="J39" s="25"/>
      <c r="K39" s="6"/>
      <c r="L39" s="6" t="str">
        <f>IF(Table13[[#This Row],[Category]]="Transportation", _xlfn.XLOOKUP(Table13[[#This Row],[Resource]], 'SI - Payload'!$A$10:$A$38,'SI - Payload'!$B$10:$B$38,"",0), "")</f>
        <v/>
      </c>
      <c r="M39" s="6" t="str">
        <f>IF(Table13[[#This Row],[Category]]="Transportation", "ton", "")</f>
        <v/>
      </c>
      <c r="N39" s="6"/>
      <c r="O39" s="6"/>
      <c r="P39" s="6" t="str">
        <f>IF(OR(Table13[[#This Row],[Type]]="Main Product", Table13[[#This Row],[Type]]="Co-Product"), Table13[[#This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IF(Table13[[#This Row],[Type]]="Co-product", "No", "")</f>
        <v/>
      </c>
      <c r="J40" s="25"/>
      <c r="K40" s="6"/>
      <c r="L40" s="6" t="str">
        <f>IF(Table13[[#This Row],[Category]]="Transportation", _xlfn.XLOOKUP(Table13[[#This Row],[Resource]], 'SI - Payload'!$A$10:$A$38,'SI - Payload'!$B$10:$B$38,"",0), "")</f>
        <v/>
      </c>
      <c r="M40" s="6" t="str">
        <f>IF(Table13[[#This Row],[Category]]="Transportation", "ton", "")</f>
        <v/>
      </c>
      <c r="N40" s="6"/>
      <c r="O40" s="6"/>
      <c r="P40" s="6" t="str">
        <f>IF(OR(Table13[[#This Row],[Type]]="Main Product", Table13[[#This Row],[Type]]="Co-Product"), Table13[[#This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IF(Table13[[#This Row],[Type]]="Co-product", "No", "")</f>
        <v/>
      </c>
      <c r="J41" s="25"/>
      <c r="K41" s="6"/>
      <c r="L41" s="6" t="str">
        <f>IF(Table13[[#This Row],[Category]]="Transportation", _xlfn.XLOOKUP(Table13[[#This Row],[Resource]], 'SI - Payload'!$A$10:$A$38,'SI - Payload'!$B$10:$B$38,"",0), "")</f>
        <v/>
      </c>
      <c r="M41" s="6" t="str">
        <f>IF(Table13[[#This Row],[Category]]="Transportation", "ton", "")</f>
        <v/>
      </c>
      <c r="N41" s="6"/>
      <c r="O41" s="6"/>
      <c r="P41" s="6" t="str">
        <f>IF(OR(Table13[[#This Row],[Type]]="Main Product", Table13[[#This Row],[Type]]="Co-Product"), Table13[[#This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IF(Table13[[#This Row],[Type]]="Co-product", "No", "")</f>
        <v/>
      </c>
      <c r="J42" s="25"/>
      <c r="K42" s="6"/>
      <c r="L42" s="6" t="str">
        <f>IF(Table13[[#This Row],[Category]]="Transportation", _xlfn.XLOOKUP(Table13[[#This Row],[Resource]], 'SI - Payload'!$A$10:$A$38,'SI - Payload'!$B$10:$B$38,"",0), "")</f>
        <v/>
      </c>
      <c r="M42" s="6" t="str">
        <f>IF(Table13[[#This Row],[Category]]="Transportation", "ton", "")</f>
        <v/>
      </c>
      <c r="N42" s="6"/>
      <c r="O42" s="6"/>
      <c r="P42" s="6" t="str">
        <f>IF(OR(Table13[[#This Row],[Type]]="Main Product", Table13[[#This Row],[Type]]="Co-Product"), Table13[[#This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IF(Table13[[#This Row],[Type]]="Co-product", "No", "")</f>
        <v/>
      </c>
      <c r="J43" s="25"/>
      <c r="K43" s="6"/>
      <c r="L43" s="6" t="str">
        <f>IF(Table13[[#This Row],[Category]]="Transportation", _xlfn.XLOOKUP(Table13[[#This Row],[Resource]], 'SI - Payload'!$A$10:$A$38,'SI - Payload'!$B$10:$B$38,"",0), "")</f>
        <v/>
      </c>
      <c r="M43" s="6" t="str">
        <f>IF(Table13[[#This Row],[Category]]="Transportation", "ton", "")</f>
        <v/>
      </c>
      <c r="N43" s="6"/>
      <c r="O43" s="6"/>
      <c r="P43" s="6" t="str">
        <f>IF(OR(Table13[[#This Row],[Type]]="Main Product", Table13[[#This Row],[Type]]="Co-Product"), Table13[[#This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IF(Table13[[#This Row],[Type]]="Co-product", "No", "")</f>
        <v/>
      </c>
      <c r="J44" s="25"/>
      <c r="K44" s="6"/>
      <c r="L44" s="6" t="str">
        <f>IF(Table13[[#This Row],[Category]]="Transportation", _xlfn.XLOOKUP(Table13[[#This Row],[Resource]], 'SI - Payload'!$A$10:$A$38,'SI - Payload'!$B$10:$B$38,"",0), "")</f>
        <v/>
      </c>
      <c r="M44" s="6" t="str">
        <f>IF(Table13[[#This Row],[Category]]="Transportation", "ton", "")</f>
        <v/>
      </c>
      <c r="N44" s="6"/>
      <c r="O44" s="6"/>
      <c r="P44" s="6" t="str">
        <f>IF(OR(Table13[[#This Row],[Type]]="Main Product", Table13[[#This Row],[Type]]="Co-Product"), Table13[[#This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IF(Table13[[#This Row],[Type]]="Co-product", "No", "")</f>
        <v/>
      </c>
      <c r="J45" s="25"/>
      <c r="K45" s="6"/>
      <c r="L45" s="6" t="str">
        <f>IF(Table13[[#This Row],[Category]]="Transportation", _xlfn.XLOOKUP(Table13[[#This Row],[Resource]], 'SI - Payload'!$A$10:$A$38,'SI - Payload'!$B$10:$B$38,"",0), "")</f>
        <v/>
      </c>
      <c r="M45" s="6" t="str">
        <f>IF(Table13[[#This Row],[Category]]="Transportation", "ton", "")</f>
        <v/>
      </c>
      <c r="N45" s="6"/>
      <c r="O45" s="6"/>
      <c r="P45" s="6" t="str">
        <f>IF(OR(Table13[[#This Row],[Type]]="Main Product", Table13[[#This Row],[Type]]="Co-Product"), Table13[[#This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IF(Table13[[#This Row],[Type]]="Co-product", "No", "")</f>
        <v/>
      </c>
      <c r="J46" s="25"/>
      <c r="K46" s="6"/>
      <c r="L46" s="6" t="str">
        <f>IF(Table13[[#This Row],[Category]]="Transportation", _xlfn.XLOOKUP(Table13[[#This Row],[Resource]], 'SI - Payload'!$A$10:$A$38,'SI - Payload'!$B$10:$B$38,"",0), "")</f>
        <v/>
      </c>
      <c r="M46" s="6" t="str">
        <f>IF(Table13[[#This Row],[Category]]="Transportation", "ton", "")</f>
        <v/>
      </c>
      <c r="N46" s="6"/>
      <c r="O46" s="6"/>
      <c r="P46" s="6" t="str">
        <f>IF(OR(Table13[[#This Row],[Type]]="Main Product", Table13[[#This Row],[Type]]="Co-Product"), Table13[[#This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IF(Table13[[#This Row],[Type]]="Co-product", "No", "")</f>
        <v/>
      </c>
      <c r="J47" s="25"/>
      <c r="K47" s="6"/>
      <c r="L47" s="6" t="str">
        <f>IF(Table13[[#This Row],[Category]]="Transportation", _xlfn.XLOOKUP(Table13[[#This Row],[Resource]], 'SI - Payload'!$A$10:$A$38,'SI - Payload'!$B$10:$B$38,"",0), "")</f>
        <v/>
      </c>
      <c r="M47" s="6" t="str">
        <f>IF(Table13[[#This Row],[Category]]="Transportation", "ton", "")</f>
        <v/>
      </c>
      <c r="N47" s="6"/>
      <c r="O47" s="6"/>
      <c r="P47" s="6" t="str">
        <f>IF(OR(Table13[[#This Row],[Type]]="Main Product", Table13[[#This Row],[Type]]="Co-Product"), Table13[[#This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IF(Table13[[#This Row],[Type]]="Co-product", "No", "")</f>
        <v/>
      </c>
      <c r="J48" s="25"/>
      <c r="K48" s="6"/>
      <c r="L48" s="6" t="str">
        <f>IF(Table13[[#This Row],[Category]]="Transportation", _xlfn.XLOOKUP(Table13[[#This Row],[Resource]], 'SI - Payload'!$A$10:$A$38,'SI - Payload'!$B$10:$B$38,"",0), "")</f>
        <v/>
      </c>
      <c r="M48" s="6" t="str">
        <f>IF(Table13[[#This Row],[Category]]="Transportation", "ton", "")</f>
        <v/>
      </c>
      <c r="N48" s="6"/>
      <c r="O48" s="6"/>
      <c r="P48" s="6" t="str">
        <f>IF(OR(Table13[[#This Row],[Type]]="Main Product", Table13[[#This Row],[Type]]="Co-Product"), Table13[[#This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IF(Table13[[#This Row],[Type]]="Co-product", "No", "")</f>
        <v/>
      </c>
      <c r="J49" s="25"/>
      <c r="K49" s="6"/>
      <c r="L49" s="6" t="str">
        <f>IF(Table13[[#This Row],[Category]]="Transportation", _xlfn.XLOOKUP(Table13[[#This Row],[Resource]], 'SI - Payload'!$A$10:$A$38,'SI - Payload'!$B$10:$B$38,"",0), "")</f>
        <v/>
      </c>
      <c r="M49" s="6" t="str">
        <f>IF(Table13[[#This Row],[Category]]="Transportation", "ton", "")</f>
        <v/>
      </c>
      <c r="N49" s="6"/>
      <c r="O49" s="6"/>
      <c r="P49" s="6" t="str">
        <f>IF(OR(Table13[[#This Row],[Type]]="Main Product", Table13[[#This Row],[Type]]="Co-Product"), Table13[[#This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IF(Table13[[#This Row],[Type]]="Co-product", "No", "")</f>
        <v/>
      </c>
      <c r="J50" s="25"/>
      <c r="K50" s="6"/>
      <c r="L50" s="6" t="str">
        <f>IF(Table13[[#This Row],[Category]]="Transportation", _xlfn.XLOOKUP(Table13[[#This Row],[Resource]], 'SI - Payload'!$A$10:$A$38,'SI - Payload'!$B$10:$B$38,"",0), "")</f>
        <v/>
      </c>
      <c r="M50" s="6" t="str">
        <f>IF(Table13[[#This Row],[Category]]="Transportation", "ton", "")</f>
        <v/>
      </c>
      <c r="N50" s="6"/>
      <c r="O50" s="6"/>
      <c r="P50" s="6" t="str">
        <f>IF(OR(Table13[[#This Row],[Type]]="Main Product", Table13[[#This Row],[Type]]="Co-Product"), Table13[[#This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IF(Table13[[#This Row],[Type]]="Co-product", "No", "")</f>
        <v/>
      </c>
      <c r="J51" s="25"/>
      <c r="K51" s="6"/>
      <c r="L51" s="6" t="str">
        <f>IF(Table13[[#This Row],[Category]]="Transportation", _xlfn.XLOOKUP(Table13[[#This Row],[Resource]], 'SI - Payload'!$A$10:$A$38,'SI - Payload'!$B$10:$B$38,"",0), "")</f>
        <v/>
      </c>
      <c r="M51" s="6" t="str">
        <f>IF(Table13[[#This Row],[Category]]="Transportation", "ton", "")</f>
        <v/>
      </c>
      <c r="N51" s="6"/>
      <c r="O51" s="6"/>
      <c r="P51" s="6" t="str">
        <f>IF(OR(Table13[[#This Row],[Type]]="Main Product", Table13[[#This Row],[Type]]="Co-Product"), Table13[[#This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IF(Table13[[#This Row],[Type]]="Co-product", "No", "")</f>
        <v/>
      </c>
      <c r="J52" s="25"/>
      <c r="K52" s="6"/>
      <c r="L52" s="6" t="str">
        <f>IF(Table13[[#This Row],[Category]]="Transportation", _xlfn.XLOOKUP(Table13[[#This Row],[Resource]], 'SI - Payload'!$A$10:$A$38,'SI - Payload'!$B$10:$B$38,"",0), "")</f>
        <v/>
      </c>
      <c r="M52" s="6" t="str">
        <f>IF(Table13[[#This Row],[Category]]="Transportation", "ton", "")</f>
        <v/>
      </c>
      <c r="N52" s="6"/>
      <c r="O52" s="6"/>
      <c r="P52" s="6" t="str">
        <f>IF(OR(Table13[[#This Row],[Type]]="Main Product", Table13[[#This Row],[Type]]="Co-Product"), Table13[[#This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IF(Table13[[#This Row],[Type]]="Co-product", "No", "")</f>
        <v/>
      </c>
      <c r="J53" s="25"/>
      <c r="K53" s="6"/>
      <c r="L53" s="6" t="str">
        <f>IF(Table13[[#This Row],[Category]]="Transportation", _xlfn.XLOOKUP(Table13[[#This Row],[Resource]], 'SI - Payload'!$A$10:$A$38,'SI - Payload'!$B$10:$B$38,"",0), "")</f>
        <v/>
      </c>
      <c r="M53" s="6" t="str">
        <f>IF(Table13[[#This Row],[Category]]="Transportation", "ton", "")</f>
        <v/>
      </c>
      <c r="N53" s="6"/>
      <c r="O53" s="6"/>
      <c r="P53" s="6" t="str">
        <f>IF(OR(Table13[[#This Row],[Type]]="Main Product", Table13[[#This Row],[Type]]="Co-Product"), Table13[[#This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IF(Table13[[#This Row],[Type]]="Co-product", "No", "")</f>
        <v/>
      </c>
      <c r="J54" s="25"/>
      <c r="K54" s="6"/>
      <c r="L54" s="6" t="str">
        <f>IF(Table13[[#This Row],[Category]]="Transportation", _xlfn.XLOOKUP(Table13[[#This Row],[Resource]], 'SI - Payload'!$A$10:$A$38,'SI - Payload'!$B$10:$B$38,"",0), "")</f>
        <v/>
      </c>
      <c r="M54" s="6" t="str">
        <f>IF(Table13[[#This Row],[Category]]="Transportation", "ton", "")</f>
        <v/>
      </c>
      <c r="N54" s="6"/>
      <c r="O54" s="6"/>
      <c r="P54" s="6" t="str">
        <f>IF(OR(Table13[[#This Row],[Type]]="Main Product", Table13[[#This Row],[Type]]="Co-Product"), Table13[[#This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IF(Table13[[#This Row],[Type]]="Co-product", "No", "")</f>
        <v/>
      </c>
      <c r="J55" s="25"/>
      <c r="K55" s="6"/>
      <c r="L55" s="6" t="str">
        <f>IF(Table13[[#This Row],[Category]]="Transportation", _xlfn.XLOOKUP(Table13[[#This Row],[Resource]], 'SI - Payload'!$A$10:$A$38,'SI - Payload'!$B$10:$B$38,"",0), "")</f>
        <v/>
      </c>
      <c r="M55" s="6" t="str">
        <f>IF(Table13[[#This Row],[Category]]="Transportation", "ton", "")</f>
        <v/>
      </c>
      <c r="N55" s="6"/>
      <c r="O55" s="6"/>
      <c r="P55" s="6" t="str">
        <f>IF(OR(Table13[[#This Row],[Type]]="Main Product", Table13[[#This Row],[Type]]="Co-Product"), Table13[[#This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IF(Table13[[#This Row],[Type]]="Co-product", "No", "")</f>
        <v/>
      </c>
      <c r="J56" s="25"/>
      <c r="K56" s="6"/>
      <c r="L56" s="6" t="str">
        <f>IF(Table13[[#This Row],[Category]]="Transportation", _xlfn.XLOOKUP(Table13[[#This Row],[Resource]], 'SI - Payload'!$A$10:$A$38,'SI - Payload'!$B$10:$B$38,"",0), "")</f>
        <v/>
      </c>
      <c r="M56" s="6" t="str">
        <f>IF(Table13[[#This Row],[Category]]="Transportation", "ton", "")</f>
        <v/>
      </c>
      <c r="N56" s="6"/>
      <c r="O56" s="6"/>
      <c r="P56" s="6" t="str">
        <f>IF(OR(Table13[[#This Row],[Type]]="Main Product", Table13[[#This Row],[Type]]="Co-Product"), Table13[[#This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IF(Table13[[#This Row],[Type]]="Co-product", "No", "")</f>
        <v/>
      </c>
      <c r="J57" s="25"/>
      <c r="K57" s="6"/>
      <c r="L57" s="6" t="str">
        <f>IF(Table13[[#This Row],[Category]]="Transportation", _xlfn.XLOOKUP(Table13[[#This Row],[Resource]], 'SI - Payload'!$A$10:$A$38,'SI - Payload'!$B$10:$B$38,"",0), "")</f>
        <v/>
      </c>
      <c r="M57" s="6" t="str">
        <f>IF(Table13[[#This Row],[Category]]="Transportation", "ton", "")</f>
        <v/>
      </c>
      <c r="N57" s="6"/>
      <c r="O57" s="6"/>
      <c r="P57" s="6" t="str">
        <f>IF(OR(Table13[[#This Row],[Type]]="Main Product", Table13[[#This Row],[Type]]="Co-Product"), Table13[[#This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IF(Table13[[#This Row],[Type]]="Co-product", "No", "")</f>
        <v/>
      </c>
      <c r="J58" s="25"/>
      <c r="K58" s="6"/>
      <c r="L58" s="6" t="str">
        <f>IF(Table13[[#This Row],[Category]]="Transportation", _xlfn.XLOOKUP(Table13[[#This Row],[Resource]], 'SI - Payload'!$A$10:$A$38,'SI - Payload'!$B$10:$B$38,"",0), "")</f>
        <v/>
      </c>
      <c r="M58" s="6" t="str">
        <f>IF(Table13[[#This Row],[Category]]="Transportation", "ton", "")</f>
        <v/>
      </c>
      <c r="N58" s="6"/>
      <c r="O58" s="6"/>
      <c r="P58" s="6" t="str">
        <f>IF(OR(Table13[[#This Row],[Type]]="Main Product", Table13[[#This Row],[Type]]="Co-Product"), Table13[[#This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IF(Table13[[#This Row],[Type]]="Co-product", "No", "")</f>
        <v/>
      </c>
      <c r="J59" s="25"/>
      <c r="K59" s="6"/>
      <c r="L59" s="6" t="str">
        <f>IF(Table13[[#This Row],[Category]]="Transportation", _xlfn.XLOOKUP(Table13[[#This Row],[Resource]], 'SI - Payload'!$A$10:$A$38,'SI - Payload'!$B$10:$B$38,"",0), "")</f>
        <v/>
      </c>
      <c r="M59" s="6" t="str">
        <f>IF(Table13[[#This Row],[Category]]="Transportation", "ton", "")</f>
        <v/>
      </c>
      <c r="N59" s="6"/>
      <c r="O59" s="6"/>
      <c r="P59" s="6" t="str">
        <f>IF(OR(Table13[[#This Row],[Type]]="Main Product", Table13[[#This Row],[Type]]="Co-Product"), Table13[[#This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IF(Table13[[#This Row],[Type]]="Co-product", "No", "")</f>
        <v/>
      </c>
      <c r="J60" s="25"/>
      <c r="K60" s="6"/>
      <c r="L60" s="6" t="str">
        <f>IF(Table13[[#This Row],[Category]]="Transportation", _xlfn.XLOOKUP(Table13[[#This Row],[Resource]], 'SI - Payload'!$A$10:$A$38,'SI - Payload'!$B$10:$B$38,"",0), "")</f>
        <v/>
      </c>
      <c r="M60" s="6" t="str">
        <f>IF(Table13[[#This Row],[Category]]="Transportation", "ton", "")</f>
        <v/>
      </c>
      <c r="N60" s="6"/>
      <c r="O60" s="6"/>
      <c r="P60" s="6" t="str">
        <f>IF(OR(Table13[[#This Row],[Type]]="Main Product", Table13[[#This Row],[Type]]="Co-Product"), Table13[[#This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IF(Table13[[#This Row],[Type]]="Co-product", "No", "")</f>
        <v/>
      </c>
      <c r="J61" s="25"/>
      <c r="K61" s="6"/>
      <c r="L61" s="6" t="str">
        <f>IF(Table13[[#This Row],[Category]]="Transportation", _xlfn.XLOOKUP(Table13[[#This Row],[Resource]], 'SI - Payload'!$A$10:$A$38,'SI - Payload'!$B$10:$B$38,"",0), "")</f>
        <v/>
      </c>
      <c r="M61" s="6" t="str">
        <f>IF(Table13[[#This Row],[Category]]="Transportation", "ton", "")</f>
        <v/>
      </c>
      <c r="N61" s="6"/>
      <c r="O61" s="6"/>
      <c r="P61" s="6" t="str">
        <f>IF(OR(Table13[[#This Row],[Type]]="Main Product", Table13[[#This Row],[Type]]="Co-Product"), Table13[[#This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IF(Table13[[#This Row],[Type]]="Co-product", "No", "")</f>
        <v/>
      </c>
      <c r="J62" s="25"/>
      <c r="K62" s="6"/>
      <c r="L62" s="6" t="str">
        <f>IF(Table13[[#This Row],[Category]]="Transportation", _xlfn.XLOOKUP(Table13[[#This Row],[Resource]], 'SI - Payload'!$A$10:$A$38,'SI - Payload'!$B$10:$B$38,"",0), "")</f>
        <v/>
      </c>
      <c r="M62" s="6" t="str">
        <f>IF(Table13[[#This Row],[Category]]="Transportation", "ton", "")</f>
        <v/>
      </c>
      <c r="N62" s="6"/>
      <c r="O62" s="6"/>
      <c r="P62" s="6" t="str">
        <f>IF(OR(Table13[[#This Row],[Type]]="Main Product", Table13[[#This Row],[Type]]="Co-Product"), Table13[[#This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IF(Table13[[#This Row],[Type]]="Co-product", "No", "")</f>
        <v/>
      </c>
      <c r="J63" s="25"/>
      <c r="K63" s="6"/>
      <c r="L63" s="6" t="str">
        <f>IF(Table13[[#This Row],[Category]]="Transportation", _xlfn.XLOOKUP(Table13[[#This Row],[Resource]], 'SI - Payload'!$A$10:$A$38,'SI - Payload'!$B$10:$B$38,"",0), "")</f>
        <v/>
      </c>
      <c r="M63" s="6" t="str">
        <f>IF(Table13[[#This Row],[Category]]="Transportation", "ton", "")</f>
        <v/>
      </c>
      <c r="N63" s="6"/>
      <c r="O63" s="6"/>
      <c r="P63" s="6" t="str">
        <f>IF(OR(Table13[[#This Row],[Type]]="Main Product", Table13[[#This Row],[Type]]="Co-Product"), Table13[[#This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IF(Table13[[#This Row],[Type]]="Co-product", "No", "")</f>
        <v/>
      </c>
      <c r="J64" s="25"/>
      <c r="K64" s="6"/>
      <c r="L64" s="6" t="str">
        <f>IF(Table13[[#This Row],[Category]]="Transportation", _xlfn.XLOOKUP(Table13[[#This Row],[Resource]], 'SI - Payload'!$A$10:$A$38,'SI - Payload'!$B$10:$B$38,"",0), "")</f>
        <v/>
      </c>
      <c r="M64" s="6" t="str">
        <f>IF(Table13[[#This Row],[Category]]="Transportation", "ton", "")</f>
        <v/>
      </c>
      <c r="N64" s="6"/>
      <c r="O64" s="6"/>
      <c r="P64" s="6" t="str">
        <f>IF(OR(Table13[[#This Row],[Type]]="Main Product", Table13[[#This Row],[Type]]="Co-Product"), Table13[[#This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IF(Table13[[#This Row],[Type]]="Co-product", "No", "")</f>
        <v/>
      </c>
      <c r="J65" s="25"/>
      <c r="K65" s="6"/>
      <c r="L65" s="6" t="str">
        <f>IF(Table13[[#This Row],[Category]]="Transportation", _xlfn.XLOOKUP(Table13[[#This Row],[Resource]], 'SI - Payload'!$A$10:$A$38,'SI - Payload'!$B$10:$B$38,"",0), "")</f>
        <v/>
      </c>
      <c r="M65" s="6" t="str">
        <f>IF(Table13[[#This Row],[Category]]="Transportation", "ton", "")</f>
        <v/>
      </c>
      <c r="N65" s="6"/>
      <c r="O65" s="6"/>
      <c r="P65" s="6" t="str">
        <f>IF(OR(Table13[[#This Row],[Type]]="Main Product", Table13[[#This Row],[Type]]="Co-Product"), Table13[[#This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IF(Table13[[#This Row],[Type]]="Co-product", "No", "")</f>
        <v/>
      </c>
      <c r="J66" s="25"/>
      <c r="K66" s="6"/>
      <c r="L66" s="6" t="str">
        <f>IF(Table13[[#This Row],[Category]]="Transportation", _xlfn.XLOOKUP(Table13[[#This Row],[Resource]], 'SI - Payload'!$A$10:$A$38,'SI - Payload'!$B$10:$B$38,"",0), "")</f>
        <v/>
      </c>
      <c r="M66" s="6" t="str">
        <f>IF(Table13[[#This Row],[Category]]="Transportation", "ton", "")</f>
        <v/>
      </c>
      <c r="N66" s="6"/>
      <c r="O66" s="6"/>
      <c r="P66" s="6" t="str">
        <f>IF(OR(Table13[[#This Row],[Type]]="Main Product", Table13[[#This Row],[Type]]="Co-Product"), Table13[[#This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IF(Table13[[#This Row],[Type]]="Co-product", "No", "")</f>
        <v/>
      </c>
      <c r="J67" s="25"/>
      <c r="K67" s="6"/>
      <c r="L67" s="6" t="str">
        <f>IF(Table13[[#This Row],[Category]]="Transportation", _xlfn.XLOOKUP(Table13[[#This Row],[Resource]], 'SI - Payload'!$A$10:$A$38,'SI - Payload'!$B$10:$B$38,"",0), "")</f>
        <v/>
      </c>
      <c r="M67" s="6" t="str">
        <f>IF(Table13[[#This Row],[Category]]="Transportation", "ton", "")</f>
        <v/>
      </c>
      <c r="N67" s="6"/>
      <c r="O67" s="6"/>
      <c r="P67" s="6" t="str">
        <f>IF(OR(Table13[[#This Row],[Type]]="Main Product", Table13[[#This Row],[Type]]="Co-Product"), Table13[[#This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IF(Table13[[#This Row],[Type]]="Co-product", "No", "")</f>
        <v/>
      </c>
      <c r="J68" s="25"/>
      <c r="K68" s="6"/>
      <c r="L68" s="6" t="str">
        <f>IF(Table13[[#This Row],[Category]]="Transportation", _xlfn.XLOOKUP(Table13[[#This Row],[Resource]], 'SI - Payload'!$A$10:$A$38,'SI - Payload'!$B$10:$B$38,"",0), "")</f>
        <v/>
      </c>
      <c r="M68" s="6" t="str">
        <f>IF(Table13[[#This Row],[Category]]="Transportation", "ton", "")</f>
        <v/>
      </c>
      <c r="N68" s="6"/>
      <c r="O68" s="6"/>
      <c r="P68" s="6" t="str">
        <f>IF(OR(Table13[[#This Row],[Type]]="Main Product", Table13[[#This Row],[Type]]="Co-Product"), Table13[[#This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IF(Table13[[#This Row],[Type]]="Co-product", "No", "")</f>
        <v/>
      </c>
      <c r="J69" s="25"/>
      <c r="K69" s="6"/>
      <c r="L69" s="6" t="str">
        <f>IF(Table13[[#This Row],[Category]]="Transportation", _xlfn.XLOOKUP(Table13[[#This Row],[Resource]], 'SI - Payload'!$A$10:$A$38,'SI - Payload'!$B$10:$B$38,"",0), "")</f>
        <v/>
      </c>
      <c r="M69" s="6" t="str">
        <f>IF(Table13[[#This Row],[Category]]="Transportation", "ton", "")</f>
        <v/>
      </c>
      <c r="N69" s="6"/>
      <c r="O69" s="6"/>
      <c r="P69" s="6" t="str">
        <f>IF(OR(Table13[[#This Row],[Type]]="Main Product", Table13[[#This Row],[Type]]="Co-Product"), Table13[[#This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IF(Table13[[#This Row],[Type]]="Co-product", "No", "")</f>
        <v/>
      </c>
      <c r="J70" s="25"/>
      <c r="K70" s="6"/>
      <c r="L70" s="6" t="str">
        <f>IF(Table13[[#This Row],[Category]]="Transportation", _xlfn.XLOOKUP(Table13[[#This Row],[Resource]], 'SI - Payload'!$A$10:$A$38,'SI - Payload'!$B$10:$B$38,"",0), "")</f>
        <v/>
      </c>
      <c r="M70" s="6" t="str">
        <f>IF(Table13[[#This Row],[Category]]="Transportation", "ton", "")</f>
        <v/>
      </c>
      <c r="N70" s="6"/>
      <c r="O70" s="6"/>
      <c r="P70" s="6" t="str">
        <f>IF(OR(Table13[[#This Row],[Type]]="Main Product", Table13[[#This Row],[Type]]="Co-Product"), Table13[[#This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IF(Table13[[#This Row],[Type]]="Co-product", "No", "")</f>
        <v/>
      </c>
      <c r="J71" s="25"/>
      <c r="K71" s="6"/>
      <c r="L71" s="6" t="str">
        <f>IF(Table13[[#This Row],[Category]]="Transportation", _xlfn.XLOOKUP(Table13[[#This Row],[Resource]], 'SI - Payload'!$A$10:$A$38,'SI - Payload'!$B$10:$B$38,"",0), "")</f>
        <v/>
      </c>
      <c r="M71" s="6" t="str">
        <f>IF(Table13[[#This Row],[Category]]="Transportation", "ton", "")</f>
        <v/>
      </c>
      <c r="N71" s="6"/>
      <c r="O71" s="6"/>
      <c r="P71" s="6" t="str">
        <f>IF(OR(Table13[[#This Row],[Type]]="Main Product", Table13[[#This Row],[Type]]="Co-Product"), Table13[[#This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IF(Table13[[#This Row],[Type]]="Co-product", "No", "")</f>
        <v/>
      </c>
      <c r="J72" s="25"/>
      <c r="K72" s="6"/>
      <c r="L72" s="6" t="str">
        <f>IF(Table13[[#This Row],[Category]]="Transportation", _xlfn.XLOOKUP(Table13[[#This Row],[Resource]], 'SI - Payload'!$A$10:$A$38,'SI - Payload'!$B$10:$B$38,"",0), "")</f>
        <v/>
      </c>
      <c r="M72" s="6" t="str">
        <f>IF(Table13[[#This Row],[Category]]="Transportation", "ton", "")</f>
        <v/>
      </c>
      <c r="N72" s="6"/>
      <c r="O72" s="6"/>
      <c r="P72" s="6" t="str">
        <f>IF(OR(Table13[[#This Row],[Type]]="Main Product", Table13[[#This Row],[Type]]="Co-Product"), Table13[[#This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IF(Table13[[#This Row],[Type]]="Co-product", "No", "")</f>
        <v/>
      </c>
      <c r="J73" s="25"/>
      <c r="K73" s="6"/>
      <c r="L73" s="6" t="str">
        <f>IF(Table13[[#This Row],[Category]]="Transportation", _xlfn.XLOOKUP(Table13[[#This Row],[Resource]], 'SI - Payload'!$A$10:$A$38,'SI - Payload'!$B$10:$B$38,"",0), "")</f>
        <v/>
      </c>
      <c r="M73" s="6" t="str">
        <f>IF(Table13[[#This Row],[Category]]="Transportation", "ton", "")</f>
        <v/>
      </c>
      <c r="N73" s="6"/>
      <c r="O73" s="6"/>
      <c r="P73" s="6" t="str">
        <f>IF(OR(Table13[[#This Row],[Type]]="Main Product", Table13[[#This Row],[Type]]="Co-Product"), Table13[[#This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IF(Table13[[#This Row],[Type]]="Co-product", "No", "")</f>
        <v/>
      </c>
      <c r="J74" s="25"/>
      <c r="K74" s="6"/>
      <c r="L74" s="6" t="str">
        <f>IF(Table13[[#This Row],[Category]]="Transportation", _xlfn.XLOOKUP(Table13[[#This Row],[Resource]], 'SI - Payload'!$A$10:$A$38,'SI - Payload'!$B$10:$B$38,"",0), "")</f>
        <v/>
      </c>
      <c r="M74" s="6" t="str">
        <f>IF(Table13[[#This Row],[Category]]="Transportation", "ton", "")</f>
        <v/>
      </c>
      <c r="N74" s="6"/>
      <c r="O74" s="6"/>
      <c r="P74" s="6" t="str">
        <f>IF(OR(Table13[[#This Row],[Type]]="Main Product", Table13[[#This Row],[Type]]="Co-Product"), Table13[[#This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IF(Table13[[#This Row],[Type]]="Co-product", "No", "")</f>
        <v/>
      </c>
      <c r="J75" s="25"/>
      <c r="K75" s="6"/>
      <c r="L75" s="6" t="str">
        <f>IF(Table13[[#This Row],[Category]]="Transportation", _xlfn.XLOOKUP(Table13[[#This Row],[Resource]], 'SI - Payload'!$A$10:$A$38,'SI - Payload'!$B$10:$B$38,"",0), "")</f>
        <v/>
      </c>
      <c r="M75" s="6" t="str">
        <f>IF(Table13[[#This Row],[Category]]="Transportation", "ton", "")</f>
        <v/>
      </c>
      <c r="N75" s="6"/>
      <c r="O75" s="6"/>
      <c r="P75" s="6" t="str">
        <f>IF(OR(Table13[[#This Row],[Type]]="Main Product", Table13[[#This Row],[Type]]="Co-Product"), Table13[[#This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IF(Table13[[#This Row],[Type]]="Co-product", "No", "")</f>
        <v/>
      </c>
      <c r="J76" s="25"/>
      <c r="K76" s="6"/>
      <c r="L76" s="6" t="str">
        <f>IF(Table13[[#This Row],[Category]]="Transportation", _xlfn.XLOOKUP(Table13[[#This Row],[Resource]], 'SI - Payload'!$A$10:$A$38,'SI - Payload'!$B$10:$B$38,"",0), "")</f>
        <v/>
      </c>
      <c r="M76" s="6" t="str">
        <f>IF(Table13[[#This Row],[Category]]="Transportation", "ton", "")</f>
        <v/>
      </c>
      <c r="N76" s="6"/>
      <c r="O76" s="6"/>
      <c r="P76" s="6" t="str">
        <f>IF(OR(Table13[[#This Row],[Type]]="Main Product", Table13[[#This Row],[Type]]="Co-Product"), Table13[[#This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IF(Table13[[#This Row],[Type]]="Co-product", "No", "")</f>
        <v/>
      </c>
      <c r="J77" s="25"/>
      <c r="K77" s="6"/>
      <c r="L77" s="6" t="str">
        <f>IF(Table13[[#This Row],[Category]]="Transportation", _xlfn.XLOOKUP(Table13[[#This Row],[Resource]], 'SI - Payload'!$A$10:$A$38,'SI - Payload'!$B$10:$B$38,"",0), "")</f>
        <v/>
      </c>
      <c r="M77" s="6" t="str">
        <f>IF(Table13[[#This Row],[Category]]="Transportation", "ton", "")</f>
        <v/>
      </c>
      <c r="N77" s="6"/>
      <c r="O77" s="6"/>
      <c r="P77" s="6" t="str">
        <f>IF(OR(Table13[[#This Row],[Type]]="Main Product", Table13[[#This Row],[Type]]="Co-Product"), Table13[[#This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IF(Table13[[#This Row],[Type]]="Co-product", "No", "")</f>
        <v/>
      </c>
      <c r="J78" s="25"/>
      <c r="K78" s="6"/>
      <c r="L78" s="6" t="str">
        <f>IF(Table13[[#This Row],[Category]]="Transportation", _xlfn.XLOOKUP(Table13[[#This Row],[Resource]], 'SI - Payload'!$A$10:$A$38,'SI - Payload'!$B$10:$B$38,"",0), "")</f>
        <v/>
      </c>
      <c r="M78" s="6" t="str">
        <f>IF(Table13[[#This Row],[Category]]="Transportation", "ton", "")</f>
        <v/>
      </c>
      <c r="N78" s="6"/>
      <c r="O78" s="6"/>
      <c r="P78" s="6" t="str">
        <f>IF(OR(Table13[[#This Row],[Type]]="Main Product", Table13[[#This Row],[Type]]="Co-Product"), Table13[[#This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IF(Table13[[#This Row],[Type]]="Co-product", "No", "")</f>
        <v/>
      </c>
      <c r="J79" s="25"/>
      <c r="K79" s="6"/>
      <c r="L79" s="6" t="str">
        <f>IF(Table13[[#This Row],[Category]]="Transportation", _xlfn.XLOOKUP(Table13[[#This Row],[Resource]], 'SI - Payload'!$A$10:$A$38,'SI - Payload'!$B$10:$B$38,"",0), "")</f>
        <v/>
      </c>
      <c r="M79" s="6" t="str">
        <f>IF(Table13[[#This Row],[Category]]="Transportation", "ton", "")</f>
        <v/>
      </c>
      <c r="N79" s="6"/>
      <c r="O79" s="6"/>
      <c r="P79" s="6" t="str">
        <f>IF(OR(Table13[[#This Row],[Type]]="Main Product", Table13[[#This Row],[Type]]="Co-Product"), Table13[[#This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IF(Table13[[#This Row],[Type]]="Co-product", "No", "")</f>
        <v/>
      </c>
      <c r="J80" s="25"/>
      <c r="K80" s="6"/>
      <c r="L80" s="6" t="str">
        <f>IF(Table13[[#This Row],[Category]]="Transportation", _xlfn.XLOOKUP(Table13[[#This Row],[Resource]], 'SI - Payload'!$A$10:$A$38,'SI - Payload'!$B$10:$B$38,"",0), "")</f>
        <v/>
      </c>
      <c r="M80" s="6" t="str">
        <f>IF(Table13[[#This Row],[Category]]="Transportation", "ton", "")</f>
        <v/>
      </c>
      <c r="N80" s="6"/>
      <c r="O80" s="6"/>
      <c r="P80" s="6" t="str">
        <f>IF(OR(Table13[[#This Row],[Type]]="Main Product", Table13[[#This Row],[Type]]="Co-Product"), Table13[[#This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IF(Table13[[#This Row],[Type]]="Co-product", "No", "")</f>
        <v/>
      </c>
      <c r="J81" s="25"/>
      <c r="K81" s="6"/>
      <c r="L81" s="6" t="str">
        <f>IF(Table13[[#This Row],[Category]]="Transportation", _xlfn.XLOOKUP(Table13[[#This Row],[Resource]], 'SI - Payload'!$A$10:$A$38,'SI - Payload'!$B$10:$B$38,"",0), "")</f>
        <v/>
      </c>
      <c r="M81" s="6" t="str">
        <f>IF(Table13[[#This Row],[Category]]="Transportation", "ton", "")</f>
        <v/>
      </c>
      <c r="N81" s="6"/>
      <c r="O81" s="6"/>
      <c r="P81" s="6" t="str">
        <f>IF(OR(Table13[[#This Row],[Type]]="Main Product", Table13[[#This Row],[Type]]="Co-Product"), Table13[[#This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IF(Table13[[#This Row],[Type]]="Co-product", "No", "")</f>
        <v/>
      </c>
      <c r="J82" s="25"/>
      <c r="K82" s="6"/>
      <c r="L82" s="6" t="str">
        <f>IF(Table13[[#This Row],[Category]]="Transportation", _xlfn.XLOOKUP(Table13[[#This Row],[Resource]], 'SI - Payload'!$A$10:$A$38,'SI - Payload'!$B$10:$B$38,"",0), "")</f>
        <v/>
      </c>
      <c r="M82" s="6" t="str">
        <f>IF(Table13[[#This Row],[Category]]="Transportation", "ton", "")</f>
        <v/>
      </c>
      <c r="N82" s="6"/>
      <c r="O82" s="6"/>
      <c r="P82" s="6" t="str">
        <f>IF(OR(Table13[[#This Row],[Type]]="Main Product", Table13[[#This Row],[Type]]="Co-Product"), Table13[[#This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IF(Table13[[#This Row],[Type]]="Co-product", "No", "")</f>
        <v/>
      </c>
      <c r="J83" s="25"/>
      <c r="K83" s="6"/>
      <c r="L83" s="6" t="str">
        <f>IF(Table13[[#This Row],[Category]]="Transportation", _xlfn.XLOOKUP(Table13[[#This Row],[Resource]], 'SI - Payload'!$A$10:$A$38,'SI - Payload'!$B$10:$B$38,"",0), "")</f>
        <v/>
      </c>
      <c r="M83" s="6" t="str">
        <f>IF(Table13[[#This Row],[Category]]="Transportation", "ton", "")</f>
        <v/>
      </c>
      <c r="N83" s="6"/>
      <c r="O83" s="6"/>
      <c r="P83" s="6" t="str">
        <f>IF(OR(Table13[[#This Row],[Type]]="Main Product", Table13[[#This Row],[Type]]="Co-Product"), Table13[[#This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IF(Table13[[#This Row],[Type]]="Co-product", "No", "")</f>
        <v/>
      </c>
      <c r="J84" s="25"/>
      <c r="K84" s="6"/>
      <c r="L84" s="6" t="str">
        <f>IF(Table13[[#This Row],[Category]]="Transportation", _xlfn.XLOOKUP(Table13[[#This Row],[Resource]], 'SI - Payload'!$A$10:$A$38,'SI - Payload'!$B$10:$B$38,"",0), "")</f>
        <v/>
      </c>
      <c r="M84" s="6" t="str">
        <f>IF(Table13[[#This Row],[Category]]="Transportation", "ton", "")</f>
        <v/>
      </c>
      <c r="N84" s="6"/>
      <c r="O84" s="6"/>
      <c r="P84" s="6" t="str">
        <f>IF(OR(Table13[[#This Row],[Type]]="Main Product", Table13[[#This Row],[Type]]="Co-Product"), Table13[[#This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IF(Table13[[#This Row],[Type]]="Co-product", "No", "")</f>
        <v/>
      </c>
      <c r="J85" s="25"/>
      <c r="K85" s="6"/>
      <c r="L85" s="6" t="str">
        <f>IF(Table13[[#This Row],[Category]]="Transportation", _xlfn.XLOOKUP(Table13[[#This Row],[Resource]], 'SI - Payload'!$A$10:$A$38,'SI - Payload'!$B$10:$B$38,"",0), "")</f>
        <v/>
      </c>
      <c r="M85" s="6" t="str">
        <f>IF(Table13[[#This Row],[Category]]="Transportation", "ton", "")</f>
        <v/>
      </c>
      <c r="N85" s="6"/>
      <c r="O85" s="6"/>
      <c r="P85" s="6" t="str">
        <f>IF(OR(Table13[[#This Row],[Type]]="Main Product", Table13[[#This Row],[Type]]="Co-Product"), Table13[[#This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IF(Table13[[#This Row],[Type]]="Co-product", "No", "")</f>
        <v/>
      </c>
      <c r="J86" s="25"/>
      <c r="K86" s="6"/>
      <c r="L86" s="6" t="str">
        <f>IF(Table13[[#This Row],[Category]]="Transportation", _xlfn.XLOOKUP(Table13[[#This Row],[Resource]], 'SI - Payload'!$A$10:$A$38,'SI - Payload'!$B$10:$B$38,"",0), "")</f>
        <v/>
      </c>
      <c r="M86" s="6" t="str">
        <f>IF(Table13[[#This Row],[Category]]="Transportation", "ton", "")</f>
        <v/>
      </c>
      <c r="N86" s="6"/>
      <c r="O86" s="6"/>
      <c r="P86" s="6" t="str">
        <f>IF(OR(Table13[[#This Row],[Type]]="Main Product", Table13[[#This Row],[Type]]="Co-Product"), Table13[[#This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IF(Table13[[#This Row],[Type]]="Co-product", "No", "")</f>
        <v/>
      </c>
      <c r="J87" s="25"/>
      <c r="K87" s="6"/>
      <c r="L87" s="6" t="str">
        <f>IF(Table13[[#This Row],[Category]]="Transportation", _xlfn.XLOOKUP(Table13[[#This Row],[Resource]], 'SI - Payload'!$A$10:$A$38,'SI - Payload'!$B$10:$B$38,"",0), "")</f>
        <v/>
      </c>
      <c r="M87" s="6" t="str">
        <f>IF(Table13[[#This Row],[Category]]="Transportation", "ton", "")</f>
        <v/>
      </c>
      <c r="N87" s="6"/>
      <c r="O87" s="6"/>
      <c r="P87" s="6" t="str">
        <f>IF(OR(Table13[[#This Row],[Type]]="Main Product", Table13[[#This Row],[Type]]="Co-Product"), Table13[[#This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IF(Table13[[#This Row],[Type]]="Co-product", "No", "")</f>
        <v/>
      </c>
      <c r="J88" s="25"/>
      <c r="K88" s="6"/>
      <c r="L88" s="6" t="str">
        <f>IF(Table13[[#This Row],[Category]]="Transportation", _xlfn.XLOOKUP(Table13[[#This Row],[Resource]], 'SI - Payload'!$A$10:$A$38,'SI - Payload'!$B$10:$B$38,"",0), "")</f>
        <v/>
      </c>
      <c r="M88" s="6" t="str">
        <f>IF(Table13[[#This Row],[Category]]="Transportation", "ton", "")</f>
        <v/>
      </c>
      <c r="N88" s="6"/>
      <c r="O88" s="6"/>
      <c r="P88" s="6" t="str">
        <f>IF(OR(Table13[[#This Row],[Type]]="Main Product", Table13[[#This Row],[Type]]="Co-Product"), Table13[[#This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IF(Table13[[#This Row],[Type]]="Co-product", "No", "")</f>
        <v/>
      </c>
      <c r="J89" s="25"/>
      <c r="K89" s="6"/>
      <c r="L89" s="6" t="str">
        <f>IF(Table13[[#This Row],[Category]]="Transportation", _xlfn.XLOOKUP(Table13[[#This Row],[Resource]], 'SI - Payload'!$A$10:$A$38,'SI - Payload'!$B$10:$B$38,"",0), "")</f>
        <v/>
      </c>
      <c r="M89" s="6" t="str">
        <f>IF(Table13[[#This Row],[Category]]="Transportation", "ton", "")</f>
        <v/>
      </c>
      <c r="N89" s="6"/>
      <c r="O89" s="6"/>
      <c r="P89" s="6" t="str">
        <f>IF(OR(Table13[[#This Row],[Type]]="Main Product", Table13[[#This Row],[Type]]="Co-Product"), Table13[[#This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IF(Table13[[#This Row],[Type]]="Co-product", "No", "")</f>
        <v/>
      </c>
      <c r="J90" s="25"/>
      <c r="K90" s="6"/>
      <c r="L90" s="6" t="str">
        <f>IF(Table13[[#This Row],[Category]]="Transportation", _xlfn.XLOOKUP(Table13[[#This Row],[Resource]], 'SI - Payload'!$A$10:$A$38,'SI - Payload'!$B$10:$B$38,"",0), "")</f>
        <v/>
      </c>
      <c r="M90" s="6" t="str">
        <f>IF(Table13[[#This Row],[Category]]="Transportation", "ton", "")</f>
        <v/>
      </c>
      <c r="N90" s="6"/>
      <c r="O90" s="6"/>
      <c r="P90" s="6" t="str">
        <f>IF(OR(Table13[[#This Row],[Type]]="Main Product", Table13[[#This Row],[Type]]="Co-Product"), Table13[[#This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IF(Table13[[#This Row],[Type]]="Co-product", "No", "")</f>
        <v/>
      </c>
      <c r="J91" s="25"/>
      <c r="K91" s="6"/>
      <c r="L91" s="6" t="str">
        <f>IF(Table13[[#This Row],[Category]]="Transportation", _xlfn.XLOOKUP(Table13[[#This Row],[Resource]], 'SI - Payload'!$A$10:$A$38,'SI - Payload'!$B$10:$B$38,"",0), "")</f>
        <v/>
      </c>
      <c r="M91" s="6" t="str">
        <f>IF(Table13[[#This Row],[Category]]="Transportation", "ton", "")</f>
        <v/>
      </c>
      <c r="N91" s="6"/>
      <c r="O91" s="6"/>
      <c r="P91" s="6" t="str">
        <f>IF(OR(Table13[[#This Row],[Type]]="Main Product", Table13[[#This Row],[Type]]="Co-Product"), Table13[[#This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IF(Table13[[#This Row],[Type]]="Co-product", "No", "")</f>
        <v/>
      </c>
      <c r="J92" s="25"/>
      <c r="K92" s="6"/>
      <c r="L92" s="6" t="str">
        <f>IF(Table13[[#This Row],[Category]]="Transportation", _xlfn.XLOOKUP(Table13[[#This Row],[Resource]], 'SI - Payload'!$A$10:$A$38,'SI - Payload'!$B$10:$B$38,"",0), "")</f>
        <v/>
      </c>
      <c r="M92" s="6" t="str">
        <f>IF(Table13[[#This Row],[Category]]="Transportation", "ton", "")</f>
        <v/>
      </c>
      <c r="N92" s="6"/>
      <c r="O92" s="6"/>
      <c r="P92" s="6" t="str">
        <f>IF(OR(Table13[[#This Row],[Type]]="Main Product", Table13[[#This Row],[Type]]="Co-Product"), Table13[[#This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IF(Table13[[#This Row],[Type]]="Co-product", "No", "")</f>
        <v/>
      </c>
      <c r="J93" s="25"/>
      <c r="K93" s="6"/>
      <c r="L93" s="6" t="str">
        <f>IF(Table13[[#This Row],[Category]]="Transportation", _xlfn.XLOOKUP(Table13[[#This Row],[Resource]], 'SI - Payload'!$A$10:$A$38,'SI - Payload'!$B$10:$B$38,"",0), "")</f>
        <v/>
      </c>
      <c r="M93" s="6" t="str">
        <f>IF(Table13[[#This Row],[Category]]="Transportation", "ton", "")</f>
        <v/>
      </c>
      <c r="N93" s="6"/>
      <c r="O93" s="6"/>
      <c r="P93" s="6" t="str">
        <f>IF(OR(Table13[[#This Row],[Type]]="Main Product", Table13[[#This Row],[Type]]="Co-Product"), Table13[[#This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IF(Table13[[#This Row],[Type]]="Co-product", "No", "")</f>
        <v/>
      </c>
      <c r="J94" s="25"/>
      <c r="K94" s="6"/>
      <c r="L94" s="6" t="str">
        <f>IF(Table13[[#This Row],[Category]]="Transportation", _xlfn.XLOOKUP(Table13[[#This Row],[Resource]], 'SI - Payload'!$A$10:$A$38,'SI - Payload'!$B$10:$B$38,"",0), "")</f>
        <v/>
      </c>
      <c r="M94" s="6" t="str">
        <f>IF(Table13[[#This Row],[Category]]="Transportation", "ton", "")</f>
        <v/>
      </c>
      <c r="N94" s="6"/>
      <c r="O94" s="6"/>
      <c r="P94" s="6" t="str">
        <f>IF(OR(Table13[[#This Row],[Type]]="Main Product", Table13[[#This Row],[Type]]="Co-Product"), Table13[[#This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IF(Table13[[#This Row],[Type]]="Co-product", "No", "")</f>
        <v/>
      </c>
      <c r="J95" s="25"/>
      <c r="K95" s="6"/>
      <c r="L95" s="6" t="str">
        <f>IF(Table13[[#This Row],[Category]]="Transportation", _xlfn.XLOOKUP(Table13[[#This Row],[Resource]], 'SI - Payload'!$A$10:$A$38,'SI - Payload'!$B$10:$B$38,"",0), "")</f>
        <v/>
      </c>
      <c r="M95" s="6" t="str">
        <f>IF(Table13[[#This Row],[Category]]="Transportation", "ton", "")</f>
        <v/>
      </c>
      <c r="N95" s="6"/>
      <c r="O95" s="6"/>
      <c r="P95" s="6" t="str">
        <f>IF(OR(Table13[[#This Row],[Type]]="Main Product", Table13[[#This Row],[Type]]="Co-Product"), Table13[[#This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IF(Table13[[#This Row],[Type]]="Co-product", "No", "")</f>
        <v/>
      </c>
      <c r="J96" s="25"/>
      <c r="K96" s="6"/>
      <c r="L96" s="6" t="str">
        <f>IF(Table13[[#This Row],[Category]]="Transportation", _xlfn.XLOOKUP(Table13[[#This Row],[Resource]], 'SI - Payload'!$A$10:$A$38,'SI - Payload'!$B$10:$B$38,"",0), "")</f>
        <v/>
      </c>
      <c r="M96" s="6" t="str">
        <f>IF(Table13[[#This Row],[Category]]="Transportation", "ton", "")</f>
        <v/>
      </c>
      <c r="N96" s="6"/>
      <c r="O96" s="6"/>
      <c r="P96" s="6" t="str">
        <f>IF(OR(Table13[[#This Row],[Type]]="Main Product", Table13[[#This Row],[Type]]="Co-Product"), Table13[[#This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IF(Table13[[#This Row],[Type]]="Co-product", "No", "")</f>
        <v/>
      </c>
      <c r="J97" s="25"/>
      <c r="K97" s="6"/>
      <c r="L97" s="6" t="str">
        <f>IF(Table13[[#This Row],[Category]]="Transportation", _xlfn.XLOOKUP(Table13[[#This Row],[Resource]], 'SI - Payload'!$A$10:$A$38,'SI - Payload'!$B$10:$B$38,"",0), "")</f>
        <v/>
      </c>
      <c r="M97" s="6" t="str">
        <f>IF(Table13[[#This Row],[Category]]="Transportation", "ton", "")</f>
        <v/>
      </c>
      <c r="N97" s="6"/>
      <c r="O97" s="6"/>
      <c r="P97" s="6" t="str">
        <f>IF(OR(Table13[[#This Row],[Type]]="Main Product", Table13[[#This Row],[Type]]="Co-Product"), Table13[[#This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IF(Table13[[#This Row],[Type]]="Co-product", "No", "")</f>
        <v/>
      </c>
      <c r="J98" s="25"/>
      <c r="K98" s="6"/>
      <c r="L98" s="6" t="str">
        <f>IF(Table13[[#This Row],[Category]]="Transportation", _xlfn.XLOOKUP(Table13[[#This Row],[Resource]], 'SI - Payload'!$A$10:$A$38,'SI - Payload'!$B$10:$B$38,"",0), "")</f>
        <v/>
      </c>
      <c r="M98" s="6" t="str">
        <f>IF(Table13[[#This Row],[Category]]="Transportation", "ton", "")</f>
        <v/>
      </c>
      <c r="N98" s="6"/>
      <c r="O98" s="6"/>
      <c r="P98" s="6" t="str">
        <f>IF(OR(Table13[[#This Row],[Type]]="Main Product", Table13[[#This Row],[Type]]="Co-Product"), Table13[[#This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IF(Table13[[#This Row],[Type]]="Co-product", "No", "")</f>
        <v/>
      </c>
      <c r="J99" s="25"/>
      <c r="K99" s="6"/>
      <c r="L99" s="6" t="str">
        <f>IF(Table13[[#This Row],[Category]]="Transportation", _xlfn.XLOOKUP(Table13[[#This Row],[Resource]], 'SI - Payload'!$A$10:$A$38,'SI - Payload'!$B$10:$B$38,"",0), "")</f>
        <v/>
      </c>
      <c r="M99" s="6" t="str">
        <f>IF(Table13[[#This Row],[Category]]="Transportation", "ton", "")</f>
        <v/>
      </c>
      <c r="N99" s="6"/>
      <c r="O99" s="6"/>
      <c r="P99" s="6" t="str">
        <f>IF(OR(Table13[[#This Row],[Type]]="Main Product", Table13[[#This Row],[Type]]="Co-Product"), Table13[[#This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IF(Table13[[#This Row],[Type]]="Co-product", "No", "")</f>
        <v/>
      </c>
      <c r="J100" s="25"/>
      <c r="K100" s="6"/>
      <c r="L100" s="6" t="str">
        <f>IF(Table13[[#This Row],[Category]]="Transportation", _xlfn.XLOOKUP(Table13[[#This Row],[Resource]], 'SI - Payload'!$A$10:$A$38,'SI - Payload'!$B$10:$B$38,"",0), "")</f>
        <v/>
      </c>
      <c r="M100" s="6" t="str">
        <f>IF(Table13[[#This Row],[Category]]="Transportation", "ton", "")</f>
        <v/>
      </c>
      <c r="N100" s="6"/>
      <c r="O100" s="6"/>
      <c r="P100" s="6" t="str">
        <f>IF(OR(Table13[[#This Row],[Type]]="Main Product", Table13[[#This Row],[Type]]="Co-Product"), Table13[[#This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6C8F6E51-FA8C-4D22-8879-C09A9C68ABA9}">
      <formula1>0</formula1>
      <formula2>1</formula2>
    </dataValidation>
    <dataValidation type="list" allowBlank="1" showInputMessage="1" showErrorMessage="1" sqref="M6:M100" xr:uid="{577EE620-75C8-4AC4-BCB8-AA1B05EACA1C}">
      <formula1>payload_units</formula1>
    </dataValidation>
    <dataValidation type="decimal" operator="greaterThan" allowBlank="1" showInputMessage="1" showErrorMessage="1" error="Please type a positive number." sqref="L6:L100" xr:uid="{632AB4C8-0D01-436B-8CDC-8FA7B584F32B}">
      <formula1>0</formula1>
    </dataValidation>
    <dataValidation type="decimal" operator="greaterThan" allowBlank="1" showInputMessage="1" showErrorMessage="1" error="Please type a positive price." sqref="N6:N100" xr:uid="{807715DF-CFB2-4B4B-B2F4-767E360751FC}">
      <formula1>0</formula1>
    </dataValidation>
    <dataValidation type="decimal" allowBlank="1" showInputMessage="1" showErrorMessage="1" error="Please type a number between 0 and 1." sqref="G6:G100" xr:uid="{F0F46DC4-EA13-4886-818E-2D968F129E89}">
      <formula1>0</formula1>
      <formula2>1</formula2>
    </dataValidation>
    <dataValidation type="custom" allowBlank="1" showInputMessage="1" showErrorMessage="1" sqref="E6:E100" xr:uid="{73ED98F6-F93F-4943-AAFF-AC470365F6A0}">
      <formula1>ISNUMBER(E6)</formula1>
    </dataValidation>
    <dataValidation type="list" allowBlank="1" showInputMessage="1" showErrorMessage="1" sqref="C2" xr:uid="{2F1D3158-8261-48A0-BF48-028370A7AACD}">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7DBB683E-7E25-4D3C-B29B-4216CA2230A2}">
          <x14:formula1>
            <xm:f>IF($B6="Transportation",  transport_units, INDIRECT(_xlfn.XLOOKUP($C6, 'SI - Units'!$F$26:$F$36,'SI - Units'!$G$26:$G$36,"mass",0)))</xm:f>
          </x14:formula1>
          <xm:sqref>F6:F100</xm:sqref>
        </x14:dataValidation>
        <x14:dataValidation type="list" allowBlank="1" showInputMessage="1" showErrorMessage="1" xr:uid="{79B97F4B-5F40-4183-ADA9-21F00B7A13C9}">
          <x14:formula1>
            <xm:f>INDIRECT("p_"&amp;_xlfn.XLOOKUP($C6,'SI - Units'!$F$26:$F$36,'SI - Units'!$G$26:$G$36,"mass",0))</xm:f>
          </x14:formula1>
          <xm:sqref>O6:O100</xm:sqref>
        </x14:dataValidation>
        <x14:dataValidation type="list" allowBlank="1" showInputMessage="1" showErrorMessage="1" xr:uid="{90767598-D69D-4103-8AB6-7FF8171B492B}">
          <x14:formula1>
            <xm:f>INDIRECT(_xlfn.XLOOKUP($P6,'SI - End Use'!$A$11:$A$17,'SI - End Use'!$B$11:$B$17,"other_end_use",0))</xm:f>
          </x14:formula1>
          <xm:sqref>Q6:R100</xm:sqref>
        </x14:dataValidation>
        <x14:dataValidation type="list" allowBlank="1" showInputMessage="1" xr:uid="{169AB11C-2FFB-451E-AAE6-6FF43831BC9C}">
          <x14:formula1>
            <xm:f>INDIRECT(_xlfn.XLOOKUP($C6,'SI - End Use'!$A$11:$A$17,'SI - End Use'!$B$11:$B$17,"other_end_use",0))</xm:f>
          </x14:formula1>
          <xm:sqref>D6:D100</xm:sqref>
        </x14:dataValidation>
        <x14:dataValidation type="list" allowBlank="1" showInputMessage="1" showErrorMessage="1" xr:uid="{01B2A868-EF78-482A-AD2D-15DCB8F1C70D}">
          <x14:formula1>
            <xm:f>INDIRECT(_xlfn.XLOOKUP($B6, 'SI - Resources'!$R$1:$R$10,'SI - Resources'!$S$1:$S$10, "placeholder_resource", 0))</xm:f>
          </x14:formula1>
          <xm:sqref>P6:P100 C6:C100</xm:sqref>
        </x14:dataValidation>
        <x14:dataValidation type="list" allowBlank="1" showInputMessage="1" showErrorMessage="1" xr:uid="{E0B7151D-A9FF-4E1A-A1A8-00519BDC110B}">
          <x14:formula1>
            <xm:f>'SI - Co-products'!$B$2:$B$6</xm:f>
          </x14:formula1>
          <xm:sqref>A6:A100</xm:sqref>
        </x14:dataValidation>
        <x14:dataValidation type="list" allowBlank="1" showInputMessage="1" showErrorMessage="1" xr:uid="{2124FB9D-2A58-4279-BF78-F13F03DB4E0D}">
          <x14:formula1>
            <xm:f>'SI - Resources'!$A$1:$J$1</xm:f>
          </x14:formula1>
          <xm:sqref>B6:B100</xm:sqref>
        </x14:dataValidation>
        <x14:dataValidation type="list" allowBlank="1" showInputMessage="1" showErrorMessage="1" xr:uid="{057AA025-1DB5-46BF-B662-AB04932D9EF3}">
          <x14:formula1>
            <xm:f>'SI - Co-products'!$C$2:$C$4</xm:f>
          </x14:formula1>
          <xm:sqref>I6:I100</xm:sqref>
        </x14:dataValidation>
        <x14:dataValidation type="list" allowBlank="1" showInputMessage="1" showErrorMessage="1" xr:uid="{87A4DEBA-171E-4D30-86DD-98B4B6908911}">
          <x14:formula1>
            <xm:f>'SI - Co-products'!$A$2:$A$5</xm:f>
          </x14:formula1>
          <xm:sqref>K6:K100</xm:sqref>
        </x14:dataValidation>
        <x14:dataValidation type="list" allowBlank="1" showInputMessage="1" showErrorMessage="1" xr:uid="{24008D01-EA40-4AF5-A392-ED1A0F2E325C}">
          <x14:formula1>
            <xm:f>_xlfn.XLOOKUP(_xlfn.XLOOKUP(#REF!,'SI - Units'!$B$24:$B$109,'SI - Units'!$C$24:$C$109),'SI - Units'!$A$2:$A$8,'SI - Units'!$B$2:$R$8)</xm:f>
          </x14:formula1>
          <xm:sqref>F5</xm:sqref>
        </x14:dataValidation>
        <x14:dataValidation type="list" allowBlank="1" showInputMessage="1" showErrorMessage="1" xr:uid="{1D35C0AA-4A81-4DD1-A6DE-736475DAFCCF}">
          <x14:formula1>
            <xm:f>'SI - Co-products'!$D$2:$D$8</xm:f>
          </x14:formula1>
          <xm:sqref>C1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912986-3715-40F5-825E-6AC16D0FEE72}">
  <sheetPr codeName="Sheet11"/>
  <dimension ref="A1:T100"/>
  <sheetViews>
    <sheetView topLeftCell="E1" workbookViewId="0">
      <pane ySplit="5" topLeftCell="A6" activePane="bottomLeft" state="frozen"/>
      <selection activeCell="C19" sqref="C19"/>
      <selection pane="bottomLeft" activeCell="P14" sqref="P14"/>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0</v>
      </c>
      <c r="B6" s="6" t="s">
        <v>282</v>
      </c>
      <c r="C6" s="6" t="s">
        <v>283</v>
      </c>
      <c r="D6" s="6" t="s">
        <v>337</v>
      </c>
      <c r="E6" s="60">
        <v>2.41896770102215E-2</v>
      </c>
      <c r="F6" s="6" t="s">
        <v>58</v>
      </c>
      <c r="G6" s="25"/>
      <c r="H6" s="25"/>
      <c r="I6" s="26" t="str">
        <f>IF(Table16[[#This Row],[Type]]="Co-product", "No", "")</f>
        <v/>
      </c>
      <c r="J6" s="25"/>
      <c r="K6" s="6"/>
      <c r="L6" s="6" t="str">
        <f>IF(Table16[[#This Row],[Category]]="Transportation", _xlfn.XLOOKUP(Table16[[#This Row],[Resource]], 'SI - Payload'!$A$10:$A$38,'SI - Payload'!$B$10:$B$38,"",0), "")</f>
        <v/>
      </c>
      <c r="M6" s="6" t="str">
        <f>IF(Table16[[#This Row],[Category]]="Transportation", "ton", "")</f>
        <v/>
      </c>
      <c r="N6" s="6"/>
      <c r="O6" s="6"/>
      <c r="P6" s="6" t="str">
        <f>IF(OR(Table16[[#This Row],[Type]]="Main Product", Table16[[#This Row],[Type]]="Co-Product"), Table16[[#This Row],[Resource]], "")</f>
        <v/>
      </c>
      <c r="Q6" s="6" t="str">
        <f>IF(_xlfn.XLOOKUP($P6,'SI - End Use'!$B$2:$B$6,'SI - End Use'!$C$2:$C$6, "")="", "", _xlfn.XLOOKUP($C6,'SI - End Use'!$B$2:$B$6,'SI - End Use'!$C$2:$C$6, ""))</f>
        <v/>
      </c>
      <c r="R6" s="6"/>
      <c r="S6" s="6"/>
      <c r="T6" s="6"/>
    </row>
    <row r="7" spans="1:20" x14ac:dyDescent="0.35">
      <c r="A7" s="6" t="s">
        <v>0</v>
      </c>
      <c r="B7" s="6" t="s">
        <v>282</v>
      </c>
      <c r="C7" s="6" t="s">
        <v>284</v>
      </c>
      <c r="D7" s="6" t="s">
        <v>337</v>
      </c>
      <c r="E7" s="60">
        <v>9.675870804088585E-4</v>
      </c>
      <c r="F7" s="6" t="s">
        <v>58</v>
      </c>
      <c r="G7" s="25"/>
      <c r="H7" s="25"/>
      <c r="I7" s="26" t="str">
        <f>IF(Table16[[#This Row],[Type]]="Co-product", "No", "")</f>
        <v/>
      </c>
      <c r="J7" s="25"/>
      <c r="K7" s="6"/>
      <c r="L7" s="6" t="str">
        <f>IF(Table16[[#This Row],[Category]]="Transportation", _xlfn.XLOOKUP(Table16[[#This Row],[Resource]], 'SI - Payload'!$A$10:$A$38,'SI - Payload'!$B$10:$B$38,"",0), "")</f>
        <v/>
      </c>
      <c r="M7" s="6" t="str">
        <f>IF(Table16[[#This Row],[Category]]="Transportation", "ton", "")</f>
        <v/>
      </c>
      <c r="N7" s="6"/>
      <c r="O7" s="6"/>
      <c r="P7" s="6" t="str">
        <f>IF(OR(Table16[[#This Row],[Type]]="Main Product", Table16[[#This Row],[Type]]="Co-Product"), Table16[[#This Row],[Resource]], "")</f>
        <v/>
      </c>
      <c r="Q7" s="6" t="str">
        <f>IF(_xlfn.XLOOKUP($P7,'SI - End Use'!$B$2:$B$6,'SI - End Use'!$C$2:$C$6, "")="", "", _xlfn.XLOOKUP($C7,'SI - End Use'!$B$2:$B$6,'SI - End Use'!$C$2:$C$6, ""))</f>
        <v/>
      </c>
      <c r="R7" s="6"/>
      <c r="S7" s="6"/>
      <c r="T7" s="6"/>
    </row>
    <row r="8" spans="1:20" x14ac:dyDescent="0.35">
      <c r="A8" s="6" t="s">
        <v>0</v>
      </c>
      <c r="B8" s="6" t="s">
        <v>282</v>
      </c>
      <c r="C8" s="6" t="s">
        <v>285</v>
      </c>
      <c r="D8" s="6" t="s">
        <v>337</v>
      </c>
      <c r="E8" s="60">
        <v>5.4184876502896074E-3</v>
      </c>
      <c r="F8" s="6" t="s">
        <v>58</v>
      </c>
      <c r="G8" s="25"/>
      <c r="H8" s="25"/>
      <c r="I8" s="26" t="str">
        <f>IF(Table16[[#This Row],[Type]]="Co-product", "No", "")</f>
        <v/>
      </c>
      <c r="J8" s="25"/>
      <c r="K8" s="6"/>
      <c r="L8" s="6" t="str">
        <f>IF(Table16[[#This Row],[Category]]="Transportation", _xlfn.XLOOKUP(Table16[[#This Row],[Resource]], 'SI - Payload'!$A$10:$A$38,'SI - Payload'!$B$10:$B$38,"",0), "")</f>
        <v/>
      </c>
      <c r="M8" s="6" t="str">
        <f>IF(Table16[[#This Row],[Category]]="Transportation", "ton", "")</f>
        <v/>
      </c>
      <c r="N8" s="6"/>
      <c r="O8" s="6"/>
      <c r="P8" s="6" t="str">
        <f>IF(OR(Table16[[#This Row],[Type]]="Main Product", Table16[[#This Row],[Type]]="Co-Product"), Table16[[#This Row],[Resource]], "")</f>
        <v/>
      </c>
      <c r="Q8" s="6" t="str">
        <f>IF(_xlfn.XLOOKUP($P8,'SI - End Use'!$B$2:$B$6,'SI - End Use'!$C$2:$C$6, "")="", "", _xlfn.XLOOKUP($C8,'SI - End Use'!$B$2:$B$6,'SI - End Use'!$C$2:$C$6, ""))</f>
        <v/>
      </c>
      <c r="R8" s="6"/>
      <c r="S8" s="6"/>
      <c r="T8" s="6"/>
    </row>
    <row r="9" spans="1:20" x14ac:dyDescent="0.35">
      <c r="A9" s="6" t="s">
        <v>0</v>
      </c>
      <c r="B9" s="6" t="s">
        <v>282</v>
      </c>
      <c r="C9" s="6" t="s">
        <v>286</v>
      </c>
      <c r="D9" s="6" t="s">
        <v>337</v>
      </c>
      <c r="E9" s="60">
        <v>3.3865547814310049E-3</v>
      </c>
      <c r="F9" s="6" t="s">
        <v>58</v>
      </c>
      <c r="G9" s="25"/>
      <c r="H9" s="25"/>
      <c r="I9" s="26" t="str">
        <f>IF(Table16[[#This Row],[Type]]="Co-product", "No", "")</f>
        <v/>
      </c>
      <c r="J9" s="25"/>
      <c r="K9" s="6"/>
      <c r="L9" s="6" t="str">
        <f>IF(Table16[[#This Row],[Category]]="Transportation", _xlfn.XLOOKUP(Table16[[#This Row],[Resource]], 'SI - Payload'!$A$10:$A$38,'SI - Payload'!$B$10:$B$38,"",0), "")</f>
        <v/>
      </c>
      <c r="M9" s="6" t="str">
        <f>IF(Table16[[#This Row],[Category]]="Transportation", "ton", "")</f>
        <v/>
      </c>
      <c r="N9" s="6"/>
      <c r="O9" s="6"/>
      <c r="P9" s="6" t="str">
        <f>IF(OR(Table16[[#This Row],[Type]]="Main Product", Table16[[#This Row],[Type]]="Co-Product"), Table16[[#This Row],[Resource]], "")</f>
        <v/>
      </c>
      <c r="Q9" s="6" t="str">
        <f>IF(_xlfn.XLOOKUP($P9,'SI - End Use'!$B$2:$B$6,'SI - End Use'!$C$2:$C$6, "")="", "", _xlfn.XLOOKUP($C9,'SI - End Use'!$B$2:$B$6,'SI - End Use'!$C$2:$C$6, ""))</f>
        <v/>
      </c>
      <c r="R9" s="6"/>
      <c r="S9" s="6"/>
      <c r="T9" s="6"/>
    </row>
    <row r="10" spans="1:20" x14ac:dyDescent="0.35">
      <c r="A10" s="6" t="s">
        <v>0</v>
      </c>
      <c r="B10" s="6" t="s">
        <v>3</v>
      </c>
      <c r="C10" s="6" t="s">
        <v>3</v>
      </c>
      <c r="D10" s="6" t="s">
        <v>10</v>
      </c>
      <c r="E10" s="62">
        <v>0.60306643952299832</v>
      </c>
      <c r="F10" s="6" t="s">
        <v>68</v>
      </c>
      <c r="G10" s="25"/>
      <c r="H10" s="25"/>
      <c r="I10" s="26" t="str">
        <f>IF(Table16[[#This Row],[Type]]="Co-product", "No", "")</f>
        <v/>
      </c>
      <c r="J10" s="25"/>
      <c r="K10" s="6"/>
      <c r="L10" s="6" t="str">
        <f>IF(Table16[[#This Row],[Category]]="Transportation", _xlfn.XLOOKUP(Table16[[#This Row],[Resource]], 'SI - Payload'!$A$10:$A$38,'SI - Payload'!$B$10:$B$38,"",0), "")</f>
        <v/>
      </c>
      <c r="M10" s="6" t="str">
        <f>IF(Table16[[#This Row],[Category]]="Transportation", "ton", "")</f>
        <v/>
      </c>
      <c r="N10" s="6"/>
      <c r="O10" s="6"/>
      <c r="P10" s="6" t="str">
        <f>IF(OR(Table16[[#This Row],[Type]]="Main Product", Table16[[#This Row],[Type]]="Co-Product"), Table16[[#This Row],[Resource]], "")</f>
        <v/>
      </c>
      <c r="Q10" s="6" t="str">
        <f>IF(_xlfn.XLOOKUP($P10,'SI - End Use'!$B$2:$B$6,'SI - End Use'!$C$2:$C$6, "")="", "", _xlfn.XLOOKUP($C10,'SI - End Use'!$B$2:$B$6,'SI - End Use'!$C$2:$C$6, ""))</f>
        <v/>
      </c>
      <c r="R10" s="6"/>
      <c r="S10" s="6"/>
      <c r="T10" s="6"/>
    </row>
    <row r="11" spans="1:20" x14ac:dyDescent="0.35">
      <c r="A11" s="6" t="s">
        <v>257</v>
      </c>
      <c r="B11" s="6" t="s">
        <v>245</v>
      </c>
      <c r="C11" s="6" t="s">
        <v>228</v>
      </c>
      <c r="D11" s="6" t="s">
        <v>337</v>
      </c>
      <c r="E11" s="62">
        <v>2.2252810902896099</v>
      </c>
      <c r="F11" s="6" t="s">
        <v>58</v>
      </c>
      <c r="G11" s="25"/>
      <c r="H11" s="25" t="s">
        <v>339</v>
      </c>
      <c r="I11" s="26" t="str">
        <f>IF(Table16[[#This Row],[Type]]="Co-product", "No", "")</f>
        <v/>
      </c>
      <c r="J11" s="25"/>
      <c r="K11" s="6"/>
      <c r="L11" s="6" t="str">
        <f>IF(Table16[[#This Row],[Category]]="Transportation", _xlfn.XLOOKUP(Table16[[#This Row],[Resource]], 'SI - Payload'!$A$10:$A$38,'SI - Payload'!$B$10:$B$38,"",0), "")</f>
        <v/>
      </c>
      <c r="M11" s="6" t="str">
        <f>IF(Table16[[#This Row],[Category]]="Transportation", "ton", "")</f>
        <v/>
      </c>
      <c r="N11" s="6"/>
      <c r="O11" s="6"/>
      <c r="P11" s="6" t="str">
        <f>IF(OR(Table16[[#This Row],[Type]]="Main Product", Table16[[#This Row],[Type]]="Co-Product"), Table16[[#This Row],[Resource]], "")</f>
        <v/>
      </c>
      <c r="Q11" s="6" t="str">
        <f>IF(_xlfn.XLOOKUP($P11,'SI - End Use'!$B$2:$B$6,'SI - End Use'!$C$2:$C$6, "")="", "", _xlfn.XLOOKUP($C11,'SI - End Use'!$B$2:$B$6,'SI - End Use'!$C$2:$C$6, ""))</f>
        <v/>
      </c>
      <c r="R11" s="6"/>
      <c r="S11" s="6"/>
      <c r="T11" s="6"/>
    </row>
    <row r="12" spans="1:20" x14ac:dyDescent="0.35">
      <c r="A12" s="6" t="s">
        <v>113</v>
      </c>
      <c r="B12" s="6" t="s">
        <v>38</v>
      </c>
      <c r="C12" s="6" t="s">
        <v>288</v>
      </c>
      <c r="D12" s="6" t="s">
        <v>337</v>
      </c>
      <c r="E12" s="12">
        <v>1</v>
      </c>
      <c r="F12" s="6" t="s">
        <v>58</v>
      </c>
      <c r="G12" s="25"/>
      <c r="H12" s="25"/>
      <c r="I12" s="26" t="str">
        <f>IF(Table16[[#This Row],[Type]]="Co-product", "No", "")</f>
        <v/>
      </c>
      <c r="J12" s="25"/>
      <c r="K12" s="6"/>
      <c r="L12" s="6" t="str">
        <f>IF(Table16[[#This Row],[Category]]="Transportation", _xlfn.XLOOKUP(Table16[[#This Row],[Resource]], 'SI - Payload'!$A$10:$A$38,'SI - Payload'!$B$10:$B$38,"",0), "")</f>
        <v/>
      </c>
      <c r="M12" s="6" t="str">
        <f>IF(Table16[[#This Row],[Category]]="Transportation", "ton", "")</f>
        <v/>
      </c>
      <c r="N12" s="6"/>
      <c r="O12" s="6"/>
      <c r="P12" s="6" t="str">
        <f>IF(OR(Table16[[#This Row],[Type]]="Main Product", Table16[[#This Row],[Type]]="Co-Product"), Table16[[#This Row],[Resource]], "")</f>
        <v>Algae</v>
      </c>
      <c r="Q12" s="6" t="str">
        <f>IF(_xlfn.XLOOKUP($P12,'SI - End Use'!$B$2:$B$6,'SI - End Use'!$C$2:$C$6, "")="", "", _xlfn.XLOOKUP($C12,'SI - End Use'!$B$2:$B$6,'SI - End Use'!$C$2:$C$6, ""))</f>
        <v/>
      </c>
      <c r="R12" s="6"/>
      <c r="S12" s="6"/>
      <c r="T12" s="6"/>
    </row>
    <row r="13" spans="1:20" x14ac:dyDescent="0.35">
      <c r="A13" s="6" t="s">
        <v>0</v>
      </c>
      <c r="B13" s="6" t="s">
        <v>37</v>
      </c>
      <c r="C13" s="6" t="s">
        <v>14</v>
      </c>
      <c r="D13" s="6" t="s">
        <v>337</v>
      </c>
      <c r="E13" s="60">
        <v>2.0034071550255501E-2</v>
      </c>
      <c r="F13" s="6" t="s">
        <v>58</v>
      </c>
      <c r="G13" s="25"/>
      <c r="H13" s="25"/>
      <c r="I13" s="26" t="str">
        <f>IF(Table16[[#This Row],[Type]]="Co-product", "No", "")</f>
        <v/>
      </c>
      <c r="J13" s="25"/>
      <c r="K13" s="6"/>
      <c r="L13" s="6" t="str">
        <f>IF(Table16[[#This Row],[Category]]="Transportation", _xlfn.XLOOKUP(Table16[[#This Row],[Resource]], 'SI - Payload'!$A$10:$A$38,'SI - Payload'!$B$10:$B$38,"",0), "")</f>
        <v/>
      </c>
      <c r="M13" s="6" t="str">
        <f>IF(Table16[[#This Row],[Category]]="Transportation", "ton", "")</f>
        <v/>
      </c>
      <c r="N13" s="6"/>
      <c r="O13" s="6"/>
      <c r="P13" s="6" t="str">
        <f>IF(OR(Table16[[#This Row],[Type]]="Main Product", Table16[[#This Row],[Type]]="Co-Product"), Table16[[#This Row],[Resource]], "")</f>
        <v/>
      </c>
      <c r="Q13" s="6" t="str">
        <f>IF(_xlfn.XLOOKUP($P13,'SI - End Use'!$B$2:$B$6,'SI - End Use'!$C$2:$C$6, "")="", "", _xlfn.XLOOKUP($C13,'SI - End Use'!$B$2:$B$6,'SI - End Use'!$C$2:$C$6, ""))</f>
        <v/>
      </c>
      <c r="R13" s="6"/>
      <c r="S13" s="6"/>
      <c r="T13" s="6"/>
    </row>
    <row r="14" spans="1:20" x14ac:dyDescent="0.35">
      <c r="A14" s="6" t="s">
        <v>0</v>
      </c>
      <c r="B14" s="6" t="s">
        <v>37</v>
      </c>
      <c r="C14" s="6" t="s">
        <v>287</v>
      </c>
      <c r="D14" s="6" t="s">
        <v>337</v>
      </c>
      <c r="E14" s="12">
        <v>9.6763202725724026E-3</v>
      </c>
      <c r="F14" s="6" t="s">
        <v>58</v>
      </c>
      <c r="G14" s="25"/>
      <c r="H14" s="25"/>
      <c r="I14" s="26" t="str">
        <f>IF(Table16[[#This Row],[Type]]="Co-product", "No", "")</f>
        <v/>
      </c>
      <c r="J14" s="25"/>
      <c r="K14" s="6"/>
      <c r="L14" s="6" t="str">
        <f>IF(Table16[[#This Row],[Category]]="Transportation", _xlfn.XLOOKUP(Table16[[#This Row],[Resource]], 'SI - Payload'!$A$10:$A$38,'SI - Payload'!$B$10:$B$38,"",0), "")</f>
        <v/>
      </c>
      <c r="M14" s="6" t="str">
        <f>IF(Table16[[#This Row],[Category]]="Transportation", "ton", "")</f>
        <v/>
      </c>
      <c r="N14" s="6"/>
      <c r="O14" s="6"/>
      <c r="P14" s="6" t="str">
        <f>IF(OR(Table16[[#This Row],[Type]]="Main Product", Table16[[#This Row],[Type]]="Co-Product"), Table16[[#This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IF(Table16[[#This Row],[Type]]="Co-product", "No", "")</f>
        <v/>
      </c>
      <c r="J15" s="25"/>
      <c r="K15" s="6"/>
      <c r="L15" s="6" t="str">
        <f>IF(Table16[[#This Row],[Category]]="Transportation", _xlfn.XLOOKUP(Table16[[#This Row],[Resource]], 'SI - Payload'!$A$10:$A$38,'SI - Payload'!$B$10:$B$38,"",0), "")</f>
        <v/>
      </c>
      <c r="M15" s="6" t="str">
        <f>IF(Table16[[#This Row],[Category]]="Transportation", "ton", "")</f>
        <v/>
      </c>
      <c r="N15" s="6"/>
      <c r="O15" s="6"/>
      <c r="P15" s="6" t="str">
        <f>IF(OR(Table16[[#This Row],[Type]]="Main Product", Table16[[#This Row],[Type]]="Co-Product"), Table16[[#This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IF(Table16[[#This Row],[Type]]="Co-product", "No", "")</f>
        <v/>
      </c>
      <c r="J16" s="25"/>
      <c r="K16" s="6"/>
      <c r="L16" s="6" t="str">
        <f>IF(Table16[[#This Row],[Category]]="Transportation", _xlfn.XLOOKUP(Table16[[#This Row],[Resource]], 'SI - Payload'!$A$10:$A$38,'SI - Payload'!$B$10:$B$38,"",0), "")</f>
        <v/>
      </c>
      <c r="M16" s="6" t="str">
        <f>IF(Table16[[#This Row],[Category]]="Transportation", "ton", "")</f>
        <v/>
      </c>
      <c r="N16" s="6"/>
      <c r="O16" s="6"/>
      <c r="P16" s="6" t="str">
        <f>IF(OR(Table16[[#This Row],[Type]]="Main Product", Table16[[#This Row],[Type]]="Co-Product"), Table16[[#This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IF(Table16[[#This Row],[Type]]="Co-product", "No", "")</f>
        <v/>
      </c>
      <c r="J17" s="25"/>
      <c r="K17" s="6"/>
      <c r="L17" s="6" t="str">
        <f>IF(Table16[[#This Row],[Category]]="Transportation", _xlfn.XLOOKUP(Table16[[#This Row],[Resource]], 'SI - Payload'!$A$10:$A$38,'SI - Payload'!$B$10:$B$38,"",0), "")</f>
        <v/>
      </c>
      <c r="M17" s="6" t="str">
        <f>IF(Table16[[#This Row],[Category]]="Transportation", "ton", "")</f>
        <v/>
      </c>
      <c r="N17" s="6"/>
      <c r="O17" s="6"/>
      <c r="P17" s="6" t="str">
        <f>IF(OR(Table16[[#This Row],[Type]]="Main Product", Table16[[#This Row],[Type]]="Co-Product"), Table16[[#This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IF(Table16[[#This Row],[Type]]="Co-product", "No", "")</f>
        <v/>
      </c>
      <c r="J18" s="25"/>
      <c r="K18" s="6"/>
      <c r="L18" s="6" t="str">
        <f>IF(Table16[[#This Row],[Category]]="Transportation", _xlfn.XLOOKUP(Table16[[#This Row],[Resource]], 'SI - Payload'!$A$10:$A$38,'SI - Payload'!$B$10:$B$38,"",0), "")</f>
        <v/>
      </c>
      <c r="M18" s="6" t="str">
        <f>IF(Table16[[#This Row],[Category]]="Transportation", "ton", "")</f>
        <v/>
      </c>
      <c r="N18" s="6"/>
      <c r="O18" s="6"/>
      <c r="P18" s="6" t="str">
        <f>IF(OR(Table16[[#This Row],[Type]]="Main Product", Table16[[#This Row],[Type]]="Co-Product"), Table16[[#This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IF(Table16[[#This Row],[Type]]="Co-product", "No", "")</f>
        <v/>
      </c>
      <c r="J19" s="25"/>
      <c r="K19" s="6"/>
      <c r="L19" s="6" t="str">
        <f>IF(Table16[[#This Row],[Category]]="Transportation", _xlfn.XLOOKUP(Table16[[#This Row],[Resource]], 'SI - Payload'!$A$10:$A$38,'SI - Payload'!$B$10:$B$38,"",0), "")</f>
        <v/>
      </c>
      <c r="M19" s="6" t="str">
        <f>IF(Table16[[#This Row],[Category]]="Transportation", "ton", "")</f>
        <v/>
      </c>
      <c r="N19" s="6"/>
      <c r="O19" s="6"/>
      <c r="P19" s="6" t="str">
        <f>IF(OR(Table16[[#This Row],[Type]]="Main Product", Table16[[#This Row],[Type]]="Co-Product"), Table16[[#This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IF(Table16[[#This Row],[Type]]="Co-product", "No", "")</f>
        <v/>
      </c>
      <c r="J20" s="25"/>
      <c r="K20" s="6"/>
      <c r="L20" s="6" t="str">
        <f>IF(Table16[[#This Row],[Category]]="Transportation", _xlfn.XLOOKUP(Table16[[#This Row],[Resource]], 'SI - Payload'!$A$10:$A$38,'SI - Payload'!$B$10:$B$38,"",0), "")</f>
        <v/>
      </c>
      <c r="M20" s="6" t="str">
        <f>IF(Table16[[#This Row],[Category]]="Transportation", "ton", "")</f>
        <v/>
      </c>
      <c r="N20" s="6"/>
      <c r="O20" s="6"/>
      <c r="P20" s="6" t="str">
        <f>IF(OR(Table16[[#This Row],[Type]]="Main Product", Table16[[#This Row],[Type]]="Co-Product"), Table16[[#This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IF(Table16[[#This Row],[Type]]="Co-product", "No", "")</f>
        <v/>
      </c>
      <c r="J21" s="25"/>
      <c r="K21" s="6"/>
      <c r="L21" s="6" t="str">
        <f>IF(Table16[[#This Row],[Category]]="Transportation", _xlfn.XLOOKUP(Table16[[#This Row],[Resource]], 'SI - Payload'!$A$10:$A$38,'SI - Payload'!$B$10:$B$38,"",0), "")</f>
        <v/>
      </c>
      <c r="M21" s="6" t="str">
        <f>IF(Table16[[#This Row],[Category]]="Transportation", "ton", "")</f>
        <v/>
      </c>
      <c r="N21" s="6"/>
      <c r="O21" s="6"/>
      <c r="P21" s="6" t="str">
        <f>IF(OR(Table16[[#This Row],[Type]]="Main Product", Table16[[#This Row],[Type]]="Co-Product"), Table16[[#This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IF(Table16[[#This Row],[Type]]="Co-product", "No", "")</f>
        <v/>
      </c>
      <c r="J22" s="25"/>
      <c r="K22" s="6"/>
      <c r="L22" s="6" t="str">
        <f>IF(Table16[[#This Row],[Category]]="Transportation", _xlfn.XLOOKUP(Table16[[#This Row],[Resource]], 'SI - Payload'!$A$10:$A$38,'SI - Payload'!$B$10:$B$38,"",0), "")</f>
        <v/>
      </c>
      <c r="M22" s="6" t="str">
        <f>IF(Table16[[#This Row],[Category]]="Transportation", "ton", "")</f>
        <v/>
      </c>
      <c r="N22" s="6"/>
      <c r="O22" s="6"/>
      <c r="P22" s="6" t="str">
        <f>IF(OR(Table16[[#This Row],[Type]]="Main Product", Table16[[#This Row],[Type]]="Co-Product"), Table16[[#This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IF(Table16[[#This Row],[Type]]="Co-product", "No", "")</f>
        <v/>
      </c>
      <c r="J23" s="25"/>
      <c r="K23" s="6"/>
      <c r="L23" s="6" t="str">
        <f>IF(Table16[[#This Row],[Category]]="Transportation", _xlfn.XLOOKUP(Table16[[#This Row],[Resource]], 'SI - Payload'!$A$10:$A$38,'SI - Payload'!$B$10:$B$38,"",0), "")</f>
        <v/>
      </c>
      <c r="M23" s="6" t="str">
        <f>IF(Table16[[#This Row],[Category]]="Transportation", "ton", "")</f>
        <v/>
      </c>
      <c r="N23" s="6"/>
      <c r="O23" s="6"/>
      <c r="P23" s="6" t="str">
        <f>IF(OR(Table16[[#This Row],[Type]]="Main Product", Table16[[#This Row],[Type]]="Co-Product"), Table16[[#This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IF(Table16[[#This Row],[Type]]="Co-product", "No", "")</f>
        <v/>
      </c>
      <c r="J24" s="25"/>
      <c r="K24" s="6"/>
      <c r="L24" s="6" t="str">
        <f>IF(Table16[[#This Row],[Category]]="Transportation", _xlfn.XLOOKUP(Table16[[#This Row],[Resource]], 'SI - Payload'!$A$10:$A$38,'SI - Payload'!$B$10:$B$38,"",0), "")</f>
        <v/>
      </c>
      <c r="M24" s="6" t="str">
        <f>IF(Table16[[#This Row],[Category]]="Transportation", "ton", "")</f>
        <v/>
      </c>
      <c r="N24" s="6"/>
      <c r="O24" s="6"/>
      <c r="P24" s="6" t="str">
        <f>IF(OR(Table16[[#This Row],[Type]]="Main Product", Table16[[#This Row],[Type]]="Co-Product"), Table16[[#This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IF(Table16[[#This Row],[Type]]="Co-product", "No", "")</f>
        <v/>
      </c>
      <c r="J25" s="25"/>
      <c r="K25" s="6"/>
      <c r="L25" s="6" t="str">
        <f>IF(Table16[[#This Row],[Category]]="Transportation", _xlfn.XLOOKUP(Table16[[#This Row],[Resource]], 'SI - Payload'!$A$10:$A$38,'SI - Payload'!$B$10:$B$38,"",0), "")</f>
        <v/>
      </c>
      <c r="M25" s="6" t="str">
        <f>IF(Table16[[#This Row],[Category]]="Transportation", "ton", "")</f>
        <v/>
      </c>
      <c r="N25" s="6"/>
      <c r="O25" s="6"/>
      <c r="P25" s="6" t="str">
        <f>IF(OR(Table16[[#This Row],[Type]]="Main Product", Table16[[#This Row],[Type]]="Co-Product"), Table16[[#This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IF(Table16[[#This Row],[Type]]="Co-product", "No", "")</f>
        <v/>
      </c>
      <c r="J26" s="25"/>
      <c r="K26" s="6"/>
      <c r="L26" s="6" t="str">
        <f>IF(Table16[[#This Row],[Category]]="Transportation", _xlfn.XLOOKUP(Table16[[#This Row],[Resource]], 'SI - Payload'!$A$10:$A$38,'SI - Payload'!$B$10:$B$38,"",0), "")</f>
        <v/>
      </c>
      <c r="M26" s="6" t="str">
        <f>IF(Table16[[#This Row],[Category]]="Transportation", "ton", "")</f>
        <v/>
      </c>
      <c r="N26" s="6"/>
      <c r="O26" s="6"/>
      <c r="P26" s="6" t="str">
        <f>IF(OR(Table16[[#This Row],[Type]]="Main Product", Table16[[#This Row],[Type]]="Co-Product"), Table16[[#This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IF(Table16[[#This Row],[Type]]="Co-product", "No", "")</f>
        <v/>
      </c>
      <c r="J27" s="25"/>
      <c r="K27" s="6"/>
      <c r="L27" s="6" t="str">
        <f>IF(Table16[[#This Row],[Category]]="Transportation", _xlfn.XLOOKUP(Table16[[#This Row],[Resource]], 'SI - Payload'!$A$10:$A$38,'SI - Payload'!$B$10:$B$38,"",0), "")</f>
        <v/>
      </c>
      <c r="M27" s="6" t="str">
        <f>IF(Table16[[#This Row],[Category]]="Transportation", "ton", "")</f>
        <v/>
      </c>
      <c r="N27" s="6"/>
      <c r="O27" s="6"/>
      <c r="P27" s="6" t="str">
        <f>IF(OR(Table16[[#This Row],[Type]]="Main Product", Table16[[#This Row],[Type]]="Co-Product"), Table16[[#This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IF(Table16[[#This Row],[Type]]="Co-product", "No", "")</f>
        <v/>
      </c>
      <c r="J28" s="25"/>
      <c r="K28" s="6"/>
      <c r="L28" s="6" t="str">
        <f>IF(Table16[[#This Row],[Category]]="Transportation", _xlfn.XLOOKUP(Table16[[#This Row],[Resource]], 'SI - Payload'!$A$10:$A$38,'SI - Payload'!$B$10:$B$38,"",0), "")</f>
        <v/>
      </c>
      <c r="M28" s="6" t="str">
        <f>IF(Table16[[#This Row],[Category]]="Transportation", "ton", "")</f>
        <v/>
      </c>
      <c r="N28" s="6"/>
      <c r="O28" s="6"/>
      <c r="P28" s="6" t="str">
        <f>IF(OR(Table16[[#This Row],[Type]]="Main Product", Table16[[#This Row],[Type]]="Co-Product"), Table16[[#This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IF(Table16[[#This Row],[Type]]="Co-product", "No", "")</f>
        <v/>
      </c>
      <c r="J29" s="25"/>
      <c r="K29" s="6"/>
      <c r="L29" s="6" t="str">
        <f>IF(Table16[[#This Row],[Category]]="Transportation", _xlfn.XLOOKUP(Table16[[#This Row],[Resource]], 'SI - Payload'!$A$10:$A$38,'SI - Payload'!$B$10:$B$38,"",0), "")</f>
        <v/>
      </c>
      <c r="M29" s="6" t="str">
        <f>IF(Table16[[#This Row],[Category]]="Transportation", "ton", "")</f>
        <v/>
      </c>
      <c r="N29" s="6"/>
      <c r="O29" s="6"/>
      <c r="P29" s="6" t="str">
        <f>IF(OR(Table16[[#This Row],[Type]]="Main Product", Table16[[#This Row],[Type]]="Co-Product"), Table16[[#This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IF(Table16[[#This Row],[Type]]="Co-product", "No", "")</f>
        <v/>
      </c>
      <c r="J30" s="25"/>
      <c r="K30" s="6"/>
      <c r="L30" s="6" t="str">
        <f>IF(Table16[[#This Row],[Category]]="Transportation", _xlfn.XLOOKUP(Table16[[#This Row],[Resource]], 'SI - Payload'!$A$10:$A$38,'SI - Payload'!$B$10:$B$38,"",0), "")</f>
        <v/>
      </c>
      <c r="M30" s="6" t="str">
        <f>IF(Table16[[#This Row],[Category]]="Transportation", "ton", "")</f>
        <v/>
      </c>
      <c r="N30" s="6"/>
      <c r="O30" s="6"/>
      <c r="P30" s="6" t="str">
        <f>IF(OR(Table16[[#This Row],[Type]]="Main Product", Table16[[#This Row],[Type]]="Co-Product"), Table16[[#This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IF(Table16[[#This Row],[Type]]="Co-product", "No", "")</f>
        <v/>
      </c>
      <c r="J31" s="25"/>
      <c r="K31" s="6"/>
      <c r="L31" s="6" t="str">
        <f>IF(Table16[[#This Row],[Category]]="Transportation", _xlfn.XLOOKUP(Table16[[#This Row],[Resource]], 'SI - Payload'!$A$10:$A$38,'SI - Payload'!$B$10:$B$38,"",0), "")</f>
        <v/>
      </c>
      <c r="M31" s="6" t="str">
        <f>IF(Table16[[#This Row],[Category]]="Transportation", "ton", "")</f>
        <v/>
      </c>
      <c r="N31" s="6"/>
      <c r="O31" s="6"/>
      <c r="P31" s="6" t="str">
        <f>IF(OR(Table16[[#This Row],[Type]]="Main Product", Table16[[#This Row],[Type]]="Co-Product"), Table16[[#This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IF(Table16[[#This Row],[Type]]="Co-product", "No", "")</f>
        <v/>
      </c>
      <c r="J32" s="25"/>
      <c r="K32" s="6"/>
      <c r="L32" s="6" t="str">
        <f>IF(Table16[[#This Row],[Category]]="Transportation", _xlfn.XLOOKUP(Table16[[#This Row],[Resource]], 'SI - Payload'!$A$10:$A$38,'SI - Payload'!$B$10:$B$38,"",0), "")</f>
        <v/>
      </c>
      <c r="M32" s="6" t="str">
        <f>IF(Table16[[#This Row],[Category]]="Transportation", "ton", "")</f>
        <v/>
      </c>
      <c r="N32" s="6"/>
      <c r="O32" s="6"/>
      <c r="P32" s="6" t="str">
        <f>IF(OR(Table16[[#This Row],[Type]]="Main Product", Table16[[#This Row],[Type]]="Co-Product"), Table16[[#This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IF(Table16[[#This Row],[Type]]="Co-product", "No", "")</f>
        <v/>
      </c>
      <c r="J33" s="25"/>
      <c r="K33" s="6"/>
      <c r="L33" s="6" t="str">
        <f>IF(Table16[[#This Row],[Category]]="Transportation", _xlfn.XLOOKUP(Table16[[#This Row],[Resource]], 'SI - Payload'!$A$10:$A$38,'SI - Payload'!$B$10:$B$38,"",0), "")</f>
        <v/>
      </c>
      <c r="M33" s="6" t="str">
        <f>IF(Table16[[#This Row],[Category]]="Transportation", "ton", "")</f>
        <v/>
      </c>
      <c r="N33" s="6"/>
      <c r="O33" s="6"/>
      <c r="P33" s="6" t="str">
        <f>IF(OR(Table16[[#This Row],[Type]]="Main Product", Table16[[#This Row],[Type]]="Co-Product"), Table16[[#This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IF(Table16[[#This Row],[Type]]="Co-product", "No", "")</f>
        <v/>
      </c>
      <c r="J34" s="25"/>
      <c r="K34" s="6"/>
      <c r="L34" s="6" t="str">
        <f>IF(Table16[[#This Row],[Category]]="Transportation", _xlfn.XLOOKUP(Table16[[#This Row],[Resource]], 'SI - Payload'!$A$10:$A$38,'SI - Payload'!$B$10:$B$38,"",0), "")</f>
        <v/>
      </c>
      <c r="M34" s="6" t="str">
        <f>IF(Table16[[#This Row],[Category]]="Transportation", "ton", "")</f>
        <v/>
      </c>
      <c r="N34" s="6"/>
      <c r="O34" s="6"/>
      <c r="P34" s="6" t="str">
        <f>IF(OR(Table16[[#This Row],[Type]]="Main Product", Table16[[#This Row],[Type]]="Co-Product"), Table16[[#This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IF(Table16[[#This Row],[Type]]="Co-product", "No", "")</f>
        <v/>
      </c>
      <c r="J35" s="25"/>
      <c r="K35" s="6"/>
      <c r="L35" s="6" t="str">
        <f>IF(Table16[[#This Row],[Category]]="Transportation", _xlfn.XLOOKUP(Table16[[#This Row],[Resource]], 'SI - Payload'!$A$10:$A$38,'SI - Payload'!$B$10:$B$38,"",0), "")</f>
        <v/>
      </c>
      <c r="M35" s="6" t="str">
        <f>IF(Table16[[#This Row],[Category]]="Transportation", "ton", "")</f>
        <v/>
      </c>
      <c r="N35" s="6"/>
      <c r="O35" s="6"/>
      <c r="P35" s="6" t="str">
        <f>IF(OR(Table16[[#This Row],[Type]]="Main Product", Table16[[#This Row],[Type]]="Co-Product"), Table16[[#This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IF(Table16[[#This Row],[Type]]="Co-product", "No", "")</f>
        <v/>
      </c>
      <c r="J36" s="25"/>
      <c r="K36" s="6"/>
      <c r="L36" s="6" t="str">
        <f>IF(Table16[[#This Row],[Category]]="Transportation", _xlfn.XLOOKUP(Table16[[#This Row],[Resource]], 'SI - Payload'!$A$10:$A$38,'SI - Payload'!$B$10:$B$38,"",0), "")</f>
        <v/>
      </c>
      <c r="M36" s="6" t="str">
        <f>IF(Table16[[#This Row],[Category]]="Transportation", "ton", "")</f>
        <v/>
      </c>
      <c r="N36" s="6"/>
      <c r="O36" s="6"/>
      <c r="P36" s="6" t="str">
        <f>IF(OR(Table16[[#This Row],[Type]]="Main Product", Table16[[#This Row],[Type]]="Co-Product"), Table16[[#This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IF(Table16[[#This Row],[Type]]="Co-product", "No", "")</f>
        <v/>
      </c>
      <c r="J37" s="25"/>
      <c r="K37" s="6"/>
      <c r="L37" s="6" t="str">
        <f>IF(Table16[[#This Row],[Category]]="Transportation", _xlfn.XLOOKUP(Table16[[#This Row],[Resource]], 'SI - Payload'!$A$10:$A$38,'SI - Payload'!$B$10:$B$38,"",0), "")</f>
        <v/>
      </c>
      <c r="M37" s="6" t="str">
        <f>IF(Table16[[#This Row],[Category]]="Transportation", "ton", "")</f>
        <v/>
      </c>
      <c r="N37" s="6"/>
      <c r="O37" s="6"/>
      <c r="P37" s="6" t="str">
        <f>IF(OR(Table16[[#This Row],[Type]]="Main Product", Table16[[#This Row],[Type]]="Co-Product"), Table16[[#This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IF(Table16[[#This Row],[Type]]="Co-product", "No", "")</f>
        <v/>
      </c>
      <c r="J38" s="25"/>
      <c r="K38" s="6"/>
      <c r="L38" s="6" t="str">
        <f>IF(Table16[[#This Row],[Category]]="Transportation", _xlfn.XLOOKUP(Table16[[#This Row],[Resource]], 'SI - Payload'!$A$10:$A$38,'SI - Payload'!$B$10:$B$38,"",0), "")</f>
        <v/>
      </c>
      <c r="M38" s="6" t="str">
        <f>IF(Table16[[#This Row],[Category]]="Transportation", "ton", "")</f>
        <v/>
      </c>
      <c r="N38" s="6"/>
      <c r="O38" s="6"/>
      <c r="P38" s="6" t="str">
        <f>IF(OR(Table16[[#This Row],[Type]]="Main Product", Table16[[#This Row],[Type]]="Co-Product"), Table16[[#This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IF(Table16[[#This Row],[Type]]="Co-product", "No", "")</f>
        <v/>
      </c>
      <c r="J39" s="25"/>
      <c r="K39" s="6"/>
      <c r="L39" s="6" t="str">
        <f>IF(Table16[[#This Row],[Category]]="Transportation", _xlfn.XLOOKUP(Table16[[#This Row],[Resource]], 'SI - Payload'!$A$10:$A$38,'SI - Payload'!$B$10:$B$38,"",0), "")</f>
        <v/>
      </c>
      <c r="M39" s="6" t="str">
        <f>IF(Table16[[#This Row],[Category]]="Transportation", "ton", "")</f>
        <v/>
      </c>
      <c r="N39" s="6"/>
      <c r="O39" s="6"/>
      <c r="P39" s="6" t="str">
        <f>IF(OR(Table16[[#This Row],[Type]]="Main Product", Table16[[#This Row],[Type]]="Co-Product"), Table16[[#This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IF(Table16[[#This Row],[Type]]="Co-product", "No", "")</f>
        <v/>
      </c>
      <c r="J40" s="25"/>
      <c r="K40" s="6"/>
      <c r="L40" s="6" t="str">
        <f>IF(Table16[[#This Row],[Category]]="Transportation", _xlfn.XLOOKUP(Table16[[#This Row],[Resource]], 'SI - Payload'!$A$10:$A$38,'SI - Payload'!$B$10:$B$38,"",0), "")</f>
        <v/>
      </c>
      <c r="M40" s="6" t="str">
        <f>IF(Table16[[#This Row],[Category]]="Transportation", "ton", "")</f>
        <v/>
      </c>
      <c r="N40" s="6"/>
      <c r="O40" s="6"/>
      <c r="P40" s="6" t="str">
        <f>IF(OR(Table16[[#This Row],[Type]]="Main Product", Table16[[#This Row],[Type]]="Co-Product"), Table16[[#This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IF(Table16[[#This Row],[Type]]="Co-product", "No", "")</f>
        <v/>
      </c>
      <c r="J41" s="25"/>
      <c r="K41" s="6"/>
      <c r="L41" s="6" t="str">
        <f>IF(Table16[[#This Row],[Category]]="Transportation", _xlfn.XLOOKUP(Table16[[#This Row],[Resource]], 'SI - Payload'!$A$10:$A$38,'SI - Payload'!$B$10:$B$38,"",0), "")</f>
        <v/>
      </c>
      <c r="M41" s="6" t="str">
        <f>IF(Table16[[#This Row],[Category]]="Transportation", "ton", "")</f>
        <v/>
      </c>
      <c r="N41" s="6"/>
      <c r="O41" s="6"/>
      <c r="P41" s="6" t="str">
        <f>IF(OR(Table16[[#This Row],[Type]]="Main Product", Table16[[#This Row],[Type]]="Co-Product"), Table16[[#This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IF(Table16[[#This Row],[Type]]="Co-product", "No", "")</f>
        <v/>
      </c>
      <c r="J42" s="25"/>
      <c r="K42" s="6"/>
      <c r="L42" s="6" t="str">
        <f>IF(Table16[[#This Row],[Category]]="Transportation", _xlfn.XLOOKUP(Table16[[#This Row],[Resource]], 'SI - Payload'!$A$10:$A$38,'SI - Payload'!$B$10:$B$38,"",0), "")</f>
        <v/>
      </c>
      <c r="M42" s="6" t="str">
        <f>IF(Table16[[#This Row],[Category]]="Transportation", "ton", "")</f>
        <v/>
      </c>
      <c r="N42" s="6"/>
      <c r="O42" s="6"/>
      <c r="P42" s="6" t="str">
        <f>IF(OR(Table16[[#This Row],[Type]]="Main Product", Table16[[#This Row],[Type]]="Co-Product"), Table16[[#This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IF(Table16[[#This Row],[Type]]="Co-product", "No", "")</f>
        <v/>
      </c>
      <c r="J43" s="25"/>
      <c r="K43" s="6"/>
      <c r="L43" s="6" t="str">
        <f>IF(Table16[[#This Row],[Category]]="Transportation", _xlfn.XLOOKUP(Table16[[#This Row],[Resource]], 'SI - Payload'!$A$10:$A$38,'SI - Payload'!$B$10:$B$38,"",0), "")</f>
        <v/>
      </c>
      <c r="M43" s="6" t="str">
        <f>IF(Table16[[#This Row],[Category]]="Transportation", "ton", "")</f>
        <v/>
      </c>
      <c r="N43" s="6"/>
      <c r="O43" s="6"/>
      <c r="P43" s="6" t="str">
        <f>IF(OR(Table16[[#This Row],[Type]]="Main Product", Table16[[#This Row],[Type]]="Co-Product"), Table16[[#This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IF(Table16[[#This Row],[Type]]="Co-product", "No", "")</f>
        <v/>
      </c>
      <c r="J44" s="25"/>
      <c r="K44" s="6"/>
      <c r="L44" s="6" t="str">
        <f>IF(Table16[[#This Row],[Category]]="Transportation", _xlfn.XLOOKUP(Table16[[#This Row],[Resource]], 'SI - Payload'!$A$10:$A$38,'SI - Payload'!$B$10:$B$38,"",0), "")</f>
        <v/>
      </c>
      <c r="M44" s="6" t="str">
        <f>IF(Table16[[#This Row],[Category]]="Transportation", "ton", "")</f>
        <v/>
      </c>
      <c r="N44" s="6"/>
      <c r="O44" s="6"/>
      <c r="P44" s="6" t="str">
        <f>IF(OR(Table16[[#This Row],[Type]]="Main Product", Table16[[#This Row],[Type]]="Co-Product"), Table16[[#This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IF(Table16[[#This Row],[Type]]="Co-product", "No", "")</f>
        <v/>
      </c>
      <c r="J45" s="25"/>
      <c r="K45" s="6"/>
      <c r="L45" s="6" t="str">
        <f>IF(Table16[[#This Row],[Category]]="Transportation", _xlfn.XLOOKUP(Table16[[#This Row],[Resource]], 'SI - Payload'!$A$10:$A$38,'SI - Payload'!$B$10:$B$38,"",0), "")</f>
        <v/>
      </c>
      <c r="M45" s="6" t="str">
        <f>IF(Table16[[#This Row],[Category]]="Transportation", "ton", "")</f>
        <v/>
      </c>
      <c r="N45" s="6"/>
      <c r="O45" s="6"/>
      <c r="P45" s="6" t="str">
        <f>IF(OR(Table16[[#This Row],[Type]]="Main Product", Table16[[#This Row],[Type]]="Co-Product"), Table16[[#This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IF(Table16[[#This Row],[Type]]="Co-product", "No", "")</f>
        <v/>
      </c>
      <c r="J46" s="25"/>
      <c r="K46" s="6"/>
      <c r="L46" s="6" t="str">
        <f>IF(Table16[[#This Row],[Category]]="Transportation", _xlfn.XLOOKUP(Table16[[#This Row],[Resource]], 'SI - Payload'!$A$10:$A$38,'SI - Payload'!$B$10:$B$38,"",0), "")</f>
        <v/>
      </c>
      <c r="M46" s="6" t="str">
        <f>IF(Table16[[#This Row],[Category]]="Transportation", "ton", "")</f>
        <v/>
      </c>
      <c r="N46" s="6"/>
      <c r="O46" s="6"/>
      <c r="P46" s="6" t="str">
        <f>IF(OR(Table16[[#This Row],[Type]]="Main Product", Table16[[#This Row],[Type]]="Co-Product"), Table16[[#This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IF(Table16[[#This Row],[Type]]="Co-product", "No", "")</f>
        <v/>
      </c>
      <c r="J47" s="25"/>
      <c r="K47" s="6"/>
      <c r="L47" s="6" t="str">
        <f>IF(Table16[[#This Row],[Category]]="Transportation", _xlfn.XLOOKUP(Table16[[#This Row],[Resource]], 'SI - Payload'!$A$10:$A$38,'SI - Payload'!$B$10:$B$38,"",0), "")</f>
        <v/>
      </c>
      <c r="M47" s="6" t="str">
        <f>IF(Table16[[#This Row],[Category]]="Transportation", "ton", "")</f>
        <v/>
      </c>
      <c r="N47" s="6"/>
      <c r="O47" s="6"/>
      <c r="P47" s="6" t="str">
        <f>IF(OR(Table16[[#This Row],[Type]]="Main Product", Table16[[#This Row],[Type]]="Co-Product"), Table16[[#This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IF(Table16[[#This Row],[Type]]="Co-product", "No", "")</f>
        <v/>
      </c>
      <c r="J48" s="25"/>
      <c r="K48" s="6"/>
      <c r="L48" s="6" t="str">
        <f>IF(Table16[[#This Row],[Category]]="Transportation", _xlfn.XLOOKUP(Table16[[#This Row],[Resource]], 'SI - Payload'!$A$10:$A$38,'SI - Payload'!$B$10:$B$38,"",0), "")</f>
        <v/>
      </c>
      <c r="M48" s="6" t="str">
        <f>IF(Table16[[#This Row],[Category]]="Transportation", "ton", "")</f>
        <v/>
      </c>
      <c r="N48" s="6"/>
      <c r="O48" s="6"/>
      <c r="P48" s="6" t="str">
        <f>IF(OR(Table16[[#This Row],[Type]]="Main Product", Table16[[#This Row],[Type]]="Co-Product"), Table16[[#This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IF(Table16[[#This Row],[Type]]="Co-product", "No", "")</f>
        <v/>
      </c>
      <c r="J49" s="25"/>
      <c r="K49" s="6"/>
      <c r="L49" s="6" t="str">
        <f>IF(Table16[[#This Row],[Category]]="Transportation", _xlfn.XLOOKUP(Table16[[#This Row],[Resource]], 'SI - Payload'!$A$10:$A$38,'SI - Payload'!$B$10:$B$38,"",0), "")</f>
        <v/>
      </c>
      <c r="M49" s="6" t="str">
        <f>IF(Table16[[#This Row],[Category]]="Transportation", "ton", "")</f>
        <v/>
      </c>
      <c r="N49" s="6"/>
      <c r="O49" s="6"/>
      <c r="P49" s="6" t="str">
        <f>IF(OR(Table16[[#This Row],[Type]]="Main Product", Table16[[#This Row],[Type]]="Co-Product"), Table16[[#This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IF(Table16[[#This Row],[Type]]="Co-product", "No", "")</f>
        <v/>
      </c>
      <c r="J50" s="25"/>
      <c r="K50" s="6"/>
      <c r="L50" s="6" t="str">
        <f>IF(Table16[[#This Row],[Category]]="Transportation", _xlfn.XLOOKUP(Table16[[#This Row],[Resource]], 'SI - Payload'!$A$10:$A$38,'SI - Payload'!$B$10:$B$38,"",0), "")</f>
        <v/>
      </c>
      <c r="M50" s="6" t="str">
        <f>IF(Table16[[#This Row],[Category]]="Transportation", "ton", "")</f>
        <v/>
      </c>
      <c r="N50" s="6"/>
      <c r="O50" s="6"/>
      <c r="P50" s="6" t="str">
        <f>IF(OR(Table16[[#This Row],[Type]]="Main Product", Table16[[#This Row],[Type]]="Co-Product"), Table16[[#This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IF(Table16[[#This Row],[Type]]="Co-product", "No", "")</f>
        <v/>
      </c>
      <c r="J51" s="25"/>
      <c r="K51" s="6"/>
      <c r="L51" s="6" t="str">
        <f>IF(Table16[[#This Row],[Category]]="Transportation", _xlfn.XLOOKUP(Table16[[#This Row],[Resource]], 'SI - Payload'!$A$10:$A$38,'SI - Payload'!$B$10:$B$38,"",0), "")</f>
        <v/>
      </c>
      <c r="M51" s="6" t="str">
        <f>IF(Table16[[#This Row],[Category]]="Transportation", "ton", "")</f>
        <v/>
      </c>
      <c r="N51" s="6"/>
      <c r="O51" s="6"/>
      <c r="P51" s="6" t="str">
        <f>IF(OR(Table16[[#This Row],[Type]]="Main Product", Table16[[#This Row],[Type]]="Co-Product"), Table16[[#This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IF(Table16[[#This Row],[Type]]="Co-product", "No", "")</f>
        <v/>
      </c>
      <c r="J52" s="25"/>
      <c r="K52" s="6"/>
      <c r="L52" s="6" t="str">
        <f>IF(Table16[[#This Row],[Category]]="Transportation", _xlfn.XLOOKUP(Table16[[#This Row],[Resource]], 'SI - Payload'!$A$10:$A$38,'SI - Payload'!$B$10:$B$38,"",0), "")</f>
        <v/>
      </c>
      <c r="M52" s="6" t="str">
        <f>IF(Table16[[#This Row],[Category]]="Transportation", "ton", "")</f>
        <v/>
      </c>
      <c r="N52" s="6"/>
      <c r="O52" s="6"/>
      <c r="P52" s="6" t="str">
        <f>IF(OR(Table16[[#This Row],[Type]]="Main Product", Table16[[#This Row],[Type]]="Co-Product"), Table16[[#This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IF(Table16[[#This Row],[Type]]="Co-product", "No", "")</f>
        <v/>
      </c>
      <c r="J53" s="25"/>
      <c r="K53" s="6"/>
      <c r="L53" s="6" t="str">
        <f>IF(Table16[[#This Row],[Category]]="Transportation", _xlfn.XLOOKUP(Table16[[#This Row],[Resource]], 'SI - Payload'!$A$10:$A$38,'SI - Payload'!$B$10:$B$38,"",0), "")</f>
        <v/>
      </c>
      <c r="M53" s="6" t="str">
        <f>IF(Table16[[#This Row],[Category]]="Transportation", "ton", "")</f>
        <v/>
      </c>
      <c r="N53" s="6"/>
      <c r="O53" s="6"/>
      <c r="P53" s="6" t="str">
        <f>IF(OR(Table16[[#This Row],[Type]]="Main Product", Table16[[#This Row],[Type]]="Co-Product"), Table16[[#This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IF(Table16[[#This Row],[Type]]="Co-product", "No", "")</f>
        <v/>
      </c>
      <c r="J54" s="25"/>
      <c r="K54" s="6"/>
      <c r="L54" s="6" t="str">
        <f>IF(Table16[[#This Row],[Category]]="Transportation", _xlfn.XLOOKUP(Table16[[#This Row],[Resource]], 'SI - Payload'!$A$10:$A$38,'SI - Payload'!$B$10:$B$38,"",0), "")</f>
        <v/>
      </c>
      <c r="M54" s="6" t="str">
        <f>IF(Table16[[#This Row],[Category]]="Transportation", "ton", "")</f>
        <v/>
      </c>
      <c r="N54" s="6"/>
      <c r="O54" s="6"/>
      <c r="P54" s="6" t="str">
        <f>IF(OR(Table16[[#This Row],[Type]]="Main Product", Table16[[#This Row],[Type]]="Co-Product"), Table16[[#This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IF(Table16[[#This Row],[Type]]="Co-product", "No", "")</f>
        <v/>
      </c>
      <c r="J55" s="25"/>
      <c r="K55" s="6"/>
      <c r="L55" s="6" t="str">
        <f>IF(Table16[[#This Row],[Category]]="Transportation", _xlfn.XLOOKUP(Table16[[#This Row],[Resource]], 'SI - Payload'!$A$10:$A$38,'SI - Payload'!$B$10:$B$38,"",0), "")</f>
        <v/>
      </c>
      <c r="M55" s="6" t="str">
        <f>IF(Table16[[#This Row],[Category]]="Transportation", "ton", "")</f>
        <v/>
      </c>
      <c r="N55" s="6"/>
      <c r="O55" s="6"/>
      <c r="P55" s="6" t="str">
        <f>IF(OR(Table16[[#This Row],[Type]]="Main Product", Table16[[#This Row],[Type]]="Co-Product"), Table16[[#This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IF(Table16[[#This Row],[Type]]="Co-product", "No", "")</f>
        <v/>
      </c>
      <c r="J56" s="25"/>
      <c r="K56" s="6"/>
      <c r="L56" s="6" t="str">
        <f>IF(Table16[[#This Row],[Category]]="Transportation", _xlfn.XLOOKUP(Table16[[#This Row],[Resource]], 'SI - Payload'!$A$10:$A$38,'SI - Payload'!$B$10:$B$38,"",0), "")</f>
        <v/>
      </c>
      <c r="M56" s="6" t="str">
        <f>IF(Table16[[#This Row],[Category]]="Transportation", "ton", "")</f>
        <v/>
      </c>
      <c r="N56" s="6"/>
      <c r="O56" s="6"/>
      <c r="P56" s="6" t="str">
        <f>IF(OR(Table16[[#This Row],[Type]]="Main Product", Table16[[#This Row],[Type]]="Co-Product"), Table16[[#This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IF(Table16[[#This Row],[Type]]="Co-product", "No", "")</f>
        <v/>
      </c>
      <c r="J57" s="25"/>
      <c r="K57" s="6"/>
      <c r="L57" s="6" t="str">
        <f>IF(Table16[[#This Row],[Category]]="Transportation", _xlfn.XLOOKUP(Table16[[#This Row],[Resource]], 'SI - Payload'!$A$10:$A$38,'SI - Payload'!$B$10:$B$38,"",0), "")</f>
        <v/>
      </c>
      <c r="M57" s="6" t="str">
        <f>IF(Table16[[#This Row],[Category]]="Transportation", "ton", "")</f>
        <v/>
      </c>
      <c r="N57" s="6"/>
      <c r="O57" s="6"/>
      <c r="P57" s="6" t="str">
        <f>IF(OR(Table16[[#This Row],[Type]]="Main Product", Table16[[#This Row],[Type]]="Co-Product"), Table16[[#This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IF(Table16[[#This Row],[Type]]="Co-product", "No", "")</f>
        <v/>
      </c>
      <c r="J58" s="25"/>
      <c r="K58" s="6"/>
      <c r="L58" s="6" t="str">
        <f>IF(Table16[[#This Row],[Category]]="Transportation", _xlfn.XLOOKUP(Table16[[#This Row],[Resource]], 'SI - Payload'!$A$10:$A$38,'SI - Payload'!$B$10:$B$38,"",0), "")</f>
        <v/>
      </c>
      <c r="M58" s="6" t="str">
        <f>IF(Table16[[#This Row],[Category]]="Transportation", "ton", "")</f>
        <v/>
      </c>
      <c r="N58" s="6"/>
      <c r="O58" s="6"/>
      <c r="P58" s="6" t="str">
        <f>IF(OR(Table16[[#This Row],[Type]]="Main Product", Table16[[#This Row],[Type]]="Co-Product"), Table16[[#This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IF(Table16[[#This Row],[Type]]="Co-product", "No", "")</f>
        <v/>
      </c>
      <c r="J59" s="25"/>
      <c r="K59" s="6"/>
      <c r="L59" s="6" t="str">
        <f>IF(Table16[[#This Row],[Category]]="Transportation", _xlfn.XLOOKUP(Table16[[#This Row],[Resource]], 'SI - Payload'!$A$10:$A$38,'SI - Payload'!$B$10:$B$38,"",0), "")</f>
        <v/>
      </c>
      <c r="M59" s="6" t="str">
        <f>IF(Table16[[#This Row],[Category]]="Transportation", "ton", "")</f>
        <v/>
      </c>
      <c r="N59" s="6"/>
      <c r="O59" s="6"/>
      <c r="P59" s="6" t="str">
        <f>IF(OR(Table16[[#This Row],[Type]]="Main Product", Table16[[#This Row],[Type]]="Co-Product"), Table16[[#This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IF(Table16[[#This Row],[Type]]="Co-product", "No", "")</f>
        <v/>
      </c>
      <c r="J60" s="25"/>
      <c r="K60" s="6"/>
      <c r="L60" s="6" t="str">
        <f>IF(Table16[[#This Row],[Category]]="Transportation", _xlfn.XLOOKUP(Table16[[#This Row],[Resource]], 'SI - Payload'!$A$10:$A$38,'SI - Payload'!$B$10:$B$38,"",0), "")</f>
        <v/>
      </c>
      <c r="M60" s="6" t="str">
        <f>IF(Table16[[#This Row],[Category]]="Transportation", "ton", "")</f>
        <v/>
      </c>
      <c r="N60" s="6"/>
      <c r="O60" s="6"/>
      <c r="P60" s="6" t="str">
        <f>IF(OR(Table16[[#This Row],[Type]]="Main Product", Table16[[#This Row],[Type]]="Co-Product"), Table16[[#This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IF(Table16[[#This Row],[Type]]="Co-product", "No", "")</f>
        <v/>
      </c>
      <c r="J61" s="25"/>
      <c r="K61" s="6"/>
      <c r="L61" s="6" t="str">
        <f>IF(Table16[[#This Row],[Category]]="Transportation", _xlfn.XLOOKUP(Table16[[#This Row],[Resource]], 'SI - Payload'!$A$10:$A$38,'SI - Payload'!$B$10:$B$38,"",0), "")</f>
        <v/>
      </c>
      <c r="M61" s="6" t="str">
        <f>IF(Table16[[#This Row],[Category]]="Transportation", "ton", "")</f>
        <v/>
      </c>
      <c r="N61" s="6"/>
      <c r="O61" s="6"/>
      <c r="P61" s="6" t="str">
        <f>IF(OR(Table16[[#This Row],[Type]]="Main Product", Table16[[#This Row],[Type]]="Co-Product"), Table16[[#This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IF(Table16[[#This Row],[Type]]="Co-product", "No", "")</f>
        <v/>
      </c>
      <c r="J62" s="25"/>
      <c r="K62" s="6"/>
      <c r="L62" s="6" t="str">
        <f>IF(Table16[[#This Row],[Category]]="Transportation", _xlfn.XLOOKUP(Table16[[#This Row],[Resource]], 'SI - Payload'!$A$10:$A$38,'SI - Payload'!$B$10:$B$38,"",0), "")</f>
        <v/>
      </c>
      <c r="M62" s="6" t="str">
        <f>IF(Table16[[#This Row],[Category]]="Transportation", "ton", "")</f>
        <v/>
      </c>
      <c r="N62" s="6"/>
      <c r="O62" s="6"/>
      <c r="P62" s="6" t="str">
        <f>IF(OR(Table16[[#This Row],[Type]]="Main Product", Table16[[#This Row],[Type]]="Co-Product"), Table16[[#This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IF(Table16[[#This Row],[Type]]="Co-product", "No", "")</f>
        <v/>
      </c>
      <c r="J63" s="25"/>
      <c r="K63" s="6"/>
      <c r="L63" s="6" t="str">
        <f>IF(Table16[[#This Row],[Category]]="Transportation", _xlfn.XLOOKUP(Table16[[#This Row],[Resource]], 'SI - Payload'!$A$10:$A$38,'SI - Payload'!$B$10:$B$38,"",0), "")</f>
        <v/>
      </c>
      <c r="M63" s="6" t="str">
        <f>IF(Table16[[#This Row],[Category]]="Transportation", "ton", "")</f>
        <v/>
      </c>
      <c r="N63" s="6"/>
      <c r="O63" s="6"/>
      <c r="P63" s="6" t="str">
        <f>IF(OR(Table16[[#This Row],[Type]]="Main Product", Table16[[#This Row],[Type]]="Co-Product"), Table16[[#This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IF(Table16[[#This Row],[Type]]="Co-product", "No", "")</f>
        <v/>
      </c>
      <c r="J64" s="25"/>
      <c r="K64" s="6"/>
      <c r="L64" s="6" t="str">
        <f>IF(Table16[[#This Row],[Category]]="Transportation", _xlfn.XLOOKUP(Table16[[#This Row],[Resource]], 'SI - Payload'!$A$10:$A$38,'SI - Payload'!$B$10:$B$38,"",0), "")</f>
        <v/>
      </c>
      <c r="M64" s="6" t="str">
        <f>IF(Table16[[#This Row],[Category]]="Transportation", "ton", "")</f>
        <v/>
      </c>
      <c r="N64" s="6"/>
      <c r="O64" s="6"/>
      <c r="P64" s="6" t="str">
        <f>IF(OR(Table16[[#This Row],[Type]]="Main Product", Table16[[#This Row],[Type]]="Co-Product"), Table16[[#This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IF(Table16[[#This Row],[Type]]="Co-product", "No", "")</f>
        <v/>
      </c>
      <c r="J65" s="25"/>
      <c r="K65" s="6"/>
      <c r="L65" s="6" t="str">
        <f>IF(Table16[[#This Row],[Category]]="Transportation", _xlfn.XLOOKUP(Table16[[#This Row],[Resource]], 'SI - Payload'!$A$10:$A$38,'SI - Payload'!$B$10:$B$38,"",0), "")</f>
        <v/>
      </c>
      <c r="M65" s="6" t="str">
        <f>IF(Table16[[#This Row],[Category]]="Transportation", "ton", "")</f>
        <v/>
      </c>
      <c r="N65" s="6"/>
      <c r="O65" s="6"/>
      <c r="P65" s="6" t="str">
        <f>IF(OR(Table16[[#This Row],[Type]]="Main Product", Table16[[#This Row],[Type]]="Co-Product"), Table16[[#This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IF(Table16[[#This Row],[Type]]="Co-product", "No", "")</f>
        <v/>
      </c>
      <c r="J66" s="25"/>
      <c r="K66" s="6"/>
      <c r="L66" s="6" t="str">
        <f>IF(Table16[[#This Row],[Category]]="Transportation", _xlfn.XLOOKUP(Table16[[#This Row],[Resource]], 'SI - Payload'!$A$10:$A$38,'SI - Payload'!$B$10:$B$38,"",0), "")</f>
        <v/>
      </c>
      <c r="M66" s="6" t="str">
        <f>IF(Table16[[#This Row],[Category]]="Transportation", "ton", "")</f>
        <v/>
      </c>
      <c r="N66" s="6"/>
      <c r="O66" s="6"/>
      <c r="P66" s="6" t="str">
        <f>IF(OR(Table16[[#This Row],[Type]]="Main Product", Table16[[#This Row],[Type]]="Co-Product"), Table16[[#This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IF(Table16[[#This Row],[Type]]="Co-product", "No", "")</f>
        <v/>
      </c>
      <c r="J67" s="25"/>
      <c r="K67" s="6"/>
      <c r="L67" s="6" t="str">
        <f>IF(Table16[[#This Row],[Category]]="Transportation", _xlfn.XLOOKUP(Table16[[#This Row],[Resource]], 'SI - Payload'!$A$10:$A$38,'SI - Payload'!$B$10:$B$38,"",0), "")</f>
        <v/>
      </c>
      <c r="M67" s="6" t="str">
        <f>IF(Table16[[#This Row],[Category]]="Transportation", "ton", "")</f>
        <v/>
      </c>
      <c r="N67" s="6"/>
      <c r="O67" s="6"/>
      <c r="P67" s="6" t="str">
        <f>IF(OR(Table16[[#This Row],[Type]]="Main Product", Table16[[#This Row],[Type]]="Co-Product"), Table16[[#This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IF(Table16[[#This Row],[Type]]="Co-product", "No", "")</f>
        <v/>
      </c>
      <c r="J68" s="25"/>
      <c r="K68" s="6"/>
      <c r="L68" s="6" t="str">
        <f>IF(Table16[[#This Row],[Category]]="Transportation", _xlfn.XLOOKUP(Table16[[#This Row],[Resource]], 'SI - Payload'!$A$10:$A$38,'SI - Payload'!$B$10:$B$38,"",0), "")</f>
        <v/>
      </c>
      <c r="M68" s="6" t="str">
        <f>IF(Table16[[#This Row],[Category]]="Transportation", "ton", "")</f>
        <v/>
      </c>
      <c r="N68" s="6"/>
      <c r="O68" s="6"/>
      <c r="P68" s="6" t="str">
        <f>IF(OR(Table16[[#This Row],[Type]]="Main Product", Table16[[#This Row],[Type]]="Co-Product"), Table16[[#This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IF(Table16[[#This Row],[Type]]="Co-product", "No", "")</f>
        <v/>
      </c>
      <c r="J69" s="25"/>
      <c r="K69" s="6"/>
      <c r="L69" s="6" t="str">
        <f>IF(Table16[[#This Row],[Category]]="Transportation", _xlfn.XLOOKUP(Table16[[#This Row],[Resource]], 'SI - Payload'!$A$10:$A$38,'SI - Payload'!$B$10:$B$38,"",0), "")</f>
        <v/>
      </c>
      <c r="M69" s="6" t="str">
        <f>IF(Table16[[#This Row],[Category]]="Transportation", "ton", "")</f>
        <v/>
      </c>
      <c r="N69" s="6"/>
      <c r="O69" s="6"/>
      <c r="P69" s="6" t="str">
        <f>IF(OR(Table16[[#This Row],[Type]]="Main Product", Table16[[#This Row],[Type]]="Co-Product"), Table16[[#This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IF(Table16[[#This Row],[Type]]="Co-product", "No", "")</f>
        <v/>
      </c>
      <c r="J70" s="25"/>
      <c r="K70" s="6"/>
      <c r="L70" s="6" t="str">
        <f>IF(Table16[[#This Row],[Category]]="Transportation", _xlfn.XLOOKUP(Table16[[#This Row],[Resource]], 'SI - Payload'!$A$10:$A$38,'SI - Payload'!$B$10:$B$38,"",0), "")</f>
        <v/>
      </c>
      <c r="M70" s="6" t="str">
        <f>IF(Table16[[#This Row],[Category]]="Transportation", "ton", "")</f>
        <v/>
      </c>
      <c r="N70" s="6"/>
      <c r="O70" s="6"/>
      <c r="P70" s="6" t="str">
        <f>IF(OR(Table16[[#This Row],[Type]]="Main Product", Table16[[#This Row],[Type]]="Co-Product"), Table16[[#This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IF(Table16[[#This Row],[Type]]="Co-product", "No", "")</f>
        <v/>
      </c>
      <c r="J71" s="25"/>
      <c r="K71" s="6"/>
      <c r="L71" s="6" t="str">
        <f>IF(Table16[[#This Row],[Category]]="Transportation", _xlfn.XLOOKUP(Table16[[#This Row],[Resource]], 'SI - Payload'!$A$10:$A$38,'SI - Payload'!$B$10:$B$38,"",0), "")</f>
        <v/>
      </c>
      <c r="M71" s="6" t="str">
        <f>IF(Table16[[#This Row],[Category]]="Transportation", "ton", "")</f>
        <v/>
      </c>
      <c r="N71" s="6"/>
      <c r="O71" s="6"/>
      <c r="P71" s="6" t="str">
        <f>IF(OR(Table16[[#This Row],[Type]]="Main Product", Table16[[#This Row],[Type]]="Co-Product"), Table16[[#This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IF(Table16[[#This Row],[Type]]="Co-product", "No", "")</f>
        <v/>
      </c>
      <c r="J72" s="25"/>
      <c r="K72" s="6"/>
      <c r="L72" s="6" t="str">
        <f>IF(Table16[[#This Row],[Category]]="Transportation", _xlfn.XLOOKUP(Table16[[#This Row],[Resource]], 'SI - Payload'!$A$10:$A$38,'SI - Payload'!$B$10:$B$38,"",0), "")</f>
        <v/>
      </c>
      <c r="M72" s="6" t="str">
        <f>IF(Table16[[#This Row],[Category]]="Transportation", "ton", "")</f>
        <v/>
      </c>
      <c r="N72" s="6"/>
      <c r="O72" s="6"/>
      <c r="P72" s="6" t="str">
        <f>IF(OR(Table16[[#This Row],[Type]]="Main Product", Table16[[#This Row],[Type]]="Co-Product"), Table16[[#This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IF(Table16[[#This Row],[Type]]="Co-product", "No", "")</f>
        <v/>
      </c>
      <c r="J73" s="25"/>
      <c r="K73" s="6"/>
      <c r="L73" s="6" t="str">
        <f>IF(Table16[[#This Row],[Category]]="Transportation", _xlfn.XLOOKUP(Table16[[#This Row],[Resource]], 'SI - Payload'!$A$10:$A$38,'SI - Payload'!$B$10:$B$38,"",0), "")</f>
        <v/>
      </c>
      <c r="M73" s="6" t="str">
        <f>IF(Table16[[#This Row],[Category]]="Transportation", "ton", "")</f>
        <v/>
      </c>
      <c r="N73" s="6"/>
      <c r="O73" s="6"/>
      <c r="P73" s="6" t="str">
        <f>IF(OR(Table16[[#This Row],[Type]]="Main Product", Table16[[#This Row],[Type]]="Co-Product"), Table16[[#This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IF(Table16[[#This Row],[Type]]="Co-product", "No", "")</f>
        <v/>
      </c>
      <c r="J74" s="25"/>
      <c r="K74" s="6"/>
      <c r="L74" s="6" t="str">
        <f>IF(Table16[[#This Row],[Category]]="Transportation", _xlfn.XLOOKUP(Table16[[#This Row],[Resource]], 'SI - Payload'!$A$10:$A$38,'SI - Payload'!$B$10:$B$38,"",0), "")</f>
        <v/>
      </c>
      <c r="M74" s="6" t="str">
        <f>IF(Table16[[#This Row],[Category]]="Transportation", "ton", "")</f>
        <v/>
      </c>
      <c r="N74" s="6"/>
      <c r="O74" s="6"/>
      <c r="P74" s="6" t="str">
        <f>IF(OR(Table16[[#This Row],[Type]]="Main Product", Table16[[#This Row],[Type]]="Co-Product"), Table16[[#This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IF(Table16[[#This Row],[Type]]="Co-product", "No", "")</f>
        <v/>
      </c>
      <c r="J75" s="25"/>
      <c r="K75" s="6"/>
      <c r="L75" s="6" t="str">
        <f>IF(Table16[[#This Row],[Category]]="Transportation", _xlfn.XLOOKUP(Table16[[#This Row],[Resource]], 'SI - Payload'!$A$10:$A$38,'SI - Payload'!$B$10:$B$38,"",0), "")</f>
        <v/>
      </c>
      <c r="M75" s="6" t="str">
        <f>IF(Table16[[#This Row],[Category]]="Transportation", "ton", "")</f>
        <v/>
      </c>
      <c r="N75" s="6"/>
      <c r="O75" s="6"/>
      <c r="P75" s="6" t="str">
        <f>IF(OR(Table16[[#This Row],[Type]]="Main Product", Table16[[#This Row],[Type]]="Co-Product"), Table16[[#This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IF(Table16[[#This Row],[Type]]="Co-product", "No", "")</f>
        <v/>
      </c>
      <c r="J76" s="25"/>
      <c r="K76" s="6"/>
      <c r="L76" s="6" t="str">
        <f>IF(Table16[[#This Row],[Category]]="Transportation", _xlfn.XLOOKUP(Table16[[#This Row],[Resource]], 'SI - Payload'!$A$10:$A$38,'SI - Payload'!$B$10:$B$38,"",0), "")</f>
        <v/>
      </c>
      <c r="M76" s="6" t="str">
        <f>IF(Table16[[#This Row],[Category]]="Transportation", "ton", "")</f>
        <v/>
      </c>
      <c r="N76" s="6"/>
      <c r="O76" s="6"/>
      <c r="P76" s="6" t="str">
        <f>IF(OR(Table16[[#This Row],[Type]]="Main Product", Table16[[#This Row],[Type]]="Co-Product"), Table16[[#This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IF(Table16[[#This Row],[Type]]="Co-product", "No", "")</f>
        <v/>
      </c>
      <c r="J77" s="25"/>
      <c r="K77" s="6"/>
      <c r="L77" s="6" t="str">
        <f>IF(Table16[[#This Row],[Category]]="Transportation", _xlfn.XLOOKUP(Table16[[#This Row],[Resource]], 'SI - Payload'!$A$10:$A$38,'SI - Payload'!$B$10:$B$38,"",0), "")</f>
        <v/>
      </c>
      <c r="M77" s="6" t="str">
        <f>IF(Table16[[#This Row],[Category]]="Transportation", "ton", "")</f>
        <v/>
      </c>
      <c r="N77" s="6"/>
      <c r="O77" s="6"/>
      <c r="P77" s="6" t="str">
        <f>IF(OR(Table16[[#This Row],[Type]]="Main Product", Table16[[#This Row],[Type]]="Co-Product"), Table16[[#This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IF(Table16[[#This Row],[Type]]="Co-product", "No", "")</f>
        <v/>
      </c>
      <c r="J78" s="25"/>
      <c r="K78" s="6"/>
      <c r="L78" s="6" t="str">
        <f>IF(Table16[[#This Row],[Category]]="Transportation", _xlfn.XLOOKUP(Table16[[#This Row],[Resource]], 'SI - Payload'!$A$10:$A$38,'SI - Payload'!$B$10:$B$38,"",0), "")</f>
        <v/>
      </c>
      <c r="M78" s="6" t="str">
        <f>IF(Table16[[#This Row],[Category]]="Transportation", "ton", "")</f>
        <v/>
      </c>
      <c r="N78" s="6"/>
      <c r="O78" s="6"/>
      <c r="P78" s="6" t="str">
        <f>IF(OR(Table16[[#This Row],[Type]]="Main Product", Table16[[#This Row],[Type]]="Co-Product"), Table16[[#This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IF(Table16[[#This Row],[Type]]="Co-product", "No", "")</f>
        <v/>
      </c>
      <c r="J79" s="25"/>
      <c r="K79" s="6"/>
      <c r="L79" s="6" t="str">
        <f>IF(Table16[[#This Row],[Category]]="Transportation", _xlfn.XLOOKUP(Table16[[#This Row],[Resource]], 'SI - Payload'!$A$10:$A$38,'SI - Payload'!$B$10:$B$38,"",0), "")</f>
        <v/>
      </c>
      <c r="M79" s="6" t="str">
        <f>IF(Table16[[#This Row],[Category]]="Transportation", "ton", "")</f>
        <v/>
      </c>
      <c r="N79" s="6"/>
      <c r="O79" s="6"/>
      <c r="P79" s="6" t="str">
        <f>IF(OR(Table16[[#This Row],[Type]]="Main Product", Table16[[#This Row],[Type]]="Co-Product"), Table16[[#This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IF(Table16[[#This Row],[Type]]="Co-product", "No", "")</f>
        <v/>
      </c>
      <c r="J80" s="25"/>
      <c r="K80" s="6"/>
      <c r="L80" s="6" t="str">
        <f>IF(Table16[[#This Row],[Category]]="Transportation", _xlfn.XLOOKUP(Table16[[#This Row],[Resource]], 'SI - Payload'!$A$10:$A$38,'SI - Payload'!$B$10:$B$38,"",0), "")</f>
        <v/>
      </c>
      <c r="M80" s="6" t="str">
        <f>IF(Table16[[#This Row],[Category]]="Transportation", "ton", "")</f>
        <v/>
      </c>
      <c r="N80" s="6"/>
      <c r="O80" s="6"/>
      <c r="P80" s="6" t="str">
        <f>IF(OR(Table16[[#This Row],[Type]]="Main Product", Table16[[#This Row],[Type]]="Co-Product"), Table16[[#This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IF(Table16[[#This Row],[Type]]="Co-product", "No", "")</f>
        <v/>
      </c>
      <c r="J81" s="25"/>
      <c r="K81" s="6"/>
      <c r="L81" s="6" t="str">
        <f>IF(Table16[[#This Row],[Category]]="Transportation", _xlfn.XLOOKUP(Table16[[#This Row],[Resource]], 'SI - Payload'!$A$10:$A$38,'SI - Payload'!$B$10:$B$38,"",0), "")</f>
        <v/>
      </c>
      <c r="M81" s="6" t="str">
        <f>IF(Table16[[#This Row],[Category]]="Transportation", "ton", "")</f>
        <v/>
      </c>
      <c r="N81" s="6"/>
      <c r="O81" s="6"/>
      <c r="P81" s="6" t="str">
        <f>IF(OR(Table16[[#This Row],[Type]]="Main Product", Table16[[#This Row],[Type]]="Co-Product"), Table16[[#This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IF(Table16[[#This Row],[Type]]="Co-product", "No", "")</f>
        <v/>
      </c>
      <c r="J82" s="25"/>
      <c r="K82" s="6"/>
      <c r="L82" s="6" t="str">
        <f>IF(Table16[[#This Row],[Category]]="Transportation", _xlfn.XLOOKUP(Table16[[#This Row],[Resource]], 'SI - Payload'!$A$10:$A$38,'SI - Payload'!$B$10:$B$38,"",0), "")</f>
        <v/>
      </c>
      <c r="M82" s="6" t="str">
        <f>IF(Table16[[#This Row],[Category]]="Transportation", "ton", "")</f>
        <v/>
      </c>
      <c r="N82" s="6"/>
      <c r="O82" s="6"/>
      <c r="P82" s="6" t="str">
        <f>IF(OR(Table16[[#This Row],[Type]]="Main Product", Table16[[#This Row],[Type]]="Co-Product"), Table16[[#This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IF(Table16[[#This Row],[Type]]="Co-product", "No", "")</f>
        <v/>
      </c>
      <c r="J83" s="25"/>
      <c r="K83" s="6"/>
      <c r="L83" s="6" t="str">
        <f>IF(Table16[[#This Row],[Category]]="Transportation", _xlfn.XLOOKUP(Table16[[#This Row],[Resource]], 'SI - Payload'!$A$10:$A$38,'SI - Payload'!$B$10:$B$38,"",0), "")</f>
        <v/>
      </c>
      <c r="M83" s="6" t="str">
        <f>IF(Table16[[#This Row],[Category]]="Transportation", "ton", "")</f>
        <v/>
      </c>
      <c r="N83" s="6"/>
      <c r="O83" s="6"/>
      <c r="P83" s="6" t="str">
        <f>IF(OR(Table16[[#This Row],[Type]]="Main Product", Table16[[#This Row],[Type]]="Co-Product"), Table16[[#This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IF(Table16[[#This Row],[Type]]="Co-product", "No", "")</f>
        <v/>
      </c>
      <c r="J84" s="25"/>
      <c r="K84" s="6"/>
      <c r="L84" s="6" t="str">
        <f>IF(Table16[[#This Row],[Category]]="Transportation", _xlfn.XLOOKUP(Table16[[#This Row],[Resource]], 'SI - Payload'!$A$10:$A$38,'SI - Payload'!$B$10:$B$38,"",0), "")</f>
        <v/>
      </c>
      <c r="M84" s="6" t="str">
        <f>IF(Table16[[#This Row],[Category]]="Transportation", "ton", "")</f>
        <v/>
      </c>
      <c r="N84" s="6"/>
      <c r="O84" s="6"/>
      <c r="P84" s="6" t="str">
        <f>IF(OR(Table16[[#This Row],[Type]]="Main Product", Table16[[#This Row],[Type]]="Co-Product"), Table16[[#This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IF(Table16[[#This Row],[Type]]="Co-product", "No", "")</f>
        <v/>
      </c>
      <c r="J85" s="25"/>
      <c r="K85" s="6"/>
      <c r="L85" s="6" t="str">
        <f>IF(Table16[[#This Row],[Category]]="Transportation", _xlfn.XLOOKUP(Table16[[#This Row],[Resource]], 'SI - Payload'!$A$10:$A$38,'SI - Payload'!$B$10:$B$38,"",0), "")</f>
        <v/>
      </c>
      <c r="M85" s="6" t="str">
        <f>IF(Table16[[#This Row],[Category]]="Transportation", "ton", "")</f>
        <v/>
      </c>
      <c r="N85" s="6"/>
      <c r="O85" s="6"/>
      <c r="P85" s="6" t="str">
        <f>IF(OR(Table16[[#This Row],[Type]]="Main Product", Table16[[#This Row],[Type]]="Co-Product"), Table16[[#This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IF(Table16[[#This Row],[Type]]="Co-product", "No", "")</f>
        <v/>
      </c>
      <c r="J86" s="25"/>
      <c r="K86" s="6"/>
      <c r="L86" s="6" t="str">
        <f>IF(Table16[[#This Row],[Category]]="Transportation", _xlfn.XLOOKUP(Table16[[#This Row],[Resource]], 'SI - Payload'!$A$10:$A$38,'SI - Payload'!$B$10:$B$38,"",0), "")</f>
        <v/>
      </c>
      <c r="M86" s="6" t="str">
        <f>IF(Table16[[#This Row],[Category]]="Transportation", "ton", "")</f>
        <v/>
      </c>
      <c r="N86" s="6"/>
      <c r="O86" s="6"/>
      <c r="P86" s="6" t="str">
        <f>IF(OR(Table16[[#This Row],[Type]]="Main Product", Table16[[#This Row],[Type]]="Co-Product"), Table16[[#This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IF(Table16[[#This Row],[Type]]="Co-product", "No", "")</f>
        <v/>
      </c>
      <c r="J87" s="25"/>
      <c r="K87" s="6"/>
      <c r="L87" s="6" t="str">
        <f>IF(Table16[[#This Row],[Category]]="Transportation", _xlfn.XLOOKUP(Table16[[#This Row],[Resource]], 'SI - Payload'!$A$10:$A$38,'SI - Payload'!$B$10:$B$38,"",0), "")</f>
        <v/>
      </c>
      <c r="M87" s="6" t="str">
        <f>IF(Table16[[#This Row],[Category]]="Transportation", "ton", "")</f>
        <v/>
      </c>
      <c r="N87" s="6"/>
      <c r="O87" s="6"/>
      <c r="P87" s="6" t="str">
        <f>IF(OR(Table16[[#This Row],[Type]]="Main Product", Table16[[#This Row],[Type]]="Co-Product"), Table16[[#This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IF(Table16[[#This Row],[Type]]="Co-product", "No", "")</f>
        <v/>
      </c>
      <c r="J88" s="25"/>
      <c r="K88" s="6"/>
      <c r="L88" s="6" t="str">
        <f>IF(Table16[[#This Row],[Category]]="Transportation", _xlfn.XLOOKUP(Table16[[#This Row],[Resource]], 'SI - Payload'!$A$10:$A$38,'SI - Payload'!$B$10:$B$38,"",0), "")</f>
        <v/>
      </c>
      <c r="M88" s="6" t="str">
        <f>IF(Table16[[#This Row],[Category]]="Transportation", "ton", "")</f>
        <v/>
      </c>
      <c r="N88" s="6"/>
      <c r="O88" s="6"/>
      <c r="P88" s="6" t="str">
        <f>IF(OR(Table16[[#This Row],[Type]]="Main Product", Table16[[#This Row],[Type]]="Co-Product"), Table16[[#This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IF(Table16[[#This Row],[Type]]="Co-product", "No", "")</f>
        <v/>
      </c>
      <c r="J89" s="25"/>
      <c r="K89" s="6"/>
      <c r="L89" s="6" t="str">
        <f>IF(Table16[[#This Row],[Category]]="Transportation", _xlfn.XLOOKUP(Table16[[#This Row],[Resource]], 'SI - Payload'!$A$10:$A$38,'SI - Payload'!$B$10:$B$38,"",0), "")</f>
        <v/>
      </c>
      <c r="M89" s="6" t="str">
        <f>IF(Table16[[#This Row],[Category]]="Transportation", "ton", "")</f>
        <v/>
      </c>
      <c r="N89" s="6"/>
      <c r="O89" s="6"/>
      <c r="P89" s="6" t="str">
        <f>IF(OR(Table16[[#This Row],[Type]]="Main Product", Table16[[#This Row],[Type]]="Co-Product"), Table16[[#This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IF(Table16[[#This Row],[Type]]="Co-product", "No", "")</f>
        <v/>
      </c>
      <c r="J90" s="25"/>
      <c r="K90" s="6"/>
      <c r="L90" s="6" t="str">
        <f>IF(Table16[[#This Row],[Category]]="Transportation", _xlfn.XLOOKUP(Table16[[#This Row],[Resource]], 'SI - Payload'!$A$10:$A$38,'SI - Payload'!$B$10:$B$38,"",0), "")</f>
        <v/>
      </c>
      <c r="M90" s="6" t="str">
        <f>IF(Table16[[#This Row],[Category]]="Transportation", "ton", "")</f>
        <v/>
      </c>
      <c r="N90" s="6"/>
      <c r="O90" s="6"/>
      <c r="P90" s="6" t="str">
        <f>IF(OR(Table16[[#This Row],[Type]]="Main Product", Table16[[#This Row],[Type]]="Co-Product"), Table16[[#This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IF(Table16[[#This Row],[Type]]="Co-product", "No", "")</f>
        <v/>
      </c>
      <c r="J91" s="25"/>
      <c r="K91" s="6"/>
      <c r="L91" s="6" t="str">
        <f>IF(Table16[[#This Row],[Category]]="Transportation", _xlfn.XLOOKUP(Table16[[#This Row],[Resource]], 'SI - Payload'!$A$10:$A$38,'SI - Payload'!$B$10:$B$38,"",0), "")</f>
        <v/>
      </c>
      <c r="M91" s="6" t="str">
        <f>IF(Table16[[#This Row],[Category]]="Transportation", "ton", "")</f>
        <v/>
      </c>
      <c r="N91" s="6"/>
      <c r="O91" s="6"/>
      <c r="P91" s="6" t="str">
        <f>IF(OR(Table16[[#This Row],[Type]]="Main Product", Table16[[#This Row],[Type]]="Co-Product"), Table16[[#This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IF(Table16[[#This Row],[Type]]="Co-product", "No", "")</f>
        <v/>
      </c>
      <c r="J92" s="25"/>
      <c r="K92" s="6"/>
      <c r="L92" s="6" t="str">
        <f>IF(Table16[[#This Row],[Category]]="Transportation", _xlfn.XLOOKUP(Table16[[#This Row],[Resource]], 'SI - Payload'!$A$10:$A$38,'SI - Payload'!$B$10:$B$38,"",0), "")</f>
        <v/>
      </c>
      <c r="M92" s="6" t="str">
        <f>IF(Table16[[#This Row],[Category]]="Transportation", "ton", "")</f>
        <v/>
      </c>
      <c r="N92" s="6"/>
      <c r="O92" s="6"/>
      <c r="P92" s="6" t="str">
        <f>IF(OR(Table16[[#This Row],[Type]]="Main Product", Table16[[#This Row],[Type]]="Co-Product"), Table16[[#This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IF(Table16[[#This Row],[Type]]="Co-product", "No", "")</f>
        <v/>
      </c>
      <c r="J93" s="25"/>
      <c r="K93" s="6"/>
      <c r="L93" s="6" t="str">
        <f>IF(Table16[[#This Row],[Category]]="Transportation", _xlfn.XLOOKUP(Table16[[#This Row],[Resource]], 'SI - Payload'!$A$10:$A$38,'SI - Payload'!$B$10:$B$38,"",0), "")</f>
        <v/>
      </c>
      <c r="M93" s="6" t="str">
        <f>IF(Table16[[#This Row],[Category]]="Transportation", "ton", "")</f>
        <v/>
      </c>
      <c r="N93" s="6"/>
      <c r="O93" s="6"/>
      <c r="P93" s="6" t="str">
        <f>IF(OR(Table16[[#This Row],[Type]]="Main Product", Table16[[#This Row],[Type]]="Co-Product"), Table16[[#This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IF(Table16[[#This Row],[Type]]="Co-product", "No", "")</f>
        <v/>
      </c>
      <c r="J94" s="25"/>
      <c r="K94" s="6"/>
      <c r="L94" s="6" t="str">
        <f>IF(Table16[[#This Row],[Category]]="Transportation", _xlfn.XLOOKUP(Table16[[#This Row],[Resource]], 'SI - Payload'!$A$10:$A$38,'SI - Payload'!$B$10:$B$38,"",0), "")</f>
        <v/>
      </c>
      <c r="M94" s="6" t="str">
        <f>IF(Table16[[#This Row],[Category]]="Transportation", "ton", "")</f>
        <v/>
      </c>
      <c r="N94" s="6"/>
      <c r="O94" s="6"/>
      <c r="P94" s="6" t="str">
        <f>IF(OR(Table16[[#This Row],[Type]]="Main Product", Table16[[#This Row],[Type]]="Co-Product"), Table16[[#This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IF(Table16[[#This Row],[Type]]="Co-product", "No", "")</f>
        <v/>
      </c>
      <c r="J95" s="25"/>
      <c r="K95" s="6"/>
      <c r="L95" s="6" t="str">
        <f>IF(Table16[[#This Row],[Category]]="Transportation", _xlfn.XLOOKUP(Table16[[#This Row],[Resource]], 'SI - Payload'!$A$10:$A$38,'SI - Payload'!$B$10:$B$38,"",0), "")</f>
        <v/>
      </c>
      <c r="M95" s="6" t="str">
        <f>IF(Table16[[#This Row],[Category]]="Transportation", "ton", "")</f>
        <v/>
      </c>
      <c r="N95" s="6"/>
      <c r="O95" s="6"/>
      <c r="P95" s="6" t="str">
        <f>IF(OR(Table16[[#This Row],[Type]]="Main Product", Table16[[#This Row],[Type]]="Co-Product"), Table16[[#This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IF(Table16[[#This Row],[Type]]="Co-product", "No", "")</f>
        <v/>
      </c>
      <c r="J96" s="25"/>
      <c r="K96" s="6"/>
      <c r="L96" s="6" t="str">
        <f>IF(Table16[[#This Row],[Category]]="Transportation", _xlfn.XLOOKUP(Table16[[#This Row],[Resource]], 'SI - Payload'!$A$10:$A$38,'SI - Payload'!$B$10:$B$38,"",0), "")</f>
        <v/>
      </c>
      <c r="M96" s="6" t="str">
        <f>IF(Table16[[#This Row],[Category]]="Transportation", "ton", "")</f>
        <v/>
      </c>
      <c r="N96" s="6"/>
      <c r="O96" s="6"/>
      <c r="P96" s="6" t="str">
        <f>IF(OR(Table16[[#This Row],[Type]]="Main Product", Table16[[#This Row],[Type]]="Co-Product"), Table16[[#This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IF(Table16[[#This Row],[Type]]="Co-product", "No", "")</f>
        <v/>
      </c>
      <c r="J97" s="25"/>
      <c r="K97" s="6"/>
      <c r="L97" s="6" t="str">
        <f>IF(Table16[[#This Row],[Category]]="Transportation", _xlfn.XLOOKUP(Table16[[#This Row],[Resource]], 'SI - Payload'!$A$10:$A$38,'SI - Payload'!$B$10:$B$38,"",0), "")</f>
        <v/>
      </c>
      <c r="M97" s="6" t="str">
        <f>IF(Table16[[#This Row],[Category]]="Transportation", "ton", "")</f>
        <v/>
      </c>
      <c r="N97" s="6"/>
      <c r="O97" s="6"/>
      <c r="P97" s="6" t="str">
        <f>IF(OR(Table16[[#This Row],[Type]]="Main Product", Table16[[#This Row],[Type]]="Co-Product"), Table16[[#This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IF(Table16[[#This Row],[Type]]="Co-product", "No", "")</f>
        <v/>
      </c>
      <c r="J98" s="25"/>
      <c r="K98" s="6"/>
      <c r="L98" s="6" t="str">
        <f>IF(Table16[[#This Row],[Category]]="Transportation", _xlfn.XLOOKUP(Table16[[#This Row],[Resource]], 'SI - Payload'!$A$10:$A$38,'SI - Payload'!$B$10:$B$38,"",0), "")</f>
        <v/>
      </c>
      <c r="M98" s="6" t="str">
        <f>IF(Table16[[#This Row],[Category]]="Transportation", "ton", "")</f>
        <v/>
      </c>
      <c r="N98" s="6"/>
      <c r="O98" s="6"/>
      <c r="P98" s="6" t="str">
        <f>IF(OR(Table16[[#This Row],[Type]]="Main Product", Table16[[#This Row],[Type]]="Co-Product"), Table16[[#This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IF(Table16[[#This Row],[Type]]="Co-product", "No", "")</f>
        <v/>
      </c>
      <c r="J99" s="25"/>
      <c r="K99" s="6"/>
      <c r="L99" s="6" t="str">
        <f>IF(Table16[[#This Row],[Category]]="Transportation", _xlfn.XLOOKUP(Table16[[#This Row],[Resource]], 'SI - Payload'!$A$10:$A$38,'SI - Payload'!$B$10:$B$38,"",0), "")</f>
        <v/>
      </c>
      <c r="M99" s="6" t="str">
        <f>IF(Table16[[#This Row],[Category]]="Transportation", "ton", "")</f>
        <v/>
      </c>
      <c r="N99" s="6"/>
      <c r="O99" s="6"/>
      <c r="P99" s="6" t="str">
        <f>IF(OR(Table16[[#This Row],[Type]]="Main Product", Table16[[#This Row],[Type]]="Co-Product"), Table16[[#This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IF(Table16[[#This Row],[Type]]="Co-product", "No", "")</f>
        <v/>
      </c>
      <c r="J100" s="25"/>
      <c r="K100" s="6"/>
      <c r="L100" s="6" t="str">
        <f>IF(Table16[[#This Row],[Category]]="Transportation", _xlfn.XLOOKUP(Table16[[#This Row],[Resource]], 'SI - Payload'!$A$10:$A$38,'SI - Payload'!$B$10:$B$38,"",0), "")</f>
        <v/>
      </c>
      <c r="M100" s="6" t="str">
        <f>IF(Table16[[#This Row],[Category]]="Transportation", "ton", "")</f>
        <v/>
      </c>
      <c r="N100" s="6"/>
      <c r="O100" s="6"/>
      <c r="P100" s="6" t="str">
        <f>IF(OR(Table16[[#This Row],[Type]]="Main Product", Table16[[#This Row],[Type]]="Co-Product"), Table16[[#This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BB010627-2C9F-4FCB-8BA5-5DE7F901780D}">
      <formula1>0</formula1>
      <formula2>1</formula2>
    </dataValidation>
    <dataValidation type="list" allowBlank="1" showInputMessage="1" showErrorMessage="1" sqref="M6:M100" xr:uid="{A41D511C-0FDD-448E-AB87-BF67D35AE2DA}">
      <formula1>payload_units</formula1>
    </dataValidation>
    <dataValidation type="decimal" operator="greaterThan" allowBlank="1" showInputMessage="1" showErrorMessage="1" error="Please type a positive number." sqref="L6:L100" xr:uid="{B3258B70-3DFD-4B52-988A-21A91CA4D0D7}">
      <formula1>0</formula1>
    </dataValidation>
    <dataValidation type="decimal" operator="greaterThan" allowBlank="1" showInputMessage="1" showErrorMessage="1" error="Please type a positive price." sqref="N6:N100" xr:uid="{EFCE4AFA-84FC-4A89-96C6-A5048F619629}">
      <formula1>0</formula1>
    </dataValidation>
    <dataValidation type="decimal" allowBlank="1" showInputMessage="1" showErrorMessage="1" error="Please type a number between 0 and 1." sqref="G6:G100" xr:uid="{5C17AC91-5DC6-469E-B6DB-0A2C0C8D4D0E}">
      <formula1>0</formula1>
      <formula2>1</formula2>
    </dataValidation>
    <dataValidation type="custom" allowBlank="1" showInputMessage="1" showErrorMessage="1" sqref="E6:E100" xr:uid="{306C8157-9DA6-4B52-BA11-43278D219AB0}">
      <formula1>ISNUMBER(E6)</formula1>
    </dataValidation>
    <dataValidation type="list" allowBlank="1" showInputMessage="1" showErrorMessage="1" sqref="C2" xr:uid="{79B5022C-F28A-4632-BD14-DE0D6E2A5734}">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93BB1276-217E-41F9-B373-28DB8109F6F6}">
          <x14:formula1>
            <xm:f>IF($B6="Transportation",  transport_units, INDIRECT(_xlfn.XLOOKUP($C6, 'SI - Units'!$F$26:$F$36,'SI - Units'!$G$26:$G$36,"mass",0)))</xm:f>
          </x14:formula1>
          <xm:sqref>F6:F100</xm:sqref>
        </x14:dataValidation>
        <x14:dataValidation type="list" allowBlank="1" showInputMessage="1" showErrorMessage="1" xr:uid="{605CB9F0-213D-469A-ACEE-2C11A6CB59F8}">
          <x14:formula1>
            <xm:f>INDIRECT("p_"&amp;_xlfn.XLOOKUP($C6,'SI - Units'!$F$26:$F$36,'SI - Units'!$G$26:$G$36,"mass",0))</xm:f>
          </x14:formula1>
          <xm:sqref>O6:O100</xm:sqref>
        </x14:dataValidation>
        <x14:dataValidation type="list" allowBlank="1" showInputMessage="1" showErrorMessage="1" xr:uid="{682C23D0-4F7E-4242-AB4D-33EAB13F2172}">
          <x14:formula1>
            <xm:f>INDIRECT(_xlfn.XLOOKUP($P6,'SI - End Use'!$A$11:$A$17,'SI - End Use'!$B$11:$B$17,"other_end_use",0))</xm:f>
          </x14:formula1>
          <xm:sqref>Q6:R100</xm:sqref>
        </x14:dataValidation>
        <x14:dataValidation type="list" allowBlank="1" showInputMessage="1" xr:uid="{C32BBDD4-FDEB-4E57-95F3-2AB6355A58DA}">
          <x14:formula1>
            <xm:f>INDIRECT(_xlfn.XLOOKUP($C6,'SI - End Use'!$A$11:$A$17,'SI - End Use'!$B$11:$B$17,"other_end_use",0))</xm:f>
          </x14:formula1>
          <xm:sqref>D6:D100</xm:sqref>
        </x14:dataValidation>
        <x14:dataValidation type="list" allowBlank="1" showInputMessage="1" showErrorMessage="1" xr:uid="{E4A5F891-4C95-421B-8705-45622CAE7237}">
          <x14:formula1>
            <xm:f>INDIRECT(_xlfn.XLOOKUP($B6, 'SI - Resources'!$R$1:$R$10,'SI - Resources'!$S$1:$S$10, "placeholder_resource", 0))</xm:f>
          </x14:formula1>
          <xm:sqref>P6:P100 C6:C100</xm:sqref>
        </x14:dataValidation>
        <x14:dataValidation type="list" allowBlank="1" showInputMessage="1" showErrorMessage="1" xr:uid="{12F98641-37E7-4207-84F6-B45E6DBAAE8D}">
          <x14:formula1>
            <xm:f>'SI - Co-products'!$B$2:$B$6</xm:f>
          </x14:formula1>
          <xm:sqref>A6:A100</xm:sqref>
        </x14:dataValidation>
        <x14:dataValidation type="list" allowBlank="1" showInputMessage="1" showErrorMessage="1" xr:uid="{6CCED8F7-3213-4E04-870C-9F85CBB37471}">
          <x14:formula1>
            <xm:f>'SI - Resources'!$A$1:$J$1</xm:f>
          </x14:formula1>
          <xm:sqref>B6:B100</xm:sqref>
        </x14:dataValidation>
        <x14:dataValidation type="list" allowBlank="1" showInputMessage="1" showErrorMessage="1" xr:uid="{D3701AF0-E19B-44D0-9B85-75693B14E91C}">
          <x14:formula1>
            <xm:f>'SI - Co-products'!$C$2:$C$4</xm:f>
          </x14:formula1>
          <xm:sqref>I6:I100</xm:sqref>
        </x14:dataValidation>
        <x14:dataValidation type="list" allowBlank="1" showInputMessage="1" showErrorMessage="1" xr:uid="{04EAC6EE-CB99-48A8-ABC2-E163485FA4B9}">
          <x14:formula1>
            <xm:f>'SI - Co-products'!$A$2:$A$5</xm:f>
          </x14:formula1>
          <xm:sqref>K6:K100</xm:sqref>
        </x14:dataValidation>
        <x14:dataValidation type="list" allowBlank="1" showInputMessage="1" showErrorMessage="1" xr:uid="{7C1DEFA7-3754-4A0B-845B-4B170E174444}">
          <x14:formula1>
            <xm:f>_xlfn.XLOOKUP(_xlfn.XLOOKUP(#REF!,'SI - Units'!$B$24:$B$109,'SI - Units'!$C$24:$C$109),'SI - Units'!$A$2:$A$8,'SI - Units'!$B$2:$R$8)</xm:f>
          </x14:formula1>
          <xm:sqref>F5</xm:sqref>
        </x14:dataValidation>
        <x14:dataValidation type="list" allowBlank="1" showInputMessage="1" showErrorMessage="1" xr:uid="{E74721EE-D1AF-48BA-B8DF-15C32B5F9A84}">
          <x14:formula1>
            <xm:f>'SI - Co-products'!$D$2:$D$8</xm:f>
          </x14:formula1>
          <xm:sqref>C1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537F44-9869-4565-9538-6AC870D518D8}">
  <sheetPr codeName="Sheet12">
    <tabColor theme="5"/>
  </sheetPr>
  <dimension ref="A1:T100"/>
  <sheetViews>
    <sheetView zoomScale="90" zoomScaleNormal="90" workbookViewId="0">
      <pane ySplit="5" topLeftCell="A18" activePane="bottomLeft" state="frozen"/>
      <selection activeCell="C19" sqref="C19"/>
      <selection pane="bottomLeft" activeCell="D39" sqref="D39"/>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127</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288</v>
      </c>
      <c r="D6" s="6" t="s">
        <v>337</v>
      </c>
      <c r="E6" s="12">
        <v>15987</v>
      </c>
      <c r="F6" s="6" t="s">
        <v>58</v>
      </c>
      <c r="G6" s="25"/>
      <c r="H6" s="25" t="s">
        <v>340</v>
      </c>
      <c r="I6" s="26" t="s">
        <v>337</v>
      </c>
      <c r="J6" s="25"/>
      <c r="K6" s="6" t="s">
        <v>86</v>
      </c>
      <c r="L6" s="6" t="s">
        <v>337</v>
      </c>
      <c r="M6" s="6"/>
      <c r="N6" s="6"/>
      <c r="O6" s="6"/>
      <c r="P6" s="6" t="str">
        <f>IF(OR(Table18[[#This Row],[Type]]="Main Product", Table18[[#This Row],[Type]]="Co-Product"), Table18[[#This Row],[Resource]], "")</f>
        <v/>
      </c>
      <c r="Q6" s="6" t="str">
        <f>IF(_xlfn.XLOOKUP($P6,'SI - End Use'!$B$2:$B$6,'SI - End Use'!$C$2:$C$6, "")="", "", _xlfn.XLOOKUP($C6,'SI - End Use'!$B$2:$B$6,'SI - End Use'!$C$2:$C$6, ""))</f>
        <v/>
      </c>
      <c r="R6" s="6"/>
      <c r="S6" s="6"/>
      <c r="T6" s="6"/>
    </row>
    <row r="7" spans="1:20" x14ac:dyDescent="0.35">
      <c r="A7" s="6" t="s">
        <v>0</v>
      </c>
      <c r="B7" s="6" t="s">
        <v>37</v>
      </c>
      <c r="C7" s="6" t="s">
        <v>106</v>
      </c>
      <c r="D7" s="6" t="s">
        <v>337</v>
      </c>
      <c r="E7" s="12">
        <v>1420</v>
      </c>
      <c r="F7" s="6" t="s">
        <v>58</v>
      </c>
      <c r="G7" s="25">
        <v>7.0000000000000007E-2</v>
      </c>
      <c r="H7" s="25"/>
      <c r="I7" s="26" t="s">
        <v>337</v>
      </c>
      <c r="J7" s="25"/>
      <c r="K7" s="6" t="s">
        <v>86</v>
      </c>
      <c r="L7" s="6" t="s">
        <v>337</v>
      </c>
      <c r="M7" s="6"/>
      <c r="N7" s="6"/>
      <c r="O7" s="6"/>
      <c r="P7" s="6" t="str">
        <f>IF(OR(Table18[[#This Row],[Type]]="Main Product", Table18[[#This Row],[Type]]="Co-Product"), Table18[[#This Row],[Resource]], "")</f>
        <v/>
      </c>
      <c r="Q7" s="6" t="str">
        <f>IF(_xlfn.XLOOKUP($P7,'SI - End Use'!$B$2:$B$6,'SI - End Use'!$C$2:$C$6, "")="", "", _xlfn.XLOOKUP($C7,'SI - End Use'!$B$2:$B$6,'SI - End Use'!$C$2:$C$6, ""))</f>
        <v/>
      </c>
      <c r="R7" s="6"/>
      <c r="S7" s="6"/>
      <c r="T7" s="6"/>
    </row>
    <row r="8" spans="1:20" x14ac:dyDescent="0.35">
      <c r="A8" s="6" t="s">
        <v>0</v>
      </c>
      <c r="B8" s="6" t="s">
        <v>37</v>
      </c>
      <c r="C8" s="6" t="s">
        <v>14</v>
      </c>
      <c r="D8" s="6" t="s">
        <v>337</v>
      </c>
      <c r="E8" s="12">
        <v>459</v>
      </c>
      <c r="F8" s="6" t="s">
        <v>58</v>
      </c>
      <c r="G8" s="25"/>
      <c r="H8" s="25"/>
      <c r="I8" s="26" t="s">
        <v>337</v>
      </c>
      <c r="J8" s="25"/>
      <c r="K8" s="6" t="s">
        <v>86</v>
      </c>
      <c r="L8" s="6" t="s">
        <v>337</v>
      </c>
      <c r="M8" s="6"/>
      <c r="N8" s="6"/>
      <c r="O8" s="6"/>
      <c r="P8" s="6" t="str">
        <f>IF(OR(Table18[[#This Row],[Type]]="Main Product", Table18[[#This Row],[Type]]="Co-Product"), Table18[[#This Row],[Resource]], "")</f>
        <v/>
      </c>
      <c r="Q8" s="6" t="str">
        <f>IF(_xlfn.XLOOKUP($P8,'SI - End Use'!$B$2:$B$6,'SI - End Use'!$C$2:$C$6, "")="", "", _xlfn.XLOOKUP($C8,'SI - End Use'!$B$2:$B$6,'SI - End Use'!$C$2:$C$6, ""))</f>
        <v/>
      </c>
      <c r="R8" s="6"/>
      <c r="S8" s="6"/>
      <c r="T8" s="6"/>
    </row>
    <row r="9" spans="1:20" x14ac:dyDescent="0.35">
      <c r="A9" s="6" t="s">
        <v>0</v>
      </c>
      <c r="B9" s="6" t="s">
        <v>37</v>
      </c>
      <c r="C9" s="6" t="s">
        <v>289</v>
      </c>
      <c r="D9" s="6" t="s">
        <v>337</v>
      </c>
      <c r="E9" s="12">
        <v>84</v>
      </c>
      <c r="F9" s="6" t="s">
        <v>58</v>
      </c>
      <c r="G9" s="25"/>
      <c r="H9" s="25"/>
      <c r="I9" s="26" t="s">
        <v>337</v>
      </c>
      <c r="J9" s="25"/>
      <c r="K9" s="6" t="s">
        <v>86</v>
      </c>
      <c r="L9" s="6" t="s">
        <v>337</v>
      </c>
      <c r="M9" s="6"/>
      <c r="N9" s="6"/>
      <c r="O9" s="6"/>
      <c r="P9" s="6" t="str">
        <f>IF(OR(Table18[[#This Row],[Type]]="Main Product", Table18[[#This Row],[Type]]="Co-Product"), Table18[[#This Row],[Resource]], "")</f>
        <v/>
      </c>
      <c r="Q9" s="6" t="str">
        <f>IF(_xlfn.XLOOKUP($P9,'SI - End Use'!$B$2:$B$6,'SI - End Use'!$C$2:$C$6, "")="", "", _xlfn.XLOOKUP($C9,'SI - End Use'!$B$2:$B$6,'SI - End Use'!$C$2:$C$6, ""))</f>
        <v/>
      </c>
      <c r="R9" s="6"/>
      <c r="S9" s="6"/>
      <c r="T9" s="6"/>
    </row>
    <row r="10" spans="1:20" x14ac:dyDescent="0.35">
      <c r="A10" s="6" t="s">
        <v>0</v>
      </c>
      <c r="B10" s="6" t="s">
        <v>37</v>
      </c>
      <c r="C10" s="6" t="s">
        <v>87</v>
      </c>
      <c r="D10" s="6" t="s">
        <v>337</v>
      </c>
      <c r="E10" s="12">
        <v>34</v>
      </c>
      <c r="F10" s="6" t="s">
        <v>58</v>
      </c>
      <c r="G10" s="25"/>
      <c r="H10" s="25"/>
      <c r="I10" s="26" t="s">
        <v>337</v>
      </c>
      <c r="J10" s="25"/>
      <c r="K10" s="6" t="s">
        <v>86</v>
      </c>
      <c r="L10" s="6" t="s">
        <v>337</v>
      </c>
      <c r="M10" s="6"/>
      <c r="N10" s="6"/>
      <c r="O10" s="6"/>
      <c r="P10" s="6" t="str">
        <f>IF(OR(Table18[[#This Row],[Type]]="Main Product", Table18[[#This Row],[Type]]="Co-Product"), Table18[[#This Row],[Resource]], "")</f>
        <v/>
      </c>
      <c r="Q10" s="6" t="str">
        <f>IF(_xlfn.XLOOKUP($P10,'SI - End Use'!$B$2:$B$6,'SI - End Use'!$C$2:$C$6, "")="", "", _xlfn.XLOOKUP($C10,'SI - End Use'!$B$2:$B$6,'SI - End Use'!$C$2:$C$6, ""))</f>
        <v/>
      </c>
      <c r="R10" s="6"/>
      <c r="S10" s="6"/>
      <c r="T10" s="6"/>
    </row>
    <row r="11" spans="1:20" x14ac:dyDescent="0.35">
      <c r="A11" s="6" t="s">
        <v>0</v>
      </c>
      <c r="B11" s="6" t="s">
        <v>37</v>
      </c>
      <c r="C11" s="6" t="s">
        <v>290</v>
      </c>
      <c r="D11" s="6" t="s">
        <v>337</v>
      </c>
      <c r="E11" s="12">
        <v>46</v>
      </c>
      <c r="F11" s="6" t="s">
        <v>58</v>
      </c>
      <c r="G11" s="25"/>
      <c r="H11" s="25"/>
      <c r="I11" s="26" t="s">
        <v>337</v>
      </c>
      <c r="J11" s="25"/>
      <c r="K11" s="6" t="s">
        <v>86</v>
      </c>
      <c r="L11" s="6" t="s">
        <v>337</v>
      </c>
      <c r="M11" s="6"/>
      <c r="N11" s="6"/>
      <c r="O11" s="6"/>
      <c r="P11" s="6" t="str">
        <f>IF(OR(Table18[[#This Row],[Type]]="Main Product", Table18[[#This Row],[Type]]="Co-Product"), Table18[[#This Row],[Resource]], "")</f>
        <v/>
      </c>
      <c r="Q11" s="6" t="str">
        <f>IF(_xlfn.XLOOKUP($P11,'SI - End Use'!$B$2:$B$6,'SI - End Use'!$C$2:$C$6, "")="", "", _xlfn.XLOOKUP($C11,'SI - End Use'!$B$2:$B$6,'SI - End Use'!$C$2:$C$6, ""))</f>
        <v/>
      </c>
      <c r="R11" s="6"/>
      <c r="S11" s="6"/>
      <c r="T11" s="6"/>
    </row>
    <row r="12" spans="1:20" x14ac:dyDescent="0.35">
      <c r="A12" s="6" t="s">
        <v>0</v>
      </c>
      <c r="B12" s="6" t="s">
        <v>37</v>
      </c>
      <c r="C12" s="6" t="s">
        <v>293</v>
      </c>
      <c r="D12" s="6"/>
      <c r="E12" s="12">
        <v>5</v>
      </c>
      <c r="F12" s="6" t="s">
        <v>58</v>
      </c>
      <c r="G12" s="25"/>
      <c r="H12" s="25"/>
      <c r="I12" s="26" t="s">
        <v>337</v>
      </c>
      <c r="J12" s="25"/>
      <c r="K12" s="6" t="s">
        <v>86</v>
      </c>
      <c r="L12" s="6" t="s">
        <v>337</v>
      </c>
      <c r="M12" s="6"/>
      <c r="N12" s="6"/>
      <c r="O12" s="6"/>
      <c r="P12" s="6" t="str">
        <f>IF(OR(Table18[[#This Row],[Type]]="Main Product", Table18[[#This Row],[Type]]="Co-Product"), Table18[[#This Row],[Resource]], "")</f>
        <v/>
      </c>
      <c r="Q12" s="6" t="str">
        <f>IF(_xlfn.XLOOKUP($P12,'SI - End Use'!$B$2:$B$6,'SI - End Use'!$C$2:$C$6, "")="", "", _xlfn.XLOOKUP($C12,'SI - End Use'!$B$2:$B$6,'SI - End Use'!$C$2:$C$6, ""))</f>
        <v/>
      </c>
      <c r="R12" s="6"/>
      <c r="S12" s="6"/>
      <c r="T12" s="6"/>
    </row>
    <row r="13" spans="1:20" x14ac:dyDescent="0.35">
      <c r="A13" s="6" t="s">
        <v>0</v>
      </c>
      <c r="B13" s="6" t="s">
        <v>37</v>
      </c>
      <c r="C13" s="6" t="s">
        <v>294</v>
      </c>
      <c r="D13" s="6"/>
      <c r="E13" s="12">
        <v>9</v>
      </c>
      <c r="F13" s="6" t="s">
        <v>58</v>
      </c>
      <c r="G13" s="25"/>
      <c r="H13" s="25"/>
      <c r="I13" s="26" t="s">
        <v>337</v>
      </c>
      <c r="J13" s="25"/>
      <c r="K13" s="6" t="s">
        <v>86</v>
      </c>
      <c r="L13" s="6" t="s">
        <v>337</v>
      </c>
      <c r="M13" s="6"/>
      <c r="N13" s="6"/>
      <c r="O13" s="6"/>
      <c r="P13" s="6" t="str">
        <f>IF(OR(Table18[[#This Row],[Type]]="Main Product", Table18[[#This Row],[Type]]="Co-Product"), Table18[[#This Row],[Resource]], "")</f>
        <v/>
      </c>
      <c r="Q13" s="6" t="str">
        <f>IF(_xlfn.XLOOKUP($P13,'SI - End Use'!$B$2:$B$6,'SI - End Use'!$C$2:$C$6, "")="", "", _xlfn.XLOOKUP($C13,'SI - End Use'!$B$2:$B$6,'SI - End Use'!$C$2:$C$6, ""))</f>
        <v/>
      </c>
      <c r="R13" s="6"/>
      <c r="S13" s="6"/>
      <c r="T13" s="6"/>
    </row>
    <row r="14" spans="1:20" x14ac:dyDescent="0.35">
      <c r="A14" s="6" t="s">
        <v>0</v>
      </c>
      <c r="B14" s="6" t="s">
        <v>37</v>
      </c>
      <c r="C14" s="6" t="s">
        <v>15</v>
      </c>
      <c r="D14" s="6"/>
      <c r="E14" s="12">
        <v>721</v>
      </c>
      <c r="F14" s="6" t="s">
        <v>58</v>
      </c>
      <c r="G14" s="25"/>
      <c r="H14" s="25"/>
      <c r="I14" s="26" t="s">
        <v>337</v>
      </c>
      <c r="J14" s="25"/>
      <c r="K14" s="6" t="s">
        <v>113</v>
      </c>
      <c r="L14" s="6" t="s">
        <v>337</v>
      </c>
      <c r="M14" s="6"/>
      <c r="N14" s="6"/>
      <c r="O14" s="6"/>
      <c r="P14" s="6" t="str">
        <f>IF(OR(Table18[[#This Row],[Type]]="Main Product", Table18[[#This Row],[Type]]="Co-Product"), Table18[[#This Row],[Resource]], "")</f>
        <v/>
      </c>
      <c r="Q14" s="6" t="str">
        <f>IF(_xlfn.XLOOKUP($P14,'SI - End Use'!$B$2:$B$6,'SI - End Use'!$C$2:$C$6, "")="", "", _xlfn.XLOOKUP($C14,'SI - End Use'!$B$2:$B$6,'SI - End Use'!$C$2:$C$6, ""))</f>
        <v/>
      </c>
      <c r="R14" s="6"/>
      <c r="S14" s="6"/>
      <c r="T14" s="6"/>
    </row>
    <row r="15" spans="1:20" x14ac:dyDescent="0.35">
      <c r="A15" s="6" t="s">
        <v>0</v>
      </c>
      <c r="B15" s="6" t="s">
        <v>37</v>
      </c>
      <c r="C15" s="6" t="s">
        <v>287</v>
      </c>
      <c r="D15" s="6" t="s">
        <v>337</v>
      </c>
      <c r="E15" s="12">
        <v>75</v>
      </c>
      <c r="F15" s="6" t="s">
        <v>58</v>
      </c>
      <c r="G15" s="25"/>
      <c r="H15" s="25"/>
      <c r="I15" s="26" t="s">
        <v>337</v>
      </c>
      <c r="J15" s="25"/>
      <c r="K15" s="6" t="s">
        <v>113</v>
      </c>
      <c r="L15" s="6" t="s">
        <v>337</v>
      </c>
      <c r="M15" s="6"/>
      <c r="N15" s="6"/>
      <c r="O15" s="6"/>
      <c r="P15" s="6" t="str">
        <f>IF(OR(Table18[[#This Row],[Type]]="Main Product", Table18[[#This Row],[Type]]="Co-Product"), Table18[[#This Row],[Resource]], "")</f>
        <v/>
      </c>
      <c r="Q15" s="6" t="str">
        <f>IF(_xlfn.XLOOKUP($P15,'SI - End Use'!$B$2:$B$6,'SI - End Use'!$C$2:$C$6, "")="", "", _xlfn.XLOOKUP($C15,'SI - End Use'!$B$2:$B$6,'SI - End Use'!$C$2:$C$6, ""))</f>
        <v/>
      </c>
      <c r="R15" s="6"/>
      <c r="S15" s="6"/>
      <c r="T15" s="6"/>
    </row>
    <row r="16" spans="1:20" x14ac:dyDescent="0.35">
      <c r="A16" s="6" t="s">
        <v>0</v>
      </c>
      <c r="B16" s="6" t="s">
        <v>37</v>
      </c>
      <c r="C16" s="6" t="s">
        <v>298</v>
      </c>
      <c r="D16" s="6" t="s">
        <v>337</v>
      </c>
      <c r="E16" s="12">
        <v>1</v>
      </c>
      <c r="F16" s="6" t="s">
        <v>58</v>
      </c>
      <c r="G16" s="25"/>
      <c r="H16" s="25"/>
      <c r="I16" s="26" t="s">
        <v>337</v>
      </c>
      <c r="J16" s="25"/>
      <c r="K16" s="6" t="s">
        <v>113</v>
      </c>
      <c r="L16" s="6" t="s">
        <v>337</v>
      </c>
      <c r="M16" s="6"/>
      <c r="N16" s="6"/>
      <c r="O16" s="6"/>
      <c r="P16" s="6" t="str">
        <f>IF(OR(Table18[[#This Row],[Type]]="Main Product", Table18[[#This Row],[Type]]="Co-Product"), Table18[[#This Row],[Resource]], "")</f>
        <v/>
      </c>
      <c r="Q16" s="6" t="str">
        <f>IF(_xlfn.XLOOKUP($P16,'SI - End Use'!$B$2:$B$6,'SI - End Use'!$C$2:$C$6, "")="", "", _xlfn.XLOOKUP($C16,'SI - End Use'!$B$2:$B$6,'SI - End Use'!$C$2:$C$6, ""))</f>
        <v/>
      </c>
      <c r="R16" s="6"/>
      <c r="S16" s="6"/>
      <c r="T16" s="6"/>
    </row>
    <row r="17" spans="1:20" x14ac:dyDescent="0.35">
      <c r="A17" s="6" t="s">
        <v>0</v>
      </c>
      <c r="B17" s="6" t="s">
        <v>37</v>
      </c>
      <c r="C17" s="6" t="s">
        <v>18</v>
      </c>
      <c r="D17" s="6" t="s">
        <v>337</v>
      </c>
      <c r="E17" s="12">
        <v>64</v>
      </c>
      <c r="F17" s="6" t="s">
        <v>58</v>
      </c>
      <c r="G17" s="25"/>
      <c r="H17" s="25"/>
      <c r="I17" s="26" t="s">
        <v>337</v>
      </c>
      <c r="J17" s="25"/>
      <c r="K17" s="6" t="s">
        <v>113</v>
      </c>
      <c r="L17" s="6" t="s">
        <v>337</v>
      </c>
      <c r="M17" s="6"/>
      <c r="N17" s="6"/>
      <c r="O17" s="6"/>
      <c r="P17" s="6" t="str">
        <f>IF(OR(Table18[[#This Row],[Type]]="Main Product", Table18[[#This Row],[Type]]="Co-Product"), Table18[[#This Row],[Resource]], "")</f>
        <v/>
      </c>
      <c r="Q17" s="6" t="str">
        <f>IF(_xlfn.XLOOKUP($P17,'SI - End Use'!$B$2:$B$6,'SI - End Use'!$C$2:$C$6, "")="", "", _xlfn.XLOOKUP($C17,'SI - End Use'!$B$2:$B$6,'SI - End Use'!$C$2:$C$6, ""))</f>
        <v/>
      </c>
      <c r="R17" s="6"/>
      <c r="S17" s="6"/>
      <c r="T17" s="6"/>
    </row>
    <row r="18" spans="1:20" x14ac:dyDescent="0.35">
      <c r="A18" s="6" t="s">
        <v>0</v>
      </c>
      <c r="B18" s="6" t="s">
        <v>37</v>
      </c>
      <c r="C18" s="6" t="s">
        <v>289</v>
      </c>
      <c r="D18" s="6" t="s">
        <v>337</v>
      </c>
      <c r="E18" s="12">
        <v>1</v>
      </c>
      <c r="F18" s="6" t="s">
        <v>58</v>
      </c>
      <c r="G18" s="25"/>
      <c r="H18" s="25"/>
      <c r="I18" s="26" t="s">
        <v>337</v>
      </c>
      <c r="J18" s="25"/>
      <c r="K18" s="6" t="s">
        <v>113</v>
      </c>
      <c r="L18" s="6" t="s">
        <v>337</v>
      </c>
      <c r="M18" s="6"/>
      <c r="N18" s="6"/>
      <c r="O18" s="6"/>
      <c r="P18" s="6" t="str">
        <f>IF(OR(Table18[[#This Row],[Type]]="Main Product", Table18[[#This Row],[Type]]="Co-Product"), Table18[[#This Row],[Resource]], "")</f>
        <v/>
      </c>
      <c r="Q18" s="6" t="str">
        <f>IF(_xlfn.XLOOKUP($P18,'SI - End Use'!$B$2:$B$6,'SI - End Use'!$C$2:$C$6, "")="", "", _xlfn.XLOOKUP($C18,'SI - End Use'!$B$2:$B$6,'SI - End Use'!$C$2:$C$6, ""))</f>
        <v/>
      </c>
      <c r="R18" s="6"/>
      <c r="S18" s="6"/>
      <c r="T18" s="6"/>
    </row>
    <row r="19" spans="1:20" x14ac:dyDescent="0.35">
      <c r="A19" s="6" t="s">
        <v>0</v>
      </c>
      <c r="B19" s="6" t="s">
        <v>37</v>
      </c>
      <c r="C19" s="6" t="s">
        <v>299</v>
      </c>
      <c r="D19" s="6" t="s">
        <v>337</v>
      </c>
      <c r="E19" s="12">
        <v>0</v>
      </c>
      <c r="F19" s="6" t="s">
        <v>58</v>
      </c>
      <c r="G19" s="25"/>
      <c r="H19" s="25"/>
      <c r="I19" s="26" t="s">
        <v>337</v>
      </c>
      <c r="J19" s="25"/>
      <c r="K19" s="6" t="s">
        <v>113</v>
      </c>
      <c r="L19" s="6" t="s">
        <v>337</v>
      </c>
      <c r="M19" s="6"/>
      <c r="N19" s="6"/>
      <c r="O19" s="6"/>
      <c r="P19" s="6" t="str">
        <f>IF(OR(Table18[[#This Row],[Type]]="Main Product", Table18[[#This Row],[Type]]="Co-Product"), Table18[[#This Row],[Resource]], "")</f>
        <v/>
      </c>
      <c r="Q19" s="6" t="str">
        <f>IF(_xlfn.XLOOKUP($P19,'SI - End Use'!$B$2:$B$6,'SI - End Use'!$C$2:$C$6, "")="", "", _xlfn.XLOOKUP($C19,'SI - End Use'!$B$2:$B$6,'SI - End Use'!$C$2:$C$6, ""))</f>
        <v/>
      </c>
      <c r="R19" s="6"/>
      <c r="S19" s="6"/>
      <c r="T19" s="6"/>
    </row>
    <row r="20" spans="1:20" x14ac:dyDescent="0.35">
      <c r="A20" s="6" t="s">
        <v>0</v>
      </c>
      <c r="B20" s="6" t="s">
        <v>37</v>
      </c>
      <c r="C20" s="6" t="s">
        <v>300</v>
      </c>
      <c r="D20" s="6" t="s">
        <v>337</v>
      </c>
      <c r="E20" s="12">
        <v>0</v>
      </c>
      <c r="F20" s="6" t="s">
        <v>58</v>
      </c>
      <c r="G20" s="25"/>
      <c r="H20" s="25"/>
      <c r="I20" s="26" t="s">
        <v>337</v>
      </c>
      <c r="J20" s="25"/>
      <c r="K20" s="6" t="s">
        <v>113</v>
      </c>
      <c r="L20" s="6" t="s">
        <v>337</v>
      </c>
      <c r="M20" s="6"/>
      <c r="N20" s="6"/>
      <c r="O20" s="6"/>
      <c r="P20" s="6" t="str">
        <f>IF(OR(Table18[[#This Row],[Type]]="Main Product", Table18[[#This Row],[Type]]="Co-Product"), Table18[[#This Row],[Resource]], "")</f>
        <v/>
      </c>
      <c r="Q20" s="6" t="str">
        <f>IF(_xlfn.XLOOKUP($P20,'SI - End Use'!$B$2:$B$6,'SI - End Use'!$C$2:$C$6, "")="", "", _xlfn.XLOOKUP($C20,'SI - End Use'!$B$2:$B$6,'SI - End Use'!$C$2:$C$6, ""))</f>
        <v/>
      </c>
      <c r="R20" s="6"/>
      <c r="S20" s="6"/>
      <c r="T20" s="6"/>
    </row>
    <row r="21" spans="1:20" x14ac:dyDescent="0.35">
      <c r="A21" s="6" t="s">
        <v>0</v>
      </c>
      <c r="B21" s="6" t="s">
        <v>244</v>
      </c>
      <c r="C21" s="6" t="s">
        <v>309</v>
      </c>
      <c r="D21" s="6"/>
      <c r="E21" s="12">
        <v>107</v>
      </c>
      <c r="F21" s="6" t="s">
        <v>58</v>
      </c>
      <c r="G21" s="25"/>
      <c r="H21" s="25"/>
      <c r="I21" s="26" t="s">
        <v>337</v>
      </c>
      <c r="J21" s="25"/>
      <c r="K21" s="6" t="s">
        <v>113</v>
      </c>
      <c r="L21" s="6" t="s">
        <v>337</v>
      </c>
      <c r="M21" s="6"/>
      <c r="N21" s="6"/>
      <c r="O21" s="6"/>
      <c r="P21" s="6" t="str">
        <f>IF(OR(Table18[[#This Row],[Type]]="Main Product", Table18[[#This Row],[Type]]="Co-Product"), Table18[[#This Row],[Resource]], "")</f>
        <v/>
      </c>
      <c r="Q21" s="6" t="str">
        <f>IF(_xlfn.XLOOKUP($P21,'SI - End Use'!$B$2:$B$6,'SI - End Use'!$C$2:$C$6, "")="", "", _xlfn.XLOOKUP($C21,'SI - End Use'!$B$2:$B$6,'SI - End Use'!$C$2:$C$6, ""))</f>
        <v/>
      </c>
      <c r="R21" s="6"/>
      <c r="S21" s="6"/>
      <c r="T21" s="6"/>
    </row>
    <row r="22" spans="1:20" x14ac:dyDescent="0.35">
      <c r="A22" s="6" t="s">
        <v>0</v>
      </c>
      <c r="B22" s="6" t="s">
        <v>37</v>
      </c>
      <c r="C22" s="6" t="s">
        <v>297</v>
      </c>
      <c r="D22" s="6"/>
      <c r="E22" s="12">
        <v>0.23</v>
      </c>
      <c r="F22" s="6" t="s">
        <v>58</v>
      </c>
      <c r="G22" s="25"/>
      <c r="H22" s="25"/>
      <c r="I22" s="26" t="s">
        <v>337</v>
      </c>
      <c r="J22" s="25"/>
      <c r="K22" s="6" t="s">
        <v>113</v>
      </c>
      <c r="L22" s="6" t="s">
        <v>337</v>
      </c>
      <c r="M22" s="6"/>
      <c r="N22" s="6"/>
      <c r="O22" s="6"/>
      <c r="P22" s="6" t="str">
        <f>IF(OR(Table18[[#This Row],[Type]]="Main Product", Table18[[#This Row],[Type]]="Co-Product"), Table18[[#This Row],[Resource]], "")</f>
        <v/>
      </c>
      <c r="Q22" s="6" t="str">
        <f>IF(_xlfn.XLOOKUP($P22,'SI - End Use'!$B$2:$B$6,'SI - End Use'!$C$2:$C$6, "")="", "", _xlfn.XLOOKUP($C22,'SI - End Use'!$B$2:$B$6,'SI - End Use'!$C$2:$C$6, ""))</f>
        <v/>
      </c>
      <c r="R22" s="6"/>
      <c r="S22" s="6"/>
      <c r="T22" s="6"/>
    </row>
    <row r="23" spans="1:20" x14ac:dyDescent="0.35">
      <c r="A23" s="6" t="s">
        <v>0</v>
      </c>
      <c r="B23" s="6" t="s">
        <v>37</v>
      </c>
      <c r="C23" s="6" t="s">
        <v>301</v>
      </c>
      <c r="D23" s="6"/>
      <c r="E23" s="12">
        <v>347</v>
      </c>
      <c r="F23" s="6" t="s">
        <v>58</v>
      </c>
      <c r="G23" s="25"/>
      <c r="H23" s="25"/>
      <c r="I23" s="26" t="s">
        <v>337</v>
      </c>
      <c r="J23" s="25"/>
      <c r="K23" s="6" t="s">
        <v>85</v>
      </c>
      <c r="L23" s="6" t="s">
        <v>337</v>
      </c>
      <c r="M23" s="6"/>
      <c r="N23" s="6"/>
      <c r="O23" s="6"/>
      <c r="P23" s="6" t="str">
        <f>IF(OR(Table18[[#This Row],[Type]]="Main Product", Table18[[#This Row],[Type]]="Co-Product"), Table18[[#This Row],[Resource]], "")</f>
        <v/>
      </c>
      <c r="Q23" s="6" t="str">
        <f>IF(_xlfn.XLOOKUP($P23,'SI - End Use'!$B$2:$B$6,'SI - End Use'!$C$2:$C$6, "")="", "", _xlfn.XLOOKUP($C23,'SI - End Use'!$B$2:$B$6,'SI - End Use'!$C$2:$C$6, ""))</f>
        <v/>
      </c>
      <c r="R23" s="6"/>
      <c r="S23" s="6"/>
      <c r="T23" s="6"/>
    </row>
    <row r="24" spans="1:20" x14ac:dyDescent="0.35">
      <c r="A24" s="6" t="s">
        <v>0</v>
      </c>
      <c r="B24" s="6" t="s">
        <v>37</v>
      </c>
      <c r="C24" s="6" t="s">
        <v>302</v>
      </c>
      <c r="D24" s="6" t="s">
        <v>337</v>
      </c>
      <c r="E24" s="12">
        <v>549</v>
      </c>
      <c r="F24" s="6" t="s">
        <v>58</v>
      </c>
      <c r="G24" s="25"/>
      <c r="H24" s="25"/>
      <c r="I24" s="26" t="s">
        <v>337</v>
      </c>
      <c r="J24" s="25"/>
      <c r="K24" s="6" t="s">
        <v>85</v>
      </c>
      <c r="L24" s="6" t="s">
        <v>337</v>
      </c>
      <c r="M24" s="6"/>
      <c r="N24" s="6"/>
      <c r="O24" s="6"/>
      <c r="P24" s="6" t="str">
        <f>IF(OR(Table18[[#This Row],[Type]]="Main Product", Table18[[#This Row],[Type]]="Co-Product"), Table18[[#This Row],[Resource]], "")</f>
        <v/>
      </c>
      <c r="Q24" s="6" t="str">
        <f>IF(_xlfn.XLOOKUP($P24,'SI - End Use'!$B$2:$B$6,'SI - End Use'!$C$2:$C$6, "")="", "", _xlfn.XLOOKUP($C24,'SI - End Use'!$B$2:$B$6,'SI - End Use'!$C$2:$C$6, ""))</f>
        <v/>
      </c>
      <c r="R24" s="6"/>
      <c r="S24" s="6"/>
      <c r="T24" s="6"/>
    </row>
    <row r="25" spans="1:20" x14ac:dyDescent="0.35">
      <c r="A25" s="6" t="s">
        <v>0</v>
      </c>
      <c r="B25" s="6" t="s">
        <v>37</v>
      </c>
      <c r="C25" s="6" t="s">
        <v>310</v>
      </c>
      <c r="D25" s="6" t="s">
        <v>337</v>
      </c>
      <c r="E25" s="12">
        <v>52</v>
      </c>
      <c r="F25" s="6" t="s">
        <v>58</v>
      </c>
      <c r="G25" s="25"/>
      <c r="H25" s="25"/>
      <c r="I25" s="26" t="s">
        <v>337</v>
      </c>
      <c r="J25" s="25"/>
      <c r="K25" s="6" t="s">
        <v>85</v>
      </c>
      <c r="L25" s="6" t="s">
        <v>337</v>
      </c>
      <c r="M25" s="6"/>
      <c r="N25" s="6"/>
      <c r="O25" s="6"/>
      <c r="P25" s="6" t="str">
        <f>IF(OR(Table18[[#This Row],[Type]]="Main Product", Table18[[#This Row],[Type]]="Co-Product"), Table18[[#This Row],[Resource]], "")</f>
        <v/>
      </c>
      <c r="Q25" s="6" t="str">
        <f>IF(_xlfn.XLOOKUP($P25,'SI - End Use'!$B$2:$B$6,'SI - End Use'!$C$2:$C$6, "")="", "", _xlfn.XLOOKUP($C25,'SI - End Use'!$B$2:$B$6,'SI - End Use'!$C$2:$C$6, ""))</f>
        <v/>
      </c>
      <c r="R25" s="6"/>
      <c r="S25" s="6"/>
      <c r="T25" s="6"/>
    </row>
    <row r="26" spans="1:20" x14ac:dyDescent="0.35">
      <c r="A26" s="6" t="s">
        <v>0</v>
      </c>
      <c r="B26" s="6" t="s">
        <v>37</v>
      </c>
      <c r="C26" s="6" t="s">
        <v>305</v>
      </c>
      <c r="D26" s="6" t="s">
        <v>337</v>
      </c>
      <c r="E26" s="12">
        <v>953</v>
      </c>
      <c r="F26" s="6" t="s">
        <v>58</v>
      </c>
      <c r="G26" s="25"/>
      <c r="H26" s="25"/>
      <c r="I26" s="26" t="s">
        <v>337</v>
      </c>
      <c r="J26" s="25"/>
      <c r="K26" s="6" t="s">
        <v>85</v>
      </c>
      <c r="L26" s="6" t="s">
        <v>337</v>
      </c>
      <c r="M26" s="6"/>
      <c r="N26" s="6"/>
      <c r="O26" s="6"/>
      <c r="P26" s="6" t="str">
        <f>IF(OR(Table18[[#This Row],[Type]]="Main Product", Table18[[#This Row],[Type]]="Co-Product"), Table18[[#This Row],[Resource]], "")</f>
        <v/>
      </c>
      <c r="Q26" s="6" t="str">
        <f>IF(_xlfn.XLOOKUP($P26,'SI - End Use'!$B$2:$B$6,'SI - End Use'!$C$2:$C$6, "")="", "", _xlfn.XLOOKUP($C26,'SI - End Use'!$B$2:$B$6,'SI - End Use'!$C$2:$C$6, ""))</f>
        <v/>
      </c>
      <c r="R26" s="6"/>
      <c r="S26" s="6"/>
      <c r="T26" s="6"/>
    </row>
    <row r="27" spans="1:20" x14ac:dyDescent="0.35">
      <c r="A27" s="6" t="s">
        <v>0</v>
      </c>
      <c r="B27" s="6" t="s">
        <v>37</v>
      </c>
      <c r="C27" s="6" t="s">
        <v>306</v>
      </c>
      <c r="D27" s="6" t="s">
        <v>337</v>
      </c>
      <c r="E27" s="12">
        <v>9</v>
      </c>
      <c r="F27" s="6" t="s">
        <v>58</v>
      </c>
      <c r="G27" s="25"/>
      <c r="H27" s="25"/>
      <c r="I27" s="26" t="s">
        <v>337</v>
      </c>
      <c r="J27" s="25"/>
      <c r="K27" s="6" t="s">
        <v>85</v>
      </c>
      <c r="L27" s="6" t="s">
        <v>337</v>
      </c>
      <c r="M27" s="6"/>
      <c r="N27" s="6"/>
      <c r="O27" s="6"/>
      <c r="P27" s="6" t="str">
        <f>IF(OR(Table18[[#This Row],[Type]]="Main Product", Table18[[#This Row],[Type]]="Co-Product"), Table18[[#This Row],[Resource]], "")</f>
        <v/>
      </c>
      <c r="Q27" s="6" t="str">
        <f>IF(_xlfn.XLOOKUP($P27,'SI - End Use'!$B$2:$B$6,'SI - End Use'!$C$2:$C$6, "")="", "", _xlfn.XLOOKUP($C27,'SI - End Use'!$B$2:$B$6,'SI - End Use'!$C$2:$C$6, ""))</f>
        <v/>
      </c>
      <c r="R27" s="6"/>
      <c r="S27" s="6"/>
      <c r="T27" s="6"/>
    </row>
    <row r="28" spans="1:20" x14ac:dyDescent="0.35">
      <c r="A28" s="6" t="s">
        <v>0</v>
      </c>
      <c r="B28" s="6" t="s">
        <v>37</v>
      </c>
      <c r="C28" s="6" t="s">
        <v>307</v>
      </c>
      <c r="D28" s="6" t="s">
        <v>337</v>
      </c>
      <c r="E28" s="12">
        <v>17</v>
      </c>
      <c r="F28" s="6" t="s">
        <v>58</v>
      </c>
      <c r="G28" s="25"/>
      <c r="H28" s="25"/>
      <c r="I28" s="26" t="s">
        <v>337</v>
      </c>
      <c r="J28" s="25"/>
      <c r="K28" s="6" t="s">
        <v>85</v>
      </c>
      <c r="L28" s="6" t="s">
        <v>337</v>
      </c>
      <c r="M28" s="6"/>
      <c r="N28" s="6"/>
      <c r="O28" s="6"/>
      <c r="P28" s="6" t="str">
        <f>IF(OR(Table18[[#This Row],[Type]]="Main Product", Table18[[#This Row],[Type]]="Co-Product"), Table18[[#This Row],[Resource]], "")</f>
        <v/>
      </c>
      <c r="Q28" s="6" t="str">
        <f>IF(_xlfn.XLOOKUP($P28,'SI - End Use'!$B$2:$B$6,'SI - End Use'!$C$2:$C$6, "")="", "", _xlfn.XLOOKUP($C28,'SI - End Use'!$B$2:$B$6,'SI - End Use'!$C$2:$C$6, ""))</f>
        <v/>
      </c>
      <c r="R28" s="6"/>
      <c r="S28" s="6"/>
      <c r="T28" s="6"/>
    </row>
    <row r="29" spans="1:20" x14ac:dyDescent="0.35">
      <c r="A29" s="6" t="s">
        <v>0</v>
      </c>
      <c r="B29" s="6" t="s">
        <v>37</v>
      </c>
      <c r="C29" s="6" t="s">
        <v>303</v>
      </c>
      <c r="D29" s="6" t="s">
        <v>337</v>
      </c>
      <c r="E29" s="12">
        <v>9</v>
      </c>
      <c r="F29" s="6" t="s">
        <v>58</v>
      </c>
      <c r="G29" s="25"/>
      <c r="H29" s="25"/>
      <c r="I29" s="26" t="s">
        <v>337</v>
      </c>
      <c r="J29" s="25"/>
      <c r="K29" s="6" t="s">
        <v>85</v>
      </c>
      <c r="L29" s="6" t="s">
        <v>337</v>
      </c>
      <c r="M29" s="6"/>
      <c r="N29" s="6"/>
      <c r="O29" s="6"/>
      <c r="P29" s="6" t="str">
        <f>IF(OR(Table18[[#This Row],[Type]]="Main Product", Table18[[#This Row],[Type]]="Co-Product"), Table18[[#This Row],[Resource]], "")</f>
        <v/>
      </c>
      <c r="Q29" s="6" t="str">
        <f>IF(_xlfn.XLOOKUP($P29,'SI - End Use'!$B$2:$B$6,'SI - End Use'!$C$2:$C$6, "")="", "", _xlfn.XLOOKUP($C29,'SI - End Use'!$B$2:$B$6,'SI - End Use'!$C$2:$C$6, ""))</f>
        <v/>
      </c>
      <c r="R29" s="6"/>
      <c r="S29" s="6"/>
      <c r="T29" s="6"/>
    </row>
    <row r="30" spans="1:20" x14ac:dyDescent="0.35">
      <c r="A30" s="6" t="s">
        <v>0</v>
      </c>
      <c r="B30" s="6" t="s">
        <v>244</v>
      </c>
      <c r="C30" s="6" t="s">
        <v>24</v>
      </c>
      <c r="D30" s="6" t="s">
        <v>31</v>
      </c>
      <c r="E30" s="12">
        <f>944*0.5</f>
        <v>472</v>
      </c>
      <c r="F30" s="6" t="s">
        <v>58</v>
      </c>
      <c r="G30" s="25"/>
      <c r="H30" s="25"/>
      <c r="I30" s="26" t="s">
        <v>337</v>
      </c>
      <c r="J30" s="25"/>
      <c r="K30" s="6" t="s">
        <v>86</v>
      </c>
      <c r="L30" s="6" t="s">
        <v>337</v>
      </c>
      <c r="M30" s="6"/>
      <c r="N30" s="6"/>
      <c r="O30" s="6"/>
      <c r="P30" s="6" t="str">
        <f>IF(OR(Table18[[#This Row],[Type]]="Main Product", Table18[[#This Row],[Type]]="Co-Product"), Table18[[#This Row],[Resource]], "")</f>
        <v/>
      </c>
      <c r="Q30" s="6" t="str">
        <f>IF(_xlfn.XLOOKUP($P30,'SI - End Use'!$B$2:$B$6,'SI - End Use'!$C$2:$C$6, "")="", "", _xlfn.XLOOKUP($C30,'SI - End Use'!$B$2:$B$6,'SI - End Use'!$C$2:$C$6, ""))</f>
        <v/>
      </c>
      <c r="R30" s="6"/>
      <c r="S30" s="6"/>
      <c r="T30" s="6"/>
    </row>
    <row r="31" spans="1:20" x14ac:dyDescent="0.35">
      <c r="A31" s="6" t="s">
        <v>0</v>
      </c>
      <c r="B31" s="6" t="s">
        <v>244</v>
      </c>
      <c r="C31" s="6" t="s">
        <v>24</v>
      </c>
      <c r="D31" s="6" t="s">
        <v>31</v>
      </c>
      <c r="E31" s="12">
        <f>120*0.5</f>
        <v>60</v>
      </c>
      <c r="F31" s="6" t="s">
        <v>58</v>
      </c>
      <c r="G31" s="25"/>
      <c r="H31" s="25"/>
      <c r="I31" s="26" t="s">
        <v>337</v>
      </c>
      <c r="J31" s="25"/>
      <c r="K31" s="6" t="s">
        <v>113</v>
      </c>
      <c r="L31" s="6" t="s">
        <v>337</v>
      </c>
      <c r="M31" s="6"/>
      <c r="N31" s="6"/>
      <c r="O31" s="6"/>
      <c r="P31" s="6" t="str">
        <f>IF(OR(Table18[[#This Row],[Type]]="Main Product", Table18[[#This Row],[Type]]="Co-Product"), Table18[[#This Row],[Resource]], "")</f>
        <v/>
      </c>
      <c r="Q31" s="6" t="str">
        <f>IF(_xlfn.XLOOKUP($P31,'SI - End Use'!$B$2:$B$6,'SI - End Use'!$C$2:$C$6, "")="", "", _xlfn.XLOOKUP($C31,'SI - End Use'!$B$2:$B$6,'SI - End Use'!$C$2:$C$6, ""))</f>
        <v/>
      </c>
      <c r="R31" s="6"/>
      <c r="S31" s="6"/>
      <c r="T31" s="6"/>
    </row>
    <row r="32" spans="1:20" x14ac:dyDescent="0.35">
      <c r="A32" s="6" t="s">
        <v>0</v>
      </c>
      <c r="B32" s="6" t="s">
        <v>244</v>
      </c>
      <c r="C32" s="6" t="s">
        <v>24</v>
      </c>
      <c r="D32" s="6" t="s">
        <v>31</v>
      </c>
      <c r="E32" s="12">
        <f>914*0.5</f>
        <v>457</v>
      </c>
      <c r="F32" s="6" t="s">
        <v>58</v>
      </c>
      <c r="G32" s="25"/>
      <c r="H32" s="25"/>
      <c r="I32" s="26" t="s">
        <v>337</v>
      </c>
      <c r="J32" s="25"/>
      <c r="K32" s="6" t="s">
        <v>85</v>
      </c>
      <c r="L32" s="6" t="s">
        <v>337</v>
      </c>
      <c r="M32" s="6"/>
      <c r="N32" s="6"/>
      <c r="O32" s="6"/>
      <c r="P32" s="6" t="str">
        <f>IF(OR(Table18[[#This Row],[Type]]="Main Product", Table18[[#This Row],[Type]]="Co-Product"), Table18[[#This Row],[Resource]], "")</f>
        <v/>
      </c>
      <c r="Q32" s="6" t="str">
        <f>IF(_xlfn.XLOOKUP($P32,'SI - End Use'!$B$2:$B$6,'SI - End Use'!$C$2:$C$6, "")="", "", _xlfn.XLOOKUP($C32,'SI - End Use'!$B$2:$B$6,'SI - End Use'!$C$2:$C$6, ""))</f>
        <v/>
      </c>
      <c r="R32" s="6"/>
      <c r="S32" s="6"/>
      <c r="T32" s="6"/>
    </row>
    <row r="33" spans="1:20" x14ac:dyDescent="0.35">
      <c r="A33" s="6" t="s">
        <v>0</v>
      </c>
      <c r="B33" s="6" t="s">
        <v>244</v>
      </c>
      <c r="C33" s="6" t="s">
        <v>24</v>
      </c>
      <c r="D33" s="6" t="s">
        <v>42</v>
      </c>
      <c r="E33" s="12">
        <f>944*0.5</f>
        <v>472</v>
      </c>
      <c r="F33" s="6" t="s">
        <v>58</v>
      </c>
      <c r="G33" s="25"/>
      <c r="H33" s="25"/>
      <c r="I33" s="26" t="s">
        <v>337</v>
      </c>
      <c r="J33" s="25"/>
      <c r="K33" s="6" t="s">
        <v>86</v>
      </c>
      <c r="L33" s="6" t="s">
        <v>337</v>
      </c>
      <c r="M33" s="6"/>
      <c r="N33" s="6"/>
      <c r="O33" s="6"/>
      <c r="P33" s="6" t="str">
        <f>IF(OR(Table18[[#This Row],[Type]]="Main Product", Table18[[#This Row],[Type]]="Co-Product"), Table18[[#This Row],[Resource]], "")</f>
        <v/>
      </c>
      <c r="Q33" s="6" t="str">
        <f>IF(_xlfn.XLOOKUP($P33,'SI - End Use'!$B$2:$B$6,'SI - End Use'!$C$2:$C$6, "")="", "", _xlfn.XLOOKUP($C33,'SI - End Use'!$B$2:$B$6,'SI - End Use'!$C$2:$C$6, ""))</f>
        <v/>
      </c>
      <c r="R33" s="6"/>
      <c r="S33" s="6"/>
      <c r="T33" s="6"/>
    </row>
    <row r="34" spans="1:20" x14ac:dyDescent="0.35">
      <c r="A34" s="6" t="s">
        <v>0</v>
      </c>
      <c r="B34" s="6" t="s">
        <v>244</v>
      </c>
      <c r="C34" s="6" t="s">
        <v>24</v>
      </c>
      <c r="D34" s="6" t="s">
        <v>42</v>
      </c>
      <c r="E34" s="12">
        <f>120*0.5</f>
        <v>60</v>
      </c>
      <c r="F34" s="6" t="s">
        <v>58</v>
      </c>
      <c r="G34" s="25"/>
      <c r="H34" s="25"/>
      <c r="I34" s="26" t="s">
        <v>337</v>
      </c>
      <c r="J34" s="25"/>
      <c r="K34" s="6" t="s">
        <v>113</v>
      </c>
      <c r="L34" s="6" t="s">
        <v>337</v>
      </c>
      <c r="M34" s="6"/>
      <c r="N34" s="6"/>
      <c r="O34" s="6"/>
      <c r="P34" s="6" t="str">
        <f>IF(OR(Table18[[#This Row],[Type]]="Main Product", Table18[[#This Row],[Type]]="Co-Product"), Table18[[#This Row],[Resource]], "")</f>
        <v/>
      </c>
      <c r="Q34" s="6" t="str">
        <f>IF(_xlfn.XLOOKUP($P34,'SI - End Use'!$B$2:$B$6,'SI - End Use'!$C$2:$C$6, "")="", "", _xlfn.XLOOKUP($C34,'SI - End Use'!$B$2:$B$6,'SI - End Use'!$C$2:$C$6, ""))</f>
        <v/>
      </c>
      <c r="R34" s="6"/>
      <c r="S34" s="6"/>
      <c r="T34" s="6"/>
    </row>
    <row r="35" spans="1:20" x14ac:dyDescent="0.35">
      <c r="A35" s="6" t="s">
        <v>0</v>
      </c>
      <c r="B35" s="6" t="s">
        <v>244</v>
      </c>
      <c r="C35" s="6" t="s">
        <v>24</v>
      </c>
      <c r="D35" s="6" t="s">
        <v>42</v>
      </c>
      <c r="E35" s="12">
        <f>914*0.5</f>
        <v>457</v>
      </c>
      <c r="F35" s="6" t="s">
        <v>58</v>
      </c>
      <c r="G35" s="25"/>
      <c r="H35" s="25"/>
      <c r="I35" s="26" t="s">
        <v>337</v>
      </c>
      <c r="J35" s="25"/>
      <c r="K35" s="6" t="s">
        <v>85</v>
      </c>
      <c r="L35" s="6" t="s">
        <v>337</v>
      </c>
      <c r="M35" s="6"/>
      <c r="N35" s="6"/>
      <c r="O35" s="6"/>
      <c r="P35" s="6" t="str">
        <f>IF(OR(Table18[[#This Row],[Type]]="Main Product", Table18[[#This Row],[Type]]="Co-Product"), Table18[[#This Row],[Resource]], "")</f>
        <v/>
      </c>
      <c r="Q35" s="6" t="str">
        <f>IF(_xlfn.XLOOKUP($P35,'SI - End Use'!$B$2:$B$6,'SI - End Use'!$C$2:$C$6, "")="", "", _xlfn.XLOOKUP($C35,'SI - End Use'!$B$2:$B$6,'SI - End Use'!$C$2:$C$6, ""))</f>
        <v/>
      </c>
      <c r="R35" s="6"/>
      <c r="S35" s="6"/>
      <c r="T35" s="6"/>
    </row>
    <row r="36" spans="1:20" x14ac:dyDescent="0.35">
      <c r="A36" s="6" t="s">
        <v>0</v>
      </c>
      <c r="B36" s="6" t="s">
        <v>29</v>
      </c>
      <c r="C36" s="6" t="s">
        <v>29</v>
      </c>
      <c r="D36" s="6" t="s">
        <v>337</v>
      </c>
      <c r="E36" s="12">
        <v>47769</v>
      </c>
      <c r="F36" s="6" t="s">
        <v>58</v>
      </c>
      <c r="G36" s="25"/>
      <c r="H36" s="25"/>
      <c r="I36" s="26" t="s">
        <v>337</v>
      </c>
      <c r="J36" s="25"/>
      <c r="K36" s="6" t="s">
        <v>86</v>
      </c>
      <c r="L36" s="6" t="s">
        <v>337</v>
      </c>
      <c r="M36" s="6"/>
      <c r="N36" s="6"/>
      <c r="O36" s="6"/>
      <c r="P36" s="6" t="str">
        <f>IF(OR(Table18[[#This Row],[Type]]="Main Product", Table18[[#This Row],[Type]]="Co-Product"), Table18[[#This Row],[Resource]], "")</f>
        <v/>
      </c>
      <c r="Q36" s="6" t="str">
        <f>IF(_xlfn.XLOOKUP($P36,'SI - End Use'!$B$2:$B$6,'SI - End Use'!$C$2:$C$6, "")="", "", _xlfn.XLOOKUP($C36,'SI - End Use'!$B$2:$B$6,'SI - End Use'!$C$2:$C$6, ""))</f>
        <v/>
      </c>
      <c r="R36" s="6"/>
      <c r="S36" s="6"/>
      <c r="T36" s="6"/>
    </row>
    <row r="37" spans="1:20" x14ac:dyDescent="0.35">
      <c r="A37" s="6" t="s">
        <v>0</v>
      </c>
      <c r="B37" s="6" t="s">
        <v>29</v>
      </c>
      <c r="C37" s="6" t="s">
        <v>29</v>
      </c>
      <c r="D37" s="6" t="s">
        <v>337</v>
      </c>
      <c r="E37" s="12">
        <v>100</v>
      </c>
      <c r="F37" s="6" t="s">
        <v>58</v>
      </c>
      <c r="G37" s="25"/>
      <c r="H37" s="25"/>
      <c r="I37" s="26" t="s">
        <v>337</v>
      </c>
      <c r="J37" s="25"/>
      <c r="K37" s="6" t="s">
        <v>113</v>
      </c>
      <c r="L37" s="6" t="s">
        <v>337</v>
      </c>
      <c r="M37" s="6"/>
      <c r="N37" s="6"/>
      <c r="O37" s="6"/>
      <c r="P37" s="6" t="str">
        <f>IF(OR(Table18[[#This Row],[Type]]="Main Product", Table18[[#This Row],[Type]]="Co-Product"), Table18[[#This Row],[Resource]], "")</f>
        <v/>
      </c>
      <c r="Q37" s="6" t="str">
        <f>IF(_xlfn.XLOOKUP($P37,'SI - End Use'!$B$2:$B$6,'SI - End Use'!$C$2:$C$6, "")="", "", _xlfn.XLOOKUP($C37,'SI - End Use'!$B$2:$B$6,'SI - End Use'!$C$2:$C$6, ""))</f>
        <v/>
      </c>
      <c r="R37" s="6"/>
      <c r="S37" s="6"/>
      <c r="T37" s="6"/>
    </row>
    <row r="38" spans="1:20" x14ac:dyDescent="0.35">
      <c r="A38" s="6" t="s">
        <v>0</v>
      </c>
      <c r="B38" s="6" t="s">
        <v>29</v>
      </c>
      <c r="C38" s="6" t="s">
        <v>29</v>
      </c>
      <c r="D38" s="6" t="s">
        <v>337</v>
      </c>
      <c r="E38" s="12">
        <v>17774</v>
      </c>
      <c r="F38" s="6" t="s">
        <v>58</v>
      </c>
      <c r="G38" s="25"/>
      <c r="H38" s="25"/>
      <c r="I38" s="26" t="s">
        <v>337</v>
      </c>
      <c r="J38" s="25"/>
      <c r="K38" s="6" t="s">
        <v>85</v>
      </c>
      <c r="L38" s="6" t="s">
        <v>337</v>
      </c>
      <c r="M38" s="6"/>
      <c r="N38" s="6"/>
      <c r="O38" s="6"/>
      <c r="P38" s="6" t="str">
        <f>IF(OR(Table18[[#This Row],[Type]]="Main Product", Table18[[#This Row],[Type]]="Co-Product"), Table18[[#This Row],[Resource]], "")</f>
        <v/>
      </c>
      <c r="Q38" s="6" t="str">
        <f>IF(_xlfn.XLOOKUP($P38,'SI - End Use'!$B$2:$B$6,'SI - End Use'!$C$2:$C$6, "")="", "", _xlfn.XLOOKUP($C38,'SI - End Use'!$B$2:$B$6,'SI - End Use'!$C$2:$C$6, ""))</f>
        <v/>
      </c>
      <c r="R38" s="6"/>
      <c r="S38" s="6"/>
      <c r="T38" s="6"/>
    </row>
    <row r="39" spans="1:20" x14ac:dyDescent="0.35">
      <c r="A39" s="6" t="s">
        <v>113</v>
      </c>
      <c r="B39" s="6" t="s">
        <v>244</v>
      </c>
      <c r="C39" s="6" t="s">
        <v>313</v>
      </c>
      <c r="D39" s="6"/>
      <c r="E39" s="12">
        <v>131.6632984</v>
      </c>
      <c r="F39" s="6" t="s">
        <v>70</v>
      </c>
      <c r="G39" s="25"/>
      <c r="H39" s="25"/>
      <c r="I39" s="26" t="s">
        <v>337</v>
      </c>
      <c r="J39" s="25"/>
      <c r="K39" s="6" t="s">
        <v>113</v>
      </c>
      <c r="L39" s="6" t="s">
        <v>337</v>
      </c>
      <c r="M39" s="6"/>
      <c r="N39" s="6">
        <v>21.535015935911794</v>
      </c>
      <c r="O39" s="6" t="s">
        <v>341</v>
      </c>
      <c r="P39" s="6" t="s">
        <v>2</v>
      </c>
      <c r="Q39" s="6" t="s">
        <v>83</v>
      </c>
      <c r="R39" s="6"/>
      <c r="S39" s="6"/>
      <c r="T39" s="6"/>
    </row>
    <row r="40" spans="1:20" x14ac:dyDescent="0.35">
      <c r="A40" s="6" t="s">
        <v>85</v>
      </c>
      <c r="B40" s="6" t="s">
        <v>3</v>
      </c>
      <c r="C40" s="6" t="s">
        <v>3</v>
      </c>
      <c r="D40" s="6" t="s">
        <v>10</v>
      </c>
      <c r="E40" s="12">
        <v>5045</v>
      </c>
      <c r="F40" s="6" t="s">
        <v>68</v>
      </c>
      <c r="G40" s="25"/>
      <c r="H40" s="25"/>
      <c r="I40" s="26" t="s">
        <v>124</v>
      </c>
      <c r="J40" s="25"/>
      <c r="K40" s="6" t="s">
        <v>86</v>
      </c>
      <c r="L40" s="6" t="s">
        <v>337</v>
      </c>
      <c r="M40" s="6"/>
      <c r="N40" s="6"/>
      <c r="O40" s="6"/>
      <c r="P40" s="6" t="s">
        <v>3</v>
      </c>
      <c r="Q40" s="6" t="s">
        <v>10</v>
      </c>
      <c r="R40" s="6"/>
      <c r="S40" s="6"/>
      <c r="T40" s="6" t="s">
        <v>343</v>
      </c>
    </row>
    <row r="41" spans="1:20" x14ac:dyDescent="0.35">
      <c r="A41" s="6" t="s">
        <v>85</v>
      </c>
      <c r="B41" s="6" t="s">
        <v>37</v>
      </c>
      <c r="C41" s="6" t="s">
        <v>308</v>
      </c>
      <c r="D41" s="6" t="s">
        <v>337</v>
      </c>
      <c r="E41" s="12">
        <v>3593</v>
      </c>
      <c r="F41" s="6" t="s">
        <v>58</v>
      </c>
      <c r="G41" s="25"/>
      <c r="H41" s="25"/>
      <c r="I41" s="26" t="s">
        <v>114</v>
      </c>
      <c r="J41" s="25"/>
      <c r="K41" s="6" t="s">
        <v>85</v>
      </c>
      <c r="L41" s="6" t="s">
        <v>337</v>
      </c>
      <c r="M41" s="6"/>
      <c r="N41" s="6">
        <v>2.04</v>
      </c>
      <c r="O41" s="6" t="s">
        <v>342</v>
      </c>
      <c r="P41" s="6" t="s">
        <v>308</v>
      </c>
      <c r="Q41" s="6" t="s">
        <v>337</v>
      </c>
      <c r="R41" s="6"/>
      <c r="S41" s="6"/>
      <c r="T41" s="6"/>
    </row>
    <row r="42" spans="1:20" x14ac:dyDescent="0.35">
      <c r="A42" s="6" t="s">
        <v>0</v>
      </c>
      <c r="B42" s="6" t="s">
        <v>245</v>
      </c>
      <c r="C42" s="6" t="s">
        <v>229</v>
      </c>
      <c r="D42" s="6" t="s">
        <v>337</v>
      </c>
      <c r="E42" s="12">
        <f>E41*0.6616*0.732*44/12</f>
        <v>6380.2136991999987</v>
      </c>
      <c r="F42" s="6" t="s">
        <v>58</v>
      </c>
      <c r="G42" s="25"/>
      <c r="H42" s="25"/>
      <c r="I42" s="26" t="s">
        <v>337</v>
      </c>
      <c r="J42" s="25"/>
      <c r="K42" s="6" t="s">
        <v>85</v>
      </c>
      <c r="L42" s="6" t="s">
        <v>337</v>
      </c>
      <c r="M42" s="6"/>
      <c r="N42" s="6"/>
      <c r="O42" s="6"/>
      <c r="P42" s="6" t="s">
        <v>337</v>
      </c>
      <c r="Q42" s="6" t="s">
        <v>337</v>
      </c>
      <c r="R42" s="6"/>
      <c r="S42" s="6"/>
      <c r="T42" s="6" t="s">
        <v>344</v>
      </c>
    </row>
    <row r="43" spans="1:20" x14ac:dyDescent="0.35">
      <c r="A43" s="6" t="s">
        <v>85</v>
      </c>
      <c r="B43" s="6" t="s">
        <v>37</v>
      </c>
      <c r="C43" s="6" t="s">
        <v>311</v>
      </c>
      <c r="D43" s="6" t="s">
        <v>337</v>
      </c>
      <c r="E43" s="12">
        <v>19</v>
      </c>
      <c r="F43" s="6" t="s">
        <v>58</v>
      </c>
      <c r="G43" s="25"/>
      <c r="H43" s="25"/>
      <c r="I43" s="26" t="s">
        <v>124</v>
      </c>
      <c r="J43" s="25"/>
      <c r="K43" s="6" t="s">
        <v>86</v>
      </c>
      <c r="L43" s="6" t="s">
        <v>337</v>
      </c>
      <c r="M43" s="6"/>
      <c r="N43" s="6"/>
      <c r="O43" s="6"/>
      <c r="P43" s="6" t="s">
        <v>311</v>
      </c>
      <c r="Q43" s="6" t="s">
        <v>337</v>
      </c>
      <c r="R43" s="6"/>
      <c r="S43" s="6"/>
      <c r="T43" s="6" t="s">
        <v>345</v>
      </c>
    </row>
    <row r="44" spans="1:20" x14ac:dyDescent="0.35">
      <c r="A44" s="6" t="s">
        <v>85</v>
      </c>
      <c r="B44" s="6" t="s">
        <v>37</v>
      </c>
      <c r="C44" s="6" t="s">
        <v>14</v>
      </c>
      <c r="D44" s="6" t="s">
        <v>337</v>
      </c>
      <c r="E44" s="12">
        <v>233</v>
      </c>
      <c r="F44" s="6" t="s">
        <v>58</v>
      </c>
      <c r="G44" s="25"/>
      <c r="H44" s="25"/>
      <c r="I44" s="26" t="s">
        <v>124</v>
      </c>
      <c r="J44" s="25"/>
      <c r="K44" s="6" t="s">
        <v>86</v>
      </c>
      <c r="L44" s="6" t="s">
        <v>337</v>
      </c>
      <c r="M44" s="6"/>
      <c r="N44" s="6"/>
      <c r="O44" s="6"/>
      <c r="P44" s="6" t="s">
        <v>14</v>
      </c>
      <c r="Q44" s="6" t="s">
        <v>337</v>
      </c>
      <c r="R44" s="6"/>
      <c r="S44" s="6"/>
      <c r="T44" s="6" t="s">
        <v>346</v>
      </c>
    </row>
    <row r="45" spans="1:20" x14ac:dyDescent="0.35">
      <c r="A45" s="6" t="s">
        <v>85</v>
      </c>
      <c r="B45" s="6" t="s">
        <v>37</v>
      </c>
      <c r="C45" s="6" t="s">
        <v>287</v>
      </c>
      <c r="D45" s="6" t="s">
        <v>337</v>
      </c>
      <c r="E45" s="12">
        <v>110</v>
      </c>
      <c r="F45" s="6" t="s">
        <v>58</v>
      </c>
      <c r="G45" s="25"/>
      <c r="H45" s="25"/>
      <c r="I45" s="26" t="s">
        <v>124</v>
      </c>
      <c r="J45" s="25"/>
      <c r="K45" s="6" t="s">
        <v>86</v>
      </c>
      <c r="L45" s="6" t="s">
        <v>337</v>
      </c>
      <c r="M45" s="6"/>
      <c r="N45" s="6"/>
      <c r="O45" s="6"/>
      <c r="P45" s="6" t="s">
        <v>287</v>
      </c>
      <c r="Q45" s="6" t="s">
        <v>337</v>
      </c>
      <c r="R45" s="6"/>
      <c r="S45" s="6"/>
      <c r="T45" s="6" t="s">
        <v>347</v>
      </c>
    </row>
    <row r="46" spans="1:20" x14ac:dyDescent="0.35">
      <c r="A46" s="6" t="s">
        <v>257</v>
      </c>
      <c r="B46" s="6" t="s">
        <v>245</v>
      </c>
      <c r="C46" s="6" t="s">
        <v>228</v>
      </c>
      <c r="D46" s="6" t="s">
        <v>337</v>
      </c>
      <c r="E46" s="12">
        <f>-(9090+5986)</f>
        <v>-15076</v>
      </c>
      <c r="F46" s="6" t="s">
        <v>58</v>
      </c>
      <c r="G46" s="25"/>
      <c r="H46" s="25" t="s">
        <v>339</v>
      </c>
      <c r="I46" s="26" t="s">
        <v>337</v>
      </c>
      <c r="J46" s="25"/>
      <c r="K46" s="6" t="s">
        <v>86</v>
      </c>
      <c r="L46" s="6" t="s">
        <v>337</v>
      </c>
      <c r="M46" s="6"/>
      <c r="N46" s="6"/>
      <c r="O46" s="6"/>
      <c r="P46" s="6" t="s">
        <v>337</v>
      </c>
      <c r="Q46" s="6" t="s">
        <v>337</v>
      </c>
      <c r="R46" s="6"/>
      <c r="S46" s="6"/>
      <c r="T46" s="6" t="s">
        <v>348</v>
      </c>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IF(Table18[[#This Row],[Type]]="Co-product", "No", "")</f>
        <v/>
      </c>
      <c r="J47" s="25"/>
      <c r="K47" s="6"/>
      <c r="L47" s="6" t="str">
        <f>IF(Table18[[#This Row],[Category]]="Transportation", _xlfn.XLOOKUP(Table18[[#This Row],[Resource]], 'SI - Payload'!$A$10:$A$38,'SI - Payload'!$B$10:$B$38,"",0), "")</f>
        <v/>
      </c>
      <c r="M47" s="6" t="str">
        <f>IF(Table18[[#This Row],[Category]]="Transportation", "ton", "")</f>
        <v/>
      </c>
      <c r="N47" s="6"/>
      <c r="O47" s="6"/>
      <c r="P47" s="6" t="str">
        <f>IF(OR(Table18[[#This Row],[Type]]="Main Product", Table18[[#This Row],[Type]]="Co-Product"), Table18[[#This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IF(Table18[[#This Row],[Type]]="Co-product", "No", "")</f>
        <v/>
      </c>
      <c r="J48" s="25"/>
      <c r="K48" s="6"/>
      <c r="L48" s="6" t="str">
        <f>IF(Table18[[#This Row],[Category]]="Transportation", _xlfn.XLOOKUP(Table18[[#This Row],[Resource]], 'SI - Payload'!$A$10:$A$38,'SI - Payload'!$B$10:$B$38,"",0), "")</f>
        <v/>
      </c>
      <c r="M48" s="6" t="str">
        <f>IF(Table18[[#This Row],[Category]]="Transportation", "ton", "")</f>
        <v/>
      </c>
      <c r="N48" s="6"/>
      <c r="O48" s="6"/>
      <c r="P48" s="6" t="str">
        <f>IF(OR(Table18[[#This Row],[Type]]="Main Product", Table18[[#This Row],[Type]]="Co-Product"), Table18[[#This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IF(Table18[[#This Row],[Type]]="Co-product", "No", "")</f>
        <v/>
      </c>
      <c r="J49" s="25"/>
      <c r="K49" s="6"/>
      <c r="L49" s="6" t="str">
        <f>IF(Table18[[#This Row],[Category]]="Transportation", _xlfn.XLOOKUP(Table18[[#This Row],[Resource]], 'SI - Payload'!$A$10:$A$38,'SI - Payload'!$B$10:$B$38,"",0), "")</f>
        <v/>
      </c>
      <c r="M49" s="6" t="str">
        <f>IF(Table18[[#This Row],[Category]]="Transportation", "ton", "")</f>
        <v/>
      </c>
      <c r="N49" s="6"/>
      <c r="O49" s="6"/>
      <c r="P49" s="6" t="str">
        <f>IF(OR(Table18[[#This Row],[Type]]="Main Product", Table18[[#This Row],[Type]]="Co-Product"), Table18[[#This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IF(Table18[[#This Row],[Type]]="Co-product", "No", "")</f>
        <v/>
      </c>
      <c r="J50" s="25"/>
      <c r="K50" s="6"/>
      <c r="L50" s="6" t="str">
        <f>IF(Table18[[#This Row],[Category]]="Transportation", _xlfn.XLOOKUP(Table18[[#This Row],[Resource]], 'SI - Payload'!$A$10:$A$38,'SI - Payload'!$B$10:$B$38,"",0), "")</f>
        <v/>
      </c>
      <c r="M50" s="6" t="str">
        <f>IF(Table18[[#This Row],[Category]]="Transportation", "ton", "")</f>
        <v/>
      </c>
      <c r="N50" s="6"/>
      <c r="O50" s="6"/>
      <c r="P50" s="6" t="str">
        <f>IF(OR(Table18[[#This Row],[Type]]="Main Product", Table18[[#This Row],[Type]]="Co-Product"), Table18[[#This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IF(Table18[[#This Row],[Type]]="Co-product", "No", "")</f>
        <v/>
      </c>
      <c r="J51" s="25"/>
      <c r="K51" s="6"/>
      <c r="L51" s="6" t="str">
        <f>IF(Table18[[#This Row],[Category]]="Transportation", _xlfn.XLOOKUP(Table18[[#This Row],[Resource]], 'SI - Payload'!$A$10:$A$38,'SI - Payload'!$B$10:$B$38,"",0), "")</f>
        <v/>
      </c>
      <c r="M51" s="6" t="str">
        <f>IF(Table18[[#This Row],[Category]]="Transportation", "ton", "")</f>
        <v/>
      </c>
      <c r="N51" s="6"/>
      <c r="O51" s="6"/>
      <c r="P51" s="6" t="str">
        <f>IF(OR(Table18[[#This Row],[Type]]="Main Product", Table18[[#This Row],[Type]]="Co-Product"), Table18[[#This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IF(Table18[[#This Row],[Type]]="Co-product", "No", "")</f>
        <v/>
      </c>
      <c r="J52" s="25"/>
      <c r="K52" s="6"/>
      <c r="L52" s="6" t="str">
        <f>IF(Table18[[#This Row],[Category]]="Transportation", _xlfn.XLOOKUP(Table18[[#This Row],[Resource]], 'SI - Payload'!$A$10:$A$38,'SI - Payload'!$B$10:$B$38,"",0), "")</f>
        <v/>
      </c>
      <c r="M52" s="6" t="str">
        <f>IF(Table18[[#This Row],[Category]]="Transportation", "ton", "")</f>
        <v/>
      </c>
      <c r="N52" s="6"/>
      <c r="O52" s="6"/>
      <c r="P52" s="6" t="str">
        <f>IF(OR(Table18[[#This Row],[Type]]="Main Product", Table18[[#This Row],[Type]]="Co-Product"), Table18[[#This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IF(Table18[[#This Row],[Type]]="Co-product", "No", "")</f>
        <v/>
      </c>
      <c r="J53" s="25"/>
      <c r="K53" s="6"/>
      <c r="L53" s="6" t="str">
        <f>IF(Table18[[#This Row],[Category]]="Transportation", _xlfn.XLOOKUP(Table18[[#This Row],[Resource]], 'SI - Payload'!$A$10:$A$38,'SI - Payload'!$B$10:$B$38,"",0), "")</f>
        <v/>
      </c>
      <c r="M53" s="6" t="str">
        <f>IF(Table18[[#This Row],[Category]]="Transportation", "ton", "")</f>
        <v/>
      </c>
      <c r="N53" s="6"/>
      <c r="O53" s="6"/>
      <c r="P53" s="6" t="str">
        <f>IF(OR(Table18[[#This Row],[Type]]="Main Product", Table18[[#This Row],[Type]]="Co-Product"), Table18[[#This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IF(Table18[[#This Row],[Type]]="Co-product", "No", "")</f>
        <v/>
      </c>
      <c r="J54" s="25"/>
      <c r="K54" s="6"/>
      <c r="L54" s="6" t="str">
        <f>IF(Table18[[#This Row],[Category]]="Transportation", _xlfn.XLOOKUP(Table18[[#This Row],[Resource]], 'SI - Payload'!$A$10:$A$38,'SI - Payload'!$B$10:$B$38,"",0), "")</f>
        <v/>
      </c>
      <c r="M54" s="6" t="str">
        <f>IF(Table18[[#This Row],[Category]]="Transportation", "ton", "")</f>
        <v/>
      </c>
      <c r="N54" s="6"/>
      <c r="O54" s="6"/>
      <c r="P54" s="6" t="str">
        <f>IF(OR(Table18[[#This Row],[Type]]="Main Product", Table18[[#This Row],[Type]]="Co-Product"), Table18[[#This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IF(Table18[[#This Row],[Type]]="Co-product", "No", "")</f>
        <v/>
      </c>
      <c r="J55" s="25"/>
      <c r="K55" s="6"/>
      <c r="L55" s="6" t="str">
        <f>IF(Table18[[#This Row],[Category]]="Transportation", _xlfn.XLOOKUP(Table18[[#This Row],[Resource]], 'SI - Payload'!$A$10:$A$38,'SI - Payload'!$B$10:$B$38,"",0), "")</f>
        <v/>
      </c>
      <c r="M55" s="6" t="str">
        <f>IF(Table18[[#This Row],[Category]]="Transportation", "ton", "")</f>
        <v/>
      </c>
      <c r="N55" s="6"/>
      <c r="O55" s="6"/>
      <c r="P55" s="6" t="str">
        <f>IF(OR(Table18[[#This Row],[Type]]="Main Product", Table18[[#This Row],[Type]]="Co-Product"), Table18[[#This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IF(Table18[[#This Row],[Type]]="Co-product", "No", "")</f>
        <v/>
      </c>
      <c r="J56" s="25"/>
      <c r="K56" s="6"/>
      <c r="L56" s="6" t="str">
        <f>IF(Table18[[#This Row],[Category]]="Transportation", _xlfn.XLOOKUP(Table18[[#This Row],[Resource]], 'SI - Payload'!$A$10:$A$38,'SI - Payload'!$B$10:$B$38,"",0), "")</f>
        <v/>
      </c>
      <c r="M56" s="6" t="str">
        <f>IF(Table18[[#This Row],[Category]]="Transportation", "ton", "")</f>
        <v/>
      </c>
      <c r="N56" s="6"/>
      <c r="O56" s="6"/>
      <c r="P56" s="6" t="str">
        <f>IF(OR(Table18[[#This Row],[Type]]="Main Product", Table18[[#This Row],[Type]]="Co-Product"), Table18[[#This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IF(Table18[[#This Row],[Type]]="Co-product", "No", "")</f>
        <v/>
      </c>
      <c r="J57" s="25"/>
      <c r="K57" s="6"/>
      <c r="L57" s="6" t="str">
        <f>IF(Table18[[#This Row],[Category]]="Transportation", _xlfn.XLOOKUP(Table18[[#This Row],[Resource]], 'SI - Payload'!$A$10:$A$38,'SI - Payload'!$B$10:$B$38,"",0), "")</f>
        <v/>
      </c>
      <c r="M57" s="6" t="str">
        <f>IF(Table18[[#This Row],[Category]]="Transportation", "ton", "")</f>
        <v/>
      </c>
      <c r="N57" s="6"/>
      <c r="O57" s="6"/>
      <c r="P57" s="6" t="str">
        <f>IF(OR(Table18[[#This Row],[Type]]="Main Product", Table18[[#This Row],[Type]]="Co-Product"), Table18[[#This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IF(Table18[[#This Row],[Type]]="Co-product", "No", "")</f>
        <v/>
      </c>
      <c r="J58" s="25"/>
      <c r="K58" s="6"/>
      <c r="L58" s="6" t="str">
        <f>IF(Table18[[#This Row],[Category]]="Transportation", _xlfn.XLOOKUP(Table18[[#This Row],[Resource]], 'SI - Payload'!$A$10:$A$38,'SI - Payload'!$B$10:$B$38,"",0), "")</f>
        <v/>
      </c>
      <c r="M58" s="6" t="str">
        <f>IF(Table18[[#This Row],[Category]]="Transportation", "ton", "")</f>
        <v/>
      </c>
      <c r="N58" s="6"/>
      <c r="O58" s="6"/>
      <c r="P58" s="6" t="str">
        <f>IF(OR(Table18[[#This Row],[Type]]="Main Product", Table18[[#This Row],[Type]]="Co-Product"), Table18[[#This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IF(Table18[[#This Row],[Type]]="Co-product", "No", "")</f>
        <v/>
      </c>
      <c r="J59" s="25"/>
      <c r="K59" s="6"/>
      <c r="L59" s="6" t="str">
        <f>IF(Table18[[#This Row],[Category]]="Transportation", _xlfn.XLOOKUP(Table18[[#This Row],[Resource]], 'SI - Payload'!$A$10:$A$38,'SI - Payload'!$B$10:$B$38,"",0), "")</f>
        <v/>
      </c>
      <c r="M59" s="6" t="str">
        <f>IF(Table18[[#This Row],[Category]]="Transportation", "ton", "")</f>
        <v/>
      </c>
      <c r="N59" s="6"/>
      <c r="O59" s="6"/>
      <c r="P59" s="6" t="str">
        <f>IF(OR(Table18[[#This Row],[Type]]="Main Product", Table18[[#This Row],[Type]]="Co-Product"), Table18[[#This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IF(Table18[[#This Row],[Type]]="Co-product", "No", "")</f>
        <v/>
      </c>
      <c r="J60" s="25"/>
      <c r="K60" s="6"/>
      <c r="L60" s="6" t="str">
        <f>IF(Table18[[#This Row],[Category]]="Transportation", _xlfn.XLOOKUP(Table18[[#This Row],[Resource]], 'SI - Payload'!$A$10:$A$38,'SI - Payload'!$B$10:$B$38,"",0), "")</f>
        <v/>
      </c>
      <c r="M60" s="6" t="str">
        <f>IF(Table18[[#This Row],[Category]]="Transportation", "ton", "")</f>
        <v/>
      </c>
      <c r="N60" s="6"/>
      <c r="O60" s="6"/>
      <c r="P60" s="6" t="str">
        <f>IF(OR(Table18[[#This Row],[Type]]="Main Product", Table18[[#This Row],[Type]]="Co-Product"), Table18[[#This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IF(Table18[[#This Row],[Type]]="Co-product", "No", "")</f>
        <v/>
      </c>
      <c r="J61" s="25"/>
      <c r="K61" s="6"/>
      <c r="L61" s="6" t="str">
        <f>IF(Table18[[#This Row],[Category]]="Transportation", _xlfn.XLOOKUP(Table18[[#This Row],[Resource]], 'SI - Payload'!$A$10:$A$38,'SI - Payload'!$B$10:$B$38,"",0), "")</f>
        <v/>
      </c>
      <c r="M61" s="6" t="str">
        <f>IF(Table18[[#This Row],[Category]]="Transportation", "ton", "")</f>
        <v/>
      </c>
      <c r="N61" s="6"/>
      <c r="O61" s="6"/>
      <c r="P61" s="6" t="str">
        <f>IF(OR(Table18[[#This Row],[Type]]="Main Product", Table18[[#This Row],[Type]]="Co-Product"), Table18[[#This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IF(Table18[[#This Row],[Type]]="Co-product", "No", "")</f>
        <v/>
      </c>
      <c r="J62" s="25"/>
      <c r="K62" s="6"/>
      <c r="L62" s="6" t="str">
        <f>IF(Table18[[#This Row],[Category]]="Transportation", _xlfn.XLOOKUP(Table18[[#This Row],[Resource]], 'SI - Payload'!$A$10:$A$38,'SI - Payload'!$B$10:$B$38,"",0), "")</f>
        <v/>
      </c>
      <c r="M62" s="6" t="str">
        <f>IF(Table18[[#This Row],[Category]]="Transportation", "ton", "")</f>
        <v/>
      </c>
      <c r="N62" s="6"/>
      <c r="O62" s="6"/>
      <c r="P62" s="6" t="str">
        <f>IF(OR(Table18[[#This Row],[Type]]="Main Product", Table18[[#This Row],[Type]]="Co-Product"), Table18[[#This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IF(Table18[[#This Row],[Type]]="Co-product", "No", "")</f>
        <v/>
      </c>
      <c r="J63" s="25"/>
      <c r="K63" s="6"/>
      <c r="L63" s="6" t="str">
        <f>IF(Table18[[#This Row],[Category]]="Transportation", _xlfn.XLOOKUP(Table18[[#This Row],[Resource]], 'SI - Payload'!$A$10:$A$38,'SI - Payload'!$B$10:$B$38,"",0), "")</f>
        <v/>
      </c>
      <c r="M63" s="6" t="str">
        <f>IF(Table18[[#This Row],[Category]]="Transportation", "ton", "")</f>
        <v/>
      </c>
      <c r="N63" s="6"/>
      <c r="O63" s="6"/>
      <c r="P63" s="6" t="str">
        <f>IF(OR(Table18[[#This Row],[Type]]="Main Product", Table18[[#This Row],[Type]]="Co-Product"), Table18[[#This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IF(Table18[[#This Row],[Type]]="Co-product", "No", "")</f>
        <v/>
      </c>
      <c r="J64" s="25"/>
      <c r="K64" s="6"/>
      <c r="L64" s="6" t="str">
        <f>IF(Table18[[#This Row],[Category]]="Transportation", _xlfn.XLOOKUP(Table18[[#This Row],[Resource]], 'SI - Payload'!$A$10:$A$38,'SI - Payload'!$B$10:$B$38,"",0), "")</f>
        <v/>
      </c>
      <c r="M64" s="6" t="str">
        <f>IF(Table18[[#This Row],[Category]]="Transportation", "ton", "")</f>
        <v/>
      </c>
      <c r="N64" s="6"/>
      <c r="O64" s="6"/>
      <c r="P64" s="6" t="str">
        <f>IF(OR(Table18[[#This Row],[Type]]="Main Product", Table18[[#This Row],[Type]]="Co-Product"), Table18[[#This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IF(Table18[[#This Row],[Type]]="Co-product", "No", "")</f>
        <v/>
      </c>
      <c r="J65" s="25"/>
      <c r="K65" s="6"/>
      <c r="L65" s="6" t="str">
        <f>IF(Table18[[#This Row],[Category]]="Transportation", _xlfn.XLOOKUP(Table18[[#This Row],[Resource]], 'SI - Payload'!$A$10:$A$38,'SI - Payload'!$B$10:$B$38,"",0), "")</f>
        <v/>
      </c>
      <c r="M65" s="6" t="str">
        <f>IF(Table18[[#This Row],[Category]]="Transportation", "ton", "")</f>
        <v/>
      </c>
      <c r="N65" s="6"/>
      <c r="O65" s="6"/>
      <c r="P65" s="6" t="str">
        <f>IF(OR(Table18[[#This Row],[Type]]="Main Product", Table18[[#This Row],[Type]]="Co-Product"), Table18[[#This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IF(Table18[[#This Row],[Type]]="Co-product", "No", "")</f>
        <v/>
      </c>
      <c r="J66" s="25"/>
      <c r="K66" s="6"/>
      <c r="L66" s="6" t="str">
        <f>IF(Table18[[#This Row],[Category]]="Transportation", _xlfn.XLOOKUP(Table18[[#This Row],[Resource]], 'SI - Payload'!$A$10:$A$38,'SI - Payload'!$B$10:$B$38,"",0), "")</f>
        <v/>
      </c>
      <c r="M66" s="6" t="str">
        <f>IF(Table18[[#This Row],[Category]]="Transportation", "ton", "")</f>
        <v/>
      </c>
      <c r="N66" s="6"/>
      <c r="O66" s="6"/>
      <c r="P66" s="6" t="str">
        <f>IF(OR(Table18[[#This Row],[Type]]="Main Product", Table18[[#This Row],[Type]]="Co-Product"), Table18[[#This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IF(Table18[[#This Row],[Type]]="Co-product", "No", "")</f>
        <v/>
      </c>
      <c r="J67" s="25"/>
      <c r="K67" s="6"/>
      <c r="L67" s="6" t="str">
        <f>IF(Table18[[#This Row],[Category]]="Transportation", _xlfn.XLOOKUP(Table18[[#This Row],[Resource]], 'SI - Payload'!$A$10:$A$38,'SI - Payload'!$B$10:$B$38,"",0), "")</f>
        <v/>
      </c>
      <c r="M67" s="6" t="str">
        <f>IF(Table18[[#This Row],[Category]]="Transportation", "ton", "")</f>
        <v/>
      </c>
      <c r="N67" s="6"/>
      <c r="O67" s="6"/>
      <c r="P67" s="6" t="str">
        <f>IF(OR(Table18[[#This Row],[Type]]="Main Product", Table18[[#This Row],[Type]]="Co-Product"), Table18[[#This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IF(Table18[[#This Row],[Type]]="Co-product", "No", "")</f>
        <v/>
      </c>
      <c r="J68" s="25"/>
      <c r="K68" s="6"/>
      <c r="L68" s="6" t="str">
        <f>IF(Table18[[#This Row],[Category]]="Transportation", _xlfn.XLOOKUP(Table18[[#This Row],[Resource]], 'SI - Payload'!$A$10:$A$38,'SI - Payload'!$B$10:$B$38,"",0), "")</f>
        <v/>
      </c>
      <c r="M68" s="6" t="str">
        <f>IF(Table18[[#This Row],[Category]]="Transportation", "ton", "")</f>
        <v/>
      </c>
      <c r="N68" s="6"/>
      <c r="O68" s="6"/>
      <c r="P68" s="6" t="str">
        <f>IF(OR(Table18[[#This Row],[Type]]="Main Product", Table18[[#This Row],[Type]]="Co-Product"), Table18[[#This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IF(Table18[[#This Row],[Type]]="Co-product", "No", "")</f>
        <v/>
      </c>
      <c r="J69" s="25"/>
      <c r="K69" s="6"/>
      <c r="L69" s="6" t="str">
        <f>IF(Table18[[#This Row],[Category]]="Transportation", _xlfn.XLOOKUP(Table18[[#This Row],[Resource]], 'SI - Payload'!$A$10:$A$38,'SI - Payload'!$B$10:$B$38,"",0), "")</f>
        <v/>
      </c>
      <c r="M69" s="6" t="str">
        <f>IF(Table18[[#This Row],[Category]]="Transportation", "ton", "")</f>
        <v/>
      </c>
      <c r="N69" s="6"/>
      <c r="O69" s="6"/>
      <c r="P69" s="6" t="str">
        <f>IF(OR(Table18[[#This Row],[Type]]="Main Product", Table18[[#This Row],[Type]]="Co-Product"), Table18[[#This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IF(Table18[[#This Row],[Type]]="Co-product", "No", "")</f>
        <v/>
      </c>
      <c r="J70" s="25"/>
      <c r="K70" s="6"/>
      <c r="L70" s="6" t="str">
        <f>IF(Table18[[#This Row],[Category]]="Transportation", _xlfn.XLOOKUP(Table18[[#This Row],[Resource]], 'SI - Payload'!$A$10:$A$38,'SI - Payload'!$B$10:$B$38,"",0), "")</f>
        <v/>
      </c>
      <c r="M70" s="6" t="str">
        <f>IF(Table18[[#This Row],[Category]]="Transportation", "ton", "")</f>
        <v/>
      </c>
      <c r="N70" s="6"/>
      <c r="O70" s="6"/>
      <c r="P70" s="6" t="str">
        <f>IF(OR(Table18[[#This Row],[Type]]="Main Product", Table18[[#This Row],[Type]]="Co-Product"), Table18[[#This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IF(Table18[[#This Row],[Type]]="Co-product", "No", "")</f>
        <v/>
      </c>
      <c r="J71" s="25"/>
      <c r="K71" s="6"/>
      <c r="L71" s="6" t="str">
        <f>IF(Table18[[#This Row],[Category]]="Transportation", _xlfn.XLOOKUP(Table18[[#This Row],[Resource]], 'SI - Payload'!$A$10:$A$38,'SI - Payload'!$B$10:$B$38,"",0), "")</f>
        <v/>
      </c>
      <c r="M71" s="6" t="str">
        <f>IF(Table18[[#This Row],[Category]]="Transportation", "ton", "")</f>
        <v/>
      </c>
      <c r="N71" s="6"/>
      <c r="O71" s="6"/>
      <c r="P71" s="6" t="str">
        <f>IF(OR(Table18[[#This Row],[Type]]="Main Product", Table18[[#This Row],[Type]]="Co-Product"), Table18[[#This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IF(Table18[[#This Row],[Type]]="Co-product", "No", "")</f>
        <v/>
      </c>
      <c r="J72" s="25"/>
      <c r="K72" s="6"/>
      <c r="L72" s="6" t="str">
        <f>IF(Table18[[#This Row],[Category]]="Transportation", _xlfn.XLOOKUP(Table18[[#This Row],[Resource]], 'SI - Payload'!$A$10:$A$38,'SI - Payload'!$B$10:$B$38,"",0), "")</f>
        <v/>
      </c>
      <c r="M72" s="6" t="str">
        <f>IF(Table18[[#This Row],[Category]]="Transportation", "ton", "")</f>
        <v/>
      </c>
      <c r="N72" s="6"/>
      <c r="O72" s="6"/>
      <c r="P72" s="6" t="str">
        <f>IF(OR(Table18[[#This Row],[Type]]="Main Product", Table18[[#This Row],[Type]]="Co-Product"), Table18[[#This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IF(Table18[[#This Row],[Type]]="Co-product", "No", "")</f>
        <v/>
      </c>
      <c r="J73" s="25"/>
      <c r="K73" s="6"/>
      <c r="L73" s="6" t="str">
        <f>IF(Table18[[#This Row],[Category]]="Transportation", _xlfn.XLOOKUP(Table18[[#This Row],[Resource]], 'SI - Payload'!$A$10:$A$38,'SI - Payload'!$B$10:$B$38,"",0), "")</f>
        <v/>
      </c>
      <c r="M73" s="6" t="str">
        <f>IF(Table18[[#This Row],[Category]]="Transportation", "ton", "")</f>
        <v/>
      </c>
      <c r="N73" s="6"/>
      <c r="O73" s="6"/>
      <c r="P73" s="6" t="str">
        <f>IF(OR(Table18[[#This Row],[Type]]="Main Product", Table18[[#This Row],[Type]]="Co-Product"), Table18[[#This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IF(Table18[[#This Row],[Type]]="Co-product", "No", "")</f>
        <v/>
      </c>
      <c r="J74" s="25"/>
      <c r="K74" s="6"/>
      <c r="L74" s="6" t="str">
        <f>IF(Table18[[#This Row],[Category]]="Transportation", _xlfn.XLOOKUP(Table18[[#This Row],[Resource]], 'SI - Payload'!$A$10:$A$38,'SI - Payload'!$B$10:$B$38,"",0), "")</f>
        <v/>
      </c>
      <c r="M74" s="6" t="str">
        <f>IF(Table18[[#This Row],[Category]]="Transportation", "ton", "")</f>
        <v/>
      </c>
      <c r="N74" s="6"/>
      <c r="O74" s="6"/>
      <c r="P74" s="6" t="str">
        <f>IF(OR(Table18[[#This Row],[Type]]="Main Product", Table18[[#This Row],[Type]]="Co-Product"), Table18[[#This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IF(Table18[[#This Row],[Type]]="Co-product", "No", "")</f>
        <v/>
      </c>
      <c r="J75" s="25"/>
      <c r="K75" s="6"/>
      <c r="L75" s="6" t="str">
        <f>IF(Table18[[#This Row],[Category]]="Transportation", _xlfn.XLOOKUP(Table18[[#This Row],[Resource]], 'SI - Payload'!$A$10:$A$38,'SI - Payload'!$B$10:$B$38,"",0), "")</f>
        <v/>
      </c>
      <c r="M75" s="6" t="str">
        <f>IF(Table18[[#This Row],[Category]]="Transportation", "ton", "")</f>
        <v/>
      </c>
      <c r="N75" s="6"/>
      <c r="O75" s="6"/>
      <c r="P75" s="6" t="str">
        <f>IF(OR(Table18[[#This Row],[Type]]="Main Product", Table18[[#This Row],[Type]]="Co-Product"), Table18[[#This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IF(Table18[[#This Row],[Type]]="Co-product", "No", "")</f>
        <v/>
      </c>
      <c r="J76" s="25"/>
      <c r="K76" s="6"/>
      <c r="L76" s="6" t="str">
        <f>IF(Table18[[#This Row],[Category]]="Transportation", _xlfn.XLOOKUP(Table18[[#This Row],[Resource]], 'SI - Payload'!$A$10:$A$38,'SI - Payload'!$B$10:$B$38,"",0), "")</f>
        <v/>
      </c>
      <c r="M76" s="6" t="str">
        <f>IF(Table18[[#This Row],[Category]]="Transportation", "ton", "")</f>
        <v/>
      </c>
      <c r="N76" s="6"/>
      <c r="O76" s="6"/>
      <c r="P76" s="6" t="str">
        <f>IF(OR(Table18[[#This Row],[Type]]="Main Product", Table18[[#This Row],[Type]]="Co-Product"), Table18[[#This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IF(Table18[[#This Row],[Type]]="Co-product", "No", "")</f>
        <v/>
      </c>
      <c r="J77" s="25"/>
      <c r="K77" s="6"/>
      <c r="L77" s="6" t="str">
        <f>IF(Table18[[#This Row],[Category]]="Transportation", _xlfn.XLOOKUP(Table18[[#This Row],[Resource]], 'SI - Payload'!$A$10:$A$38,'SI - Payload'!$B$10:$B$38,"",0), "")</f>
        <v/>
      </c>
      <c r="M77" s="6" t="str">
        <f>IF(Table18[[#This Row],[Category]]="Transportation", "ton", "")</f>
        <v/>
      </c>
      <c r="N77" s="6"/>
      <c r="O77" s="6"/>
      <c r="P77" s="6" t="str">
        <f>IF(OR(Table18[[#This Row],[Type]]="Main Product", Table18[[#This Row],[Type]]="Co-Product"), Table18[[#This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IF(Table18[[#This Row],[Type]]="Co-product", "No", "")</f>
        <v/>
      </c>
      <c r="J78" s="25"/>
      <c r="K78" s="6"/>
      <c r="L78" s="6" t="str">
        <f>IF(Table18[[#This Row],[Category]]="Transportation", _xlfn.XLOOKUP(Table18[[#This Row],[Resource]], 'SI - Payload'!$A$10:$A$38,'SI - Payload'!$B$10:$B$38,"",0), "")</f>
        <v/>
      </c>
      <c r="M78" s="6" t="str">
        <f>IF(Table18[[#This Row],[Category]]="Transportation", "ton", "")</f>
        <v/>
      </c>
      <c r="N78" s="6"/>
      <c r="O78" s="6"/>
      <c r="P78" s="6" t="str">
        <f>IF(OR(Table18[[#This Row],[Type]]="Main Product", Table18[[#This Row],[Type]]="Co-Product"), Table18[[#This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IF(Table18[[#This Row],[Type]]="Co-product", "No", "")</f>
        <v/>
      </c>
      <c r="J79" s="25"/>
      <c r="K79" s="6"/>
      <c r="L79" s="6" t="str">
        <f>IF(Table18[[#This Row],[Category]]="Transportation", _xlfn.XLOOKUP(Table18[[#This Row],[Resource]], 'SI - Payload'!$A$10:$A$38,'SI - Payload'!$B$10:$B$38,"",0), "")</f>
        <v/>
      </c>
      <c r="M79" s="6" t="str">
        <f>IF(Table18[[#This Row],[Category]]="Transportation", "ton", "")</f>
        <v/>
      </c>
      <c r="N79" s="6"/>
      <c r="O79" s="6"/>
      <c r="P79" s="6" t="str">
        <f>IF(OR(Table18[[#This Row],[Type]]="Main Product", Table18[[#This Row],[Type]]="Co-Product"), Table18[[#This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IF(Table18[[#This Row],[Type]]="Co-product", "No", "")</f>
        <v/>
      </c>
      <c r="J80" s="25"/>
      <c r="K80" s="6"/>
      <c r="L80" s="6" t="str">
        <f>IF(Table18[[#This Row],[Category]]="Transportation", _xlfn.XLOOKUP(Table18[[#This Row],[Resource]], 'SI - Payload'!$A$10:$A$38,'SI - Payload'!$B$10:$B$38,"",0), "")</f>
        <v/>
      </c>
      <c r="M80" s="6" t="str">
        <f>IF(Table18[[#This Row],[Category]]="Transportation", "ton", "")</f>
        <v/>
      </c>
      <c r="N80" s="6"/>
      <c r="O80" s="6"/>
      <c r="P80" s="6" t="str">
        <f>IF(OR(Table18[[#This Row],[Type]]="Main Product", Table18[[#This Row],[Type]]="Co-Product"), Table18[[#This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IF(Table18[[#This Row],[Type]]="Co-product", "No", "")</f>
        <v/>
      </c>
      <c r="J81" s="25"/>
      <c r="K81" s="6"/>
      <c r="L81" s="6" t="str">
        <f>IF(Table18[[#This Row],[Category]]="Transportation", _xlfn.XLOOKUP(Table18[[#This Row],[Resource]], 'SI - Payload'!$A$10:$A$38,'SI - Payload'!$B$10:$B$38,"",0), "")</f>
        <v/>
      </c>
      <c r="M81" s="6" t="str">
        <f>IF(Table18[[#This Row],[Category]]="Transportation", "ton", "")</f>
        <v/>
      </c>
      <c r="N81" s="6"/>
      <c r="O81" s="6"/>
      <c r="P81" s="6" t="str">
        <f>IF(OR(Table18[[#This Row],[Type]]="Main Product", Table18[[#This Row],[Type]]="Co-Product"), Table18[[#This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IF(Table18[[#This Row],[Type]]="Co-product", "No", "")</f>
        <v/>
      </c>
      <c r="J82" s="25"/>
      <c r="K82" s="6"/>
      <c r="L82" s="6" t="str">
        <f>IF(Table18[[#This Row],[Category]]="Transportation", _xlfn.XLOOKUP(Table18[[#This Row],[Resource]], 'SI - Payload'!$A$10:$A$38,'SI - Payload'!$B$10:$B$38,"",0), "")</f>
        <v/>
      </c>
      <c r="M82" s="6" t="str">
        <f>IF(Table18[[#This Row],[Category]]="Transportation", "ton", "")</f>
        <v/>
      </c>
      <c r="N82" s="6"/>
      <c r="O82" s="6"/>
      <c r="P82" s="6" t="str">
        <f>IF(OR(Table18[[#This Row],[Type]]="Main Product", Table18[[#This Row],[Type]]="Co-Product"), Table18[[#This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IF(Table18[[#This Row],[Type]]="Co-product", "No", "")</f>
        <v/>
      </c>
      <c r="J83" s="25"/>
      <c r="K83" s="6"/>
      <c r="L83" s="6" t="str">
        <f>IF(Table18[[#This Row],[Category]]="Transportation", _xlfn.XLOOKUP(Table18[[#This Row],[Resource]], 'SI - Payload'!$A$10:$A$38,'SI - Payload'!$B$10:$B$38,"",0), "")</f>
        <v/>
      </c>
      <c r="M83" s="6" t="str">
        <f>IF(Table18[[#This Row],[Category]]="Transportation", "ton", "")</f>
        <v/>
      </c>
      <c r="N83" s="6"/>
      <c r="O83" s="6"/>
      <c r="P83" s="6" t="str">
        <f>IF(OR(Table18[[#This Row],[Type]]="Main Product", Table18[[#This Row],[Type]]="Co-Product"), Table18[[#This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IF(Table18[[#This Row],[Type]]="Co-product", "No", "")</f>
        <v/>
      </c>
      <c r="J84" s="25"/>
      <c r="K84" s="6"/>
      <c r="L84" s="6" t="str">
        <f>IF(Table18[[#This Row],[Category]]="Transportation", _xlfn.XLOOKUP(Table18[[#This Row],[Resource]], 'SI - Payload'!$A$10:$A$38,'SI - Payload'!$B$10:$B$38,"",0), "")</f>
        <v/>
      </c>
      <c r="M84" s="6" t="str">
        <f>IF(Table18[[#This Row],[Category]]="Transportation", "ton", "")</f>
        <v/>
      </c>
      <c r="N84" s="6"/>
      <c r="O84" s="6"/>
      <c r="P84" s="6" t="str">
        <f>IF(OR(Table18[[#This Row],[Type]]="Main Product", Table18[[#This Row],[Type]]="Co-Product"), Table18[[#This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IF(Table18[[#This Row],[Type]]="Co-product", "No", "")</f>
        <v/>
      </c>
      <c r="J85" s="25"/>
      <c r="K85" s="6"/>
      <c r="L85" s="6" t="str">
        <f>IF(Table18[[#This Row],[Category]]="Transportation", _xlfn.XLOOKUP(Table18[[#This Row],[Resource]], 'SI - Payload'!$A$10:$A$38,'SI - Payload'!$B$10:$B$38,"",0), "")</f>
        <v/>
      </c>
      <c r="M85" s="6" t="str">
        <f>IF(Table18[[#This Row],[Category]]="Transportation", "ton", "")</f>
        <v/>
      </c>
      <c r="N85" s="6"/>
      <c r="O85" s="6"/>
      <c r="P85" s="6" t="str">
        <f>IF(OR(Table18[[#This Row],[Type]]="Main Product", Table18[[#This Row],[Type]]="Co-Product"), Table18[[#This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IF(Table18[[#This Row],[Type]]="Co-product", "No", "")</f>
        <v/>
      </c>
      <c r="J86" s="25"/>
      <c r="K86" s="6"/>
      <c r="L86" s="6" t="str">
        <f>IF(Table18[[#This Row],[Category]]="Transportation", _xlfn.XLOOKUP(Table18[[#This Row],[Resource]], 'SI - Payload'!$A$10:$A$38,'SI - Payload'!$B$10:$B$38,"",0), "")</f>
        <v/>
      </c>
      <c r="M86" s="6" t="str">
        <f>IF(Table18[[#This Row],[Category]]="Transportation", "ton", "")</f>
        <v/>
      </c>
      <c r="N86" s="6"/>
      <c r="O86" s="6"/>
      <c r="P86" s="6" t="str">
        <f>IF(OR(Table18[[#This Row],[Type]]="Main Product", Table18[[#This Row],[Type]]="Co-Product"), Table18[[#This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IF(Table18[[#This Row],[Type]]="Co-product", "No", "")</f>
        <v/>
      </c>
      <c r="J87" s="25"/>
      <c r="K87" s="6"/>
      <c r="L87" s="6" t="str">
        <f>IF(Table18[[#This Row],[Category]]="Transportation", _xlfn.XLOOKUP(Table18[[#This Row],[Resource]], 'SI - Payload'!$A$10:$A$38,'SI - Payload'!$B$10:$B$38,"",0), "")</f>
        <v/>
      </c>
      <c r="M87" s="6" t="str">
        <f>IF(Table18[[#This Row],[Category]]="Transportation", "ton", "")</f>
        <v/>
      </c>
      <c r="N87" s="6"/>
      <c r="O87" s="6"/>
      <c r="P87" s="6" t="str">
        <f>IF(OR(Table18[[#This Row],[Type]]="Main Product", Table18[[#This Row],[Type]]="Co-Product"), Table18[[#This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IF(Table18[[#This Row],[Type]]="Co-product", "No", "")</f>
        <v/>
      </c>
      <c r="J88" s="25"/>
      <c r="K88" s="6"/>
      <c r="L88" s="6" t="str">
        <f>IF(Table18[[#This Row],[Category]]="Transportation", _xlfn.XLOOKUP(Table18[[#This Row],[Resource]], 'SI - Payload'!$A$10:$A$38,'SI - Payload'!$B$10:$B$38,"",0), "")</f>
        <v/>
      </c>
      <c r="M88" s="6" t="str">
        <f>IF(Table18[[#This Row],[Category]]="Transportation", "ton", "")</f>
        <v/>
      </c>
      <c r="N88" s="6"/>
      <c r="O88" s="6"/>
      <c r="P88" s="6" t="str">
        <f>IF(OR(Table18[[#This Row],[Type]]="Main Product", Table18[[#This Row],[Type]]="Co-Product"), Table18[[#This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IF(Table18[[#This Row],[Type]]="Co-product", "No", "")</f>
        <v/>
      </c>
      <c r="J89" s="25"/>
      <c r="K89" s="6"/>
      <c r="L89" s="6" t="str">
        <f>IF(Table18[[#This Row],[Category]]="Transportation", _xlfn.XLOOKUP(Table18[[#This Row],[Resource]], 'SI - Payload'!$A$10:$A$38,'SI - Payload'!$B$10:$B$38,"",0), "")</f>
        <v/>
      </c>
      <c r="M89" s="6" t="str">
        <f>IF(Table18[[#This Row],[Category]]="Transportation", "ton", "")</f>
        <v/>
      </c>
      <c r="N89" s="6"/>
      <c r="O89" s="6"/>
      <c r="P89" s="6" t="str">
        <f>IF(OR(Table18[[#This Row],[Type]]="Main Product", Table18[[#This Row],[Type]]="Co-Product"), Table18[[#This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IF(Table18[[#This Row],[Type]]="Co-product", "No", "")</f>
        <v/>
      </c>
      <c r="J90" s="25"/>
      <c r="K90" s="6"/>
      <c r="L90" s="6" t="str">
        <f>IF(Table18[[#This Row],[Category]]="Transportation", _xlfn.XLOOKUP(Table18[[#This Row],[Resource]], 'SI - Payload'!$A$10:$A$38,'SI - Payload'!$B$10:$B$38,"",0), "")</f>
        <v/>
      </c>
      <c r="M90" s="6" t="str">
        <f>IF(Table18[[#This Row],[Category]]="Transportation", "ton", "")</f>
        <v/>
      </c>
      <c r="N90" s="6"/>
      <c r="O90" s="6"/>
      <c r="P90" s="6" t="str">
        <f>IF(OR(Table18[[#This Row],[Type]]="Main Product", Table18[[#This Row],[Type]]="Co-Product"), Table18[[#This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IF(Table18[[#This Row],[Type]]="Co-product", "No", "")</f>
        <v/>
      </c>
      <c r="J91" s="25"/>
      <c r="K91" s="6"/>
      <c r="L91" s="6" t="str">
        <f>IF(Table18[[#This Row],[Category]]="Transportation", _xlfn.XLOOKUP(Table18[[#This Row],[Resource]], 'SI - Payload'!$A$10:$A$38,'SI - Payload'!$B$10:$B$38,"",0), "")</f>
        <v/>
      </c>
      <c r="M91" s="6" t="str">
        <f>IF(Table18[[#This Row],[Category]]="Transportation", "ton", "")</f>
        <v/>
      </c>
      <c r="N91" s="6"/>
      <c r="O91" s="6"/>
      <c r="P91" s="6" t="str">
        <f>IF(OR(Table18[[#This Row],[Type]]="Main Product", Table18[[#This Row],[Type]]="Co-Product"), Table18[[#This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IF(Table18[[#This Row],[Type]]="Co-product", "No", "")</f>
        <v/>
      </c>
      <c r="J92" s="25"/>
      <c r="K92" s="6"/>
      <c r="L92" s="6" t="str">
        <f>IF(Table18[[#This Row],[Category]]="Transportation", _xlfn.XLOOKUP(Table18[[#This Row],[Resource]], 'SI - Payload'!$A$10:$A$38,'SI - Payload'!$B$10:$B$38,"",0), "")</f>
        <v/>
      </c>
      <c r="M92" s="6" t="str">
        <f>IF(Table18[[#This Row],[Category]]="Transportation", "ton", "")</f>
        <v/>
      </c>
      <c r="N92" s="6"/>
      <c r="O92" s="6"/>
      <c r="P92" s="6" t="str">
        <f>IF(OR(Table18[[#This Row],[Type]]="Main Product", Table18[[#This Row],[Type]]="Co-Product"), Table18[[#This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IF(Table18[[#This Row],[Type]]="Co-product", "No", "")</f>
        <v/>
      </c>
      <c r="J93" s="25"/>
      <c r="K93" s="6"/>
      <c r="L93" s="6" t="str">
        <f>IF(Table18[[#This Row],[Category]]="Transportation", _xlfn.XLOOKUP(Table18[[#This Row],[Resource]], 'SI - Payload'!$A$10:$A$38,'SI - Payload'!$B$10:$B$38,"",0), "")</f>
        <v/>
      </c>
      <c r="M93" s="6" t="str">
        <f>IF(Table18[[#This Row],[Category]]="Transportation", "ton", "")</f>
        <v/>
      </c>
      <c r="N93" s="6"/>
      <c r="O93" s="6"/>
      <c r="P93" s="6" t="str">
        <f>IF(OR(Table18[[#This Row],[Type]]="Main Product", Table18[[#This Row],[Type]]="Co-Product"), Table18[[#This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IF(Table18[[#This Row],[Type]]="Co-product", "No", "")</f>
        <v/>
      </c>
      <c r="J94" s="25"/>
      <c r="K94" s="6"/>
      <c r="L94" s="6" t="str">
        <f>IF(Table18[[#This Row],[Category]]="Transportation", _xlfn.XLOOKUP(Table18[[#This Row],[Resource]], 'SI - Payload'!$A$10:$A$38,'SI - Payload'!$B$10:$B$38,"",0), "")</f>
        <v/>
      </c>
      <c r="M94" s="6" t="str">
        <f>IF(Table18[[#This Row],[Category]]="Transportation", "ton", "")</f>
        <v/>
      </c>
      <c r="N94" s="6"/>
      <c r="O94" s="6"/>
      <c r="P94" s="6" t="str">
        <f>IF(OR(Table18[[#This Row],[Type]]="Main Product", Table18[[#This Row],[Type]]="Co-Product"), Table18[[#This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IF(Table18[[#This Row],[Type]]="Co-product", "No", "")</f>
        <v/>
      </c>
      <c r="J95" s="25"/>
      <c r="K95" s="6"/>
      <c r="L95" s="6" t="str">
        <f>IF(Table18[[#This Row],[Category]]="Transportation", _xlfn.XLOOKUP(Table18[[#This Row],[Resource]], 'SI - Payload'!$A$10:$A$38,'SI - Payload'!$B$10:$B$38,"",0), "")</f>
        <v/>
      </c>
      <c r="M95" s="6" t="str">
        <f>IF(Table18[[#This Row],[Category]]="Transportation", "ton", "")</f>
        <v/>
      </c>
      <c r="N95" s="6"/>
      <c r="O95" s="6"/>
      <c r="P95" s="6" t="str">
        <f>IF(OR(Table18[[#This Row],[Type]]="Main Product", Table18[[#This Row],[Type]]="Co-Product"), Table18[[#This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IF(Table18[[#This Row],[Type]]="Co-product", "No", "")</f>
        <v/>
      </c>
      <c r="J96" s="25"/>
      <c r="K96" s="6"/>
      <c r="L96" s="6" t="str">
        <f>IF(Table18[[#This Row],[Category]]="Transportation", _xlfn.XLOOKUP(Table18[[#This Row],[Resource]], 'SI - Payload'!$A$10:$A$38,'SI - Payload'!$B$10:$B$38,"",0), "")</f>
        <v/>
      </c>
      <c r="M96" s="6" t="str">
        <f>IF(Table18[[#This Row],[Category]]="Transportation", "ton", "")</f>
        <v/>
      </c>
      <c r="N96" s="6"/>
      <c r="O96" s="6"/>
      <c r="P96" s="6" t="str">
        <f>IF(OR(Table18[[#This Row],[Type]]="Main Product", Table18[[#This Row],[Type]]="Co-Product"), Table18[[#This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IF(Table18[[#This Row],[Type]]="Co-product", "No", "")</f>
        <v/>
      </c>
      <c r="J97" s="25"/>
      <c r="K97" s="6"/>
      <c r="L97" s="6" t="str">
        <f>IF(Table18[[#This Row],[Category]]="Transportation", _xlfn.XLOOKUP(Table18[[#This Row],[Resource]], 'SI - Payload'!$A$10:$A$38,'SI - Payload'!$B$10:$B$38,"",0), "")</f>
        <v/>
      </c>
      <c r="M97" s="6" t="str">
        <f>IF(Table18[[#This Row],[Category]]="Transportation", "ton", "")</f>
        <v/>
      </c>
      <c r="N97" s="6"/>
      <c r="O97" s="6"/>
      <c r="P97" s="6" t="str">
        <f>IF(OR(Table18[[#This Row],[Type]]="Main Product", Table18[[#This Row],[Type]]="Co-Product"), Table18[[#This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IF(Table18[[#This Row],[Type]]="Co-product", "No", "")</f>
        <v/>
      </c>
      <c r="J98" s="25"/>
      <c r="K98" s="6"/>
      <c r="L98" s="6" t="str">
        <f>IF(Table18[[#This Row],[Category]]="Transportation", _xlfn.XLOOKUP(Table18[[#This Row],[Resource]], 'SI - Payload'!$A$10:$A$38,'SI - Payload'!$B$10:$B$38,"",0), "")</f>
        <v/>
      </c>
      <c r="M98" s="6" t="str">
        <f>IF(Table18[[#This Row],[Category]]="Transportation", "ton", "")</f>
        <v/>
      </c>
      <c r="N98" s="6"/>
      <c r="O98" s="6"/>
      <c r="P98" s="6" t="str">
        <f>IF(OR(Table18[[#This Row],[Type]]="Main Product", Table18[[#This Row],[Type]]="Co-Product"), Table18[[#This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IF(Table18[[#This Row],[Type]]="Co-product", "No", "")</f>
        <v/>
      </c>
      <c r="J99" s="25"/>
      <c r="K99" s="6"/>
      <c r="L99" s="6" t="str">
        <f>IF(Table18[[#This Row],[Category]]="Transportation", _xlfn.XLOOKUP(Table18[[#This Row],[Resource]], 'SI - Payload'!$A$10:$A$38,'SI - Payload'!$B$10:$B$38,"",0), "")</f>
        <v/>
      </c>
      <c r="M99" s="6" t="str">
        <f>IF(Table18[[#This Row],[Category]]="Transportation", "ton", "")</f>
        <v/>
      </c>
      <c r="N99" s="6"/>
      <c r="O99" s="6"/>
      <c r="P99" s="6" t="str">
        <f>IF(OR(Table18[[#This Row],[Type]]="Main Product", Table18[[#This Row],[Type]]="Co-Product"), Table18[[#This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IF(Table18[[#This Row],[Type]]="Co-product", "No", "")</f>
        <v/>
      </c>
      <c r="J100" s="25"/>
      <c r="K100" s="6"/>
      <c r="L100" s="6" t="str">
        <f>IF(Table18[[#This Row],[Category]]="Transportation", _xlfn.XLOOKUP(Table18[[#This Row],[Resource]], 'SI - Payload'!$A$10:$A$38,'SI - Payload'!$B$10:$B$38,"",0), "")</f>
        <v/>
      </c>
      <c r="M100" s="6" t="str">
        <f>IF(Table18[[#This Row],[Category]]="Transportation", "ton", "")</f>
        <v/>
      </c>
      <c r="N100" s="6"/>
      <c r="O100" s="6"/>
      <c r="P100" s="6" t="str">
        <f>IF(OR(Table18[[#This Row],[Type]]="Main Product", Table18[[#This Row],[Type]]="Co-Product"), Table18[[#This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0CC65BCB-78AF-43E8-8E48-76A554008A0F}">
      <formula1>0</formula1>
      <formula2>1</formula2>
    </dataValidation>
    <dataValidation type="list" allowBlank="1" showInputMessage="1" showErrorMessage="1" sqref="M6:M100 N39:N41" xr:uid="{7116E3CD-ADE6-4634-8CDA-0627157B7127}">
      <formula1>payload_units</formula1>
    </dataValidation>
    <dataValidation type="decimal" operator="greaterThan" allowBlank="1" showInputMessage="1" showErrorMessage="1" error="Please type a positive number." sqref="L6:L100" xr:uid="{692D932F-A51F-45B1-A76D-2A9699D49E37}">
      <formula1>0</formula1>
    </dataValidation>
    <dataValidation type="decimal" operator="greaterThan" allowBlank="1" showInputMessage="1" showErrorMessage="1" error="Please type a positive price." sqref="N6:N38 N42:N100 O39:O41" xr:uid="{57765DCB-0838-42DC-A825-B1057D0C10AB}">
      <formula1>0</formula1>
    </dataValidation>
    <dataValidation type="decimal" allowBlank="1" showInputMessage="1" showErrorMessage="1" error="Please type a number between 0 and 1." sqref="G6:G100" xr:uid="{191D13F3-B30A-4EAA-9305-C1C7FBE470BA}">
      <formula1>0</formula1>
      <formula2>1</formula2>
    </dataValidation>
    <dataValidation type="custom" allowBlank="1" showInputMessage="1" showErrorMessage="1" sqref="E6:E100" xr:uid="{387ACDF3-3C1F-4421-8545-2402FC99B43B}">
      <formula1>ISNUMBER(E6)</formula1>
    </dataValidation>
    <dataValidation type="list" allowBlank="1" showInputMessage="1" showErrorMessage="1" sqref="C2" xr:uid="{F3E8E85E-EF30-42E3-B083-3CD017EE1C52}">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FDB571AC-D21A-4CBB-97FC-35508FA1121F}">
          <x14:formula1>
            <xm:f>IF($B6="Transportation",  transport_units, INDIRECT(_xlfn.XLOOKUP($C6, 'SI - Units'!$F$26:$F$36,'SI - Units'!$G$26:$G$36,"mass",0)))</xm:f>
          </x14:formula1>
          <xm:sqref>F6:F100</xm:sqref>
        </x14:dataValidation>
        <x14:dataValidation type="list" allowBlank="1" showInputMessage="1" showErrorMessage="1" xr:uid="{58A7A455-AD74-43F7-AA25-2FA982F6AC44}">
          <x14:formula1>
            <xm:f>INDIRECT("p_"&amp;_xlfn.XLOOKUP($C6,'SI - Units'!$F$26:$F$36,'SI - Units'!$G$26:$G$36,"mass",0))</xm:f>
          </x14:formula1>
          <xm:sqref>O6:O38 O42:O100</xm:sqref>
        </x14:dataValidation>
        <x14:dataValidation type="list" allowBlank="1" showInputMessage="1" showErrorMessage="1" xr:uid="{F073EC27-B1D3-40FC-99D9-2C91F459BF75}">
          <x14:formula1>
            <xm:f>INDIRECT(_xlfn.XLOOKUP($P6,'SI - End Use'!$A$11:$A$17,'SI - End Use'!$B$11:$B$17,"other_end_use",0))</xm:f>
          </x14:formula1>
          <xm:sqref>Q6:R100</xm:sqref>
        </x14:dataValidation>
        <x14:dataValidation type="list" allowBlank="1" showInputMessage="1" xr:uid="{AC99DB27-0838-4436-8AD9-23092A911F35}">
          <x14:formula1>
            <xm:f>INDIRECT(_xlfn.XLOOKUP($C6,'SI - End Use'!$A$11:$A$17,'SI - End Use'!$B$11:$B$17,"other_end_use",0))</xm:f>
          </x14:formula1>
          <xm:sqref>D6:D100</xm:sqref>
        </x14:dataValidation>
        <x14:dataValidation type="list" allowBlank="1" showInputMessage="1" showErrorMessage="1" xr:uid="{EB01F5AA-5DAD-42D9-A810-6A8FC9122FD7}">
          <x14:formula1>
            <xm:f>INDIRECT(_xlfn.XLOOKUP($B6, 'SI - Resources'!$R$1:$R$10,'SI - Resources'!$S$1:$S$10, "placeholder_resource", 0))</xm:f>
          </x14:formula1>
          <xm:sqref>P6:P100 C6:C100</xm:sqref>
        </x14:dataValidation>
        <x14:dataValidation type="list" allowBlank="1" showInputMessage="1" showErrorMessage="1" xr:uid="{89B11DF8-8D7E-4EA3-9E9D-24A26DB189B4}">
          <x14:formula1>
            <xm:f>'SI - Co-products'!$B$2:$B$6</xm:f>
          </x14:formula1>
          <xm:sqref>A6:A100</xm:sqref>
        </x14:dataValidation>
        <x14:dataValidation type="list" allowBlank="1" showInputMessage="1" showErrorMessage="1" xr:uid="{6589E042-F97B-4C3F-B831-3BAA23776A28}">
          <x14:formula1>
            <xm:f>'SI - Resources'!$A$1:$J$1</xm:f>
          </x14:formula1>
          <xm:sqref>B6:B100</xm:sqref>
        </x14:dataValidation>
        <x14:dataValidation type="list" allowBlank="1" showInputMessage="1" showErrorMessage="1" xr:uid="{EDB91AD3-53EA-4F8A-B62C-B0A7627BF528}">
          <x14:formula1>
            <xm:f>'SI - Co-products'!$C$2:$C$4</xm:f>
          </x14:formula1>
          <xm:sqref>I6:I100</xm:sqref>
        </x14:dataValidation>
        <x14:dataValidation type="list" allowBlank="1" showInputMessage="1" showErrorMessage="1" xr:uid="{44BA0471-66CF-4859-97C8-AFAF6E00D050}">
          <x14:formula1>
            <xm:f>'SI - Co-products'!$A$2:$A$5</xm:f>
          </x14:formula1>
          <xm:sqref>K6:K100</xm:sqref>
        </x14:dataValidation>
        <x14:dataValidation type="list" allowBlank="1" showInputMessage="1" showErrorMessage="1" xr:uid="{8697A863-F07F-4EF4-AF28-18190A168F91}">
          <x14:formula1>
            <xm:f>_xlfn.XLOOKUP(_xlfn.XLOOKUP(#REF!,'SI - Units'!$B$24:$B$109,'SI - Units'!$C$24:$C$109),'SI - Units'!$A$2:$A$8,'SI - Units'!$B$2:$R$8)</xm:f>
          </x14:formula1>
          <xm:sqref>F5</xm:sqref>
        </x14:dataValidation>
        <x14:dataValidation type="list" allowBlank="1" showInputMessage="1" showErrorMessage="1" xr:uid="{D3C98786-984D-47F9-BDD8-C9D74F1A2EBD}">
          <x14:formula1>
            <xm:f>'SI - Co-products'!$D$2:$D$8</xm:f>
          </x14:formula1>
          <xm:sqref>C1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6E548E-F8F3-463F-AD0D-00377BDCB4A4}">
  <sheetPr codeName="Sheet13"/>
  <dimension ref="A1:T100"/>
  <sheetViews>
    <sheetView tabSelected="1" workbookViewId="0">
      <pane ySplit="5" topLeftCell="A6" activePane="bottomLeft" state="frozen"/>
      <selection activeCell="C19" sqref="C19"/>
      <selection pane="bottomLeft" activeCell="C4" sqref="C4"/>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124</v>
      </c>
    </row>
    <row r="3" spans="1:20" x14ac:dyDescent="0.35">
      <c r="A3" s="13" t="s">
        <v>334</v>
      </c>
      <c r="C3" s="57">
        <v>0.7</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244</v>
      </c>
      <c r="C6" s="6" t="s">
        <v>313</v>
      </c>
      <c r="D6" s="6" t="s">
        <v>242</v>
      </c>
      <c r="E6" s="12">
        <v>1</v>
      </c>
      <c r="F6" s="6" t="s">
        <v>70</v>
      </c>
      <c r="G6" s="25"/>
      <c r="H6" s="25" t="s">
        <v>349</v>
      </c>
      <c r="I6" s="26" t="str">
        <f>IF(Table112[[#This Row],[Type]]="Co-product", "No", "")</f>
        <v/>
      </c>
      <c r="J6" s="25"/>
      <c r="K6" s="6"/>
      <c r="L6" s="6" t="str">
        <f>IF(Table112[[#This Row],[Category]]="Transportation", _xlfn.XLOOKUP(Table112[[#This Row],[Resource]], 'SI - Payload'!$A$10:$A$38,'SI - Payload'!$B$10:$B$38,"",0), "")</f>
        <v/>
      </c>
      <c r="M6" s="6" t="str">
        <f>IF(Table112[[#This Row],[Category]]="Transportation", "ton", "")</f>
        <v/>
      </c>
      <c r="N6" s="6"/>
      <c r="O6" s="6"/>
      <c r="P6" s="6" t="str">
        <f>IF(OR(Table112[[#This Row],[Type]]="Main Product", Table112[[#This Row],[Type]]="Co-Product"), Table112[[#This Row],[Resource]], "")</f>
        <v/>
      </c>
      <c r="Q6" s="6" t="str">
        <f>IF(_xlfn.XLOOKUP($P6,'SI - End Use'!$B$2:$B$6,'SI - End Use'!$C$2:$C$6, "")="", "", _xlfn.XLOOKUP($C6,'SI - End Use'!$B$2:$B$6,'SI - End Use'!$C$2:$C$6, ""))</f>
        <v/>
      </c>
      <c r="R6" s="6"/>
      <c r="S6" s="6"/>
      <c r="T6" s="6"/>
    </row>
    <row r="7" spans="1:20" x14ac:dyDescent="0.35">
      <c r="A7" s="6" t="s">
        <v>113</v>
      </c>
      <c r="B7" s="6" t="s">
        <v>244</v>
      </c>
      <c r="C7" s="6" t="s">
        <v>313</v>
      </c>
      <c r="D7" s="6" t="s">
        <v>83</v>
      </c>
      <c r="E7" s="12">
        <v>1</v>
      </c>
      <c r="F7" s="6" t="s">
        <v>70</v>
      </c>
      <c r="G7" s="25"/>
      <c r="H7" s="25"/>
      <c r="I7" s="26" t="str">
        <f>IF(Table112[[#This Row],[Type]]="Co-product", "No", "")</f>
        <v/>
      </c>
      <c r="J7" s="25"/>
      <c r="K7" s="6"/>
      <c r="L7" s="6" t="str">
        <f>IF(Table112[[#This Row],[Category]]="Transportation", _xlfn.XLOOKUP(Table112[[#This Row],[Resource]], 'SI - Payload'!$A$10:$A$38,'SI - Payload'!$B$10:$B$38,"",0), "")</f>
        <v/>
      </c>
      <c r="M7" s="6" t="str">
        <f>IF(Table112[[#This Row],[Category]]="Transportation", "ton", "")</f>
        <v/>
      </c>
      <c r="N7" s="6"/>
      <c r="O7" s="6"/>
      <c r="P7" s="6" t="s">
        <v>2</v>
      </c>
      <c r="Q7" s="6" t="s">
        <v>83</v>
      </c>
      <c r="R7" s="6"/>
      <c r="S7" s="6"/>
      <c r="T7" s="6"/>
    </row>
    <row r="8" spans="1:20" x14ac:dyDescent="0.35">
      <c r="A8" s="6"/>
      <c r="B8" s="6"/>
      <c r="C8" s="6" t="str">
        <f>_xlfn.XLOOKUP($B8,'SI - Resources'!$A$1:$J$1,'SI - Resources'!$A$2:$J$2, "")</f>
        <v/>
      </c>
      <c r="D8" s="6" t="str">
        <f>IF(_xlfn.XLOOKUP($C8,'SI - End Use'!$B$2:$B$6,'SI - End Use'!$C$2:$C$6, "")="", "", _xlfn.XLOOKUP($C8,'SI - End Use'!$B$2:$B$6,'SI - End Use'!$C$2:$C$6, ""))</f>
        <v/>
      </c>
      <c r="E8" s="12"/>
      <c r="F8" s="6" t="str" cm="1">
        <f t="array" ref="F8">IF($B8="Transportation",  'SI - Units'!$B$9:$B$9, _xlfn.XLOOKUP(_xlfn.XLOOKUP($C8,'SI - Units'!$B$24:$B$109,'SI - Units'!$C$24:$C$109, ""),'SI - Units'!$A$2:$A$8,'SI - Units'!$B$2:$B$8, ""))</f>
        <v/>
      </c>
      <c r="G8" s="25"/>
      <c r="H8" s="25"/>
      <c r="I8" s="26" t="str">
        <f>IF(Table112[[#This Row],[Type]]="Co-product", "No", "")</f>
        <v/>
      </c>
      <c r="J8" s="25"/>
      <c r="K8" s="6"/>
      <c r="L8" s="6" t="str">
        <f>IF(Table112[[#This Row],[Category]]="Transportation", _xlfn.XLOOKUP(Table112[[#This Row],[Resource]], 'SI - Payload'!$A$10:$A$38,'SI - Payload'!$B$10:$B$38,"",0), "")</f>
        <v/>
      </c>
      <c r="M8" s="6" t="str">
        <f>IF(Table112[[#This Row],[Category]]="Transportation", "ton", "")</f>
        <v/>
      </c>
      <c r="N8" s="6"/>
      <c r="O8" s="6"/>
      <c r="P8" s="6" t="str">
        <f>IF(OR(Table112[[#This Row],[Type]]="Main Product", Table112[[#This Row],[Type]]="Co-Product"), Table112[[#This Row],[Resource]], "")</f>
        <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IF(Table112[[#This Row],[Type]]="Co-product", "No", "")</f>
        <v/>
      </c>
      <c r="J9" s="25"/>
      <c r="K9" s="6"/>
      <c r="L9" s="6" t="str">
        <f>IF(Table112[[#This Row],[Category]]="Transportation", _xlfn.XLOOKUP(Table112[[#This Row],[Resource]], 'SI - Payload'!$A$10:$A$38,'SI - Payload'!$B$10:$B$38,"",0), "")</f>
        <v/>
      </c>
      <c r="M9" s="6" t="str">
        <f>IF(Table112[[#This Row],[Category]]="Transportation", "ton", "")</f>
        <v/>
      </c>
      <c r="N9" s="6"/>
      <c r="O9" s="6"/>
      <c r="P9" s="6" t="str">
        <f>IF(OR(Table112[[#This Row],[Type]]="Main Product", Table112[[#This Row],[Type]]="Co-Product"), Table112[[#This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IF(Table112[[#This Row],[Type]]="Co-product", "No", "")</f>
        <v/>
      </c>
      <c r="J10" s="25"/>
      <c r="K10" s="6"/>
      <c r="L10" s="6" t="str">
        <f>IF(Table112[[#This Row],[Category]]="Transportation", _xlfn.XLOOKUP(Table112[[#This Row],[Resource]], 'SI - Payload'!$A$10:$A$38,'SI - Payload'!$B$10:$B$38,"",0), "")</f>
        <v/>
      </c>
      <c r="M10" s="6" t="str">
        <f>IF(Table112[[#This Row],[Category]]="Transportation", "ton", "")</f>
        <v/>
      </c>
      <c r="N10" s="6"/>
      <c r="O10" s="6"/>
      <c r="P10" s="6" t="str">
        <f>IF(OR(Table112[[#This Row],[Type]]="Main Product", Table112[[#This Row],[Type]]="Co-Product"), Table112[[#This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IF(Table112[[#This Row],[Type]]="Co-product", "No", "")</f>
        <v/>
      </c>
      <c r="J11" s="25"/>
      <c r="K11" s="6"/>
      <c r="L11" s="6" t="str">
        <f>IF(Table112[[#This Row],[Category]]="Transportation", _xlfn.XLOOKUP(Table112[[#This Row],[Resource]], 'SI - Payload'!$A$10:$A$38,'SI - Payload'!$B$10:$B$38,"",0), "")</f>
        <v/>
      </c>
      <c r="M11" s="6" t="str">
        <f>IF(Table112[[#This Row],[Category]]="Transportation", "ton", "")</f>
        <v/>
      </c>
      <c r="N11" s="6"/>
      <c r="O11" s="6"/>
      <c r="P11" s="6" t="str">
        <f>IF(OR(Table112[[#This Row],[Type]]="Main Product", Table112[[#This Row],[Type]]="Co-Product"), Table112[[#This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IF(Table112[[#This Row],[Type]]="Co-product", "No", "")</f>
        <v/>
      </c>
      <c r="J12" s="25"/>
      <c r="K12" s="6"/>
      <c r="L12" s="6" t="str">
        <f>IF(Table112[[#This Row],[Category]]="Transportation", _xlfn.XLOOKUP(Table112[[#This Row],[Resource]], 'SI - Payload'!$A$10:$A$38,'SI - Payload'!$B$10:$B$38,"",0), "")</f>
        <v/>
      </c>
      <c r="M12" s="6" t="str">
        <f>IF(Table112[[#This Row],[Category]]="Transportation", "ton", "")</f>
        <v/>
      </c>
      <c r="N12" s="6"/>
      <c r="O12" s="6"/>
      <c r="P12" s="6" t="str">
        <f>IF(OR(Table112[[#This Row],[Type]]="Main Product", Table112[[#This Row],[Type]]="Co-Product"), Table112[[#This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IF(Table112[[#This Row],[Type]]="Co-product", "No", "")</f>
        <v/>
      </c>
      <c r="J13" s="25"/>
      <c r="K13" s="6"/>
      <c r="L13" s="6" t="str">
        <f>IF(Table112[[#This Row],[Category]]="Transportation", _xlfn.XLOOKUP(Table112[[#This Row],[Resource]], 'SI - Payload'!$A$10:$A$38,'SI - Payload'!$B$10:$B$38,"",0), "")</f>
        <v/>
      </c>
      <c r="M13" s="6" t="str">
        <f>IF(Table112[[#This Row],[Category]]="Transportation", "ton", "")</f>
        <v/>
      </c>
      <c r="N13" s="6"/>
      <c r="O13" s="6"/>
      <c r="P13" s="6" t="str">
        <f>IF(OR(Table112[[#This Row],[Type]]="Main Product", Table112[[#This Row],[Type]]="Co-Product"), Table112[[#This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IF(Table112[[#This Row],[Type]]="Co-product", "No", "")</f>
        <v/>
      </c>
      <c r="J14" s="25"/>
      <c r="K14" s="6"/>
      <c r="L14" s="6" t="str">
        <f>IF(Table112[[#This Row],[Category]]="Transportation", _xlfn.XLOOKUP(Table112[[#This Row],[Resource]], 'SI - Payload'!$A$10:$A$38,'SI - Payload'!$B$10:$B$38,"",0), "")</f>
        <v/>
      </c>
      <c r="M14" s="6" t="str">
        <f>IF(Table112[[#This Row],[Category]]="Transportation", "ton", "")</f>
        <v/>
      </c>
      <c r="N14" s="6"/>
      <c r="O14" s="6"/>
      <c r="P14" s="6" t="str">
        <f>IF(OR(Table112[[#This Row],[Type]]="Main Product", Table112[[#This Row],[Type]]="Co-Product"), Table112[[#This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IF(Table112[[#This Row],[Type]]="Co-product", "No", "")</f>
        <v/>
      </c>
      <c r="J15" s="25"/>
      <c r="K15" s="6"/>
      <c r="L15" s="6" t="str">
        <f>IF(Table112[[#This Row],[Category]]="Transportation", _xlfn.XLOOKUP(Table112[[#This Row],[Resource]], 'SI - Payload'!$A$10:$A$38,'SI - Payload'!$B$10:$B$38,"",0), "")</f>
        <v/>
      </c>
      <c r="M15" s="6" t="str">
        <f>IF(Table112[[#This Row],[Category]]="Transportation", "ton", "")</f>
        <v/>
      </c>
      <c r="N15" s="6"/>
      <c r="O15" s="6"/>
      <c r="P15" s="6" t="str">
        <f>IF(OR(Table112[[#This Row],[Type]]="Main Product", Table112[[#This Row],[Type]]="Co-Product"), Table112[[#This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IF(Table112[[#This Row],[Type]]="Co-product", "No", "")</f>
        <v/>
      </c>
      <c r="J16" s="25"/>
      <c r="K16" s="6"/>
      <c r="L16" s="6" t="str">
        <f>IF(Table112[[#This Row],[Category]]="Transportation", _xlfn.XLOOKUP(Table112[[#This Row],[Resource]], 'SI - Payload'!$A$10:$A$38,'SI - Payload'!$B$10:$B$38,"",0), "")</f>
        <v/>
      </c>
      <c r="M16" s="6" t="str">
        <f>IF(Table112[[#This Row],[Category]]="Transportation", "ton", "")</f>
        <v/>
      </c>
      <c r="N16" s="6"/>
      <c r="O16" s="6"/>
      <c r="P16" s="6" t="str">
        <f>IF(OR(Table112[[#This Row],[Type]]="Main Product", Table112[[#This Row],[Type]]="Co-Product"), Table112[[#This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IF(Table112[[#This Row],[Type]]="Co-product", "No", "")</f>
        <v/>
      </c>
      <c r="J17" s="25"/>
      <c r="K17" s="6"/>
      <c r="L17" s="6" t="str">
        <f>IF(Table112[[#This Row],[Category]]="Transportation", _xlfn.XLOOKUP(Table112[[#This Row],[Resource]], 'SI - Payload'!$A$10:$A$38,'SI - Payload'!$B$10:$B$38,"",0), "")</f>
        <v/>
      </c>
      <c r="M17" s="6" t="str">
        <f>IF(Table112[[#This Row],[Category]]="Transportation", "ton", "")</f>
        <v/>
      </c>
      <c r="N17" s="6"/>
      <c r="O17" s="6"/>
      <c r="P17" s="6" t="str">
        <f>IF(OR(Table112[[#This Row],[Type]]="Main Product", Table112[[#This Row],[Type]]="Co-Product"), Table112[[#This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IF(Table112[[#This Row],[Type]]="Co-product", "No", "")</f>
        <v/>
      </c>
      <c r="J18" s="25"/>
      <c r="K18" s="6"/>
      <c r="L18" s="6" t="str">
        <f>IF(Table112[[#This Row],[Category]]="Transportation", _xlfn.XLOOKUP(Table112[[#This Row],[Resource]], 'SI - Payload'!$A$10:$A$38,'SI - Payload'!$B$10:$B$38,"",0), "")</f>
        <v/>
      </c>
      <c r="M18" s="6" t="str">
        <f>IF(Table112[[#This Row],[Category]]="Transportation", "ton", "")</f>
        <v/>
      </c>
      <c r="N18" s="6"/>
      <c r="O18" s="6"/>
      <c r="P18" s="6" t="str">
        <f>IF(OR(Table112[[#This Row],[Type]]="Main Product", Table112[[#This Row],[Type]]="Co-Product"), Table112[[#This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IF(Table112[[#This Row],[Type]]="Co-product", "No", "")</f>
        <v/>
      </c>
      <c r="J19" s="25"/>
      <c r="K19" s="6"/>
      <c r="L19" s="6" t="str">
        <f>IF(Table112[[#This Row],[Category]]="Transportation", _xlfn.XLOOKUP(Table112[[#This Row],[Resource]], 'SI - Payload'!$A$10:$A$38,'SI - Payload'!$B$10:$B$38,"",0), "")</f>
        <v/>
      </c>
      <c r="M19" s="6" t="str">
        <f>IF(Table112[[#This Row],[Category]]="Transportation", "ton", "")</f>
        <v/>
      </c>
      <c r="N19" s="6"/>
      <c r="O19" s="6"/>
      <c r="P19" s="6" t="str">
        <f>IF(OR(Table112[[#This Row],[Type]]="Main Product", Table112[[#This Row],[Type]]="Co-Product"), Table112[[#This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IF(Table112[[#This Row],[Type]]="Co-product", "No", "")</f>
        <v/>
      </c>
      <c r="J20" s="25"/>
      <c r="K20" s="6"/>
      <c r="L20" s="6" t="str">
        <f>IF(Table112[[#This Row],[Category]]="Transportation", _xlfn.XLOOKUP(Table112[[#This Row],[Resource]], 'SI - Payload'!$A$10:$A$38,'SI - Payload'!$B$10:$B$38,"",0), "")</f>
        <v/>
      </c>
      <c r="M20" s="6" t="str">
        <f>IF(Table112[[#This Row],[Category]]="Transportation", "ton", "")</f>
        <v/>
      </c>
      <c r="N20" s="6"/>
      <c r="O20" s="6"/>
      <c r="P20" s="6" t="str">
        <f>IF(OR(Table112[[#This Row],[Type]]="Main Product", Table112[[#This Row],[Type]]="Co-Product"), Table112[[#This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IF(Table112[[#This Row],[Type]]="Co-product", "No", "")</f>
        <v/>
      </c>
      <c r="J21" s="25"/>
      <c r="K21" s="6"/>
      <c r="L21" s="6" t="str">
        <f>IF(Table112[[#This Row],[Category]]="Transportation", _xlfn.XLOOKUP(Table112[[#This Row],[Resource]], 'SI - Payload'!$A$10:$A$38,'SI - Payload'!$B$10:$B$38,"",0), "")</f>
        <v/>
      </c>
      <c r="M21" s="6" t="str">
        <f>IF(Table112[[#This Row],[Category]]="Transportation", "ton", "")</f>
        <v/>
      </c>
      <c r="N21" s="6"/>
      <c r="O21" s="6"/>
      <c r="P21" s="6" t="str">
        <f>IF(OR(Table112[[#This Row],[Type]]="Main Product", Table112[[#This Row],[Type]]="Co-Product"), Table112[[#This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IF(Table112[[#This Row],[Type]]="Co-product", "No", "")</f>
        <v/>
      </c>
      <c r="J22" s="25"/>
      <c r="K22" s="6"/>
      <c r="L22" s="6" t="str">
        <f>IF(Table112[[#This Row],[Category]]="Transportation", _xlfn.XLOOKUP(Table112[[#This Row],[Resource]], 'SI - Payload'!$A$10:$A$38,'SI - Payload'!$B$10:$B$38,"",0), "")</f>
        <v/>
      </c>
      <c r="M22" s="6" t="str">
        <f>IF(Table112[[#This Row],[Category]]="Transportation", "ton", "")</f>
        <v/>
      </c>
      <c r="N22" s="6"/>
      <c r="O22" s="6"/>
      <c r="P22" s="6" t="str">
        <f>IF(OR(Table112[[#This Row],[Type]]="Main Product", Table112[[#This Row],[Type]]="Co-Product"), Table112[[#This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IF(Table112[[#This Row],[Type]]="Co-product", "No", "")</f>
        <v/>
      </c>
      <c r="J23" s="25"/>
      <c r="K23" s="6"/>
      <c r="L23" s="6" t="str">
        <f>IF(Table112[[#This Row],[Category]]="Transportation", _xlfn.XLOOKUP(Table112[[#This Row],[Resource]], 'SI - Payload'!$A$10:$A$38,'SI - Payload'!$B$10:$B$38,"",0), "")</f>
        <v/>
      </c>
      <c r="M23" s="6" t="str">
        <f>IF(Table112[[#This Row],[Category]]="Transportation", "ton", "")</f>
        <v/>
      </c>
      <c r="N23" s="6"/>
      <c r="O23" s="6"/>
      <c r="P23" s="6" t="str">
        <f>IF(OR(Table112[[#This Row],[Type]]="Main Product", Table112[[#This Row],[Type]]="Co-Product"), Table112[[#This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IF(Table112[[#This Row],[Type]]="Co-product", "No", "")</f>
        <v/>
      </c>
      <c r="J24" s="25"/>
      <c r="K24" s="6"/>
      <c r="L24" s="6" t="str">
        <f>IF(Table112[[#This Row],[Category]]="Transportation", _xlfn.XLOOKUP(Table112[[#This Row],[Resource]], 'SI - Payload'!$A$10:$A$38,'SI - Payload'!$B$10:$B$38,"",0), "")</f>
        <v/>
      </c>
      <c r="M24" s="6" t="str">
        <f>IF(Table112[[#This Row],[Category]]="Transportation", "ton", "")</f>
        <v/>
      </c>
      <c r="N24" s="6"/>
      <c r="O24" s="6"/>
      <c r="P24" s="6" t="str">
        <f>IF(OR(Table112[[#This Row],[Type]]="Main Product", Table112[[#This Row],[Type]]="Co-Product"), Table112[[#This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IF(Table112[[#This Row],[Type]]="Co-product", "No", "")</f>
        <v/>
      </c>
      <c r="J25" s="25"/>
      <c r="K25" s="6"/>
      <c r="L25" s="6" t="str">
        <f>IF(Table112[[#This Row],[Category]]="Transportation", _xlfn.XLOOKUP(Table112[[#This Row],[Resource]], 'SI - Payload'!$A$10:$A$38,'SI - Payload'!$B$10:$B$38,"",0), "")</f>
        <v/>
      </c>
      <c r="M25" s="6" t="str">
        <f>IF(Table112[[#This Row],[Category]]="Transportation", "ton", "")</f>
        <v/>
      </c>
      <c r="N25" s="6"/>
      <c r="O25" s="6"/>
      <c r="P25" s="6" t="str">
        <f>IF(OR(Table112[[#This Row],[Type]]="Main Product", Table112[[#This Row],[Type]]="Co-Product"), Table112[[#This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IF(Table112[[#This Row],[Type]]="Co-product", "No", "")</f>
        <v/>
      </c>
      <c r="J26" s="25"/>
      <c r="K26" s="6"/>
      <c r="L26" s="6" t="str">
        <f>IF(Table112[[#This Row],[Category]]="Transportation", _xlfn.XLOOKUP(Table112[[#This Row],[Resource]], 'SI - Payload'!$A$10:$A$38,'SI - Payload'!$B$10:$B$38,"",0), "")</f>
        <v/>
      </c>
      <c r="M26" s="6" t="str">
        <f>IF(Table112[[#This Row],[Category]]="Transportation", "ton", "")</f>
        <v/>
      </c>
      <c r="N26" s="6"/>
      <c r="O26" s="6"/>
      <c r="P26" s="6" t="str">
        <f>IF(OR(Table112[[#This Row],[Type]]="Main Product", Table112[[#This Row],[Type]]="Co-Product"), Table112[[#This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IF(Table112[[#This Row],[Type]]="Co-product", "No", "")</f>
        <v/>
      </c>
      <c r="J27" s="25"/>
      <c r="K27" s="6"/>
      <c r="L27" s="6" t="str">
        <f>IF(Table112[[#This Row],[Category]]="Transportation", _xlfn.XLOOKUP(Table112[[#This Row],[Resource]], 'SI - Payload'!$A$10:$A$38,'SI - Payload'!$B$10:$B$38,"",0), "")</f>
        <v/>
      </c>
      <c r="M27" s="6" t="str">
        <f>IF(Table112[[#This Row],[Category]]="Transportation", "ton", "")</f>
        <v/>
      </c>
      <c r="N27" s="6"/>
      <c r="O27" s="6"/>
      <c r="P27" s="6" t="str">
        <f>IF(OR(Table112[[#This Row],[Type]]="Main Product", Table112[[#This Row],[Type]]="Co-Product"), Table112[[#This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IF(Table112[[#This Row],[Type]]="Co-product", "No", "")</f>
        <v/>
      </c>
      <c r="J28" s="25"/>
      <c r="K28" s="6"/>
      <c r="L28" s="6" t="str">
        <f>IF(Table112[[#This Row],[Category]]="Transportation", _xlfn.XLOOKUP(Table112[[#This Row],[Resource]], 'SI - Payload'!$A$10:$A$38,'SI - Payload'!$B$10:$B$38,"",0), "")</f>
        <v/>
      </c>
      <c r="M28" s="6" t="str">
        <f>IF(Table112[[#This Row],[Category]]="Transportation", "ton", "")</f>
        <v/>
      </c>
      <c r="N28" s="6"/>
      <c r="O28" s="6"/>
      <c r="P28" s="6" t="str">
        <f>IF(OR(Table112[[#This Row],[Type]]="Main Product", Table112[[#This Row],[Type]]="Co-Product"), Table112[[#This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IF(Table112[[#This Row],[Type]]="Co-product", "No", "")</f>
        <v/>
      </c>
      <c r="J29" s="25"/>
      <c r="K29" s="6"/>
      <c r="L29" s="6" t="str">
        <f>IF(Table112[[#This Row],[Category]]="Transportation", _xlfn.XLOOKUP(Table112[[#This Row],[Resource]], 'SI - Payload'!$A$10:$A$38,'SI - Payload'!$B$10:$B$38,"",0), "")</f>
        <v/>
      </c>
      <c r="M29" s="6" t="str">
        <f>IF(Table112[[#This Row],[Category]]="Transportation", "ton", "")</f>
        <v/>
      </c>
      <c r="N29" s="6"/>
      <c r="O29" s="6"/>
      <c r="P29" s="6" t="str">
        <f>IF(OR(Table112[[#This Row],[Type]]="Main Product", Table112[[#This Row],[Type]]="Co-Product"), Table112[[#This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IF(Table112[[#This Row],[Type]]="Co-product", "No", "")</f>
        <v/>
      </c>
      <c r="J30" s="25"/>
      <c r="K30" s="6"/>
      <c r="L30" s="6" t="str">
        <f>IF(Table112[[#This Row],[Category]]="Transportation", _xlfn.XLOOKUP(Table112[[#This Row],[Resource]], 'SI - Payload'!$A$10:$A$38,'SI - Payload'!$B$10:$B$38,"",0), "")</f>
        <v/>
      </c>
      <c r="M30" s="6" t="str">
        <f>IF(Table112[[#This Row],[Category]]="Transportation", "ton", "")</f>
        <v/>
      </c>
      <c r="N30" s="6"/>
      <c r="O30" s="6"/>
      <c r="P30" s="6" t="str">
        <f>IF(OR(Table112[[#This Row],[Type]]="Main Product", Table112[[#This Row],[Type]]="Co-Product"), Table112[[#This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IF(Table112[[#This Row],[Type]]="Co-product", "No", "")</f>
        <v/>
      </c>
      <c r="J31" s="25"/>
      <c r="K31" s="6"/>
      <c r="L31" s="6" t="str">
        <f>IF(Table112[[#This Row],[Category]]="Transportation", _xlfn.XLOOKUP(Table112[[#This Row],[Resource]], 'SI - Payload'!$A$10:$A$38,'SI - Payload'!$B$10:$B$38,"",0), "")</f>
        <v/>
      </c>
      <c r="M31" s="6" t="str">
        <f>IF(Table112[[#This Row],[Category]]="Transportation", "ton", "")</f>
        <v/>
      </c>
      <c r="N31" s="6"/>
      <c r="O31" s="6"/>
      <c r="P31" s="6" t="str">
        <f>IF(OR(Table112[[#This Row],[Type]]="Main Product", Table112[[#This Row],[Type]]="Co-Product"), Table112[[#This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IF(Table112[[#This Row],[Type]]="Co-product", "No", "")</f>
        <v/>
      </c>
      <c r="J32" s="25"/>
      <c r="K32" s="6"/>
      <c r="L32" s="6" t="str">
        <f>IF(Table112[[#This Row],[Category]]="Transportation", _xlfn.XLOOKUP(Table112[[#This Row],[Resource]], 'SI - Payload'!$A$10:$A$38,'SI - Payload'!$B$10:$B$38,"",0), "")</f>
        <v/>
      </c>
      <c r="M32" s="6" t="str">
        <f>IF(Table112[[#This Row],[Category]]="Transportation", "ton", "")</f>
        <v/>
      </c>
      <c r="N32" s="6"/>
      <c r="O32" s="6"/>
      <c r="P32" s="6" t="str">
        <f>IF(OR(Table112[[#This Row],[Type]]="Main Product", Table112[[#This Row],[Type]]="Co-Product"), Table112[[#This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IF(Table112[[#This Row],[Type]]="Co-product", "No", "")</f>
        <v/>
      </c>
      <c r="J33" s="25"/>
      <c r="K33" s="6"/>
      <c r="L33" s="6" t="str">
        <f>IF(Table112[[#This Row],[Category]]="Transportation", _xlfn.XLOOKUP(Table112[[#This Row],[Resource]], 'SI - Payload'!$A$10:$A$38,'SI - Payload'!$B$10:$B$38,"",0), "")</f>
        <v/>
      </c>
      <c r="M33" s="6" t="str">
        <f>IF(Table112[[#This Row],[Category]]="Transportation", "ton", "")</f>
        <v/>
      </c>
      <c r="N33" s="6"/>
      <c r="O33" s="6"/>
      <c r="P33" s="6" t="str">
        <f>IF(OR(Table112[[#This Row],[Type]]="Main Product", Table112[[#This Row],[Type]]="Co-Product"), Table112[[#This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IF(Table112[[#This Row],[Type]]="Co-product", "No", "")</f>
        <v/>
      </c>
      <c r="J34" s="25"/>
      <c r="K34" s="6"/>
      <c r="L34" s="6" t="str">
        <f>IF(Table112[[#This Row],[Category]]="Transportation", _xlfn.XLOOKUP(Table112[[#This Row],[Resource]], 'SI - Payload'!$A$10:$A$38,'SI - Payload'!$B$10:$B$38,"",0), "")</f>
        <v/>
      </c>
      <c r="M34" s="6" t="str">
        <f>IF(Table112[[#This Row],[Category]]="Transportation", "ton", "")</f>
        <v/>
      </c>
      <c r="N34" s="6"/>
      <c r="O34" s="6"/>
      <c r="P34" s="6" t="str">
        <f>IF(OR(Table112[[#This Row],[Type]]="Main Product", Table112[[#This Row],[Type]]="Co-Product"), Table112[[#This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IF(Table112[[#This Row],[Type]]="Co-product", "No", "")</f>
        <v/>
      </c>
      <c r="J35" s="25"/>
      <c r="K35" s="6"/>
      <c r="L35" s="6" t="str">
        <f>IF(Table112[[#This Row],[Category]]="Transportation", _xlfn.XLOOKUP(Table112[[#This Row],[Resource]], 'SI - Payload'!$A$10:$A$38,'SI - Payload'!$B$10:$B$38,"",0), "")</f>
        <v/>
      </c>
      <c r="M35" s="6" t="str">
        <f>IF(Table112[[#This Row],[Category]]="Transportation", "ton", "")</f>
        <v/>
      </c>
      <c r="N35" s="6"/>
      <c r="O35" s="6"/>
      <c r="P35" s="6" t="str">
        <f>IF(OR(Table112[[#This Row],[Type]]="Main Product", Table112[[#This Row],[Type]]="Co-Product"), Table112[[#This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IF(Table112[[#This Row],[Type]]="Co-product", "No", "")</f>
        <v/>
      </c>
      <c r="J36" s="25"/>
      <c r="K36" s="6"/>
      <c r="L36" s="6" t="str">
        <f>IF(Table112[[#This Row],[Category]]="Transportation", _xlfn.XLOOKUP(Table112[[#This Row],[Resource]], 'SI - Payload'!$A$10:$A$38,'SI - Payload'!$B$10:$B$38,"",0), "")</f>
        <v/>
      </c>
      <c r="M36" s="6" t="str">
        <f>IF(Table112[[#This Row],[Category]]="Transportation", "ton", "")</f>
        <v/>
      </c>
      <c r="N36" s="6"/>
      <c r="O36" s="6"/>
      <c r="P36" s="6" t="str">
        <f>IF(OR(Table112[[#This Row],[Type]]="Main Product", Table112[[#This Row],[Type]]="Co-Product"), Table112[[#This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IF(Table112[[#This Row],[Type]]="Co-product", "No", "")</f>
        <v/>
      </c>
      <c r="J37" s="25"/>
      <c r="K37" s="6"/>
      <c r="L37" s="6" t="str">
        <f>IF(Table112[[#This Row],[Category]]="Transportation", _xlfn.XLOOKUP(Table112[[#This Row],[Resource]], 'SI - Payload'!$A$10:$A$38,'SI - Payload'!$B$10:$B$38,"",0), "")</f>
        <v/>
      </c>
      <c r="M37" s="6" t="str">
        <f>IF(Table112[[#This Row],[Category]]="Transportation", "ton", "")</f>
        <v/>
      </c>
      <c r="N37" s="6"/>
      <c r="O37" s="6"/>
      <c r="P37" s="6" t="str">
        <f>IF(OR(Table112[[#This Row],[Type]]="Main Product", Table112[[#This Row],[Type]]="Co-Product"), Table112[[#This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IF(Table112[[#This Row],[Type]]="Co-product", "No", "")</f>
        <v/>
      </c>
      <c r="J38" s="25"/>
      <c r="K38" s="6"/>
      <c r="L38" s="6" t="str">
        <f>IF(Table112[[#This Row],[Category]]="Transportation", _xlfn.XLOOKUP(Table112[[#This Row],[Resource]], 'SI - Payload'!$A$10:$A$38,'SI - Payload'!$B$10:$B$38,"",0), "")</f>
        <v/>
      </c>
      <c r="M38" s="6" t="str">
        <f>IF(Table112[[#This Row],[Category]]="Transportation", "ton", "")</f>
        <v/>
      </c>
      <c r="N38" s="6"/>
      <c r="O38" s="6"/>
      <c r="P38" s="6" t="str">
        <f>IF(OR(Table112[[#This Row],[Type]]="Main Product", Table112[[#This Row],[Type]]="Co-Product"), Table112[[#This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IF(Table112[[#This Row],[Type]]="Co-product", "No", "")</f>
        <v/>
      </c>
      <c r="J39" s="25"/>
      <c r="K39" s="6"/>
      <c r="L39" s="6" t="str">
        <f>IF(Table112[[#This Row],[Category]]="Transportation", _xlfn.XLOOKUP(Table112[[#This Row],[Resource]], 'SI - Payload'!$A$10:$A$38,'SI - Payload'!$B$10:$B$38,"",0), "")</f>
        <v/>
      </c>
      <c r="M39" s="6" t="str">
        <f>IF(Table112[[#This Row],[Category]]="Transportation", "ton", "")</f>
        <v/>
      </c>
      <c r="N39" s="6"/>
      <c r="O39" s="6"/>
      <c r="P39" s="6" t="str">
        <f>IF(OR(Table112[[#This Row],[Type]]="Main Product", Table112[[#This Row],[Type]]="Co-Product"), Table112[[#This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IF(Table112[[#This Row],[Type]]="Co-product", "No", "")</f>
        <v/>
      </c>
      <c r="J40" s="25"/>
      <c r="K40" s="6"/>
      <c r="L40" s="6" t="str">
        <f>IF(Table112[[#This Row],[Category]]="Transportation", _xlfn.XLOOKUP(Table112[[#This Row],[Resource]], 'SI - Payload'!$A$10:$A$38,'SI - Payload'!$B$10:$B$38,"",0), "")</f>
        <v/>
      </c>
      <c r="M40" s="6" t="str">
        <f>IF(Table112[[#This Row],[Category]]="Transportation", "ton", "")</f>
        <v/>
      </c>
      <c r="N40" s="6"/>
      <c r="O40" s="6"/>
      <c r="P40" s="6" t="str">
        <f>IF(OR(Table112[[#This Row],[Type]]="Main Product", Table112[[#This Row],[Type]]="Co-Product"), Table112[[#This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IF(Table112[[#This Row],[Type]]="Co-product", "No", "")</f>
        <v/>
      </c>
      <c r="J41" s="25"/>
      <c r="K41" s="6"/>
      <c r="L41" s="6" t="str">
        <f>IF(Table112[[#This Row],[Category]]="Transportation", _xlfn.XLOOKUP(Table112[[#This Row],[Resource]], 'SI - Payload'!$A$10:$A$38,'SI - Payload'!$B$10:$B$38,"",0), "")</f>
        <v/>
      </c>
      <c r="M41" s="6" t="str">
        <f>IF(Table112[[#This Row],[Category]]="Transportation", "ton", "")</f>
        <v/>
      </c>
      <c r="N41" s="6"/>
      <c r="O41" s="6"/>
      <c r="P41" s="6" t="str">
        <f>IF(OR(Table112[[#This Row],[Type]]="Main Product", Table112[[#This Row],[Type]]="Co-Product"), Table112[[#This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IF(Table112[[#This Row],[Type]]="Co-product", "No", "")</f>
        <v/>
      </c>
      <c r="J42" s="25"/>
      <c r="K42" s="6"/>
      <c r="L42" s="6" t="str">
        <f>IF(Table112[[#This Row],[Category]]="Transportation", _xlfn.XLOOKUP(Table112[[#This Row],[Resource]], 'SI - Payload'!$A$10:$A$38,'SI - Payload'!$B$10:$B$38,"",0), "")</f>
        <v/>
      </c>
      <c r="M42" s="6" t="str">
        <f>IF(Table112[[#This Row],[Category]]="Transportation", "ton", "")</f>
        <v/>
      </c>
      <c r="N42" s="6"/>
      <c r="O42" s="6"/>
      <c r="P42" s="6" t="str">
        <f>IF(OR(Table112[[#This Row],[Type]]="Main Product", Table112[[#This Row],[Type]]="Co-Product"), Table112[[#This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IF(Table112[[#This Row],[Type]]="Co-product", "No", "")</f>
        <v/>
      </c>
      <c r="J43" s="25"/>
      <c r="K43" s="6"/>
      <c r="L43" s="6" t="str">
        <f>IF(Table112[[#This Row],[Category]]="Transportation", _xlfn.XLOOKUP(Table112[[#This Row],[Resource]], 'SI - Payload'!$A$10:$A$38,'SI - Payload'!$B$10:$B$38,"",0), "")</f>
        <v/>
      </c>
      <c r="M43" s="6" t="str">
        <f>IF(Table112[[#This Row],[Category]]="Transportation", "ton", "")</f>
        <v/>
      </c>
      <c r="N43" s="6"/>
      <c r="O43" s="6"/>
      <c r="P43" s="6" t="str">
        <f>IF(OR(Table112[[#This Row],[Type]]="Main Product", Table112[[#This Row],[Type]]="Co-Product"), Table112[[#This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IF(Table112[[#This Row],[Type]]="Co-product", "No", "")</f>
        <v/>
      </c>
      <c r="J44" s="25"/>
      <c r="K44" s="6"/>
      <c r="L44" s="6" t="str">
        <f>IF(Table112[[#This Row],[Category]]="Transportation", _xlfn.XLOOKUP(Table112[[#This Row],[Resource]], 'SI - Payload'!$A$10:$A$38,'SI - Payload'!$B$10:$B$38,"",0), "")</f>
        <v/>
      </c>
      <c r="M44" s="6" t="str">
        <f>IF(Table112[[#This Row],[Category]]="Transportation", "ton", "")</f>
        <v/>
      </c>
      <c r="N44" s="6"/>
      <c r="O44" s="6"/>
      <c r="P44" s="6" t="str">
        <f>IF(OR(Table112[[#This Row],[Type]]="Main Product", Table112[[#This Row],[Type]]="Co-Product"), Table112[[#This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IF(Table112[[#This Row],[Type]]="Co-product", "No", "")</f>
        <v/>
      </c>
      <c r="J45" s="25"/>
      <c r="K45" s="6"/>
      <c r="L45" s="6" t="str">
        <f>IF(Table112[[#This Row],[Category]]="Transportation", _xlfn.XLOOKUP(Table112[[#This Row],[Resource]], 'SI - Payload'!$A$10:$A$38,'SI - Payload'!$B$10:$B$38,"",0), "")</f>
        <v/>
      </c>
      <c r="M45" s="6" t="str">
        <f>IF(Table112[[#This Row],[Category]]="Transportation", "ton", "")</f>
        <v/>
      </c>
      <c r="N45" s="6"/>
      <c r="O45" s="6"/>
      <c r="P45" s="6" t="str">
        <f>IF(OR(Table112[[#This Row],[Type]]="Main Product", Table112[[#This Row],[Type]]="Co-Product"), Table112[[#This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IF(Table112[[#This Row],[Type]]="Co-product", "No", "")</f>
        <v/>
      </c>
      <c r="J46" s="25"/>
      <c r="K46" s="6"/>
      <c r="L46" s="6" t="str">
        <f>IF(Table112[[#This Row],[Category]]="Transportation", _xlfn.XLOOKUP(Table112[[#This Row],[Resource]], 'SI - Payload'!$A$10:$A$38,'SI - Payload'!$B$10:$B$38,"",0), "")</f>
        <v/>
      </c>
      <c r="M46" s="6" t="str">
        <f>IF(Table112[[#This Row],[Category]]="Transportation", "ton", "")</f>
        <v/>
      </c>
      <c r="N46" s="6"/>
      <c r="O46" s="6"/>
      <c r="P46" s="6" t="str">
        <f>IF(OR(Table112[[#This Row],[Type]]="Main Product", Table112[[#This Row],[Type]]="Co-Product"), Table112[[#This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IF(Table112[[#This Row],[Type]]="Co-product", "No", "")</f>
        <v/>
      </c>
      <c r="J47" s="25"/>
      <c r="K47" s="6"/>
      <c r="L47" s="6" t="str">
        <f>IF(Table112[[#This Row],[Category]]="Transportation", _xlfn.XLOOKUP(Table112[[#This Row],[Resource]], 'SI - Payload'!$A$10:$A$38,'SI - Payload'!$B$10:$B$38,"",0), "")</f>
        <v/>
      </c>
      <c r="M47" s="6" t="str">
        <f>IF(Table112[[#This Row],[Category]]="Transportation", "ton", "")</f>
        <v/>
      </c>
      <c r="N47" s="6"/>
      <c r="O47" s="6"/>
      <c r="P47" s="6" t="str">
        <f>IF(OR(Table112[[#This Row],[Type]]="Main Product", Table112[[#This Row],[Type]]="Co-Product"), Table112[[#This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IF(Table112[[#This Row],[Type]]="Co-product", "No", "")</f>
        <v/>
      </c>
      <c r="J48" s="25"/>
      <c r="K48" s="6"/>
      <c r="L48" s="6" t="str">
        <f>IF(Table112[[#This Row],[Category]]="Transportation", _xlfn.XLOOKUP(Table112[[#This Row],[Resource]], 'SI - Payload'!$A$10:$A$38,'SI - Payload'!$B$10:$B$38,"",0), "")</f>
        <v/>
      </c>
      <c r="M48" s="6" t="str">
        <f>IF(Table112[[#This Row],[Category]]="Transportation", "ton", "")</f>
        <v/>
      </c>
      <c r="N48" s="6"/>
      <c r="O48" s="6"/>
      <c r="P48" s="6" t="str">
        <f>IF(OR(Table112[[#This Row],[Type]]="Main Product", Table112[[#This Row],[Type]]="Co-Product"), Table112[[#This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IF(Table112[[#This Row],[Type]]="Co-product", "No", "")</f>
        <v/>
      </c>
      <c r="J49" s="25"/>
      <c r="K49" s="6"/>
      <c r="L49" s="6" t="str">
        <f>IF(Table112[[#This Row],[Category]]="Transportation", _xlfn.XLOOKUP(Table112[[#This Row],[Resource]], 'SI - Payload'!$A$10:$A$38,'SI - Payload'!$B$10:$B$38,"",0), "")</f>
        <v/>
      </c>
      <c r="M49" s="6" t="str">
        <f>IF(Table112[[#This Row],[Category]]="Transportation", "ton", "")</f>
        <v/>
      </c>
      <c r="N49" s="6"/>
      <c r="O49" s="6"/>
      <c r="P49" s="6" t="str">
        <f>IF(OR(Table112[[#This Row],[Type]]="Main Product", Table112[[#This Row],[Type]]="Co-Product"), Table112[[#This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IF(Table112[[#This Row],[Type]]="Co-product", "No", "")</f>
        <v/>
      </c>
      <c r="J50" s="25"/>
      <c r="K50" s="6"/>
      <c r="L50" s="6" t="str">
        <f>IF(Table112[[#This Row],[Category]]="Transportation", _xlfn.XLOOKUP(Table112[[#This Row],[Resource]], 'SI - Payload'!$A$10:$A$38,'SI - Payload'!$B$10:$B$38,"",0), "")</f>
        <v/>
      </c>
      <c r="M50" s="6" t="str">
        <f>IF(Table112[[#This Row],[Category]]="Transportation", "ton", "")</f>
        <v/>
      </c>
      <c r="N50" s="6"/>
      <c r="O50" s="6"/>
      <c r="P50" s="6" t="str">
        <f>IF(OR(Table112[[#This Row],[Type]]="Main Product", Table112[[#This Row],[Type]]="Co-Product"), Table112[[#This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IF(Table112[[#This Row],[Type]]="Co-product", "No", "")</f>
        <v/>
      </c>
      <c r="J51" s="25"/>
      <c r="K51" s="6"/>
      <c r="L51" s="6" t="str">
        <f>IF(Table112[[#This Row],[Category]]="Transportation", _xlfn.XLOOKUP(Table112[[#This Row],[Resource]], 'SI - Payload'!$A$10:$A$38,'SI - Payload'!$B$10:$B$38,"",0), "")</f>
        <v/>
      </c>
      <c r="M51" s="6" t="str">
        <f>IF(Table112[[#This Row],[Category]]="Transportation", "ton", "")</f>
        <v/>
      </c>
      <c r="N51" s="6"/>
      <c r="O51" s="6"/>
      <c r="P51" s="6" t="str">
        <f>IF(OR(Table112[[#This Row],[Type]]="Main Product", Table112[[#This Row],[Type]]="Co-Product"), Table112[[#This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IF(Table112[[#This Row],[Type]]="Co-product", "No", "")</f>
        <v/>
      </c>
      <c r="J52" s="25"/>
      <c r="K52" s="6"/>
      <c r="L52" s="6" t="str">
        <f>IF(Table112[[#This Row],[Category]]="Transportation", _xlfn.XLOOKUP(Table112[[#This Row],[Resource]], 'SI - Payload'!$A$10:$A$38,'SI - Payload'!$B$10:$B$38,"",0), "")</f>
        <v/>
      </c>
      <c r="M52" s="6" t="str">
        <f>IF(Table112[[#This Row],[Category]]="Transportation", "ton", "")</f>
        <v/>
      </c>
      <c r="N52" s="6"/>
      <c r="O52" s="6"/>
      <c r="P52" s="6" t="str">
        <f>IF(OR(Table112[[#This Row],[Type]]="Main Product", Table112[[#This Row],[Type]]="Co-Product"), Table112[[#This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IF(Table112[[#This Row],[Type]]="Co-product", "No", "")</f>
        <v/>
      </c>
      <c r="J53" s="25"/>
      <c r="K53" s="6"/>
      <c r="L53" s="6" t="str">
        <f>IF(Table112[[#This Row],[Category]]="Transportation", _xlfn.XLOOKUP(Table112[[#This Row],[Resource]], 'SI - Payload'!$A$10:$A$38,'SI - Payload'!$B$10:$B$38,"",0), "")</f>
        <v/>
      </c>
      <c r="M53" s="6" t="str">
        <f>IF(Table112[[#This Row],[Category]]="Transportation", "ton", "")</f>
        <v/>
      </c>
      <c r="N53" s="6"/>
      <c r="O53" s="6"/>
      <c r="P53" s="6" t="str">
        <f>IF(OR(Table112[[#This Row],[Type]]="Main Product", Table112[[#This Row],[Type]]="Co-Product"), Table112[[#This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IF(Table112[[#This Row],[Type]]="Co-product", "No", "")</f>
        <v/>
      </c>
      <c r="J54" s="25"/>
      <c r="K54" s="6"/>
      <c r="L54" s="6" t="str">
        <f>IF(Table112[[#This Row],[Category]]="Transportation", _xlfn.XLOOKUP(Table112[[#This Row],[Resource]], 'SI - Payload'!$A$10:$A$38,'SI - Payload'!$B$10:$B$38,"",0), "")</f>
        <v/>
      </c>
      <c r="M54" s="6" t="str">
        <f>IF(Table112[[#This Row],[Category]]="Transportation", "ton", "")</f>
        <v/>
      </c>
      <c r="N54" s="6"/>
      <c r="O54" s="6"/>
      <c r="P54" s="6" t="str">
        <f>IF(OR(Table112[[#This Row],[Type]]="Main Product", Table112[[#This Row],[Type]]="Co-Product"), Table112[[#This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IF(Table112[[#This Row],[Type]]="Co-product", "No", "")</f>
        <v/>
      </c>
      <c r="J55" s="25"/>
      <c r="K55" s="6"/>
      <c r="L55" s="6" t="str">
        <f>IF(Table112[[#This Row],[Category]]="Transportation", _xlfn.XLOOKUP(Table112[[#This Row],[Resource]], 'SI - Payload'!$A$10:$A$38,'SI - Payload'!$B$10:$B$38,"",0), "")</f>
        <v/>
      </c>
      <c r="M55" s="6" t="str">
        <f>IF(Table112[[#This Row],[Category]]="Transportation", "ton", "")</f>
        <v/>
      </c>
      <c r="N55" s="6"/>
      <c r="O55" s="6"/>
      <c r="P55" s="6" t="str">
        <f>IF(OR(Table112[[#This Row],[Type]]="Main Product", Table112[[#This Row],[Type]]="Co-Product"), Table112[[#This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IF(Table112[[#This Row],[Type]]="Co-product", "No", "")</f>
        <v/>
      </c>
      <c r="J56" s="25"/>
      <c r="K56" s="6"/>
      <c r="L56" s="6" t="str">
        <f>IF(Table112[[#This Row],[Category]]="Transportation", _xlfn.XLOOKUP(Table112[[#This Row],[Resource]], 'SI - Payload'!$A$10:$A$38,'SI - Payload'!$B$10:$B$38,"",0), "")</f>
        <v/>
      </c>
      <c r="M56" s="6" t="str">
        <f>IF(Table112[[#This Row],[Category]]="Transportation", "ton", "")</f>
        <v/>
      </c>
      <c r="N56" s="6"/>
      <c r="O56" s="6"/>
      <c r="P56" s="6" t="str">
        <f>IF(OR(Table112[[#This Row],[Type]]="Main Product", Table112[[#This Row],[Type]]="Co-Product"), Table112[[#This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IF(Table112[[#This Row],[Type]]="Co-product", "No", "")</f>
        <v/>
      </c>
      <c r="J57" s="25"/>
      <c r="K57" s="6"/>
      <c r="L57" s="6" t="str">
        <f>IF(Table112[[#This Row],[Category]]="Transportation", _xlfn.XLOOKUP(Table112[[#This Row],[Resource]], 'SI - Payload'!$A$10:$A$38,'SI - Payload'!$B$10:$B$38,"",0), "")</f>
        <v/>
      </c>
      <c r="M57" s="6" t="str">
        <f>IF(Table112[[#This Row],[Category]]="Transportation", "ton", "")</f>
        <v/>
      </c>
      <c r="N57" s="6"/>
      <c r="O57" s="6"/>
      <c r="P57" s="6" t="str">
        <f>IF(OR(Table112[[#This Row],[Type]]="Main Product", Table112[[#This Row],[Type]]="Co-Product"), Table112[[#This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IF(Table112[[#This Row],[Type]]="Co-product", "No", "")</f>
        <v/>
      </c>
      <c r="J58" s="25"/>
      <c r="K58" s="6"/>
      <c r="L58" s="6" t="str">
        <f>IF(Table112[[#This Row],[Category]]="Transportation", _xlfn.XLOOKUP(Table112[[#This Row],[Resource]], 'SI - Payload'!$A$10:$A$38,'SI - Payload'!$B$10:$B$38,"",0), "")</f>
        <v/>
      </c>
      <c r="M58" s="6" t="str">
        <f>IF(Table112[[#This Row],[Category]]="Transportation", "ton", "")</f>
        <v/>
      </c>
      <c r="N58" s="6"/>
      <c r="O58" s="6"/>
      <c r="P58" s="6" t="str">
        <f>IF(OR(Table112[[#This Row],[Type]]="Main Product", Table112[[#This Row],[Type]]="Co-Product"), Table112[[#This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IF(Table112[[#This Row],[Type]]="Co-product", "No", "")</f>
        <v/>
      </c>
      <c r="J59" s="25"/>
      <c r="K59" s="6"/>
      <c r="L59" s="6" t="str">
        <f>IF(Table112[[#This Row],[Category]]="Transportation", _xlfn.XLOOKUP(Table112[[#This Row],[Resource]], 'SI - Payload'!$A$10:$A$38,'SI - Payload'!$B$10:$B$38,"",0), "")</f>
        <v/>
      </c>
      <c r="M59" s="6" t="str">
        <f>IF(Table112[[#This Row],[Category]]="Transportation", "ton", "")</f>
        <v/>
      </c>
      <c r="N59" s="6"/>
      <c r="O59" s="6"/>
      <c r="P59" s="6" t="str">
        <f>IF(OR(Table112[[#This Row],[Type]]="Main Product", Table112[[#This Row],[Type]]="Co-Product"), Table112[[#This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IF(Table112[[#This Row],[Type]]="Co-product", "No", "")</f>
        <v/>
      </c>
      <c r="J60" s="25"/>
      <c r="K60" s="6"/>
      <c r="L60" s="6" t="str">
        <f>IF(Table112[[#This Row],[Category]]="Transportation", _xlfn.XLOOKUP(Table112[[#This Row],[Resource]], 'SI - Payload'!$A$10:$A$38,'SI - Payload'!$B$10:$B$38,"",0), "")</f>
        <v/>
      </c>
      <c r="M60" s="6" t="str">
        <f>IF(Table112[[#This Row],[Category]]="Transportation", "ton", "")</f>
        <v/>
      </c>
      <c r="N60" s="6"/>
      <c r="O60" s="6"/>
      <c r="P60" s="6" t="str">
        <f>IF(OR(Table112[[#This Row],[Type]]="Main Product", Table112[[#This Row],[Type]]="Co-Product"), Table112[[#This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IF(Table112[[#This Row],[Type]]="Co-product", "No", "")</f>
        <v/>
      </c>
      <c r="J61" s="25"/>
      <c r="K61" s="6"/>
      <c r="L61" s="6" t="str">
        <f>IF(Table112[[#This Row],[Category]]="Transportation", _xlfn.XLOOKUP(Table112[[#This Row],[Resource]], 'SI - Payload'!$A$10:$A$38,'SI - Payload'!$B$10:$B$38,"",0), "")</f>
        <v/>
      </c>
      <c r="M61" s="6" t="str">
        <f>IF(Table112[[#This Row],[Category]]="Transportation", "ton", "")</f>
        <v/>
      </c>
      <c r="N61" s="6"/>
      <c r="O61" s="6"/>
      <c r="P61" s="6" t="str">
        <f>IF(OR(Table112[[#This Row],[Type]]="Main Product", Table112[[#This Row],[Type]]="Co-Product"), Table112[[#This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IF(Table112[[#This Row],[Type]]="Co-product", "No", "")</f>
        <v/>
      </c>
      <c r="J62" s="25"/>
      <c r="K62" s="6"/>
      <c r="L62" s="6" t="str">
        <f>IF(Table112[[#This Row],[Category]]="Transportation", _xlfn.XLOOKUP(Table112[[#This Row],[Resource]], 'SI - Payload'!$A$10:$A$38,'SI - Payload'!$B$10:$B$38,"",0), "")</f>
        <v/>
      </c>
      <c r="M62" s="6" t="str">
        <f>IF(Table112[[#This Row],[Category]]="Transportation", "ton", "")</f>
        <v/>
      </c>
      <c r="N62" s="6"/>
      <c r="O62" s="6"/>
      <c r="P62" s="6" t="str">
        <f>IF(OR(Table112[[#This Row],[Type]]="Main Product", Table112[[#This Row],[Type]]="Co-Product"), Table112[[#This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IF(Table112[[#This Row],[Type]]="Co-product", "No", "")</f>
        <v/>
      </c>
      <c r="J63" s="25"/>
      <c r="K63" s="6"/>
      <c r="L63" s="6" t="str">
        <f>IF(Table112[[#This Row],[Category]]="Transportation", _xlfn.XLOOKUP(Table112[[#This Row],[Resource]], 'SI - Payload'!$A$10:$A$38,'SI - Payload'!$B$10:$B$38,"",0), "")</f>
        <v/>
      </c>
      <c r="M63" s="6" t="str">
        <f>IF(Table112[[#This Row],[Category]]="Transportation", "ton", "")</f>
        <v/>
      </c>
      <c r="N63" s="6"/>
      <c r="O63" s="6"/>
      <c r="P63" s="6" t="str">
        <f>IF(OR(Table112[[#This Row],[Type]]="Main Product", Table112[[#This Row],[Type]]="Co-Product"), Table112[[#This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IF(Table112[[#This Row],[Type]]="Co-product", "No", "")</f>
        <v/>
      </c>
      <c r="J64" s="25"/>
      <c r="K64" s="6"/>
      <c r="L64" s="6" t="str">
        <f>IF(Table112[[#This Row],[Category]]="Transportation", _xlfn.XLOOKUP(Table112[[#This Row],[Resource]], 'SI - Payload'!$A$10:$A$38,'SI - Payload'!$B$10:$B$38,"",0), "")</f>
        <v/>
      </c>
      <c r="M64" s="6" t="str">
        <f>IF(Table112[[#This Row],[Category]]="Transportation", "ton", "")</f>
        <v/>
      </c>
      <c r="N64" s="6"/>
      <c r="O64" s="6"/>
      <c r="P64" s="6" t="str">
        <f>IF(OR(Table112[[#This Row],[Type]]="Main Product", Table112[[#This Row],[Type]]="Co-Product"), Table112[[#This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IF(Table112[[#This Row],[Type]]="Co-product", "No", "")</f>
        <v/>
      </c>
      <c r="J65" s="25"/>
      <c r="K65" s="6"/>
      <c r="L65" s="6" t="str">
        <f>IF(Table112[[#This Row],[Category]]="Transportation", _xlfn.XLOOKUP(Table112[[#This Row],[Resource]], 'SI - Payload'!$A$10:$A$38,'SI - Payload'!$B$10:$B$38,"",0), "")</f>
        <v/>
      </c>
      <c r="M65" s="6" t="str">
        <f>IF(Table112[[#This Row],[Category]]="Transportation", "ton", "")</f>
        <v/>
      </c>
      <c r="N65" s="6"/>
      <c r="O65" s="6"/>
      <c r="P65" s="6" t="str">
        <f>IF(OR(Table112[[#This Row],[Type]]="Main Product", Table112[[#This Row],[Type]]="Co-Product"), Table112[[#This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IF(Table112[[#This Row],[Type]]="Co-product", "No", "")</f>
        <v/>
      </c>
      <c r="J66" s="25"/>
      <c r="K66" s="6"/>
      <c r="L66" s="6" t="str">
        <f>IF(Table112[[#This Row],[Category]]="Transportation", _xlfn.XLOOKUP(Table112[[#This Row],[Resource]], 'SI - Payload'!$A$10:$A$38,'SI - Payload'!$B$10:$B$38,"",0), "")</f>
        <v/>
      </c>
      <c r="M66" s="6" t="str">
        <f>IF(Table112[[#This Row],[Category]]="Transportation", "ton", "")</f>
        <v/>
      </c>
      <c r="N66" s="6"/>
      <c r="O66" s="6"/>
      <c r="P66" s="6" t="str">
        <f>IF(OR(Table112[[#This Row],[Type]]="Main Product", Table112[[#This Row],[Type]]="Co-Product"), Table112[[#This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IF(Table112[[#This Row],[Type]]="Co-product", "No", "")</f>
        <v/>
      </c>
      <c r="J67" s="25"/>
      <c r="K67" s="6"/>
      <c r="L67" s="6" t="str">
        <f>IF(Table112[[#This Row],[Category]]="Transportation", _xlfn.XLOOKUP(Table112[[#This Row],[Resource]], 'SI - Payload'!$A$10:$A$38,'SI - Payload'!$B$10:$B$38,"",0), "")</f>
        <v/>
      </c>
      <c r="M67" s="6" t="str">
        <f>IF(Table112[[#This Row],[Category]]="Transportation", "ton", "")</f>
        <v/>
      </c>
      <c r="N67" s="6"/>
      <c r="O67" s="6"/>
      <c r="P67" s="6" t="str">
        <f>IF(OR(Table112[[#This Row],[Type]]="Main Product", Table112[[#This Row],[Type]]="Co-Product"), Table112[[#This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IF(Table112[[#This Row],[Type]]="Co-product", "No", "")</f>
        <v/>
      </c>
      <c r="J68" s="25"/>
      <c r="K68" s="6"/>
      <c r="L68" s="6" t="str">
        <f>IF(Table112[[#This Row],[Category]]="Transportation", _xlfn.XLOOKUP(Table112[[#This Row],[Resource]], 'SI - Payload'!$A$10:$A$38,'SI - Payload'!$B$10:$B$38,"",0), "")</f>
        <v/>
      </c>
      <c r="M68" s="6" t="str">
        <f>IF(Table112[[#This Row],[Category]]="Transportation", "ton", "")</f>
        <v/>
      </c>
      <c r="N68" s="6"/>
      <c r="O68" s="6"/>
      <c r="P68" s="6" t="str">
        <f>IF(OR(Table112[[#This Row],[Type]]="Main Product", Table112[[#This Row],[Type]]="Co-Product"), Table112[[#This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IF(Table112[[#This Row],[Type]]="Co-product", "No", "")</f>
        <v/>
      </c>
      <c r="J69" s="25"/>
      <c r="K69" s="6"/>
      <c r="L69" s="6" t="str">
        <f>IF(Table112[[#This Row],[Category]]="Transportation", _xlfn.XLOOKUP(Table112[[#This Row],[Resource]], 'SI - Payload'!$A$10:$A$38,'SI - Payload'!$B$10:$B$38,"",0), "")</f>
        <v/>
      </c>
      <c r="M69" s="6" t="str">
        <f>IF(Table112[[#This Row],[Category]]="Transportation", "ton", "")</f>
        <v/>
      </c>
      <c r="N69" s="6"/>
      <c r="O69" s="6"/>
      <c r="P69" s="6" t="str">
        <f>IF(OR(Table112[[#This Row],[Type]]="Main Product", Table112[[#This Row],[Type]]="Co-Product"), Table112[[#This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IF(Table112[[#This Row],[Type]]="Co-product", "No", "")</f>
        <v/>
      </c>
      <c r="J70" s="25"/>
      <c r="K70" s="6"/>
      <c r="L70" s="6" t="str">
        <f>IF(Table112[[#This Row],[Category]]="Transportation", _xlfn.XLOOKUP(Table112[[#This Row],[Resource]], 'SI - Payload'!$A$10:$A$38,'SI - Payload'!$B$10:$B$38,"",0), "")</f>
        <v/>
      </c>
      <c r="M70" s="6" t="str">
        <f>IF(Table112[[#This Row],[Category]]="Transportation", "ton", "")</f>
        <v/>
      </c>
      <c r="N70" s="6"/>
      <c r="O70" s="6"/>
      <c r="P70" s="6" t="str">
        <f>IF(OR(Table112[[#This Row],[Type]]="Main Product", Table112[[#This Row],[Type]]="Co-Product"), Table112[[#This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IF(Table112[[#This Row],[Type]]="Co-product", "No", "")</f>
        <v/>
      </c>
      <c r="J71" s="25"/>
      <c r="K71" s="6"/>
      <c r="L71" s="6" t="str">
        <f>IF(Table112[[#This Row],[Category]]="Transportation", _xlfn.XLOOKUP(Table112[[#This Row],[Resource]], 'SI - Payload'!$A$10:$A$38,'SI - Payload'!$B$10:$B$38,"",0), "")</f>
        <v/>
      </c>
      <c r="M71" s="6" t="str">
        <f>IF(Table112[[#This Row],[Category]]="Transportation", "ton", "")</f>
        <v/>
      </c>
      <c r="N71" s="6"/>
      <c r="O71" s="6"/>
      <c r="P71" s="6" t="str">
        <f>IF(OR(Table112[[#This Row],[Type]]="Main Product", Table112[[#This Row],[Type]]="Co-Product"), Table112[[#This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IF(Table112[[#This Row],[Type]]="Co-product", "No", "")</f>
        <v/>
      </c>
      <c r="J72" s="25"/>
      <c r="K72" s="6"/>
      <c r="L72" s="6" t="str">
        <f>IF(Table112[[#This Row],[Category]]="Transportation", _xlfn.XLOOKUP(Table112[[#This Row],[Resource]], 'SI - Payload'!$A$10:$A$38,'SI - Payload'!$B$10:$B$38,"",0), "")</f>
        <v/>
      </c>
      <c r="M72" s="6" t="str">
        <f>IF(Table112[[#This Row],[Category]]="Transportation", "ton", "")</f>
        <v/>
      </c>
      <c r="N72" s="6"/>
      <c r="O72" s="6"/>
      <c r="P72" s="6" t="str">
        <f>IF(OR(Table112[[#This Row],[Type]]="Main Product", Table112[[#This Row],[Type]]="Co-Product"), Table112[[#This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IF(Table112[[#This Row],[Type]]="Co-product", "No", "")</f>
        <v/>
      </c>
      <c r="J73" s="25"/>
      <c r="K73" s="6"/>
      <c r="L73" s="6" t="str">
        <f>IF(Table112[[#This Row],[Category]]="Transportation", _xlfn.XLOOKUP(Table112[[#This Row],[Resource]], 'SI - Payload'!$A$10:$A$38,'SI - Payload'!$B$10:$B$38,"",0), "")</f>
        <v/>
      </c>
      <c r="M73" s="6" t="str">
        <f>IF(Table112[[#This Row],[Category]]="Transportation", "ton", "")</f>
        <v/>
      </c>
      <c r="N73" s="6"/>
      <c r="O73" s="6"/>
      <c r="P73" s="6" t="str">
        <f>IF(OR(Table112[[#This Row],[Type]]="Main Product", Table112[[#This Row],[Type]]="Co-Product"), Table112[[#This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IF(Table112[[#This Row],[Type]]="Co-product", "No", "")</f>
        <v/>
      </c>
      <c r="J74" s="25"/>
      <c r="K74" s="6"/>
      <c r="L74" s="6" t="str">
        <f>IF(Table112[[#This Row],[Category]]="Transportation", _xlfn.XLOOKUP(Table112[[#This Row],[Resource]], 'SI - Payload'!$A$10:$A$38,'SI - Payload'!$B$10:$B$38,"",0), "")</f>
        <v/>
      </c>
      <c r="M74" s="6" t="str">
        <f>IF(Table112[[#This Row],[Category]]="Transportation", "ton", "")</f>
        <v/>
      </c>
      <c r="N74" s="6"/>
      <c r="O74" s="6"/>
      <c r="P74" s="6" t="str">
        <f>IF(OR(Table112[[#This Row],[Type]]="Main Product", Table112[[#This Row],[Type]]="Co-Product"), Table112[[#This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IF(Table112[[#This Row],[Type]]="Co-product", "No", "")</f>
        <v/>
      </c>
      <c r="J75" s="25"/>
      <c r="K75" s="6"/>
      <c r="L75" s="6" t="str">
        <f>IF(Table112[[#This Row],[Category]]="Transportation", _xlfn.XLOOKUP(Table112[[#This Row],[Resource]], 'SI - Payload'!$A$10:$A$38,'SI - Payload'!$B$10:$B$38,"",0), "")</f>
        <v/>
      </c>
      <c r="M75" s="6" t="str">
        <f>IF(Table112[[#This Row],[Category]]="Transportation", "ton", "")</f>
        <v/>
      </c>
      <c r="N75" s="6"/>
      <c r="O75" s="6"/>
      <c r="P75" s="6" t="str">
        <f>IF(OR(Table112[[#This Row],[Type]]="Main Product", Table112[[#This Row],[Type]]="Co-Product"), Table112[[#This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IF(Table112[[#This Row],[Type]]="Co-product", "No", "")</f>
        <v/>
      </c>
      <c r="J76" s="25"/>
      <c r="K76" s="6"/>
      <c r="L76" s="6" t="str">
        <f>IF(Table112[[#This Row],[Category]]="Transportation", _xlfn.XLOOKUP(Table112[[#This Row],[Resource]], 'SI - Payload'!$A$10:$A$38,'SI - Payload'!$B$10:$B$38,"",0), "")</f>
        <v/>
      </c>
      <c r="M76" s="6" t="str">
        <f>IF(Table112[[#This Row],[Category]]="Transportation", "ton", "")</f>
        <v/>
      </c>
      <c r="N76" s="6"/>
      <c r="O76" s="6"/>
      <c r="P76" s="6" t="str">
        <f>IF(OR(Table112[[#This Row],[Type]]="Main Product", Table112[[#This Row],[Type]]="Co-Product"), Table112[[#This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IF(Table112[[#This Row],[Type]]="Co-product", "No", "")</f>
        <v/>
      </c>
      <c r="J77" s="25"/>
      <c r="K77" s="6"/>
      <c r="L77" s="6" t="str">
        <f>IF(Table112[[#This Row],[Category]]="Transportation", _xlfn.XLOOKUP(Table112[[#This Row],[Resource]], 'SI - Payload'!$A$10:$A$38,'SI - Payload'!$B$10:$B$38,"",0), "")</f>
        <v/>
      </c>
      <c r="M77" s="6" t="str">
        <f>IF(Table112[[#This Row],[Category]]="Transportation", "ton", "")</f>
        <v/>
      </c>
      <c r="N77" s="6"/>
      <c r="O77" s="6"/>
      <c r="P77" s="6" t="str">
        <f>IF(OR(Table112[[#This Row],[Type]]="Main Product", Table112[[#This Row],[Type]]="Co-Product"), Table112[[#This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IF(Table112[[#This Row],[Type]]="Co-product", "No", "")</f>
        <v/>
      </c>
      <c r="J78" s="25"/>
      <c r="K78" s="6"/>
      <c r="L78" s="6" t="str">
        <f>IF(Table112[[#This Row],[Category]]="Transportation", _xlfn.XLOOKUP(Table112[[#This Row],[Resource]], 'SI - Payload'!$A$10:$A$38,'SI - Payload'!$B$10:$B$38,"",0), "")</f>
        <v/>
      </c>
      <c r="M78" s="6" t="str">
        <f>IF(Table112[[#This Row],[Category]]="Transportation", "ton", "")</f>
        <v/>
      </c>
      <c r="N78" s="6"/>
      <c r="O78" s="6"/>
      <c r="P78" s="6" t="str">
        <f>IF(OR(Table112[[#This Row],[Type]]="Main Product", Table112[[#This Row],[Type]]="Co-Product"), Table112[[#This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IF(Table112[[#This Row],[Type]]="Co-product", "No", "")</f>
        <v/>
      </c>
      <c r="J79" s="25"/>
      <c r="K79" s="6"/>
      <c r="L79" s="6" t="str">
        <f>IF(Table112[[#This Row],[Category]]="Transportation", _xlfn.XLOOKUP(Table112[[#This Row],[Resource]], 'SI - Payload'!$A$10:$A$38,'SI - Payload'!$B$10:$B$38,"",0), "")</f>
        <v/>
      </c>
      <c r="M79" s="6" t="str">
        <f>IF(Table112[[#This Row],[Category]]="Transportation", "ton", "")</f>
        <v/>
      </c>
      <c r="N79" s="6"/>
      <c r="O79" s="6"/>
      <c r="P79" s="6" t="str">
        <f>IF(OR(Table112[[#This Row],[Type]]="Main Product", Table112[[#This Row],[Type]]="Co-Product"), Table112[[#This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IF(Table112[[#This Row],[Type]]="Co-product", "No", "")</f>
        <v/>
      </c>
      <c r="J80" s="25"/>
      <c r="K80" s="6"/>
      <c r="L80" s="6" t="str">
        <f>IF(Table112[[#This Row],[Category]]="Transportation", _xlfn.XLOOKUP(Table112[[#This Row],[Resource]], 'SI - Payload'!$A$10:$A$38,'SI - Payload'!$B$10:$B$38,"",0), "")</f>
        <v/>
      </c>
      <c r="M80" s="6" t="str">
        <f>IF(Table112[[#This Row],[Category]]="Transportation", "ton", "")</f>
        <v/>
      </c>
      <c r="N80" s="6"/>
      <c r="O80" s="6"/>
      <c r="P80" s="6" t="str">
        <f>IF(OR(Table112[[#This Row],[Type]]="Main Product", Table112[[#This Row],[Type]]="Co-Product"), Table112[[#This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IF(Table112[[#This Row],[Type]]="Co-product", "No", "")</f>
        <v/>
      </c>
      <c r="J81" s="25"/>
      <c r="K81" s="6"/>
      <c r="L81" s="6" t="str">
        <f>IF(Table112[[#This Row],[Category]]="Transportation", _xlfn.XLOOKUP(Table112[[#This Row],[Resource]], 'SI - Payload'!$A$10:$A$38,'SI - Payload'!$B$10:$B$38,"",0), "")</f>
        <v/>
      </c>
      <c r="M81" s="6" t="str">
        <f>IF(Table112[[#This Row],[Category]]="Transportation", "ton", "")</f>
        <v/>
      </c>
      <c r="N81" s="6"/>
      <c r="O81" s="6"/>
      <c r="P81" s="6" t="str">
        <f>IF(OR(Table112[[#This Row],[Type]]="Main Product", Table112[[#This Row],[Type]]="Co-Product"), Table112[[#This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IF(Table112[[#This Row],[Type]]="Co-product", "No", "")</f>
        <v/>
      </c>
      <c r="J82" s="25"/>
      <c r="K82" s="6"/>
      <c r="L82" s="6" t="str">
        <f>IF(Table112[[#This Row],[Category]]="Transportation", _xlfn.XLOOKUP(Table112[[#This Row],[Resource]], 'SI - Payload'!$A$10:$A$38,'SI - Payload'!$B$10:$B$38,"",0), "")</f>
        <v/>
      </c>
      <c r="M82" s="6" t="str">
        <f>IF(Table112[[#This Row],[Category]]="Transportation", "ton", "")</f>
        <v/>
      </c>
      <c r="N82" s="6"/>
      <c r="O82" s="6"/>
      <c r="P82" s="6" t="str">
        <f>IF(OR(Table112[[#This Row],[Type]]="Main Product", Table112[[#This Row],[Type]]="Co-Product"), Table112[[#This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IF(Table112[[#This Row],[Type]]="Co-product", "No", "")</f>
        <v/>
      </c>
      <c r="J83" s="25"/>
      <c r="K83" s="6"/>
      <c r="L83" s="6" t="str">
        <f>IF(Table112[[#This Row],[Category]]="Transportation", _xlfn.XLOOKUP(Table112[[#This Row],[Resource]], 'SI - Payload'!$A$10:$A$38,'SI - Payload'!$B$10:$B$38,"",0), "")</f>
        <v/>
      </c>
      <c r="M83" s="6" t="str">
        <f>IF(Table112[[#This Row],[Category]]="Transportation", "ton", "")</f>
        <v/>
      </c>
      <c r="N83" s="6"/>
      <c r="O83" s="6"/>
      <c r="P83" s="6" t="str">
        <f>IF(OR(Table112[[#This Row],[Type]]="Main Product", Table112[[#This Row],[Type]]="Co-Product"), Table112[[#This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IF(Table112[[#This Row],[Type]]="Co-product", "No", "")</f>
        <v/>
      </c>
      <c r="J84" s="25"/>
      <c r="K84" s="6"/>
      <c r="L84" s="6" t="str">
        <f>IF(Table112[[#This Row],[Category]]="Transportation", _xlfn.XLOOKUP(Table112[[#This Row],[Resource]], 'SI - Payload'!$A$10:$A$38,'SI - Payload'!$B$10:$B$38,"",0), "")</f>
        <v/>
      </c>
      <c r="M84" s="6" t="str">
        <f>IF(Table112[[#This Row],[Category]]="Transportation", "ton", "")</f>
        <v/>
      </c>
      <c r="N84" s="6"/>
      <c r="O84" s="6"/>
      <c r="P84" s="6" t="str">
        <f>IF(OR(Table112[[#This Row],[Type]]="Main Product", Table112[[#This Row],[Type]]="Co-Product"), Table112[[#This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IF(Table112[[#This Row],[Type]]="Co-product", "No", "")</f>
        <v/>
      </c>
      <c r="J85" s="25"/>
      <c r="K85" s="6"/>
      <c r="L85" s="6" t="str">
        <f>IF(Table112[[#This Row],[Category]]="Transportation", _xlfn.XLOOKUP(Table112[[#This Row],[Resource]], 'SI - Payload'!$A$10:$A$38,'SI - Payload'!$B$10:$B$38,"",0), "")</f>
        <v/>
      </c>
      <c r="M85" s="6" t="str">
        <f>IF(Table112[[#This Row],[Category]]="Transportation", "ton", "")</f>
        <v/>
      </c>
      <c r="N85" s="6"/>
      <c r="O85" s="6"/>
      <c r="P85" s="6" t="str">
        <f>IF(OR(Table112[[#This Row],[Type]]="Main Product", Table112[[#This Row],[Type]]="Co-Product"), Table112[[#This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IF(Table112[[#This Row],[Type]]="Co-product", "No", "")</f>
        <v/>
      </c>
      <c r="J86" s="25"/>
      <c r="K86" s="6"/>
      <c r="L86" s="6" t="str">
        <f>IF(Table112[[#This Row],[Category]]="Transportation", _xlfn.XLOOKUP(Table112[[#This Row],[Resource]], 'SI - Payload'!$A$10:$A$38,'SI - Payload'!$B$10:$B$38,"",0), "")</f>
        <v/>
      </c>
      <c r="M86" s="6" t="str">
        <f>IF(Table112[[#This Row],[Category]]="Transportation", "ton", "")</f>
        <v/>
      </c>
      <c r="N86" s="6"/>
      <c r="O86" s="6"/>
      <c r="P86" s="6" t="str">
        <f>IF(OR(Table112[[#This Row],[Type]]="Main Product", Table112[[#This Row],[Type]]="Co-Product"), Table112[[#This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IF(Table112[[#This Row],[Type]]="Co-product", "No", "")</f>
        <v/>
      </c>
      <c r="J87" s="25"/>
      <c r="K87" s="6"/>
      <c r="L87" s="6" t="str">
        <f>IF(Table112[[#This Row],[Category]]="Transportation", _xlfn.XLOOKUP(Table112[[#This Row],[Resource]], 'SI - Payload'!$A$10:$A$38,'SI - Payload'!$B$10:$B$38,"",0), "")</f>
        <v/>
      </c>
      <c r="M87" s="6" t="str">
        <f>IF(Table112[[#This Row],[Category]]="Transportation", "ton", "")</f>
        <v/>
      </c>
      <c r="N87" s="6"/>
      <c r="O87" s="6"/>
      <c r="P87" s="6" t="str">
        <f>IF(OR(Table112[[#This Row],[Type]]="Main Product", Table112[[#This Row],[Type]]="Co-Product"), Table112[[#This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IF(Table112[[#This Row],[Type]]="Co-product", "No", "")</f>
        <v/>
      </c>
      <c r="J88" s="25"/>
      <c r="K88" s="6"/>
      <c r="L88" s="6" t="str">
        <f>IF(Table112[[#This Row],[Category]]="Transportation", _xlfn.XLOOKUP(Table112[[#This Row],[Resource]], 'SI - Payload'!$A$10:$A$38,'SI - Payload'!$B$10:$B$38,"",0), "")</f>
        <v/>
      </c>
      <c r="M88" s="6" t="str">
        <f>IF(Table112[[#This Row],[Category]]="Transportation", "ton", "")</f>
        <v/>
      </c>
      <c r="N88" s="6"/>
      <c r="O88" s="6"/>
      <c r="P88" s="6" t="str">
        <f>IF(OR(Table112[[#This Row],[Type]]="Main Product", Table112[[#This Row],[Type]]="Co-Product"), Table112[[#This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IF(Table112[[#This Row],[Type]]="Co-product", "No", "")</f>
        <v/>
      </c>
      <c r="J89" s="25"/>
      <c r="K89" s="6"/>
      <c r="L89" s="6" t="str">
        <f>IF(Table112[[#This Row],[Category]]="Transportation", _xlfn.XLOOKUP(Table112[[#This Row],[Resource]], 'SI - Payload'!$A$10:$A$38,'SI - Payload'!$B$10:$B$38,"",0), "")</f>
        <v/>
      </c>
      <c r="M89" s="6" t="str">
        <f>IF(Table112[[#This Row],[Category]]="Transportation", "ton", "")</f>
        <v/>
      </c>
      <c r="N89" s="6"/>
      <c r="O89" s="6"/>
      <c r="P89" s="6" t="str">
        <f>IF(OR(Table112[[#This Row],[Type]]="Main Product", Table112[[#This Row],[Type]]="Co-Product"), Table112[[#This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IF(Table112[[#This Row],[Type]]="Co-product", "No", "")</f>
        <v/>
      </c>
      <c r="J90" s="25"/>
      <c r="K90" s="6"/>
      <c r="L90" s="6" t="str">
        <f>IF(Table112[[#This Row],[Category]]="Transportation", _xlfn.XLOOKUP(Table112[[#This Row],[Resource]], 'SI - Payload'!$A$10:$A$38,'SI - Payload'!$B$10:$B$38,"",0), "")</f>
        <v/>
      </c>
      <c r="M90" s="6" t="str">
        <f>IF(Table112[[#This Row],[Category]]="Transportation", "ton", "")</f>
        <v/>
      </c>
      <c r="N90" s="6"/>
      <c r="O90" s="6"/>
      <c r="P90" s="6" t="str">
        <f>IF(OR(Table112[[#This Row],[Type]]="Main Product", Table112[[#This Row],[Type]]="Co-Product"), Table112[[#This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IF(Table112[[#This Row],[Type]]="Co-product", "No", "")</f>
        <v/>
      </c>
      <c r="J91" s="25"/>
      <c r="K91" s="6"/>
      <c r="L91" s="6" t="str">
        <f>IF(Table112[[#This Row],[Category]]="Transportation", _xlfn.XLOOKUP(Table112[[#This Row],[Resource]], 'SI - Payload'!$A$10:$A$38,'SI - Payload'!$B$10:$B$38,"",0), "")</f>
        <v/>
      </c>
      <c r="M91" s="6" t="str">
        <f>IF(Table112[[#This Row],[Category]]="Transportation", "ton", "")</f>
        <v/>
      </c>
      <c r="N91" s="6"/>
      <c r="O91" s="6"/>
      <c r="P91" s="6" t="str">
        <f>IF(OR(Table112[[#This Row],[Type]]="Main Product", Table112[[#This Row],[Type]]="Co-Product"), Table112[[#This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IF(Table112[[#This Row],[Type]]="Co-product", "No", "")</f>
        <v/>
      </c>
      <c r="J92" s="25"/>
      <c r="K92" s="6"/>
      <c r="L92" s="6" t="str">
        <f>IF(Table112[[#This Row],[Category]]="Transportation", _xlfn.XLOOKUP(Table112[[#This Row],[Resource]], 'SI - Payload'!$A$10:$A$38,'SI - Payload'!$B$10:$B$38,"",0), "")</f>
        <v/>
      </c>
      <c r="M92" s="6" t="str">
        <f>IF(Table112[[#This Row],[Category]]="Transportation", "ton", "")</f>
        <v/>
      </c>
      <c r="N92" s="6"/>
      <c r="O92" s="6"/>
      <c r="P92" s="6" t="str">
        <f>IF(OR(Table112[[#This Row],[Type]]="Main Product", Table112[[#This Row],[Type]]="Co-Product"), Table112[[#This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IF(Table112[[#This Row],[Type]]="Co-product", "No", "")</f>
        <v/>
      </c>
      <c r="J93" s="25"/>
      <c r="K93" s="6"/>
      <c r="L93" s="6" t="str">
        <f>IF(Table112[[#This Row],[Category]]="Transportation", _xlfn.XLOOKUP(Table112[[#This Row],[Resource]], 'SI - Payload'!$A$10:$A$38,'SI - Payload'!$B$10:$B$38,"",0), "")</f>
        <v/>
      </c>
      <c r="M93" s="6" t="str">
        <f>IF(Table112[[#This Row],[Category]]="Transportation", "ton", "")</f>
        <v/>
      </c>
      <c r="N93" s="6"/>
      <c r="O93" s="6"/>
      <c r="P93" s="6" t="str">
        <f>IF(OR(Table112[[#This Row],[Type]]="Main Product", Table112[[#This Row],[Type]]="Co-Product"), Table112[[#This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IF(Table112[[#This Row],[Type]]="Co-product", "No", "")</f>
        <v/>
      </c>
      <c r="J94" s="25"/>
      <c r="K94" s="6"/>
      <c r="L94" s="6" t="str">
        <f>IF(Table112[[#This Row],[Category]]="Transportation", _xlfn.XLOOKUP(Table112[[#This Row],[Resource]], 'SI - Payload'!$A$10:$A$38,'SI - Payload'!$B$10:$B$38,"",0), "")</f>
        <v/>
      </c>
      <c r="M94" s="6" t="str">
        <f>IF(Table112[[#This Row],[Category]]="Transportation", "ton", "")</f>
        <v/>
      </c>
      <c r="N94" s="6"/>
      <c r="O94" s="6"/>
      <c r="P94" s="6" t="str">
        <f>IF(OR(Table112[[#This Row],[Type]]="Main Product", Table112[[#This Row],[Type]]="Co-Product"), Table112[[#This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IF(Table112[[#This Row],[Type]]="Co-product", "No", "")</f>
        <v/>
      </c>
      <c r="J95" s="25"/>
      <c r="K95" s="6"/>
      <c r="L95" s="6" t="str">
        <f>IF(Table112[[#This Row],[Category]]="Transportation", _xlfn.XLOOKUP(Table112[[#This Row],[Resource]], 'SI - Payload'!$A$10:$A$38,'SI - Payload'!$B$10:$B$38,"",0), "")</f>
        <v/>
      </c>
      <c r="M95" s="6" t="str">
        <f>IF(Table112[[#This Row],[Category]]="Transportation", "ton", "")</f>
        <v/>
      </c>
      <c r="N95" s="6"/>
      <c r="O95" s="6"/>
      <c r="P95" s="6" t="str">
        <f>IF(OR(Table112[[#This Row],[Type]]="Main Product", Table112[[#This Row],[Type]]="Co-Product"), Table112[[#This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IF(Table112[[#This Row],[Type]]="Co-product", "No", "")</f>
        <v/>
      </c>
      <c r="J96" s="25"/>
      <c r="K96" s="6"/>
      <c r="L96" s="6" t="str">
        <f>IF(Table112[[#This Row],[Category]]="Transportation", _xlfn.XLOOKUP(Table112[[#This Row],[Resource]], 'SI - Payload'!$A$10:$A$38,'SI - Payload'!$B$10:$B$38,"",0), "")</f>
        <v/>
      </c>
      <c r="M96" s="6" t="str">
        <f>IF(Table112[[#This Row],[Category]]="Transportation", "ton", "")</f>
        <v/>
      </c>
      <c r="N96" s="6"/>
      <c r="O96" s="6"/>
      <c r="P96" s="6" t="str">
        <f>IF(OR(Table112[[#This Row],[Type]]="Main Product", Table112[[#This Row],[Type]]="Co-Product"), Table112[[#This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IF(Table112[[#This Row],[Type]]="Co-product", "No", "")</f>
        <v/>
      </c>
      <c r="J97" s="25"/>
      <c r="K97" s="6"/>
      <c r="L97" s="6" t="str">
        <f>IF(Table112[[#This Row],[Category]]="Transportation", _xlfn.XLOOKUP(Table112[[#This Row],[Resource]], 'SI - Payload'!$A$10:$A$38,'SI - Payload'!$B$10:$B$38,"",0), "")</f>
        <v/>
      </c>
      <c r="M97" s="6" t="str">
        <f>IF(Table112[[#This Row],[Category]]="Transportation", "ton", "")</f>
        <v/>
      </c>
      <c r="N97" s="6"/>
      <c r="O97" s="6"/>
      <c r="P97" s="6" t="str">
        <f>IF(OR(Table112[[#This Row],[Type]]="Main Product", Table112[[#This Row],[Type]]="Co-Product"), Table112[[#This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IF(Table112[[#This Row],[Type]]="Co-product", "No", "")</f>
        <v/>
      </c>
      <c r="J98" s="25"/>
      <c r="K98" s="6"/>
      <c r="L98" s="6" t="str">
        <f>IF(Table112[[#This Row],[Category]]="Transportation", _xlfn.XLOOKUP(Table112[[#This Row],[Resource]], 'SI - Payload'!$A$10:$A$38,'SI - Payload'!$B$10:$B$38,"",0), "")</f>
        <v/>
      </c>
      <c r="M98" s="6" t="str">
        <f>IF(Table112[[#This Row],[Category]]="Transportation", "ton", "")</f>
        <v/>
      </c>
      <c r="N98" s="6"/>
      <c r="O98" s="6"/>
      <c r="P98" s="6" t="str">
        <f>IF(OR(Table112[[#This Row],[Type]]="Main Product", Table112[[#This Row],[Type]]="Co-Product"), Table112[[#This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IF(Table112[[#This Row],[Type]]="Co-product", "No", "")</f>
        <v/>
      </c>
      <c r="J99" s="25"/>
      <c r="K99" s="6"/>
      <c r="L99" s="6" t="str">
        <f>IF(Table112[[#This Row],[Category]]="Transportation", _xlfn.XLOOKUP(Table112[[#This Row],[Resource]], 'SI - Payload'!$A$10:$A$38,'SI - Payload'!$B$10:$B$38,"",0), "")</f>
        <v/>
      </c>
      <c r="M99" s="6" t="str">
        <f>IF(Table112[[#This Row],[Category]]="Transportation", "ton", "")</f>
        <v/>
      </c>
      <c r="N99" s="6"/>
      <c r="O99" s="6"/>
      <c r="P99" s="6" t="str">
        <f>IF(OR(Table112[[#This Row],[Type]]="Main Product", Table112[[#This Row],[Type]]="Co-Product"), Table112[[#This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IF(Table112[[#This Row],[Type]]="Co-product", "No", "")</f>
        <v/>
      </c>
      <c r="J100" s="25"/>
      <c r="K100" s="6"/>
      <c r="L100" s="6" t="str">
        <f>IF(Table112[[#This Row],[Category]]="Transportation", _xlfn.XLOOKUP(Table112[[#This Row],[Resource]], 'SI - Payload'!$A$10:$A$38,'SI - Payload'!$B$10:$B$38,"",0), "")</f>
        <v/>
      </c>
      <c r="M100" s="6" t="str">
        <f>IF(Table112[[#This Row],[Category]]="Transportation", "ton", "")</f>
        <v/>
      </c>
      <c r="N100" s="6"/>
      <c r="O100" s="6"/>
      <c r="P100" s="6" t="str">
        <f>IF(OR(Table112[[#This Row],[Type]]="Main Product", Table112[[#This Row],[Type]]="Co-Product"), Table112[[#This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95F49719-5387-4315-90D6-1101251384DC}">
      <formula1>0</formula1>
      <formula2>1</formula2>
    </dataValidation>
    <dataValidation type="list" allowBlank="1" showInputMessage="1" showErrorMessage="1" sqref="M6:M100" xr:uid="{D7F81BEB-B657-411E-946E-BAC637878014}">
      <formula1>payload_units</formula1>
    </dataValidation>
    <dataValidation type="decimal" operator="greaterThan" allowBlank="1" showInputMessage="1" showErrorMessage="1" error="Please type a positive number." sqref="L6:L100" xr:uid="{76F0CD7B-DFB4-43E1-9513-C77F3CD8C7B2}">
      <formula1>0</formula1>
    </dataValidation>
    <dataValidation type="decimal" operator="greaterThan" allowBlank="1" showInputMessage="1" showErrorMessage="1" error="Please type a positive price." sqref="N6:N100" xr:uid="{765EF3C1-7DD9-4041-8D8F-7063F1B591E7}">
      <formula1>0</formula1>
    </dataValidation>
    <dataValidation type="decimal" allowBlank="1" showInputMessage="1" showErrorMessage="1" error="Please type a number between 0 and 1." sqref="G6:G100" xr:uid="{82CDBFBE-0045-42AC-A38B-056EC6007696}">
      <formula1>0</formula1>
      <formula2>1</formula2>
    </dataValidation>
    <dataValidation type="custom" allowBlank="1" showInputMessage="1" showErrorMessage="1" sqref="E6:E100" xr:uid="{39B972AA-E249-4F7D-87DC-3D900AED8C90}">
      <formula1>ISNUMBER(E6)</formula1>
    </dataValidation>
    <dataValidation type="list" allowBlank="1" showInputMessage="1" showErrorMessage="1" sqref="C2" xr:uid="{AB3BAF17-D708-4EEE-8782-AD8E35C7EA17}">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BC7AC495-F386-4536-96FF-299DD3F9853C}">
          <x14:formula1>
            <xm:f>IF($B6="Transportation",  transport_units, INDIRECT(_xlfn.XLOOKUP($C6, 'SI - Units'!$F$26:$F$36,'SI - Units'!$G$26:$G$36,"mass",0)))</xm:f>
          </x14:formula1>
          <xm:sqref>F6:F100</xm:sqref>
        </x14:dataValidation>
        <x14:dataValidation type="list" allowBlank="1" showInputMessage="1" showErrorMessage="1" xr:uid="{9EF5BDD2-8FFD-4EDB-8B6A-05D3AC1BA15D}">
          <x14:formula1>
            <xm:f>INDIRECT("p_"&amp;_xlfn.XLOOKUP($C6,'SI - Units'!$F$26:$F$36,'SI - Units'!$G$26:$G$36,"mass",0))</xm:f>
          </x14:formula1>
          <xm:sqref>O6:O100</xm:sqref>
        </x14:dataValidation>
        <x14:dataValidation type="list" allowBlank="1" showInputMessage="1" showErrorMessage="1" xr:uid="{665A520A-F062-483A-917F-E5FAB1AFA5F1}">
          <x14:formula1>
            <xm:f>INDIRECT(_xlfn.XLOOKUP($P6,'SI - End Use'!$A$11:$A$17,'SI - End Use'!$B$11:$B$17,"other_end_use",0))</xm:f>
          </x14:formula1>
          <xm:sqref>Q6:R100</xm:sqref>
        </x14:dataValidation>
        <x14:dataValidation type="list" allowBlank="1" showInputMessage="1" xr:uid="{B4BDF41D-E35D-40BE-B58B-89BA8D864762}">
          <x14:formula1>
            <xm:f>INDIRECT(_xlfn.XLOOKUP($C6,'SI - End Use'!$A$11:$A$17,'SI - End Use'!$B$11:$B$17,"other_end_use",0))</xm:f>
          </x14:formula1>
          <xm:sqref>D6:D100</xm:sqref>
        </x14:dataValidation>
        <x14:dataValidation type="list" allowBlank="1" showInputMessage="1" showErrorMessage="1" xr:uid="{2846E165-2009-4818-9398-F6F71E1B5856}">
          <x14:formula1>
            <xm:f>INDIRECT(_xlfn.XLOOKUP($B6, 'SI - Resources'!$R$1:$R$10,'SI - Resources'!$S$1:$S$10, "placeholder_resource", 0))</xm:f>
          </x14:formula1>
          <xm:sqref>P6:P100 C6:C100</xm:sqref>
        </x14:dataValidation>
        <x14:dataValidation type="list" allowBlank="1" showInputMessage="1" showErrorMessage="1" xr:uid="{D78946B4-3E55-49D4-94AD-9B0E8B6F24B6}">
          <x14:formula1>
            <xm:f>'SI - Co-products'!$B$2:$B$6</xm:f>
          </x14:formula1>
          <xm:sqref>A6:A100</xm:sqref>
        </x14:dataValidation>
        <x14:dataValidation type="list" allowBlank="1" showInputMessage="1" showErrorMessage="1" xr:uid="{A14F6C86-6FF7-44B7-BF06-A8BF8A5D9A5E}">
          <x14:formula1>
            <xm:f>'SI - Resources'!$A$1:$J$1</xm:f>
          </x14:formula1>
          <xm:sqref>B6:B100</xm:sqref>
        </x14:dataValidation>
        <x14:dataValidation type="list" allowBlank="1" showInputMessage="1" showErrorMessage="1" xr:uid="{3276BD65-ACC2-40D3-A168-54BBB0B811C0}">
          <x14:formula1>
            <xm:f>'SI - Co-products'!$C$2:$C$4</xm:f>
          </x14:formula1>
          <xm:sqref>I6:I100</xm:sqref>
        </x14:dataValidation>
        <x14:dataValidation type="list" allowBlank="1" showInputMessage="1" showErrorMessage="1" xr:uid="{E80D4E95-876E-4257-87DB-DB4BFA8DFAC5}">
          <x14:formula1>
            <xm:f>'SI - Co-products'!$A$2:$A$5</xm:f>
          </x14:formula1>
          <xm:sqref>K6:K100</xm:sqref>
        </x14:dataValidation>
        <x14:dataValidation type="list" allowBlank="1" showInputMessage="1" showErrorMessage="1" xr:uid="{8369E8A8-FD43-47C1-A88E-4C5044800CB3}">
          <x14:formula1>
            <xm:f>_xlfn.XLOOKUP(_xlfn.XLOOKUP(#REF!,'SI - Units'!$B$24:$B$109,'SI - Units'!$C$24:$C$109),'SI - Units'!$A$2:$A$8,'SI - Units'!$B$2:$R$8)</xm:f>
          </x14:formula1>
          <xm:sqref>F5</xm:sqref>
        </x14:dataValidation>
        <x14:dataValidation type="list" allowBlank="1" showInputMessage="1" showErrorMessage="1" xr:uid="{E50AFE8A-363C-4E0F-81FE-56934D5D9CA8}">
          <x14:formula1>
            <xm:f>'SI - Co-products'!$D$2:$D$8</xm:f>
          </x14:formula1>
          <xm:sqref>C1</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32</vt:i4>
      </vt:variant>
    </vt:vector>
  </HeadingPairs>
  <TitlesOfParts>
    <vt:vector size="43" baseType="lpstr">
      <vt:lpstr>Introduction</vt:lpstr>
      <vt:lpstr>Template</vt:lpstr>
      <vt:lpstr>SI - Payload</vt:lpstr>
      <vt:lpstr>SI - Resources</vt:lpstr>
      <vt:lpstr>SI - End Use</vt:lpstr>
      <vt:lpstr>SI - Units</vt:lpstr>
      <vt:lpstr>SI - Co-products</vt:lpstr>
      <vt:lpstr>CO2 delivery</vt:lpstr>
      <vt:lpstr>Algae growth</vt:lpstr>
      <vt:lpstr>Fuel production</vt:lpstr>
      <vt:lpstr>Fuel combustion</vt:lpstr>
      <vt:lpstr>biomass_resource</vt:lpstr>
      <vt:lpstr>chemicals_resource</vt:lpstr>
      <vt:lpstr>diesel_end_use</vt:lpstr>
      <vt:lpstr>electricity_end_use</vt:lpstr>
      <vt:lpstr>electricity_resource</vt:lpstr>
      <vt:lpstr>electricity_units</vt:lpstr>
      <vt:lpstr>emission_resource</vt:lpstr>
      <vt:lpstr>fuel_resource</vt:lpstr>
      <vt:lpstr>infra_resource</vt:lpstr>
      <vt:lpstr>mass</vt:lpstr>
      <vt:lpstr>mass_energy</vt:lpstr>
      <vt:lpstr>mass_volume</vt:lpstr>
      <vt:lpstr>mass_volume_energy</vt:lpstr>
      <vt:lpstr>ng_end_use</vt:lpstr>
      <vt:lpstr>other_end_use</vt:lpstr>
      <vt:lpstr>other_resource</vt:lpstr>
      <vt:lpstr>p_electricity_units</vt:lpstr>
      <vt:lpstr>p_mass</vt:lpstr>
      <vt:lpstr>p_mass_energy</vt:lpstr>
      <vt:lpstr>p_mass_volume</vt:lpstr>
      <vt:lpstr>p_mass_volume_energy</vt:lpstr>
      <vt:lpstr>p_volume</vt:lpstr>
      <vt:lpstr>p_volume_energy</vt:lpstr>
      <vt:lpstr>payload_units</vt:lpstr>
      <vt:lpstr>placeholder_resource</vt:lpstr>
      <vt:lpstr>rd_end_use</vt:lpstr>
      <vt:lpstr>transport_resource</vt:lpstr>
      <vt:lpstr>transport_units</vt:lpstr>
      <vt:lpstr>volume</vt:lpstr>
      <vt:lpstr>volume_energy</vt:lpstr>
      <vt:lpstr>waste_resource</vt:lpstr>
      <vt:lpstr>water_resource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2022-12-19T22:11:32Z</dcterms:modified>
</cp:coreProperties>
</file>