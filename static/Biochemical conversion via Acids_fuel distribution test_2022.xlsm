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948065A8-4572-49B8-940D-8A9CDB425718}" xr6:coauthVersionLast="47" xr6:coauthVersionMax="47" xr10:uidLastSave="{00000000-0000-0000-0000-000000000000}"/>
  <bookViews>
    <workbookView xWindow="33720" yWindow="2610" windowWidth="29040" windowHeight="15840" tabRatio="685" firstSheet="9"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Transportation to biorefinery" sheetId="36" r:id="rId14"/>
    <sheet name="Blending" sheetId="35"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3" i="37" l="1"/>
  <c r="P22" i="37"/>
  <c r="Q22" i="37" s="1"/>
  <c r="M22" i="37"/>
  <c r="L22" i="37"/>
  <c r="D23" i="37"/>
  <c r="I23" i="37"/>
  <c r="L23" i="37"/>
  <c r="M23" i="37"/>
  <c r="P23" i="37"/>
  <c r="Q23" i="37" s="1"/>
  <c r="F23" i="37" l="1" a="1"/>
  <c r="F23" i="37" s="1"/>
  <c r="E11" i="37"/>
  <c r="L12" i="37" l="1"/>
  <c r="M12" i="37"/>
  <c r="P12" i="37"/>
  <c r="Q12" i="37" s="1"/>
  <c r="L13" i="37"/>
  <c r="M13" i="37"/>
  <c r="P13" i="37"/>
  <c r="Q13" i="37" s="1"/>
  <c r="L14" i="37"/>
  <c r="M14" i="37"/>
  <c r="P14" i="37"/>
  <c r="Q14" i="37" s="1"/>
  <c r="L15" i="37"/>
  <c r="M15" i="37"/>
  <c r="P15" i="37"/>
  <c r="Q15" i="37"/>
  <c r="L16" i="37"/>
  <c r="M16" i="37"/>
  <c r="P16" i="37"/>
  <c r="Q16" i="37" s="1"/>
  <c r="L17" i="37"/>
  <c r="M17" i="37"/>
  <c r="P17" i="37"/>
  <c r="Q17" i="37" s="1"/>
  <c r="L18" i="37"/>
  <c r="M18" i="37"/>
  <c r="P18" i="37"/>
  <c r="Q18" i="37" s="1"/>
  <c r="L19" i="37"/>
  <c r="M19" i="37"/>
  <c r="P19" i="37"/>
  <c r="Q19" i="37" s="1"/>
  <c r="L20" i="37"/>
  <c r="M20" i="37"/>
  <c r="P20" i="37"/>
  <c r="Q20" i="37" s="1"/>
  <c r="L21" i="37"/>
  <c r="M21" i="37"/>
  <c r="P21" i="37"/>
  <c r="Q21" i="37" s="1"/>
  <c r="L24" i="37"/>
  <c r="M24" i="37"/>
  <c r="P24" i="37"/>
  <c r="Q24" i="37" s="1"/>
  <c r="L25" i="37"/>
  <c r="M25" i="37"/>
  <c r="P25" i="37"/>
  <c r="Q25" i="37" s="1"/>
  <c r="L26" i="37"/>
  <c r="M26" i="37"/>
  <c r="P26" i="37"/>
  <c r="Q26" i="37" s="1"/>
  <c r="L27" i="37"/>
  <c r="M27" i="37"/>
  <c r="P27" i="37"/>
  <c r="Q27" i="37" s="1"/>
  <c r="L28" i="37"/>
  <c r="M28" i="37"/>
  <c r="P28" i="37"/>
  <c r="Q28" i="37" s="1"/>
  <c r="L29" i="37"/>
  <c r="M29" i="37"/>
  <c r="P29" i="37"/>
  <c r="Q29" i="37" s="1"/>
  <c r="L30" i="37"/>
  <c r="M30" i="37"/>
  <c r="P30" i="37"/>
  <c r="Q30" i="37" s="1"/>
  <c r="L31" i="37"/>
  <c r="M31" i="37"/>
  <c r="P31" i="37"/>
  <c r="Q31" i="37" s="1"/>
  <c r="L32" i="37"/>
  <c r="M32" i="37"/>
  <c r="P32" i="37"/>
  <c r="Q32" i="37"/>
  <c r="L33" i="37"/>
  <c r="M33" i="37"/>
  <c r="L34" i="37"/>
  <c r="M34" i="37"/>
  <c r="L35" i="37"/>
  <c r="M35" i="37"/>
  <c r="B18" i="24"/>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c r="F67" i="38" a="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C100" i="37"/>
  <c r="F100" i="37" s="1" a="1"/>
  <c r="F100" i="37" s="1"/>
  <c r="P99" i="37"/>
  <c r="Q99" i="37" s="1"/>
  <c r="M99" i="37"/>
  <c r="L99" i="37"/>
  <c r="I99" i="37"/>
  <c r="C99" i="37"/>
  <c r="D99" i="37" s="1"/>
  <c r="P98" i="37"/>
  <c r="Q98" i="37" s="1"/>
  <c r="M98" i="37"/>
  <c r="L98" i="37"/>
  <c r="I98" i="37"/>
  <c r="C98" i="37"/>
  <c r="D98" i="37" s="1"/>
  <c r="P97" i="37"/>
  <c r="Q97" i="37" s="1"/>
  <c r="M97" i="37"/>
  <c r="L97" i="37"/>
  <c r="I97" i="37"/>
  <c r="C97" i="37"/>
  <c r="D97" i="37" s="1"/>
  <c r="P96" i="37"/>
  <c r="Q96" i="37" s="1"/>
  <c r="M96" i="37"/>
  <c r="L96" i="37"/>
  <c r="I96" i="37"/>
  <c r="C96" i="37"/>
  <c r="F96" i="37" s="1" a="1"/>
  <c r="F96" i="37" s="1"/>
  <c r="Q95" i="37"/>
  <c r="P95" i="37"/>
  <c r="M95" i="37"/>
  <c r="L95" i="37"/>
  <c r="I95" i="37"/>
  <c r="C95" i="37"/>
  <c r="F95" i="37" s="1" a="1"/>
  <c r="F95" i="37" s="1"/>
  <c r="P94" i="37"/>
  <c r="Q94" i="37" s="1"/>
  <c r="M94" i="37"/>
  <c r="L94" i="37"/>
  <c r="I94" i="37"/>
  <c r="C94" i="37"/>
  <c r="D94" i="37" s="1"/>
  <c r="P93" i="37"/>
  <c r="Q93" i="37" s="1"/>
  <c r="M93" i="37"/>
  <c r="L93" i="37"/>
  <c r="I93" i="37"/>
  <c r="C93" i="37"/>
  <c r="F93" i="37" s="1" a="1"/>
  <c r="F93" i="37" s="1"/>
  <c r="P92" i="37"/>
  <c r="Q92" i="37" s="1"/>
  <c r="M92" i="37"/>
  <c r="L92" i="37"/>
  <c r="I92" i="37"/>
  <c r="C92" i="37"/>
  <c r="F92" i="37" s="1" a="1"/>
  <c r="F92" i="37" s="1"/>
  <c r="P91" i="37"/>
  <c r="Q91" i="37" s="1"/>
  <c r="M91" i="37"/>
  <c r="L91" i="37"/>
  <c r="I91" i="37"/>
  <c r="C91" i="37"/>
  <c r="D91" i="37" s="1"/>
  <c r="P90" i="37"/>
  <c r="Q90" i="37" s="1"/>
  <c r="M90" i="37"/>
  <c r="L90" i="37"/>
  <c r="I90" i="37"/>
  <c r="C90" i="37"/>
  <c r="F90" i="37" s="1" a="1"/>
  <c r="F90" i="37" s="1"/>
  <c r="P89" i="37"/>
  <c r="Q89" i="37" s="1"/>
  <c r="M89" i="37"/>
  <c r="L89" i="37"/>
  <c r="I89" i="37"/>
  <c r="C89" i="37"/>
  <c r="D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P83" i="37"/>
  <c r="Q83" i="37" s="1"/>
  <c r="M83" i="37"/>
  <c r="L83" i="37"/>
  <c r="I83" i="37"/>
  <c r="C83" i="37"/>
  <c r="D83" i="37" s="1"/>
  <c r="P82" i="37"/>
  <c r="Q82" i="37" s="1"/>
  <c r="M82" i="37"/>
  <c r="L82" i="37"/>
  <c r="I82" i="37"/>
  <c r="C82" i="37"/>
  <c r="F82" i="37" s="1" a="1"/>
  <c r="F82" i="37" s="1"/>
  <c r="P81" i="37"/>
  <c r="Q81" i="37" s="1"/>
  <c r="M81" i="37"/>
  <c r="L81" i="37"/>
  <c r="I81" i="37"/>
  <c r="C81" i="37"/>
  <c r="D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F77" i="37" s="1" a="1"/>
  <c r="F77" i="37" s="1"/>
  <c r="P76" i="37"/>
  <c r="Q76" i="37" s="1"/>
  <c r="M76" i="37"/>
  <c r="L76" i="37"/>
  <c r="I76" i="37"/>
  <c r="C76" i="37"/>
  <c r="F76" i="37" s="1" a="1"/>
  <c r="F76" i="37" s="1"/>
  <c r="P75" i="37"/>
  <c r="Q75" i="37" s="1"/>
  <c r="M75" i="37"/>
  <c r="L75" i="37"/>
  <c r="I75" i="37"/>
  <c r="C75" i="37"/>
  <c r="D75" i="37" s="1"/>
  <c r="P74" i="37"/>
  <c r="Q74" i="37" s="1"/>
  <c r="M74" i="37"/>
  <c r="L74" i="37"/>
  <c r="I74" i="37"/>
  <c r="C74" i="37"/>
  <c r="D74" i="37" s="1"/>
  <c r="P73" i="37"/>
  <c r="Q73" i="37" s="1"/>
  <c r="M73" i="37"/>
  <c r="L73" i="37"/>
  <c r="I73" i="37"/>
  <c r="C73" i="37"/>
  <c r="D73" i="37" s="1"/>
  <c r="P72" i="37"/>
  <c r="Q72" i="37" s="1"/>
  <c r="M72" i="37"/>
  <c r="L72" i="37"/>
  <c r="I72" i="37"/>
  <c r="C72" i="37"/>
  <c r="F72" i="37" s="1" a="1"/>
  <c r="F72" i="37" s="1"/>
  <c r="P71" i="37"/>
  <c r="Q71" i="37" s="1"/>
  <c r="M71" i="37"/>
  <c r="L71" i="37"/>
  <c r="I71" i="37"/>
  <c r="C71" i="37"/>
  <c r="F71" i="37" s="1" a="1"/>
  <c r="F71" i="37" s="1"/>
  <c r="P70" i="37"/>
  <c r="Q70" i="37" s="1"/>
  <c r="M70" i="37"/>
  <c r="L70" i="37"/>
  <c r="I70" i="37"/>
  <c r="C70" i="37"/>
  <c r="F70" i="37" s="1" a="1"/>
  <c r="F70" i="37" s="1"/>
  <c r="P69" i="37"/>
  <c r="Q69" i="37" s="1"/>
  <c r="M69" i="37"/>
  <c r="L69" i="37"/>
  <c r="I69" i="37"/>
  <c r="C69" i="37"/>
  <c r="F69" i="37" s="1" a="1"/>
  <c r="F69" i="37" s="1"/>
  <c r="P68" i="37"/>
  <c r="Q68" i="37" s="1"/>
  <c r="M68" i="37"/>
  <c r="L68" i="37"/>
  <c r="I68" i="37"/>
  <c r="C68" i="37"/>
  <c r="F68" i="37" s="1" a="1"/>
  <c r="F68" i="37" s="1"/>
  <c r="P67" i="37"/>
  <c r="Q67" i="37" s="1"/>
  <c r="M67" i="37"/>
  <c r="L67" i="37"/>
  <c r="I67" i="37"/>
  <c r="C67" i="37"/>
  <c r="D67" i="37" s="1"/>
  <c r="P66" i="37"/>
  <c r="Q66" i="37" s="1"/>
  <c r="M66" i="37"/>
  <c r="L66" i="37"/>
  <c r="I66" i="37"/>
  <c r="C66" i="37"/>
  <c r="F66" i="37" s="1" a="1"/>
  <c r="F66" i="37" s="1"/>
  <c r="P65" i="37"/>
  <c r="Q65" i="37" s="1"/>
  <c r="M65" i="37"/>
  <c r="L65" i="37"/>
  <c r="I65" i="37"/>
  <c r="C65" i="37"/>
  <c r="D65" i="37" s="1"/>
  <c r="P64" i="37"/>
  <c r="Q64" i="37" s="1"/>
  <c r="M64" i="37"/>
  <c r="L64" i="37"/>
  <c r="I64" i="37"/>
  <c r="C64" i="37"/>
  <c r="F64" i="37" s="1" a="1"/>
  <c r="F64" i="37" s="1"/>
  <c r="P63" i="37"/>
  <c r="Q63" i="37" s="1"/>
  <c r="M63" i="37"/>
  <c r="L63" i="37"/>
  <c r="I63" i="37"/>
  <c r="C63" i="37"/>
  <c r="F63" i="37" s="1" a="1"/>
  <c r="F63" i="37" s="1"/>
  <c r="P62" i="37"/>
  <c r="Q62" i="37" s="1"/>
  <c r="M62" i="37"/>
  <c r="L62" i="37"/>
  <c r="I62" i="37"/>
  <c r="C62" i="37"/>
  <c r="F62" i="37" s="1" a="1"/>
  <c r="F62" i="37" s="1"/>
  <c r="P61" i="37"/>
  <c r="Q61" i="37" s="1"/>
  <c r="M61" i="37"/>
  <c r="L61" i="37"/>
  <c r="I61" i="37"/>
  <c r="C61" i="37"/>
  <c r="F61" i="37" s="1" a="1"/>
  <c r="F61" i="37" s="1"/>
  <c r="P60" i="37"/>
  <c r="Q60" i="37" s="1"/>
  <c r="M60" i="37"/>
  <c r="L60" i="37"/>
  <c r="I60" i="37"/>
  <c r="C60" i="37"/>
  <c r="F60" i="37" s="1" a="1"/>
  <c r="F60" i="37" s="1"/>
  <c r="P59" i="37"/>
  <c r="Q59" i="37" s="1"/>
  <c r="M59" i="37"/>
  <c r="L59" i="37"/>
  <c r="I59" i="37"/>
  <c r="C59" i="37"/>
  <c r="D59" i="37" s="1"/>
  <c r="P58" i="37"/>
  <c r="Q58" i="37" s="1"/>
  <c r="M58" i="37"/>
  <c r="L58" i="37"/>
  <c r="I58" i="37"/>
  <c r="C58" i="37"/>
  <c r="F58" i="37" s="1" a="1"/>
  <c r="F58" i="37" s="1"/>
  <c r="P57" i="37"/>
  <c r="Q57" i="37" s="1"/>
  <c r="M57" i="37"/>
  <c r="L57" i="37"/>
  <c r="I57" i="37"/>
  <c r="C57" i="37"/>
  <c r="D57" i="37" s="1"/>
  <c r="P56" i="37"/>
  <c r="Q56" i="37" s="1"/>
  <c r="M56" i="37"/>
  <c r="L56" i="37"/>
  <c r="I56" i="37"/>
  <c r="C56" i="37"/>
  <c r="F56" i="37" s="1" a="1"/>
  <c r="F56" i="37" s="1"/>
  <c r="P55" i="37"/>
  <c r="Q55" i="37" s="1"/>
  <c r="M55" i="37"/>
  <c r="L55" i="37"/>
  <c r="I55" i="37"/>
  <c r="C55" i="37"/>
  <c r="F55" i="37" s="1" a="1"/>
  <c r="F55" i="37" s="1"/>
  <c r="P54" i="37"/>
  <c r="Q54" i="37" s="1"/>
  <c r="M54" i="37"/>
  <c r="L54" i="37"/>
  <c r="I54" i="37"/>
  <c r="C54" i="37"/>
  <c r="D54" i="37" s="1"/>
  <c r="P53" i="37"/>
  <c r="Q53" i="37" s="1"/>
  <c r="M53" i="37"/>
  <c r="L53" i="37"/>
  <c r="I53" i="37"/>
  <c r="C53" i="37"/>
  <c r="F53" i="37" s="1" a="1"/>
  <c r="F53" i="37" s="1"/>
  <c r="P52" i="37"/>
  <c r="Q52" i="37" s="1"/>
  <c r="M52" i="37"/>
  <c r="L52" i="37"/>
  <c r="I52" i="37"/>
  <c r="C52" i="37"/>
  <c r="F52" i="37" s="1" a="1"/>
  <c r="F52" i="37" s="1"/>
  <c r="P51" i="37"/>
  <c r="Q51" i="37" s="1"/>
  <c r="M51" i="37"/>
  <c r="L51" i="37"/>
  <c r="I51" i="37"/>
  <c r="C51" i="37"/>
  <c r="D51" i="37" s="1"/>
  <c r="P50" i="37"/>
  <c r="Q50" i="37" s="1"/>
  <c r="M50" i="37"/>
  <c r="L50" i="37"/>
  <c r="I50" i="37"/>
  <c r="C50" i="37"/>
  <c r="D50" i="37" s="1"/>
  <c r="P49" i="37"/>
  <c r="Q49" i="37" s="1"/>
  <c r="M49" i="37"/>
  <c r="L49" i="37"/>
  <c r="I49" i="37"/>
  <c r="C49" i="37"/>
  <c r="F49" i="37" s="1" a="1"/>
  <c r="F49" i="37" s="1"/>
  <c r="P48" i="37"/>
  <c r="Q48" i="37" s="1"/>
  <c r="M48" i="37"/>
  <c r="L48" i="37"/>
  <c r="I48" i="37"/>
  <c r="C48" i="37"/>
  <c r="F48" i="37" s="1" a="1"/>
  <c r="F48" i="37" s="1"/>
  <c r="P47" i="37"/>
  <c r="Q47" i="37" s="1"/>
  <c r="M47" i="37"/>
  <c r="L47" i="37"/>
  <c r="I47" i="37"/>
  <c r="C47" i="37"/>
  <c r="F47" i="37" s="1" a="1"/>
  <c r="F47" i="37" s="1"/>
  <c r="P46" i="37"/>
  <c r="Q46" i="37" s="1"/>
  <c r="M46" i="37"/>
  <c r="L46" i="37"/>
  <c r="I46" i="37"/>
  <c r="C46" i="37"/>
  <c r="D46" i="37" s="1"/>
  <c r="P45" i="37"/>
  <c r="Q45" i="37" s="1"/>
  <c r="M45" i="37"/>
  <c r="L45" i="37"/>
  <c r="I45" i="37"/>
  <c r="C45" i="37"/>
  <c r="F45" i="37" s="1" a="1"/>
  <c r="F45" i="37" s="1"/>
  <c r="P44" i="37"/>
  <c r="Q44" i="37" s="1"/>
  <c r="M44" i="37"/>
  <c r="L44" i="37"/>
  <c r="I44" i="37"/>
  <c r="C44" i="37"/>
  <c r="F44" i="37" s="1" a="1"/>
  <c r="F44" i="37" s="1"/>
  <c r="P43" i="37"/>
  <c r="Q43" i="37" s="1"/>
  <c r="M43" i="37"/>
  <c r="L43" i="37"/>
  <c r="I43" i="37"/>
  <c r="C43" i="37"/>
  <c r="D43" i="37" s="1"/>
  <c r="P42" i="37"/>
  <c r="Q42" i="37" s="1"/>
  <c r="M42" i="37"/>
  <c r="L42" i="37"/>
  <c r="I42" i="37"/>
  <c r="C42" i="37"/>
  <c r="D42" i="37" s="1"/>
  <c r="P41" i="37"/>
  <c r="Q41" i="37" s="1"/>
  <c r="M41" i="37"/>
  <c r="L41" i="37"/>
  <c r="I41" i="37"/>
  <c r="C41" i="37"/>
  <c r="F41" i="37" s="1" a="1"/>
  <c r="F41" i="37" s="1"/>
  <c r="P40" i="37"/>
  <c r="Q40" i="37" s="1"/>
  <c r="M40" i="37"/>
  <c r="L40" i="37"/>
  <c r="I40" i="37"/>
  <c r="C40" i="37"/>
  <c r="F40" i="37" s="1" a="1"/>
  <c r="F40" i="37" s="1"/>
  <c r="P39" i="37"/>
  <c r="Q39" i="37" s="1"/>
  <c r="M39" i="37"/>
  <c r="L39" i="37"/>
  <c r="I39" i="37"/>
  <c r="C39" i="37"/>
  <c r="F39" i="37" s="1" a="1"/>
  <c r="F39" i="37" s="1"/>
  <c r="P38" i="37"/>
  <c r="Q38" i="37" s="1"/>
  <c r="M38" i="37"/>
  <c r="L38" i="37"/>
  <c r="I38" i="37"/>
  <c r="C38" i="37"/>
  <c r="F38" i="37" s="1" a="1"/>
  <c r="F38" i="37" s="1"/>
  <c r="P37" i="37"/>
  <c r="Q37" i="37" s="1"/>
  <c r="M37" i="37"/>
  <c r="L37" i="37"/>
  <c r="I37" i="37"/>
  <c r="C37" i="37"/>
  <c r="F37" i="37" s="1" a="1"/>
  <c r="F37" i="37" s="1"/>
  <c r="P36" i="37"/>
  <c r="Q36" i="37" s="1"/>
  <c r="M36" i="37"/>
  <c r="L36" i="37"/>
  <c r="I36" i="37"/>
  <c r="C36" i="37"/>
  <c r="F36" i="37" s="1" a="1"/>
  <c r="F36" i="37" s="1"/>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36" i="37" l="1"/>
  <c r="F73" i="37" a="1"/>
  <c r="F73" i="37" s="1"/>
  <c r="F59" i="37" a="1"/>
  <c r="F59" i="37" s="1"/>
  <c r="F54" i="37" a="1"/>
  <c r="F54" i="37" s="1"/>
  <c r="D49" i="37"/>
  <c r="D90" i="37"/>
  <c r="D41" i="37"/>
  <c r="D44" i="37"/>
  <c r="F50" i="37" a="1"/>
  <c r="F50" i="37" s="1"/>
  <c r="D71" i="37"/>
  <c r="D82" i="37"/>
  <c r="F94" i="37" a="1"/>
  <c r="F94" i="37" s="1"/>
  <c r="D58" i="37"/>
  <c r="F42" i="37" a="1"/>
  <c r="F42" i="37" s="1"/>
  <c r="F46" i="37" a="1"/>
  <c r="F46" i="37" s="1"/>
  <c r="D92" i="37"/>
  <c r="D60" i="37"/>
  <c r="D70" i="37"/>
  <c r="F74" i="37" a="1"/>
  <c r="F74" i="37" s="1"/>
  <c r="F91" i="37" a="1"/>
  <c r="F91" i="37" s="1"/>
  <c r="D39" i="37"/>
  <c r="D62" i="37"/>
  <c r="F43" i="37" a="1"/>
  <c r="F43" i="37" s="1"/>
  <c r="F97" i="37" a="1"/>
  <c r="F97" i="37" s="1"/>
  <c r="D38" i="37"/>
  <c r="F51" i="37" a="1"/>
  <c r="F51" i="37" s="1"/>
  <c r="F65" i="37" a="1"/>
  <c r="F65" i="37" s="1"/>
  <c r="D68" i="37"/>
  <c r="D79" i="37"/>
  <c r="F83" i="37" a="1"/>
  <c r="F83"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2" i="37"/>
  <c r="F57" i="37" a="1"/>
  <c r="F57" i="37" s="1"/>
  <c r="D63" i="37"/>
  <c r="F75" i="37" a="1"/>
  <c r="F75" i="37" s="1"/>
  <c r="D86" i="37"/>
  <c r="F98" i="37" a="1"/>
  <c r="F98"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5" i="37"/>
  <c r="D66" i="37"/>
  <c r="F67" i="37" a="1"/>
  <c r="F67" i="37" s="1"/>
  <c r="D78"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7" i="37"/>
  <c r="D84" i="37"/>
  <c r="F89" i="37" a="1"/>
  <c r="F89" i="37" s="1"/>
  <c r="D95"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0"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6" i="37"/>
  <c r="F81" i="37" a="1"/>
  <c r="F81" i="37" s="1"/>
  <c r="D87" i="37"/>
  <c r="F99" i="37" a="1"/>
  <c r="F99" i="37" s="1"/>
  <c r="D17" i="38"/>
  <c r="D25" i="38"/>
  <c r="D33" i="38"/>
  <c r="D37" i="37"/>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<sst xmlns="http://schemas.openxmlformats.org/spreadsheetml/2006/main" count="1447" uniqueCount="369">
  <si>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</si>
  <si>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</si>
  <si>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</si>
  <si>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</si>
  <si>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</si>
  <si>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</si>
  <si>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</si>
  <si>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</si>
  <si>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</si>
  <si>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</si>
  <si>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</si>
  <si>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</si>
  <si>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</si>
  <si>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</si>
  <si>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</si>
  <si>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</si>
  <si>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</si>
  <si>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</si>
  <si>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</si>
  <si>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</si>
  <si>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</si>
  <si>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</si>
  <si>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</si>
  <si>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</si>
  <si>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</si>
  <si>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</si>
  <si>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</si>
  <si>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</si>
  <si>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</si>
  <si>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</si>
  <si>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</si>
  <si>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</si>
  <si>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</si>
  <si>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</si>
  <si>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</si>
  <si>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</si>
  <si>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</si>
  <si>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</si>
  <si>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</si>
  <si>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</si>
  <si>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</si>
  <si>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</si>
  <si>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</si>
  <si>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</si>
  <si>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</si>
  <si>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</si>
  <si>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</si>
  <si>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</si>
  <si>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</si>
  <si>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</si>
  <si>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</si>
  <si>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</si>
  <si>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</si>
  <si>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</si>
  <si>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</si>
  <si>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</si>
  <si>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</si>
  <si>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</si>
  <si>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</si>
  <si>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</si>
  <si>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</si>
  <si>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</si>
  <si>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</si>
  <si>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</si>
  <si>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</si>
  <si>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</si>
  <si>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</si>
  <si>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</si>
  <si>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</si>
  <si>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</si>
  <si>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</si>
  <si>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</si>
  <si>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</si>
  <si>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</si>
  <si>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</si>
  <si>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</si>
  <si>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</si>
  <si>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</si>
  <si>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</si>
  <si>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</si>
  <si>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</si>
  <si>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</si>
  <si>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</si>
  <si>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</si>
  <si>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</si>
  <si>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</si>
  <si>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</si>
  <si>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</si>
  <si>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</si>
  <si>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</si>
  <si>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</si>
  <si>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</si>
  <si>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</si>
  <si>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</si>
  <si>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</si>
  <si>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</si>
  <si>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</si>
  <si>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</si>
  <si>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</si>
  <si>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</si>
  <si>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</si>
  <si>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</si>
  <si>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</si>
  <si>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</si>
  <si>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</si>
  <si>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</si>
  <si>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</si>
  <si>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</si>
  <si>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</si>
  <si>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</si>
  <si>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</si>
  <si>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</si>
  <si>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</si>
  <si>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</si>
  <si>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</si>
  <si>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</si>
  <si>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</si>
  <si>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</si>
  <si>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</si>
  <si>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</si>
  <si>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</si>
  <si>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</si>
  <si>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</si>
  <si>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</si>
  <si>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</si>
  <si>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</si>
  <si>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</si>
  <si>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</si>
  <si>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</si>
  <si>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</si>
  <si>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</si>
  <si>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</si>
  <si>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</si>
  <si>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</si>
  <si>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</si>
  <si>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</si>
  <si>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</si>
  <si>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</si>
  <si>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</si>
  <si>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</si>
  <si>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</si>
  <si>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</si>
  <si>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</si>
  <si>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</si>
  <si>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</si>
  <si>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</si>
  <si>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</si>
  <si>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</si>
  <si>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</si>
  <si>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</si>
  <si>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</si>
  <si>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</si>
  <si>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</si>
  <si>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</si>
  <si>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</si>
  <si>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</si>
  <si>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</si>
  <si>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</si>
  <si>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</si>
  <si>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</si>
  <si>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</si>
  <si>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</si>
  <si>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</si>
  <si>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</si>
  <si>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</si>
  <si>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</si>
  <si>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</si>
  <si>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</si>
  <si>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</si>
  <si>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</si>
  <si>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</si>
  <si>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</si>
  <si>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</si>
  <si>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</si>
  <si>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</si>
  <si>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</si>
  <si>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</si>
  <si>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</si>
  <si>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</si>
  <si>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</si>
  <si>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</si>
  <si>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</si>
  <si>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</si>
  <si>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</si>
  <si>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</si>
  <si>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</si>
  <si>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</si>
  <si>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</si>
  <si>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</si>
  <si>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</si>
  <si>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</si>
  <si>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</si>
  <si>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</si>
  <si>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</si>
  <si>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</si>
  <si>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</si>
  <si>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</si>
  <si>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</si>
  <si>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</si>
  <si>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</si>
  <si>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</si>
  <si>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</si>
  <si>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</si>
  <si>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</si>
  <si>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</si>
  <si>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</si>
  <si>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</si>
  <si>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</si>
  <si>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</si>
  <si>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</si>
  <si>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</si>
  <si>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</si>
  <si>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</si>
  <si>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</si>
  <si>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</si>
  <si>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</si>
  <si>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</si>
  <si>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</si>
  <si>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</si>
  <si>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</si>
  <si>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</si>
  <si>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</si>
  <si>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</si>
  <si>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</si>
  <si>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</si>
  <si>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</si>
  <si>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</si>
  <si>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</si>
  <si>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</si>
  <si>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</si>
  <si>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</si>
  <si>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</si>
  <si>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</si>
  <si>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</si>
  <si>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</si>
  <si>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</si>
  <si>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</si>
  <si>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</si>
  <si>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</si>
  <si>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</si>
  <si>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</si>
  <si>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</si>
  <si>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</si>
  <si>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</si>
  <si>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</si>
  <si>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</si>
  <si>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</si>
  <si>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</si>
  <si>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</si>
  <si>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</si>
  <si>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</si>
  <si>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</si>
  <si>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</si>
  <si>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</si>
  <si>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</si>
  <si>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</si>
  <si>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</si>
  <si>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</si>
  <si>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</si>
  <si>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</si>
  <si>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</si>
  <si>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</si>
  <si>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</si>
  <si>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</si>
  <si>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</si>
  <si>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</si>
  <si>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</si>
  <si>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</si>
  <si>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</si>
  <si>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</si>
  <si>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</si>
  <si>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</si>
  <si>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</si>
  <si>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</si>
  <si>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</si>
  <si>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</si>
  <si>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</si>
  <si>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</si>
  <si>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</si>
  <si>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</si>
  <si>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</si>
  <si>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</si>
  <si>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</si>
  <si>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</si>
  <si>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</si>
  <si>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</si>
  <si>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</si>
  <si>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</si>
  <si>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</si>
  <si>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</si>
  <si>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</si>
  <si>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</si>
  <si>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</si>
  <si>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</si>
  <si>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</si>
  <si>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</si>
  <si>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</si>
  <si>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</si>
  <si>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</si>
  <si>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</si>
  <si>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</si>
  <si>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</si>
  <si>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</si>
  <si>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</si>
  <si>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</si>
  <si>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</si>
  <si>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</si>
  <si>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</si>
  <si>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</si>
  <si>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</si>
  <si>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</si>
  <si>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</si>
  <si>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</si>
  <si>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</si>
  <si>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</si>
  <si>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</si>
  <si>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</si>
  <si>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</si>
  <si>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</si>
  <si>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</si>
  <si>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</si>
  <si>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</si>
  <si>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</si>
  <si>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</si>
  <si>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</si>
  <si>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</si>
  <si>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</si>
  <si>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</si>
  <si>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</si>
  <si>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</si>
  <si>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</si>
  <si>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</si>
  <si>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</si>
  <si>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</si>
  <si>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</si>
  <si>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</si>
  <si>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</si>
  <si>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</si>
  <si>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</si>
  <si>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</si>
  <si>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</si>
  <si>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</si>
  <si>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</si>
  <si>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</si>
  <si>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</si>
  <si>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</si>
  <si>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</si>
  <si>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</si>
  <si>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</si>
  <si>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</si>
  <si>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</si>
  <si>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</si>
  <si>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</si>
  <si>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</si>
  <si>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</si>
  <si>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</si>
  <si>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</si>
  <si>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</si>
  <si>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</si>
  <si>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</si>
  <si>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</si>
  <si>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</si>
  <si>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Sequestration</t>
  </si>
  <si>
    <t>$/mmBTU</t>
  </si>
  <si>
    <t>$/kg</t>
  </si>
  <si>
    <t>Fuel production</t>
  </si>
  <si>
    <t>CO2 emissions from the use of Na2CO3.</t>
  </si>
  <si>
    <t>CO2 emissions from Toluene combustion.</t>
  </si>
  <si>
    <t>Distribution loss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</si>
</sst>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7" fontId="0" fillId="0" borderId="0" xfId="0" applyNumberFormat="1"/>
    <xf numFmtId="165" fontId="0" fillId="0" borderId="2" xfId="1" applyNumberFormat="1" applyFont="1" applyFill="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E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91" dataDxfId="90" tableBorderDxfId="89" dataCellStyle="Percent">
  <autoFilter ref="A5:T100" xr:uid="{1644AED8-49DE-4A1D-989C-1566C9A522B9}"/>
  <tableColumns count="20">
    <tableColumn id="1" xr3:uid="{2C7BD698-AF81-4FF8-929B-FA65C95AB055}" name="Type" dataDxfId="88"/>
    <tableColumn id="2" xr3:uid="{8ABE79B0-EB47-434F-9597-1E5E0ADB71DC}" name="Category" dataDxfId="87"/>
    <tableColumn id="3" xr3:uid="{69D78EC1-407B-4DFE-AC99-A38B57A2C09E}" name="Resource" dataDxfId="86">
      <calculatedColumnFormula>_xlfn.XLOOKUP($B6,'SI - Resources'!$A$1:$J$1,'SI - Resources'!$A$2:$J$2, "")</calculatedColumnFormula>
    </tableColumn>
    <tableColumn id="4" xr3:uid="{52F75706-D18E-4442-BFC4-410DC293AAA3}" name="End Use" dataDxfId="85">
      <calculatedColumnFormula>IF(_xlfn.XLOOKUP($C6,'SI - End Use'!$B$2:$B$6,'SI - End Use'!$C$2:$C$6, "")="", "", _xlfn.XLOOKUP($C6,'SI - End Use'!$B$2:$B$6,'SI - End Use'!$C$2:$C$6, ""))</calculatedColumnFormula>
    </tableColumn>
    <tableColumn id="5" xr3:uid="{9F38E5ED-CDF5-4F83-890D-24FB06E235FC}" name="Amount" dataDxfId="84" dataCellStyle="Comma"/>
    <tableColumn id="6" xr3:uid="{3ACEA781-8167-43A0-A833-46625CC99CBE}" name="Unit" dataDxfId="83">
      <calculatedColumnFormula array="1">IF($B6="Transportation",  'SI - Units'!$B$9:$B$9, _xlfn.XLOOKUP(_xlfn.XLOOKUP($C6,'SI - Units'!$B$24:$B$109,'SI - Units'!$C$24:$C$109, ""),'SI - Units'!$A$2:$A$8,'SI - Units'!$B$2:$B$8, ""))</calculatedColumnFormula>
    </tableColumn>
    <tableColumn id="7" xr3:uid="{B5C83816-A716-4C88-8E16-9100286A1C6F}" name="Moisture" dataDxfId="82" dataCellStyle="Percent"/>
    <tableColumn id="8" xr3:uid="{961A9FAE-AD98-485E-B669-B4C538DA0995}" name="Previous Stage" dataDxfId="81" dataCellStyle="Percent"/>
    <tableColumn id="9" xr3:uid="{60E7FA53-9DF4-4D04-BFA2-AD3E323325F3}" name="Always Use Displacement Method for Co-Product?" dataDxfId="80" dataCellStyle="Percent">
      <calculatedColumnFormula>IF(Table117[[#This Row],[Type]]="Co-product", "No", "")</calculatedColumnFormula>
    </tableColumn>
    <tableColumn id="19" xr3:uid="{4410DE15-CD0A-43E3-BF1B-26946EDD4937}" name="Urban Share" dataDxfId="79" dataCellStyle="Percent"/>
    <tableColumn id="10" xr3:uid="{465CE46E-54E8-4FE9-B164-133479785B61}" name="Product Train" dataDxfId="78"/>
    <tableColumn id="14" xr3:uid="{C64B9C10-A92F-4D3E-9E49-F202FF99E30C}" name="Payload" dataDxfId="77">
      <calculatedColumnFormula>IF(Table117[[#This Row],[Category]]="Transportation", _xlfn.XLOOKUP(Table117[[#This Row],[Resource]], 'SI - Payload'!$A$10:$A$40,'SI - Payload'!$B$10:$B$40,"",0), "")</calculatedColumnFormula>
    </tableColumn>
    <tableColumn id="15" xr3:uid="{B2C6C9FF-AF37-4C49-8B8F-6DEA98EBF439}" name="Payload Unit" dataDxfId="76">
      <calculatedColumnFormula>IF(Table117[[#This Row],[Category]]="Transportation", "ton", "")</calculatedColumnFormula>
    </tableColumn>
    <tableColumn id="16" xr3:uid="{B9643C62-FDA6-4407-BDFB-10192C826E3A}" name="Market Price" dataDxfId="75"/>
    <tableColumn id="17" xr3:uid="{BFADB77B-6181-4E0A-9A94-8646D6882E21}" name="Market Price Unit" dataDxfId="74"/>
    <tableColumn id="12" xr3:uid="{0AABAEB9-8482-432F-93D1-2C5764D984A9}" name="Incumbent Product" dataDxfId="73">
      <calculatedColumnFormula>IF(OR(Table117[[#This Row],[Type]]="Main Product", Table117[[#This Row],[Type]]="Co-Product"), Table117[[#This Row],[Resource]], "")</calculatedColumnFormula>
    </tableColumn>
    <tableColumn id="13" xr3:uid="{ABEEA1D9-5769-4EC6-87EC-2F86E4D4BFE1}" name="End Use of Incumbent Product" dataDxfId="72">
      <calculatedColumnFormula>IF(_xlfn.XLOOKUP($P6,'SI - End Use'!$B$2:$B$6,'SI - End Use'!$C$2:$C$6, "")="", "", _xlfn.XLOOKUP($C6,'SI - End Use'!$B$2:$B$6,'SI - End Use'!$C$2:$C$6, ""))</calculatedColumnFormula>
    </tableColumn>
    <tableColumn id="20" xr3:uid="{B78E94FF-F088-4CC4-8EC6-5C0AEFC572C4}" name="Surrogate For" dataDxfId="71"/>
    <tableColumn id="18" xr3:uid="{9EC012AC-619E-4FBF-90F7-699244F53C6D}" name="Process" dataDxfId="70"/>
    <tableColumn id="11" xr3:uid="{6C9CCC6B-ACAC-4023-B69D-D41E81C4CC41}"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68" dataDxfId="67" tableBorderDxfId="66" dataCellStyle="Percent">
  <autoFilter ref="A5:T100" xr:uid="{1644AED8-49DE-4A1D-989C-1566C9A522B9}"/>
  <tableColumns count="20">
    <tableColumn id="1" xr3:uid="{267E8A30-959C-452C-A6CC-D6C057F24543}" name="Type" dataDxfId="65"/>
    <tableColumn id="2" xr3:uid="{07E5344F-F415-4CAB-A649-6C35315EF5B7}" name="Category" dataDxfId="64"/>
    <tableColumn id="3" xr3:uid="{C09C5A40-063E-452B-A093-23FB4FA8086B}" name="Resource" dataDxfId="63">
      <calculatedColumnFormula>_xlfn.XLOOKUP($B6,'SI - Resources'!$A$1:$J$1,'SI - Resources'!$A$2:$J$2, "")</calculatedColumnFormula>
    </tableColumn>
    <tableColumn id="4" xr3:uid="{AA9A4A88-0172-49D3-96EA-55F32D6BAB91}" name="End Use" dataDxfId="62">
      <calculatedColumnFormula>IF(_xlfn.XLOOKUP($C6,'SI - End Use'!$B$2:$B$6,'SI - End Use'!$C$2:$C$6, "")="", "", _xlfn.XLOOKUP($C6,'SI - End Use'!$B$2:$B$6,'SI - End Use'!$C$2:$C$6, ""))</calculatedColumnFormula>
    </tableColumn>
    <tableColumn id="5" xr3:uid="{1AA4EF4A-5725-47E2-B9EE-C54F0D72DC13}" name="Amount" dataDxfId="61" dataCellStyle="Comma"/>
    <tableColumn id="6" xr3:uid="{B99294AF-16AB-4D4C-88A6-B972A98F31AE}" name="Unit" dataDxfId="60">
      <calculatedColumnFormula array="1">IF($B6="Transportation",  'SI - Units'!$B$9:$B$9, _xlfn.XLOOKUP(_xlfn.XLOOKUP($C6,'SI - Units'!$B$24:$B$109,'SI - Units'!$C$24:$C$109, ""),'SI - Units'!$A$2:$A$8,'SI - Units'!$B$2:$B$8, ""))</calculatedColumnFormula>
    </tableColumn>
    <tableColumn id="7" xr3:uid="{35C6737C-6381-45D5-BB1F-62660D37158A}" name="Moisture" dataDxfId="59" dataCellStyle="Percent"/>
    <tableColumn id="8" xr3:uid="{5A915426-D154-405B-85EA-20D604C2DC96}" name="Previous Stage" dataDxfId="58" dataCellStyle="Percent"/>
    <tableColumn id="9" xr3:uid="{DA069634-EA62-4D00-B776-F52E30B37700}" name="Always Use Displacement Method for Co-Product?" dataDxfId="57" dataCellStyle="Percent">
      <calculatedColumnFormula>IF(Table116[[#This Row],[Type]]="Co-product", "No", "")</calculatedColumnFormula>
    </tableColumn>
    <tableColumn id="19" xr3:uid="{A2FE0DBA-BA56-437F-8017-8F35B66080EA}" name="Urban Share" dataDxfId="56" dataCellStyle="Percent"/>
    <tableColumn id="10" xr3:uid="{3FC1D276-6044-43EA-8FFE-6330C18AAAEA}" name="Product Train" dataDxfId="55"/>
    <tableColumn id="14" xr3:uid="{F39A9E14-47FB-437A-874D-1CE4D6F486BD}" name="Payload" dataDxfId="54">
      <calculatedColumnFormula>IF(Table116[[#This Row],[Category]]="Transportation", _xlfn.XLOOKUP(Table116[[#This Row],[Resource]], 'SI - Payload'!$A$10:$A$40,'SI - Payload'!$B$10:$B$40,"",0), "")</calculatedColumnFormula>
    </tableColumn>
    <tableColumn id="15" xr3:uid="{6A16A909-B4F9-4008-8D8C-A21FD5344F33}" name="Payload Unit" dataDxfId="53">
      <calculatedColumnFormula>IF(Table116[[#This Row],[Category]]="Transportation", "ton", "")</calculatedColumnFormula>
    </tableColumn>
    <tableColumn id="16" xr3:uid="{7ACFF5A1-530E-4574-8CCF-6014A17DED1F}" name="Market Price" dataDxfId="52"/>
    <tableColumn id="17" xr3:uid="{10CC7E25-16C3-4487-9020-2364320BB0F6}" name="Market Price Unit" dataDxfId="51"/>
    <tableColumn id="12" xr3:uid="{E491674C-1C98-45D7-83FC-555A3096D908}" name="Incumbent Product" dataDxfId="50">
      <calculatedColumnFormula>IF(OR(Table116[[#This Row],[Type]]="Main Product", Table116[[#This Row],[Type]]="Co-Product"), Table116[[#This Row],[Resource]], "")</calculatedColumnFormula>
    </tableColumn>
    <tableColumn id="13" xr3:uid="{856720A5-3900-4615-BB7A-57514C89726D}" name="End Use of Incumbent Product" dataDxfId="49">
      <calculatedColumnFormula>IF(_xlfn.XLOOKUP($P6,'SI - End Use'!$B$2:$B$6,'SI - End Use'!$C$2:$C$6, "")="", "", _xlfn.XLOOKUP($C6,'SI - End Use'!$B$2:$B$6,'SI - End Use'!$C$2:$C$6, ""))</calculatedColumnFormula>
    </tableColumn>
    <tableColumn id="20" xr3:uid="{5A90943D-16D5-4BDA-962C-19A13F6E8AB8}" name="Surrogate For" dataDxfId="48"/>
    <tableColumn id="18" xr3:uid="{CF6EBF07-BA8B-43CE-82C3-59E29FEF9D74}" name="Process" dataDxfId="47"/>
    <tableColumn id="11" xr3:uid="{19B3CDDE-677F-4341-B2BF-5A637D5F6385}"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45" dataDxfId="44" tableBorderDxfId="43" dataCellStyle="Percent">
  <autoFilter ref="A5:T100"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80" t="s">
        <v>261</v>
      </c>
      <c r="B2" s="80"/>
    </row>
    <row r="3" spans="1:3" ht="29.15" customHeight="1" x14ac:dyDescent="0.35">
      <c r="A3" s="82" t="s">
        <v>274</v>
      </c>
      <c r="B3" s="82"/>
    </row>
    <row r="4" spans="1:3" ht="28" customHeight="1" x14ac:dyDescent="0.35">
      <c r="A4" s="19"/>
      <c r="B4" s="19"/>
    </row>
    <row r="5" spans="1:3" ht="28" customHeight="1" x14ac:dyDescent="0.35">
      <c r="A5" s="81" t="s">
        <v>260</v>
      </c>
      <c r="B5" s="81"/>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s="50" t="s">
        <v>312</v>
      </c>
      <c r="B17" s="50">
        <f>W6</f>
        <v>0</v>
      </c>
    </row>
    <row r="18" spans="1:2" x14ac:dyDescent="0.35">
      <c r="A18" s="50" t="s">
        <v>313</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276</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tabSelected="1" workbookViewId="0">
      <pane ySplit="5" topLeftCell="A12" activePane="bottomLeft" state="frozen"/>
      <selection activeCell="C19" sqref="C19"/>
      <selection pane="bottomLeft" activeCell="K23" sqref="K2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4.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76">
        <v>104166.667</v>
      </c>
      <c r="F6" s="6" t="s">
        <v>58</v>
      </c>
      <c r="G6" s="25">
        <v>0.2</v>
      </c>
      <c r="H6" s="25" t="s">
        <v>361</v>
      </c>
      <c r="I6" s="26" t="s">
        <v>337</v>
      </c>
      <c r="J6" s="25"/>
      <c r="K6" s="6" t="s">
        <v>86</v>
      </c>
      <c r="L6" s="6" t="str">
        <f>IF(Table118[[#This Row],[Category]]="Transportation", _xlfn.XLOOKUP(Table118[[#This Row],[Resource]], 'SI - Payload'!$A$10:$A$40,'SI - Payload'!$B$10:$B$40,"",0),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35">
      <c r="A7" s="6" t="s">
        <v>0</v>
      </c>
      <c r="B7" s="6" t="s">
        <v>37</v>
      </c>
      <c r="C7" s="6" t="s">
        <v>106</v>
      </c>
      <c r="D7" s="6"/>
      <c r="E7" s="12">
        <v>13380.119000000001</v>
      </c>
      <c r="F7" s="6" t="s">
        <v>58</v>
      </c>
      <c r="G7" s="25">
        <v>7.0000000000000007E-2</v>
      </c>
      <c r="H7" s="25"/>
      <c r="I7" s="26" t="s">
        <v>337</v>
      </c>
      <c r="J7" s="25"/>
      <c r="K7" s="6" t="s">
        <v>85</v>
      </c>
      <c r="L7" s="6" t="str">
        <f>IF(Table118[[#This Row],[Category]]="Transportation", _xlfn.XLOOKUP(Table118[[#This Row],[Resource]], 'SI - Payload'!$A$10:$A$40,'SI - Payload'!$B$10:$B$40,"",0),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35">
      <c r="A8" s="6" t="s">
        <v>0</v>
      </c>
      <c r="B8" s="6" t="s">
        <v>37</v>
      </c>
      <c r="C8" s="6" t="s">
        <v>13</v>
      </c>
      <c r="D8" s="6"/>
      <c r="E8" s="76">
        <v>2542</v>
      </c>
      <c r="F8" s="6" t="s">
        <v>58</v>
      </c>
      <c r="G8" s="25"/>
      <c r="H8" s="25"/>
      <c r="I8" s="26" t="s">
        <v>337</v>
      </c>
      <c r="J8" s="25"/>
      <c r="K8" s="6" t="s">
        <v>85</v>
      </c>
      <c r="L8" s="6" t="str">
        <f>IF(Table118[[#This Row],[Category]]="Transportation", _xlfn.XLOOKUP(Table118[[#This Row],[Resource]], 'SI - Payload'!$A$10:$A$40,'SI - Payload'!$B$10:$B$40,"",0),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35">
      <c r="A9" s="6" t="s">
        <v>0</v>
      </c>
      <c r="B9" s="6" t="s">
        <v>37</v>
      </c>
      <c r="C9" s="6" t="s">
        <v>13</v>
      </c>
      <c r="D9" s="6" t="s">
        <v>337</v>
      </c>
      <c r="E9" s="12">
        <v>2750.3150000000005</v>
      </c>
      <c r="F9" s="6" t="s">
        <v>58</v>
      </c>
      <c r="G9" s="25"/>
      <c r="H9" s="25"/>
      <c r="I9" s="26" t="s">
        <v>337</v>
      </c>
      <c r="J9" s="25"/>
      <c r="K9" s="6" t="s">
        <v>86</v>
      </c>
      <c r="L9" s="6" t="str">
        <f>IF(Table118[[#This Row],[Category]]="Transportation", _xlfn.XLOOKUP(Table118[[#This Row],[Resource]], 'SI - Payload'!$A$10:$A$40,'SI - Payload'!$B$10:$B$40,"",0),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35">
      <c r="A10" s="6" t="s">
        <v>0</v>
      </c>
      <c r="B10" s="6" t="s">
        <v>37</v>
      </c>
      <c r="C10" s="6" t="s">
        <v>26</v>
      </c>
      <c r="D10" s="6"/>
      <c r="E10" s="76">
        <v>7499.9999999999991</v>
      </c>
      <c r="F10" s="6" t="s">
        <v>58</v>
      </c>
      <c r="G10" s="25"/>
      <c r="H10" s="25"/>
      <c r="I10" s="26" t="s">
        <v>337</v>
      </c>
      <c r="J10" s="25"/>
      <c r="K10" s="6" t="s">
        <v>86</v>
      </c>
      <c r="L10" s="6" t="str">
        <f>IF(Table118[[#This Row],[Category]]="Transportation", _xlfn.XLOOKUP(Table118[[#This Row],[Resource]], 'SI - Payload'!$A$10:$A$40,'SI - Payload'!$B$10:$B$40,"",0),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35">
      <c r="A11" s="6" t="s">
        <v>0</v>
      </c>
      <c r="B11" s="6" t="s">
        <v>245</v>
      </c>
      <c r="C11" s="6" t="s">
        <v>228</v>
      </c>
      <c r="D11" s="6" t="s">
        <v>337</v>
      </c>
      <c r="E11" s="12">
        <f>E10*12/106*44/12</f>
        <v>3113.2075471698113</v>
      </c>
      <c r="F11" s="6" t="s">
        <v>58</v>
      </c>
      <c r="G11" s="25"/>
      <c r="H11" s="25"/>
      <c r="I11" s="26" t="s">
        <v>337</v>
      </c>
      <c r="J11" s="25"/>
      <c r="K11" s="6" t="s">
        <v>86</v>
      </c>
      <c r="L11" s="6" t="str">
        <f>IF(Table118[[#This Row],[Category]]="Transportation", _xlfn.XLOOKUP(Table118[[#This Row],[Resource]], 'SI - Payload'!$A$10:$A$40,'SI - Payload'!$B$10:$B$40,"",0),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t="s">
        <v>366</v>
      </c>
    </row>
    <row r="12" spans="1:20" x14ac:dyDescent="0.35">
      <c r="A12" s="6" t="s">
        <v>0</v>
      </c>
      <c r="B12" s="6" t="s">
        <v>37</v>
      </c>
      <c r="C12" s="6" t="s">
        <v>14</v>
      </c>
      <c r="D12" s="6" t="s">
        <v>337</v>
      </c>
      <c r="E12" s="79">
        <v>64</v>
      </c>
      <c r="F12" s="6" t="s">
        <v>58</v>
      </c>
      <c r="G12" s="25"/>
      <c r="H12" s="25"/>
      <c r="I12" s="26" t="s">
        <v>337</v>
      </c>
      <c r="J12" s="25"/>
      <c r="K12" s="6" t="s">
        <v>113</v>
      </c>
      <c r="L12" s="6" t="str">
        <f>IF(Table118[[#This Row],[Category]]="Transportation", _xlfn.XLOOKUP(Table118[[#This Row],[Resource]], 'SI - Payload'!$A$10:$A$40,'SI - Payload'!$B$10:$B$40,"",0),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35">
      <c r="A13" s="6" t="s">
        <v>0</v>
      </c>
      <c r="B13" s="6" t="s">
        <v>37</v>
      </c>
      <c r="C13" s="6" t="s">
        <v>14</v>
      </c>
      <c r="D13" s="6" t="s">
        <v>337</v>
      </c>
      <c r="E13" s="79">
        <v>17</v>
      </c>
      <c r="F13" s="6" t="s">
        <v>58</v>
      </c>
      <c r="G13" s="25"/>
      <c r="H13" s="25"/>
      <c r="I13" s="26" t="s">
        <v>337</v>
      </c>
      <c r="J13" s="25"/>
      <c r="K13" s="6" t="s">
        <v>85</v>
      </c>
      <c r="L13" s="6" t="str">
        <f>IF(Table118[[#This Row],[Category]]="Transportation", _xlfn.XLOOKUP(Table118[[#This Row],[Resource]], 'SI - Payload'!$A$10:$A$40,'SI - Payload'!$B$10:$B$40,"",0),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35">
      <c r="A14" s="6" t="s">
        <v>0</v>
      </c>
      <c r="B14" s="6" t="s">
        <v>37</v>
      </c>
      <c r="C14" s="6" t="s">
        <v>14</v>
      </c>
      <c r="D14" s="6" t="s">
        <v>337</v>
      </c>
      <c r="E14" s="79">
        <v>2127.6018347872441</v>
      </c>
      <c r="F14" s="6" t="s">
        <v>58</v>
      </c>
      <c r="G14" s="25"/>
      <c r="H14" s="25"/>
      <c r="I14" s="26" t="s">
        <v>337</v>
      </c>
      <c r="J14" s="25"/>
      <c r="K14" s="6" t="s">
        <v>86</v>
      </c>
      <c r="L14" s="6" t="str">
        <f>IF(Table118[[#This Row],[Category]]="Transportation", _xlfn.XLOOKUP(Table118[[#This Row],[Resource]], 'SI - Payload'!$A$10:$A$40,'SI - Payload'!$B$10:$B$40,"",0),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35">
      <c r="A15" s="6" t="s">
        <v>0</v>
      </c>
      <c r="B15" s="6" t="s">
        <v>37</v>
      </c>
      <c r="C15" s="6" t="s">
        <v>19</v>
      </c>
      <c r="D15" s="6" t="s">
        <v>337</v>
      </c>
      <c r="E15" s="79">
        <v>1335.9596300000001</v>
      </c>
      <c r="F15" s="6" t="s">
        <v>58</v>
      </c>
      <c r="G15" s="25"/>
      <c r="H15" s="25"/>
      <c r="I15" s="26" t="s">
        <v>337</v>
      </c>
      <c r="J15" s="25"/>
      <c r="K15" s="6" t="s">
        <v>113</v>
      </c>
      <c r="L15" s="6" t="str">
        <f>IF(Table118[[#This Row],[Category]]="Transportation", _xlfn.XLOOKUP(Table118[[#This Row],[Resource]], 'SI - Payload'!$A$10:$A$40,'SI - Payload'!$B$10:$B$40,"",0),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35">
      <c r="A16" s="6" t="s">
        <v>0</v>
      </c>
      <c r="B16" s="6" t="s">
        <v>37</v>
      </c>
      <c r="C16" s="6" t="s">
        <v>15</v>
      </c>
      <c r="D16" s="6" t="s">
        <v>337</v>
      </c>
      <c r="E16" s="79">
        <v>1275.8015763000001</v>
      </c>
      <c r="F16" s="6" t="s">
        <v>58</v>
      </c>
      <c r="G16" s="25"/>
      <c r="H16" s="25"/>
      <c r="I16" s="26" t="s">
        <v>337</v>
      </c>
      <c r="J16" s="25"/>
      <c r="K16" s="6" t="s">
        <v>113</v>
      </c>
      <c r="L16" s="6" t="str">
        <f>IF(Table118[[#This Row],[Category]]="Transportation", _xlfn.XLOOKUP(Table118[[#This Row],[Resource]], 'SI - Payload'!$A$10:$A$40,'SI - Payload'!$B$10:$B$40,"",0),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35">
      <c r="A17" s="6" t="s">
        <v>0</v>
      </c>
      <c r="B17" s="6" t="s">
        <v>37</v>
      </c>
      <c r="C17" s="6" t="s">
        <v>17</v>
      </c>
      <c r="D17" s="6" t="s">
        <v>337</v>
      </c>
      <c r="E17" s="79">
        <v>7.3804090899999997</v>
      </c>
      <c r="F17" s="6" t="s">
        <v>58</v>
      </c>
      <c r="G17" s="25"/>
      <c r="H17" s="25"/>
      <c r="I17" s="26" t="s">
        <v>337</v>
      </c>
      <c r="J17" s="25"/>
      <c r="K17" s="6" t="s">
        <v>113</v>
      </c>
      <c r="L17" s="6" t="str">
        <f>IF(Table118[[#This Row],[Category]]="Transportation", _xlfn.XLOOKUP(Table118[[#This Row],[Resource]], 'SI - Payload'!$A$10:$A$40,'SI - Payload'!$B$10:$B$40,"",0),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35">
      <c r="A18" s="6" t="s">
        <v>0</v>
      </c>
      <c r="B18" s="6" t="s">
        <v>37</v>
      </c>
      <c r="C18" s="6" t="s">
        <v>20</v>
      </c>
      <c r="D18" s="6" t="s">
        <v>337</v>
      </c>
      <c r="E18" s="79">
        <v>37.2129835</v>
      </c>
      <c r="F18" s="6" t="s">
        <v>58</v>
      </c>
      <c r="G18" s="25"/>
      <c r="H18" s="25"/>
      <c r="I18" s="26" t="s">
        <v>337</v>
      </c>
      <c r="J18" s="25"/>
      <c r="K18" s="6" t="s">
        <v>113</v>
      </c>
      <c r="L18" s="6" t="str">
        <f>IF(Table118[[#This Row],[Category]]="Transportation", _xlfn.XLOOKUP(Table118[[#This Row],[Resource]], 'SI - Payload'!$A$10:$A$40,'SI - Payload'!$B$10:$B$40,"",0),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35">
      <c r="A19" s="6" t="s">
        <v>0</v>
      </c>
      <c r="B19" s="6" t="s">
        <v>37</v>
      </c>
      <c r="C19" s="6" t="s">
        <v>21</v>
      </c>
      <c r="D19" s="6" t="s">
        <v>337</v>
      </c>
      <c r="E19" s="79">
        <v>9.0697912299999999</v>
      </c>
      <c r="F19" s="6" t="s">
        <v>58</v>
      </c>
      <c r="G19" s="25"/>
      <c r="H19" s="25"/>
      <c r="I19" s="26" t="s">
        <v>337</v>
      </c>
      <c r="J19" s="25"/>
      <c r="K19" s="6" t="s">
        <v>113</v>
      </c>
      <c r="L19" s="6" t="str">
        <f>IF(Table118[[#This Row],[Category]]="Transportation", _xlfn.XLOOKUP(Table118[[#This Row],[Resource]], 'SI - Payload'!$A$10:$A$40,'SI - Payload'!$B$10:$B$40,"",0),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35">
      <c r="A20" s="6" t="s">
        <v>0</v>
      </c>
      <c r="B20" s="6" t="s">
        <v>37</v>
      </c>
      <c r="C20" s="6" t="s">
        <v>16</v>
      </c>
      <c r="D20" s="6" t="s">
        <v>337</v>
      </c>
      <c r="E20" s="79">
        <v>176.98179099711001</v>
      </c>
      <c r="F20" s="6" t="s">
        <v>58</v>
      </c>
      <c r="G20" s="25"/>
      <c r="H20" s="25"/>
      <c r="I20" s="26" t="s">
        <v>337</v>
      </c>
      <c r="J20" s="25"/>
      <c r="K20" s="6" t="s">
        <v>113</v>
      </c>
      <c r="L20" s="6" t="str">
        <f>IF(Table118[[#This Row],[Category]]="Transportation", _xlfn.XLOOKUP(Table118[[#This Row],[Resource]], 'SI - Payload'!$A$10:$A$40,'SI - Payload'!$B$10:$B$40,"",0),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35">
      <c r="A21" s="6" t="s">
        <v>0</v>
      </c>
      <c r="B21" s="6" t="s">
        <v>37</v>
      </c>
      <c r="C21" s="6" t="s">
        <v>18</v>
      </c>
      <c r="D21" s="6" t="s">
        <v>337</v>
      </c>
      <c r="E21" s="79">
        <v>418.10850199999999</v>
      </c>
      <c r="F21" s="6" t="s">
        <v>58</v>
      </c>
      <c r="G21" s="25"/>
      <c r="H21" s="25"/>
      <c r="I21" s="26" t="s">
        <v>337</v>
      </c>
      <c r="J21" s="25"/>
      <c r="K21" s="6" t="s">
        <v>113</v>
      </c>
      <c r="L21" s="6" t="str">
        <f>IF(Table118[[#This Row],[Category]]="Transportation", _xlfn.XLOOKUP(Table118[[#This Row],[Resource]], 'SI - Payload'!$A$10:$A$40,'SI - Payload'!$B$10:$B$40,"",0),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35">
      <c r="A22" s="6" t="s">
        <v>0</v>
      </c>
      <c r="B22" s="6" t="s">
        <v>37</v>
      </c>
      <c r="C22" s="6" t="s">
        <v>50</v>
      </c>
      <c r="D22" s="6"/>
      <c r="E22" s="79">
        <v>90</v>
      </c>
      <c r="F22" s="6" t="s">
        <v>58</v>
      </c>
      <c r="G22" s="25"/>
      <c r="H22" s="25"/>
      <c r="I22" s="26" t="s">
        <v>337</v>
      </c>
      <c r="J22" s="25"/>
      <c r="K22" s="6" t="s">
        <v>113</v>
      </c>
      <c r="L22" s="6" t="str">
        <f>IF(Table118[[#This Row],[Category]]="Transportation", _xlfn.XLOOKUP(Table118[[#This Row],[Resource]], 'SI - Payload'!$A$10:$A$40,'SI - Payload'!$B$10:$B$40,"",0),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35">
      <c r="A23" s="6" t="s">
        <v>0</v>
      </c>
      <c r="B23" s="6" t="s">
        <v>245</v>
      </c>
      <c r="C23" s="6" t="s">
        <v>228</v>
      </c>
      <c r="D23" s="6" t="str">
        <f>IF(_xlfn.XLOOKUP($C23,'SI - End Use'!$B$2:$B$6,'SI - End Use'!$C$2:$C$6, "")="", "", _xlfn.XLOOKUP($C23,'SI - End Use'!$B$2:$B$6,'SI - End Use'!$C$2:$C$6, ""))</f>
        <v/>
      </c>
      <c r="E23" s="79">
        <f>12*7/(12*7+8*1)*44/12*E22</f>
        <v>301.30434782608694</v>
      </c>
      <c r="F23" s="6" t="str" cm="1">
        <f t="array" ref="F23">IF($B23="Transportation",  'SI - Units'!$B$9:$B$9, _xlfn.XLOOKUP(_xlfn.XLOOKUP($C23,'SI - Units'!$B$24:$B$109,'SI - Units'!$C$24:$C$109, ""),'SI - Units'!$A$2:$A$8,'SI - Units'!$B$2:$B$8, ""))</f>
        <v>kg</v>
      </c>
      <c r="G23" s="25"/>
      <c r="H23" s="25"/>
      <c r="I23" s="26" t="str">
        <f>IF(Table118[[#This Row],[Type]]="Co-product", "No", "")</f>
        <v/>
      </c>
      <c r="J23" s="25"/>
      <c r="K23" s="6" t="s">
        <v>113</v>
      </c>
      <c r="L23" s="6" t="str">
        <f>IF(Table118[[#This Row],[Category]]="Transportation", _xlfn.XLOOKUP(Table118[[#This Row],[Resource]], 'SI - Payload'!$A$10:$A$40,'SI - Payload'!$B$10:$B$40,"",0),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t="s">
        <v>367</v>
      </c>
    </row>
    <row r="24" spans="1:20" x14ac:dyDescent="0.35">
      <c r="A24" s="6" t="s">
        <v>0</v>
      </c>
      <c r="B24" s="6" t="s">
        <v>37</v>
      </c>
      <c r="C24" s="6" t="s">
        <v>36</v>
      </c>
      <c r="D24" s="6" t="s">
        <v>337</v>
      </c>
      <c r="E24" s="79">
        <v>0.30969945799999998</v>
      </c>
      <c r="F24" s="6" t="s">
        <v>58</v>
      </c>
      <c r="G24" s="25"/>
      <c r="H24" s="25"/>
      <c r="I24" s="26" t="s">
        <v>337</v>
      </c>
      <c r="J24" s="25"/>
      <c r="K24" s="6" t="s">
        <v>86</v>
      </c>
      <c r="L24" s="6" t="str">
        <f>IF(Table118[[#This Row],[Category]]="Transportation", _xlfn.XLOOKUP(Table118[[#This Row],[Resource]], 'SI - Payload'!$A$10:$A$40,'SI - Payload'!$B$10:$B$40,"",0),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35">
      <c r="A25" s="6" t="s">
        <v>0</v>
      </c>
      <c r="B25" s="6" t="s">
        <v>37</v>
      </c>
      <c r="C25" s="6" t="s">
        <v>23</v>
      </c>
      <c r="D25" s="6" t="s">
        <v>337</v>
      </c>
      <c r="E25" s="12">
        <v>191.347026</v>
      </c>
      <c r="F25" s="6" t="s">
        <v>58</v>
      </c>
      <c r="G25" s="25"/>
      <c r="H25" s="25"/>
      <c r="I25" s="26" t="s">
        <v>337</v>
      </c>
      <c r="J25" s="25"/>
      <c r="K25" s="6" t="s">
        <v>86</v>
      </c>
      <c r="L25" s="6" t="str">
        <f>IF(Table118[[#This Row],[Category]]="Transportation", _xlfn.XLOOKUP(Table118[[#This Row],[Resource]], 'SI - Payload'!$A$10:$A$40,'SI - Payload'!$B$10:$B$40,"",0),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35">
      <c r="A26" s="6" t="s">
        <v>0</v>
      </c>
      <c r="B26" s="6" t="s">
        <v>37</v>
      </c>
      <c r="C26" s="6" t="s">
        <v>25</v>
      </c>
      <c r="D26" s="6" t="s">
        <v>337</v>
      </c>
      <c r="E26" s="76">
        <v>1.26816185</v>
      </c>
      <c r="F26" s="6" t="s">
        <v>58</v>
      </c>
      <c r="G26" s="25"/>
      <c r="H26" s="25"/>
      <c r="I26" s="26" t="s">
        <v>337</v>
      </c>
      <c r="J26" s="25"/>
      <c r="K26" s="6" t="s">
        <v>86</v>
      </c>
      <c r="L26" s="6" t="str">
        <f>IF(Table118[[#This Row],[Category]]="Transportation", _xlfn.XLOOKUP(Table118[[#This Row],[Resource]], 'SI - Payload'!$A$10:$A$40,'SI - Payload'!$B$10:$B$40,"",0),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35">
      <c r="A27" s="6" t="s">
        <v>0</v>
      </c>
      <c r="B27" s="6" t="s">
        <v>29</v>
      </c>
      <c r="C27" s="6" t="s">
        <v>29</v>
      </c>
      <c r="D27" s="6" t="s">
        <v>337</v>
      </c>
      <c r="E27" s="12">
        <v>254541.07399999999</v>
      </c>
      <c r="F27" s="6" t="s">
        <v>58</v>
      </c>
      <c r="G27" s="25"/>
      <c r="H27" s="25"/>
      <c r="I27" s="26" t="s">
        <v>337</v>
      </c>
      <c r="J27" s="25"/>
      <c r="K27" s="6" t="s">
        <v>86</v>
      </c>
      <c r="L27" s="6" t="str">
        <f>IF(Table118[[#This Row],[Category]]="Transportation", _xlfn.XLOOKUP(Table118[[#This Row],[Resource]], 'SI - Payload'!$A$10:$A$40,'SI - Payload'!$B$10:$B$40,"",0),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35">
      <c r="A28" s="6" t="s">
        <v>0</v>
      </c>
      <c r="B28" s="6" t="s">
        <v>244</v>
      </c>
      <c r="C28" s="6" t="s">
        <v>24</v>
      </c>
      <c r="D28" s="6" t="s">
        <v>31</v>
      </c>
      <c r="E28" s="76">
        <v>400</v>
      </c>
      <c r="F28" s="6" t="s">
        <v>58</v>
      </c>
      <c r="G28" s="25"/>
      <c r="H28" s="25"/>
      <c r="I28" s="26" t="s">
        <v>337</v>
      </c>
      <c r="J28" s="25"/>
      <c r="K28" s="6" t="s">
        <v>86</v>
      </c>
      <c r="L28" s="6" t="str">
        <f>IF(Table118[[#This Row],[Category]]="Transportation", _xlfn.XLOOKUP(Table118[[#This Row],[Resource]], 'SI - Payload'!$A$10:$A$40,'SI - Payload'!$B$10:$B$40,"",0),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35">
      <c r="A29" s="6" t="s">
        <v>0</v>
      </c>
      <c r="B29" s="6" t="s">
        <v>3</v>
      </c>
      <c r="C29" s="6" t="s">
        <v>3</v>
      </c>
      <c r="D29" s="6" t="s">
        <v>10</v>
      </c>
      <c r="E29" s="12">
        <v>22886</v>
      </c>
      <c r="F29" s="6" t="s">
        <v>68</v>
      </c>
      <c r="G29" s="25"/>
      <c r="H29" s="25"/>
      <c r="I29" s="26" t="s">
        <v>337</v>
      </c>
      <c r="J29" s="25"/>
      <c r="K29" s="6" t="s">
        <v>113</v>
      </c>
      <c r="L29" s="6" t="str">
        <f>IF(Table118[[#This Row],[Category]]="Transportation", _xlfn.XLOOKUP(Table118[[#This Row],[Resource]], 'SI - Payload'!$A$10:$A$40,'SI - Payload'!$B$10:$B$40,"",0),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35">
      <c r="A30" s="6" t="s">
        <v>0</v>
      </c>
      <c r="B30" s="6" t="s">
        <v>3</v>
      </c>
      <c r="C30" s="6" t="s">
        <v>3</v>
      </c>
      <c r="D30" s="6" t="s">
        <v>10</v>
      </c>
      <c r="E30" s="12">
        <v>4350</v>
      </c>
      <c r="F30" s="6" t="s">
        <v>68</v>
      </c>
      <c r="G30" s="25"/>
      <c r="H30" s="25"/>
      <c r="I30" s="26" t="s">
        <v>337</v>
      </c>
      <c r="J30" s="25"/>
      <c r="K30" s="6" t="s">
        <v>85</v>
      </c>
      <c r="L30" s="6" t="str">
        <f>IF(Table118[[#This Row],[Category]]="Transportation", _xlfn.XLOOKUP(Table118[[#This Row],[Resource]], 'SI - Payload'!$A$10:$A$40,'SI - Payload'!$B$10:$B$40,"",0), "")</f>
        <v/>
      </c>
      <c r="M30" s="6" t="str">
        <f>IF(Table118[[#This Row],[Category]]="Transportation", "ton", "")</f>
        <v/>
      </c>
      <c r="N30" s="6"/>
      <c r="O30" s="6"/>
      <c r="P30" s="6" t="str">
        <f>IF(OR(Table118[[#This Row],[Type]]="Main Product", Table118[[#This Row],[Type]]="Co-Product"), Table118[[#This Row],[Resource]], "")</f>
        <v/>
      </c>
      <c r="Q30" s="6" t="str">
        <f>IF(_xlfn.XLOOKUP($P30,'SI - End Use'!$B$2:$B$6,'SI - End Use'!$C$2:$C$6, "")="", "", _xlfn.XLOOKUP($C30,'SI - End Use'!$B$2:$B$6,'SI - End Use'!$C$2:$C$6, ""))</f>
        <v/>
      </c>
      <c r="R30" s="6"/>
      <c r="S30" s="6"/>
      <c r="T30" s="6"/>
    </row>
    <row r="31" spans="1:20" x14ac:dyDescent="0.35">
      <c r="A31" s="6" t="s">
        <v>0</v>
      </c>
      <c r="B31" s="6" t="s">
        <v>3</v>
      </c>
      <c r="C31" s="6" t="s">
        <v>3</v>
      </c>
      <c r="D31" s="6" t="s">
        <v>10</v>
      </c>
      <c r="E31" s="12">
        <v>30891.165596999999</v>
      </c>
      <c r="F31" s="6" t="s">
        <v>68</v>
      </c>
      <c r="G31" s="25"/>
      <c r="H31" s="25"/>
      <c r="I31" s="26" t="s">
        <v>337</v>
      </c>
      <c r="J31" s="25"/>
      <c r="K31" s="6" t="s">
        <v>86</v>
      </c>
      <c r="L31" s="6" t="str">
        <f>IF(Table118[[#This Row],[Category]]="Transportation", _xlfn.XLOOKUP(Table118[[#This Row],[Resource]], 'SI - Payload'!$A$10:$A$40,'SI - Payload'!$B$10:$B$40,"",0), "")</f>
        <v/>
      </c>
      <c r="M31" s="6" t="str">
        <f>IF(Table118[[#This Row],[Category]]="Transportation", "ton", "")</f>
        <v/>
      </c>
      <c r="N31" s="6"/>
      <c r="O31" s="6"/>
      <c r="P31" s="6" t="str">
        <f>IF(OR(Table118[[#This Row],[Type]]="Main Product", Table118[[#This Row],[Type]]="Co-Product"), Table118[[#This Row],[Resource]], "")</f>
        <v/>
      </c>
      <c r="Q31" s="6" t="str">
        <f>IF(_xlfn.XLOOKUP($P31,'SI - End Use'!$B$2:$B$6,'SI - End Use'!$C$2:$C$6, "")="", "", _xlfn.XLOOKUP($C31,'SI - End Use'!$B$2:$B$6,'SI - End Use'!$C$2:$C$6, ""))</f>
        <v/>
      </c>
      <c r="R31" s="6"/>
      <c r="S31" s="6"/>
      <c r="T31" s="6"/>
    </row>
    <row r="32" spans="1:20" x14ac:dyDescent="0.35">
      <c r="A32" s="6" t="s">
        <v>0</v>
      </c>
      <c r="B32" s="6" t="s">
        <v>244</v>
      </c>
      <c r="C32" s="6" t="s">
        <v>24</v>
      </c>
      <c r="D32" s="6" t="s">
        <v>31</v>
      </c>
      <c r="E32" s="12">
        <v>39.267698471152897</v>
      </c>
      <c r="F32" s="6" t="s">
        <v>70</v>
      </c>
      <c r="G32" s="25"/>
      <c r="H32" s="25"/>
      <c r="I32" s="26" t="s">
        <v>337</v>
      </c>
      <c r="J32" s="25"/>
      <c r="K32" s="6" t="s">
        <v>113</v>
      </c>
      <c r="L32" s="6" t="str">
        <f>IF(Table118[[#This Row],[Category]]="Transportation", _xlfn.XLOOKUP(Table118[[#This Row],[Resource]], 'SI - Payload'!$A$10:$A$40,'SI - Payload'!$B$10:$B$40,"",0), "")</f>
        <v/>
      </c>
      <c r="M32" s="6" t="str">
        <f>IF(Table118[[#This Row],[Category]]="Transportation", "ton", "")</f>
        <v/>
      </c>
      <c r="N32" s="6"/>
      <c r="O32" s="6"/>
      <c r="P32" s="6" t="str">
        <f>IF(OR(Table118[[#This Row],[Type]]="Main Product", Table118[[#This Row],[Type]]="Co-Product"), Table118[[#This Row],[Resource]], "")</f>
        <v/>
      </c>
      <c r="Q32" s="6" t="str">
        <f>IF(_xlfn.XLOOKUP($P32,'SI - End Use'!$B$2:$B$6,'SI - End Use'!$C$2:$C$6, "")="", "", _xlfn.XLOOKUP($C32,'SI - End Use'!$B$2:$B$6,'SI - End Use'!$C$2:$C$6, ""))</f>
        <v/>
      </c>
      <c r="R32" s="6"/>
      <c r="S32" s="6"/>
      <c r="T32" s="6"/>
    </row>
    <row r="33" spans="1:20" x14ac:dyDescent="0.35">
      <c r="A33" s="6" t="s">
        <v>113</v>
      </c>
      <c r="B33" s="6" t="s">
        <v>244</v>
      </c>
      <c r="C33" s="6" t="s">
        <v>277</v>
      </c>
      <c r="D33" s="6"/>
      <c r="E33" s="12">
        <v>425.82504310907996</v>
      </c>
      <c r="F33" s="6" t="s">
        <v>70</v>
      </c>
      <c r="G33" s="25"/>
      <c r="H33" s="25"/>
      <c r="I33" s="26" t="s">
        <v>337</v>
      </c>
      <c r="J33" s="25"/>
      <c r="K33" s="6" t="s">
        <v>113</v>
      </c>
      <c r="L33" s="6" t="str">
        <f>IF(Table118[[#This Row],[Category]]="Transportation", _xlfn.XLOOKUP(Table118[[#This Row],[Resource]], 'SI - Payload'!$A$10:$A$40,'SI - Payload'!$B$10:$B$40,"",0), "")</f>
        <v/>
      </c>
      <c r="M33" s="6" t="str">
        <f>IF(Table118[[#This Row],[Category]]="Transportation", "ton", "")</f>
        <v/>
      </c>
      <c r="N33" s="6">
        <v>21.535015935911794</v>
      </c>
      <c r="O33" s="6" t="s">
        <v>363</v>
      </c>
      <c r="P33" s="6" t="s">
        <v>2</v>
      </c>
      <c r="Q33" s="6" t="s">
        <v>83</v>
      </c>
      <c r="R33" s="6"/>
      <c r="S33" s="6"/>
      <c r="T33" s="6"/>
    </row>
    <row r="34" spans="1:20" x14ac:dyDescent="0.35">
      <c r="A34" s="6" t="s">
        <v>85</v>
      </c>
      <c r="B34" s="6" t="s">
        <v>37</v>
      </c>
      <c r="C34" s="6" t="s">
        <v>51</v>
      </c>
      <c r="D34" s="6" t="s">
        <v>362</v>
      </c>
      <c r="E34" s="12">
        <v>2673.5836599999998</v>
      </c>
      <c r="F34" s="6" t="s">
        <v>58</v>
      </c>
      <c r="G34" s="25"/>
      <c r="H34" s="25"/>
      <c r="I34" s="26" t="s">
        <v>114</v>
      </c>
      <c r="J34" s="25"/>
      <c r="K34" s="6" t="s">
        <v>85</v>
      </c>
      <c r="L34" s="6" t="str">
        <f>IF(Table118[[#This Row],[Category]]="Transportation", _xlfn.XLOOKUP(Table118[[#This Row],[Resource]], 'SI - Payload'!$A$10:$A$40,'SI - Payload'!$B$10:$B$40,"",0), "")</f>
        <v/>
      </c>
      <c r="M34" s="6" t="str">
        <f>IF(Table118[[#This Row],[Category]]="Transportation", "ton", "")</f>
        <v/>
      </c>
      <c r="N34" s="6">
        <v>1.8739390198196608</v>
      </c>
      <c r="O34" s="6" t="s">
        <v>364</v>
      </c>
      <c r="P34" s="6" t="s">
        <v>278</v>
      </c>
      <c r="Q34" s="6"/>
      <c r="R34" s="6"/>
      <c r="S34" s="6"/>
      <c r="T34" s="6"/>
    </row>
    <row r="35" spans="1:20" x14ac:dyDescent="0.35">
      <c r="A35" s="6" t="s">
        <v>85</v>
      </c>
      <c r="B35" s="6" t="s">
        <v>37</v>
      </c>
      <c r="C35" s="6" t="s">
        <v>280</v>
      </c>
      <c r="D35" s="6" t="s">
        <v>337</v>
      </c>
      <c r="E35" s="12">
        <v>17429.7837</v>
      </c>
      <c r="F35" s="6" t="s">
        <v>58</v>
      </c>
      <c r="G35" s="25"/>
      <c r="H35" s="25"/>
      <c r="I35" s="26" t="s">
        <v>124</v>
      </c>
      <c r="J35" s="25"/>
      <c r="K35" s="6" t="s">
        <v>86</v>
      </c>
      <c r="L35" s="6" t="str">
        <f>IF(Table118[[#This Row],[Category]]="Transportation", _xlfn.XLOOKUP(Table118[[#This Row],[Resource]], 'SI - Payload'!$A$10:$A$40,'SI - Payload'!$B$10:$B$40,"",0), "")</f>
        <v/>
      </c>
      <c r="M35" s="6" t="str">
        <f>IF(Table118[[#This Row],[Category]]="Transportation", "ton", "")</f>
        <v/>
      </c>
      <c r="N35" s="6"/>
      <c r="O35" s="6"/>
      <c r="P35" s="6" t="s">
        <v>280</v>
      </c>
      <c r="Q35" s="6" t="s">
        <v>337</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Use'!$A$11:$A$17,'SI - End Use'!$B$11:$B$17,"other_end_use",0))</xm:f>
          </x14:formula1>
          <xm:sqref>Q6:R100</xm:sqref>
        </x14:dataValidation>
        <x14:dataValidation type="list" allowBlank="1" showInputMessage="1" xr:uid="{A026ABCD-9090-484C-8035-86332534803F}">
          <x14:formula1>
            <xm:f>INDIRECT(_xlfn.XLOOKUP($C6,'SI - End Use'!$A$11:$A$17,'SI - End Use'!$B$11:$B$17,"other_end_use",0))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C6:C100 P6:P100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T7" sqref="T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78">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277</v>
      </c>
      <c r="D6" s="6" t="str">
        <f>IF(_xlfn.XLOOKUP($C6,'SI - End Use'!$B$2:$B$6,'SI - End Use'!$C$2:$C$6, "")="", "", _xlfn.XLOOKUP($C6,'SI - End Use'!$B$2:$B$6,'SI - End Use'!$C$2:$C$6, ""))</f>
        <v/>
      </c>
      <c r="E6" s="77">
        <v>1.000045143067781</v>
      </c>
      <c r="F6" s="6" t="s">
        <v>70</v>
      </c>
      <c r="G6" s="25"/>
      <c r="H6" s="25" t="s">
        <v>365</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368</v>
      </c>
    </row>
    <row r="7" spans="1:20" x14ac:dyDescent="0.3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277</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277</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4" t="s">
        <v>338</v>
      </c>
      <c r="C1" s="84"/>
      <c r="D1" s="62" t="s">
        <v>339</v>
      </c>
      <c r="E1" s="62" t="s">
        <v>340</v>
      </c>
      <c r="F1" s="62" t="s">
        <v>341</v>
      </c>
      <c r="G1" s="62" t="s">
        <v>342</v>
      </c>
      <c r="H1" s="62" t="s">
        <v>343</v>
      </c>
    </row>
    <row r="2" spans="1:8" x14ac:dyDescent="0.35">
      <c r="A2" s="62" t="s">
        <v>344</v>
      </c>
      <c r="B2" s="83">
        <v>89.04</v>
      </c>
      <c r="C2" s="83"/>
      <c r="D2" s="64">
        <v>1</v>
      </c>
      <c r="E2" s="63"/>
      <c r="F2" s="63"/>
      <c r="G2" s="65">
        <v>0.3</v>
      </c>
      <c r="H2" s="65">
        <v>0</v>
      </c>
    </row>
    <row r="3" spans="1:8" x14ac:dyDescent="0.35">
      <c r="A3" s="62" t="s">
        <v>345</v>
      </c>
      <c r="B3" s="85">
        <v>23.19</v>
      </c>
      <c r="C3" s="86"/>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7" t="s">
        <v>349</v>
      </c>
      <c r="C8" s="87"/>
      <c r="D8" s="69" t="s">
        <v>339</v>
      </c>
      <c r="E8" s="69" t="s">
        <v>340</v>
      </c>
      <c r="F8" s="69" t="s">
        <v>341</v>
      </c>
      <c r="G8" s="69" t="s">
        <v>342</v>
      </c>
      <c r="H8" s="62" t="s">
        <v>343</v>
      </c>
    </row>
    <row r="9" spans="1:8" x14ac:dyDescent="0.35">
      <c r="A9" s="62" t="s">
        <v>350</v>
      </c>
      <c r="B9" s="83">
        <v>10.92</v>
      </c>
      <c r="C9" s="83"/>
      <c r="D9" s="63"/>
      <c r="E9" s="64">
        <v>1</v>
      </c>
      <c r="F9" s="63"/>
      <c r="G9" s="71">
        <v>0.11409999999999999</v>
      </c>
      <c r="H9" s="71">
        <v>8.1557678177810455E-2</v>
      </c>
    </row>
    <row r="10" spans="1:8" x14ac:dyDescent="0.35">
      <c r="A10" s="62" t="s">
        <v>351</v>
      </c>
      <c r="B10" s="83">
        <v>289.14999999999998</v>
      </c>
      <c r="C10" s="83"/>
      <c r="D10" s="63"/>
      <c r="E10" s="64">
        <v>1</v>
      </c>
      <c r="F10" s="63"/>
      <c r="G10" s="71">
        <v>0.11409999999999999</v>
      </c>
      <c r="H10" s="71">
        <v>0.02</v>
      </c>
    </row>
    <row r="11" spans="1:8" x14ac:dyDescent="0.35">
      <c r="A11" s="62" t="s">
        <v>352</v>
      </c>
      <c r="B11" s="83">
        <v>7.72</v>
      </c>
      <c r="C11" s="83"/>
      <c r="D11" s="72">
        <v>0.89500000000000002</v>
      </c>
      <c r="E11" s="72">
        <f>1-D11</f>
        <v>0.10499999999999998</v>
      </c>
      <c r="F11" s="63"/>
      <c r="G11" s="71">
        <v>0.11409999999999999</v>
      </c>
      <c r="H11" s="71">
        <v>0</v>
      </c>
    </row>
    <row r="12" spans="1:8" x14ac:dyDescent="0.35">
      <c r="A12" s="62" t="s">
        <v>353</v>
      </c>
      <c r="B12" s="83">
        <v>0</v>
      </c>
      <c r="C12" s="83"/>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Transportation to biorefinery</vt:lpstr>
      <vt:lpstr>Blending</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2022-11-03T20:48:26Z</dcterms:modified>
</cp:coreProperties>
</file>