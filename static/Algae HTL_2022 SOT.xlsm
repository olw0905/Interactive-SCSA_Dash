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D1BF4C2F-CB33-4AC7-A841-1066B147F3C2}" xr6:coauthVersionLast="47" xr6:coauthVersionMax="47" xr10:uidLastSave="{00000000-0000-0000-0000-000000000000}"/>
  <bookViews>
    <workbookView xWindow="-110" yWindow="-110" windowWidth="22780" windowHeight="14660" tabRatio="685" firstSheet="9" activeTab="12"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Algae growth" sheetId="25" r:id="rId8"/>
    <sheet name="Fuel production" sheetId="29" r:id="rId9"/>
    <sheet name="Forest residue processing" sheetId="30" r:id="rId10"/>
    <sheet name="Forest residue transportation" sheetId="31" r:id="rId11"/>
    <sheet name="Receiving handling and storage" sheetId="32" r:id="rId12"/>
    <sheet name="Forest residue preprocessing" sheetId="33" r:id="rId13"/>
  </sheets>
  <definedNames>
    <definedName name="biomass_resource">'SI - Resources'!$A$2:$A$4</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Resources'!$H$2:$H$6</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00" i="33" l="1"/>
  <c r="P100" i="33"/>
  <c r="M100" i="33"/>
  <c r="L100" i="33"/>
  <c r="I100" i="33"/>
  <c r="C100" i="33"/>
  <c r="F100" i="33" s="1" a="1"/>
  <c r="F100" i="33" s="1"/>
  <c r="Q99" i="33"/>
  <c r="P99" i="33"/>
  <c r="M99" i="33"/>
  <c r="L99" i="33"/>
  <c r="I99" i="33"/>
  <c r="D99" i="33"/>
  <c r="C99" i="33"/>
  <c r="F99" i="33" s="1" a="1"/>
  <c r="F99" i="33" s="1"/>
  <c r="Q98" i="33"/>
  <c r="P98" i="33"/>
  <c r="M98" i="33"/>
  <c r="L98" i="33"/>
  <c r="I98" i="33"/>
  <c r="F98" i="33" a="1"/>
  <c r="F98" i="33" s="1"/>
  <c r="D98" i="33"/>
  <c r="C98" i="33"/>
  <c r="Q97" i="33"/>
  <c r="P97" i="33"/>
  <c r="M97" i="33"/>
  <c r="L97" i="33"/>
  <c r="I97" i="33"/>
  <c r="F97" i="33"/>
  <c r="F97" i="33" a="1"/>
  <c r="D97" i="33"/>
  <c r="C97" i="33"/>
  <c r="Q96" i="33"/>
  <c r="P96" i="33"/>
  <c r="M96" i="33"/>
  <c r="L96" i="33"/>
  <c r="I96" i="33"/>
  <c r="F96" i="33"/>
  <c r="F96" i="33" a="1"/>
  <c r="D96" i="33"/>
  <c r="C96" i="33"/>
  <c r="Q95" i="33"/>
  <c r="P95" i="33"/>
  <c r="M95" i="33"/>
  <c r="L95" i="33"/>
  <c r="I95" i="33"/>
  <c r="F95" i="33"/>
  <c r="F95" i="33" a="1"/>
  <c r="D95" i="33"/>
  <c r="C95" i="33"/>
  <c r="Q94" i="33"/>
  <c r="P94" i="33"/>
  <c r="M94" i="33"/>
  <c r="L94" i="33"/>
  <c r="I94" i="33"/>
  <c r="F94" i="33"/>
  <c r="F94" i="33" a="1"/>
  <c r="D94" i="33"/>
  <c r="C94" i="33"/>
  <c r="P93" i="33"/>
  <c r="Q93" i="33" s="1"/>
  <c r="M93" i="33"/>
  <c r="L93" i="33"/>
  <c r="I93" i="33"/>
  <c r="F93" i="33"/>
  <c r="F93" i="33" a="1"/>
  <c r="D93" i="33"/>
  <c r="C93" i="33"/>
  <c r="Q92" i="33"/>
  <c r="P92" i="33"/>
  <c r="M92" i="33"/>
  <c r="L92" i="33"/>
  <c r="I92" i="33"/>
  <c r="C92" i="33"/>
  <c r="F92" i="33" s="1" a="1"/>
  <c r="F92" i="33" s="1"/>
  <c r="Q91" i="33"/>
  <c r="P91" i="33"/>
  <c r="M91" i="33"/>
  <c r="L91" i="33"/>
  <c r="I91" i="33"/>
  <c r="D91" i="33"/>
  <c r="C91" i="33"/>
  <c r="F91" i="33" s="1" a="1"/>
  <c r="F91" i="33" s="1"/>
  <c r="Q90" i="33"/>
  <c r="P90" i="33"/>
  <c r="M90" i="33"/>
  <c r="L90" i="33"/>
  <c r="I90" i="33"/>
  <c r="F90" i="33" a="1"/>
  <c r="F90" i="33" s="1"/>
  <c r="D90" i="33"/>
  <c r="C90" i="33"/>
  <c r="Q89" i="33"/>
  <c r="P89" i="33"/>
  <c r="M89" i="33"/>
  <c r="L89" i="33"/>
  <c r="I89" i="33"/>
  <c r="F89" i="33"/>
  <c r="F89" i="33" a="1"/>
  <c r="D89" i="33"/>
  <c r="C89" i="33"/>
  <c r="Q88" i="33"/>
  <c r="P88" i="33"/>
  <c r="M88" i="33"/>
  <c r="L88" i="33"/>
  <c r="I88" i="33"/>
  <c r="F88" i="33"/>
  <c r="F88" i="33" a="1"/>
  <c r="D88" i="33"/>
  <c r="C88" i="33"/>
  <c r="Q87" i="33"/>
  <c r="P87" i="33"/>
  <c r="M87" i="33"/>
  <c r="L87" i="33"/>
  <c r="I87" i="33"/>
  <c r="F87" i="33"/>
  <c r="F87" i="33" a="1"/>
  <c r="D87" i="33"/>
  <c r="C87" i="33"/>
  <c r="P86" i="33"/>
  <c r="Q86" i="33" s="1"/>
  <c r="M86" i="33"/>
  <c r="L86" i="33"/>
  <c r="I86" i="33"/>
  <c r="F86" i="33"/>
  <c r="F86" i="33" a="1"/>
  <c r="D86" i="33"/>
  <c r="C86" i="33"/>
  <c r="P85" i="33"/>
  <c r="Q85" i="33" s="1"/>
  <c r="M85" i="33"/>
  <c r="L85" i="33"/>
  <c r="I85" i="33"/>
  <c r="F85" i="33"/>
  <c r="F85" i="33" a="1"/>
  <c r="C85" i="33"/>
  <c r="D85" i="33" s="1"/>
  <c r="Q84" i="33"/>
  <c r="P84" i="33"/>
  <c r="M84" i="33"/>
  <c r="L84" i="33"/>
  <c r="I84" i="33"/>
  <c r="C84" i="33"/>
  <c r="F84" i="33" s="1" a="1"/>
  <c r="F84" i="33" s="1"/>
  <c r="Q83" i="33"/>
  <c r="P83" i="33"/>
  <c r="M83" i="33"/>
  <c r="L83" i="33"/>
  <c r="I83" i="33"/>
  <c r="D83" i="33"/>
  <c r="C83" i="33"/>
  <c r="F83" i="33" s="1" a="1"/>
  <c r="F83" i="33" s="1"/>
  <c r="Q82" i="33"/>
  <c r="P82" i="33"/>
  <c r="M82" i="33"/>
  <c r="L82" i="33"/>
  <c r="I82" i="33"/>
  <c r="F82" i="33" a="1"/>
  <c r="F82" i="33" s="1"/>
  <c r="C82" i="33"/>
  <c r="D82" i="33" s="1"/>
  <c r="Q81" i="33"/>
  <c r="P81" i="33"/>
  <c r="M81" i="33"/>
  <c r="L81" i="33"/>
  <c r="I81" i="33"/>
  <c r="F81" i="33"/>
  <c r="F81" i="33" a="1"/>
  <c r="D81" i="33"/>
  <c r="C81" i="33"/>
  <c r="Q80" i="33"/>
  <c r="P80" i="33"/>
  <c r="M80" i="33"/>
  <c r="L80" i="33"/>
  <c r="I80" i="33"/>
  <c r="F80" i="33" a="1"/>
  <c r="F80" i="33" s="1"/>
  <c r="D80" i="33"/>
  <c r="C80" i="33"/>
  <c r="Q79" i="33"/>
  <c r="P79" i="33"/>
  <c r="M79" i="33"/>
  <c r="L79" i="33"/>
  <c r="I79" i="33"/>
  <c r="F79" i="33"/>
  <c r="F79" i="33" a="1"/>
  <c r="D79" i="33"/>
  <c r="C79" i="33"/>
  <c r="P78" i="33"/>
  <c r="Q78" i="33" s="1"/>
  <c r="M78" i="33"/>
  <c r="L78" i="33"/>
  <c r="I78" i="33"/>
  <c r="F78" i="33"/>
  <c r="F78" i="33" a="1"/>
  <c r="D78" i="33"/>
  <c r="C78" i="33"/>
  <c r="P77" i="33"/>
  <c r="Q77" i="33" s="1"/>
  <c r="M77" i="33"/>
  <c r="L77" i="33"/>
  <c r="I77" i="33"/>
  <c r="F77" i="33"/>
  <c r="F77" i="33" a="1"/>
  <c r="C77" i="33"/>
  <c r="D77" i="33" s="1"/>
  <c r="Q76" i="33"/>
  <c r="P76" i="33"/>
  <c r="M76" i="33"/>
  <c r="L76" i="33"/>
  <c r="I76" i="33"/>
  <c r="C76" i="33"/>
  <c r="F76" i="33" s="1" a="1"/>
  <c r="F76" i="33" s="1"/>
  <c r="P75" i="33"/>
  <c r="Q75" i="33" s="1"/>
  <c r="M75" i="33"/>
  <c r="L75" i="33"/>
  <c r="I75" i="33"/>
  <c r="D75" i="33"/>
  <c r="C75" i="33"/>
  <c r="F75" i="33" s="1" a="1"/>
  <c r="F75" i="33" s="1"/>
  <c r="Q74" i="33"/>
  <c r="P74" i="33"/>
  <c r="M74" i="33"/>
  <c r="L74" i="33"/>
  <c r="I74" i="33"/>
  <c r="F74" i="33" a="1"/>
  <c r="F74" i="33" s="1"/>
  <c r="C74" i="33"/>
  <c r="D74" i="33" s="1"/>
  <c r="Q73" i="33"/>
  <c r="P73" i="33"/>
  <c r="M73" i="33"/>
  <c r="L73" i="33"/>
  <c r="I73" i="33"/>
  <c r="F73" i="33"/>
  <c r="F73" i="33" a="1"/>
  <c r="D73" i="33"/>
  <c r="C73" i="33"/>
  <c r="Q72" i="33"/>
  <c r="P72" i="33"/>
  <c r="M72" i="33"/>
  <c r="L72" i="33"/>
  <c r="I72" i="33"/>
  <c r="F72" i="33" a="1"/>
  <c r="F72" i="33" s="1"/>
  <c r="D72" i="33"/>
  <c r="C72" i="33"/>
  <c r="Q71" i="33"/>
  <c r="P71" i="33"/>
  <c r="M71" i="33"/>
  <c r="L71" i="33"/>
  <c r="I71" i="33"/>
  <c r="F71" i="33"/>
  <c r="F71" i="33" a="1"/>
  <c r="D71" i="33"/>
  <c r="C71" i="33"/>
  <c r="P70" i="33"/>
  <c r="Q70" i="33" s="1"/>
  <c r="M70" i="33"/>
  <c r="L70" i="33"/>
  <c r="I70" i="33"/>
  <c r="F70" i="33"/>
  <c r="F70" i="33" a="1"/>
  <c r="D70" i="33"/>
  <c r="C70" i="33"/>
  <c r="P69" i="33"/>
  <c r="Q69" i="33" s="1"/>
  <c r="M69" i="33"/>
  <c r="L69" i="33"/>
  <c r="I69" i="33"/>
  <c r="F69" i="33"/>
  <c r="F69" i="33" a="1"/>
  <c r="C69" i="33"/>
  <c r="D69" i="33" s="1"/>
  <c r="Q68" i="33"/>
  <c r="P68" i="33"/>
  <c r="M68" i="33"/>
  <c r="L68" i="33"/>
  <c r="I68" i="33"/>
  <c r="C68" i="33"/>
  <c r="F68" i="33" s="1" a="1"/>
  <c r="F68" i="33" s="1"/>
  <c r="P67" i="33"/>
  <c r="Q67" i="33" s="1"/>
  <c r="M67" i="33"/>
  <c r="L67" i="33"/>
  <c r="I67" i="33"/>
  <c r="D67" i="33"/>
  <c r="C67" i="33"/>
  <c r="F67" i="33" s="1" a="1"/>
  <c r="F67" i="33" s="1"/>
  <c r="Q66" i="33"/>
  <c r="P66" i="33"/>
  <c r="M66" i="33"/>
  <c r="L66" i="33"/>
  <c r="I66" i="33"/>
  <c r="F66" i="33" a="1"/>
  <c r="F66" i="33" s="1"/>
  <c r="C66" i="33"/>
  <c r="D66" i="33" s="1"/>
  <c r="Q65" i="33"/>
  <c r="P65" i="33"/>
  <c r="M65" i="33"/>
  <c r="L65" i="33"/>
  <c r="I65" i="33"/>
  <c r="F65" i="33"/>
  <c r="F65" i="33" a="1"/>
  <c r="D65" i="33"/>
  <c r="C65" i="33"/>
  <c r="Q64" i="33"/>
  <c r="P64" i="33"/>
  <c r="M64" i="33"/>
  <c r="L64" i="33"/>
  <c r="I64" i="33"/>
  <c r="F64" i="33" a="1"/>
  <c r="F64" i="33" s="1"/>
  <c r="D64" i="33"/>
  <c r="C64" i="33"/>
  <c r="Q63" i="33"/>
  <c r="P63" i="33"/>
  <c r="M63" i="33"/>
  <c r="L63" i="33"/>
  <c r="I63" i="33"/>
  <c r="F63" i="33"/>
  <c r="F63" i="33" a="1"/>
  <c r="D63" i="33"/>
  <c r="C63" i="33"/>
  <c r="Q62" i="33"/>
  <c r="P62" i="33"/>
  <c r="M62" i="33"/>
  <c r="L62" i="33"/>
  <c r="I62" i="33"/>
  <c r="F62" i="33"/>
  <c r="F62" i="33" a="1"/>
  <c r="D62" i="33"/>
  <c r="C62" i="33"/>
  <c r="P61" i="33"/>
  <c r="Q61" i="33" s="1"/>
  <c r="M61" i="33"/>
  <c r="L61" i="33"/>
  <c r="I61" i="33"/>
  <c r="F61" i="33"/>
  <c r="F61" i="33" a="1"/>
  <c r="D61" i="33"/>
  <c r="C61" i="33"/>
  <c r="Q60" i="33"/>
  <c r="P60" i="33"/>
  <c r="M60" i="33"/>
  <c r="L60" i="33"/>
  <c r="I60" i="33"/>
  <c r="C60" i="33"/>
  <c r="F60" i="33" s="1" a="1"/>
  <c r="F60" i="33" s="1"/>
  <c r="P59" i="33"/>
  <c r="Q59" i="33" s="1"/>
  <c r="M59" i="33"/>
  <c r="L59" i="33"/>
  <c r="I59" i="33"/>
  <c r="D59" i="33"/>
  <c r="C59" i="33"/>
  <c r="F59" i="33" s="1" a="1"/>
  <c r="F59" i="33" s="1"/>
  <c r="Q58" i="33"/>
  <c r="P58" i="33"/>
  <c r="M58" i="33"/>
  <c r="L58" i="33"/>
  <c r="I58" i="33"/>
  <c r="F58" i="33" a="1"/>
  <c r="F58" i="33" s="1"/>
  <c r="C58" i="33"/>
  <c r="D58" i="33" s="1"/>
  <c r="Q57" i="33"/>
  <c r="P57" i="33"/>
  <c r="M57" i="33"/>
  <c r="L57" i="33"/>
  <c r="I57" i="33"/>
  <c r="F57" i="33"/>
  <c r="F57" i="33" a="1"/>
  <c r="D57" i="33"/>
  <c r="C57" i="33"/>
  <c r="Q56" i="33"/>
  <c r="P56" i="33"/>
  <c r="M56" i="33"/>
  <c r="L56" i="33"/>
  <c r="I56" i="33"/>
  <c r="F56" i="33" a="1"/>
  <c r="F56" i="33" s="1"/>
  <c r="D56" i="33"/>
  <c r="C56" i="33"/>
  <c r="Q55" i="33"/>
  <c r="P55" i="33"/>
  <c r="M55" i="33"/>
  <c r="L55" i="33"/>
  <c r="I55" i="33"/>
  <c r="F55" i="33"/>
  <c r="F55" i="33" a="1"/>
  <c r="D55" i="33"/>
  <c r="C55" i="33"/>
  <c r="Q54" i="33"/>
  <c r="P54" i="33"/>
  <c r="M54" i="33"/>
  <c r="L54" i="33"/>
  <c r="I54" i="33"/>
  <c r="F54" i="33"/>
  <c r="F54" i="33" a="1"/>
  <c r="D54" i="33"/>
  <c r="C54" i="33"/>
  <c r="P53" i="33"/>
  <c r="Q53" i="33" s="1"/>
  <c r="M53" i="33"/>
  <c r="L53" i="33"/>
  <c r="I53" i="33"/>
  <c r="F53" i="33"/>
  <c r="F53" i="33" a="1"/>
  <c r="D53" i="33"/>
  <c r="C53" i="33"/>
  <c r="P52" i="33"/>
  <c r="Q52" i="33" s="1"/>
  <c r="M52" i="33"/>
  <c r="L52" i="33"/>
  <c r="I52" i="33"/>
  <c r="C52" i="33"/>
  <c r="F52" i="33" s="1" a="1"/>
  <c r="F52" i="33" s="1"/>
  <c r="Q51" i="33"/>
  <c r="P51" i="33"/>
  <c r="M51" i="33"/>
  <c r="L51" i="33"/>
  <c r="I51" i="33"/>
  <c r="C51" i="33"/>
  <c r="D51" i="33" s="1"/>
  <c r="Q50" i="33"/>
  <c r="P50" i="33"/>
  <c r="M50" i="33"/>
  <c r="L50" i="33"/>
  <c r="I50" i="33"/>
  <c r="F50" i="33" a="1"/>
  <c r="F50" i="33" s="1"/>
  <c r="D50" i="33"/>
  <c r="C50" i="33"/>
  <c r="Q49" i="33"/>
  <c r="P49" i="33"/>
  <c r="M49" i="33"/>
  <c r="L49" i="33"/>
  <c r="I49" i="33"/>
  <c r="F49" i="33" a="1"/>
  <c r="F49" i="33" s="1"/>
  <c r="D49" i="33"/>
  <c r="C49" i="33"/>
  <c r="Q48" i="33"/>
  <c r="P48" i="33"/>
  <c r="M48" i="33"/>
  <c r="L48" i="33"/>
  <c r="I48" i="33"/>
  <c r="F48" i="33"/>
  <c r="F48" i="33" a="1"/>
  <c r="D48" i="33"/>
  <c r="C48" i="33"/>
  <c r="Q47" i="33"/>
  <c r="P47" i="33"/>
  <c r="M47" i="33"/>
  <c r="L47" i="33"/>
  <c r="I47" i="33"/>
  <c r="F47" i="33"/>
  <c r="F47" i="33" a="1"/>
  <c r="D47" i="33"/>
  <c r="C47" i="33"/>
  <c r="Q46" i="33"/>
  <c r="P46" i="33"/>
  <c r="M46" i="33"/>
  <c r="L46" i="33"/>
  <c r="I46" i="33"/>
  <c r="F46" i="33"/>
  <c r="F46" i="33" a="1"/>
  <c r="D46" i="33"/>
  <c r="C46" i="33"/>
  <c r="P45" i="33"/>
  <c r="Q45" i="33" s="1"/>
  <c r="M45" i="33"/>
  <c r="L45" i="33"/>
  <c r="I45" i="33"/>
  <c r="F45" i="33"/>
  <c r="F45" i="33" a="1"/>
  <c r="D45" i="33"/>
  <c r="C45" i="33"/>
  <c r="P44" i="33"/>
  <c r="Q44" i="33" s="1"/>
  <c r="M44" i="33"/>
  <c r="L44" i="33"/>
  <c r="I44" i="33"/>
  <c r="C44" i="33"/>
  <c r="F44" i="33" s="1" a="1"/>
  <c r="F44" i="33" s="1"/>
  <c r="Q43" i="33"/>
  <c r="P43" i="33"/>
  <c r="M43" i="33"/>
  <c r="L43" i="33"/>
  <c r="I43" i="33"/>
  <c r="C43" i="33"/>
  <c r="D43" i="33" s="1"/>
  <c r="Q42" i="33"/>
  <c r="P42" i="33"/>
  <c r="M42" i="33"/>
  <c r="L42" i="33"/>
  <c r="I42" i="33"/>
  <c r="F42" i="33" a="1"/>
  <c r="F42" i="33" s="1"/>
  <c r="D42" i="33"/>
  <c r="C42" i="33"/>
  <c r="Q41" i="33"/>
  <c r="P41" i="33"/>
  <c r="M41" i="33"/>
  <c r="L41" i="33"/>
  <c r="I41" i="33"/>
  <c r="F41" i="33" a="1"/>
  <c r="F41" i="33" s="1"/>
  <c r="D41" i="33"/>
  <c r="C41" i="33"/>
  <c r="Q40" i="33"/>
  <c r="P40" i="33"/>
  <c r="M40" i="33"/>
  <c r="L40" i="33"/>
  <c r="I40" i="33"/>
  <c r="F40" i="33"/>
  <c r="F40" i="33" a="1"/>
  <c r="D40" i="33"/>
  <c r="C40" i="33"/>
  <c r="Q39" i="33"/>
  <c r="P39" i="33"/>
  <c r="M39" i="33"/>
  <c r="L39" i="33"/>
  <c r="I39" i="33"/>
  <c r="F39" i="33"/>
  <c r="F39" i="33" a="1"/>
  <c r="D39" i="33"/>
  <c r="C39" i="33"/>
  <c r="Q38" i="33"/>
  <c r="P38" i="33"/>
  <c r="M38" i="33"/>
  <c r="L38" i="33"/>
  <c r="I38" i="33"/>
  <c r="F38" i="33"/>
  <c r="F38" i="33" a="1"/>
  <c r="D38" i="33"/>
  <c r="C38" i="33"/>
  <c r="P37" i="33"/>
  <c r="Q37" i="33" s="1"/>
  <c r="M37" i="33"/>
  <c r="L37" i="33"/>
  <c r="I37" i="33"/>
  <c r="F37" i="33"/>
  <c r="F37" i="33" a="1"/>
  <c r="D37" i="33"/>
  <c r="C37" i="33"/>
  <c r="P36" i="33"/>
  <c r="Q36" i="33" s="1"/>
  <c r="M36" i="33"/>
  <c r="L36" i="33"/>
  <c r="I36" i="33"/>
  <c r="C36" i="33"/>
  <c r="F36" i="33" s="1" a="1"/>
  <c r="F36" i="33" s="1"/>
  <c r="Q35" i="33"/>
  <c r="P35" i="33"/>
  <c r="M35" i="33"/>
  <c r="L35" i="33"/>
  <c r="I35" i="33"/>
  <c r="C35" i="33"/>
  <c r="D35" i="33" s="1"/>
  <c r="Q34" i="33"/>
  <c r="P34" i="33"/>
  <c r="M34" i="33"/>
  <c r="L34" i="33"/>
  <c r="I34" i="33"/>
  <c r="F34" i="33" a="1"/>
  <c r="F34" i="33" s="1"/>
  <c r="D34" i="33"/>
  <c r="C34" i="33"/>
  <c r="P33" i="33"/>
  <c r="Q33" i="33" s="1"/>
  <c r="M33" i="33"/>
  <c r="L33" i="33"/>
  <c r="I33" i="33"/>
  <c r="F33" i="33" a="1"/>
  <c r="F33" i="33" s="1"/>
  <c r="D33" i="33"/>
  <c r="C33" i="33"/>
  <c r="Q32" i="33"/>
  <c r="P32" i="33"/>
  <c r="M32" i="33"/>
  <c r="L32" i="33"/>
  <c r="I32" i="33"/>
  <c r="F32" i="33"/>
  <c r="F32" i="33" a="1"/>
  <c r="C32" i="33"/>
  <c r="D32" i="33" s="1"/>
  <c r="Q31" i="33"/>
  <c r="P31" i="33"/>
  <c r="M31" i="33"/>
  <c r="L31" i="33"/>
  <c r="I31" i="33"/>
  <c r="F31" i="33"/>
  <c r="F31" i="33" a="1"/>
  <c r="D31" i="33"/>
  <c r="C31" i="33"/>
  <c r="Q30" i="33"/>
  <c r="P30" i="33"/>
  <c r="M30" i="33"/>
  <c r="L30" i="33"/>
  <c r="I30" i="33"/>
  <c r="F30" i="33" a="1"/>
  <c r="F30" i="33" s="1"/>
  <c r="D30" i="33"/>
  <c r="C30" i="33"/>
  <c r="P29" i="33"/>
  <c r="Q29" i="33" s="1"/>
  <c r="M29" i="33"/>
  <c r="L29" i="33"/>
  <c r="I29" i="33"/>
  <c r="F29" i="33"/>
  <c r="F29" i="33" a="1"/>
  <c r="D29" i="33"/>
  <c r="C29" i="33"/>
  <c r="P28" i="33"/>
  <c r="Q28" i="33" s="1"/>
  <c r="M28" i="33"/>
  <c r="L28" i="33"/>
  <c r="I28" i="33"/>
  <c r="C28" i="33"/>
  <c r="F28" i="33" s="1" a="1"/>
  <c r="F28" i="33" s="1"/>
  <c r="Q27" i="33"/>
  <c r="P27" i="33"/>
  <c r="M27" i="33"/>
  <c r="L27" i="33"/>
  <c r="I27" i="33"/>
  <c r="C27" i="33"/>
  <c r="D27" i="33" s="1"/>
  <c r="Q26" i="33"/>
  <c r="P26" i="33"/>
  <c r="M26" i="33"/>
  <c r="L26" i="33"/>
  <c r="I26" i="33"/>
  <c r="D26" i="33"/>
  <c r="C26" i="33"/>
  <c r="F26" i="33" s="1" a="1"/>
  <c r="F26" i="33" s="1"/>
  <c r="P25" i="33"/>
  <c r="Q25" i="33" s="1"/>
  <c r="M25" i="33"/>
  <c r="L25" i="33"/>
  <c r="I25" i="33"/>
  <c r="F25" i="33" a="1"/>
  <c r="F25" i="33" s="1"/>
  <c r="D25" i="33"/>
  <c r="C25" i="33"/>
  <c r="Q24" i="33"/>
  <c r="P24" i="33"/>
  <c r="M24" i="33"/>
  <c r="L24" i="33"/>
  <c r="I24" i="33"/>
  <c r="F24" i="33"/>
  <c r="F24" i="33" a="1"/>
  <c r="C24" i="33"/>
  <c r="D24" i="33" s="1"/>
  <c r="Q23" i="33"/>
  <c r="P23" i="33"/>
  <c r="M23" i="33"/>
  <c r="L23" i="33"/>
  <c r="I23" i="33"/>
  <c r="F23" i="33"/>
  <c r="F23" i="33" a="1"/>
  <c r="D23" i="33"/>
  <c r="C23" i="33"/>
  <c r="Q22" i="33"/>
  <c r="P22" i="33"/>
  <c r="M22" i="33"/>
  <c r="L22" i="33"/>
  <c r="I22" i="33"/>
  <c r="F22" i="33" a="1"/>
  <c r="F22" i="33" s="1"/>
  <c r="D22" i="33"/>
  <c r="C22" i="33"/>
  <c r="P21" i="33"/>
  <c r="Q21" i="33" s="1"/>
  <c r="M21" i="33"/>
  <c r="L21" i="33"/>
  <c r="I21" i="33"/>
  <c r="F21" i="33"/>
  <c r="F21" i="33" a="1"/>
  <c r="D21" i="33"/>
  <c r="C21" i="33"/>
  <c r="P20" i="33"/>
  <c r="Q20" i="33" s="1"/>
  <c r="M20" i="33"/>
  <c r="L20" i="33"/>
  <c r="I20" i="33"/>
  <c r="C20" i="33"/>
  <c r="F20" i="33" s="1" a="1"/>
  <c r="F20" i="33" s="1"/>
  <c r="Q19" i="33"/>
  <c r="P19" i="33"/>
  <c r="M19" i="33"/>
  <c r="L19" i="33"/>
  <c r="I19" i="33"/>
  <c r="C19" i="33"/>
  <c r="D19" i="33" s="1"/>
  <c r="Q18" i="33"/>
  <c r="P18" i="33"/>
  <c r="M18" i="33"/>
  <c r="L18" i="33"/>
  <c r="I18" i="33"/>
  <c r="D18" i="33"/>
  <c r="C18" i="33"/>
  <c r="F18" i="33" s="1" a="1"/>
  <c r="F18" i="33" s="1"/>
  <c r="P17" i="33"/>
  <c r="Q17" i="33" s="1"/>
  <c r="M17" i="33"/>
  <c r="L17" i="33"/>
  <c r="I17" i="33"/>
  <c r="F17" i="33" a="1"/>
  <c r="F17" i="33" s="1"/>
  <c r="D17" i="33"/>
  <c r="C17" i="33"/>
  <c r="Q16" i="33"/>
  <c r="P16" i="33"/>
  <c r="M16" i="33"/>
  <c r="L16" i="33"/>
  <c r="I16" i="33"/>
  <c r="F16" i="33"/>
  <c r="F16" i="33" a="1"/>
  <c r="C16" i="33"/>
  <c r="D16" i="33" s="1"/>
  <c r="Q15" i="33"/>
  <c r="P15" i="33"/>
  <c r="M15" i="33"/>
  <c r="L15" i="33"/>
  <c r="I15" i="33"/>
  <c r="F15" i="33"/>
  <c r="F15" i="33" a="1"/>
  <c r="D15" i="33"/>
  <c r="C15" i="33"/>
  <c r="Q14" i="33"/>
  <c r="P14" i="33"/>
  <c r="M14" i="33"/>
  <c r="L14" i="33"/>
  <c r="I14" i="33"/>
  <c r="F14" i="33" a="1"/>
  <c r="F14" i="33" s="1"/>
  <c r="D14" i="33"/>
  <c r="C14" i="33"/>
  <c r="P13" i="33"/>
  <c r="Q13" i="33" s="1"/>
  <c r="M13" i="33"/>
  <c r="L13" i="33"/>
  <c r="I13" i="33"/>
  <c r="F13" i="33"/>
  <c r="F13" i="33" a="1"/>
  <c r="D13" i="33"/>
  <c r="C13" i="33"/>
  <c r="P12" i="33"/>
  <c r="Q12" i="33" s="1"/>
  <c r="M12" i="33"/>
  <c r="L12" i="33"/>
  <c r="I12" i="33"/>
  <c r="C12" i="33"/>
  <c r="F12" i="33" s="1" a="1"/>
  <c r="F12" i="33" s="1"/>
  <c r="Q11" i="33"/>
  <c r="P11" i="33"/>
  <c r="M11" i="33"/>
  <c r="L11" i="33"/>
  <c r="I11" i="33"/>
  <c r="C11" i="33"/>
  <c r="D11" i="33" s="1"/>
  <c r="Q10" i="33"/>
  <c r="P10" i="33"/>
  <c r="M10" i="33"/>
  <c r="L10" i="33"/>
  <c r="I10" i="33"/>
  <c r="D10" i="33"/>
  <c r="C10" i="33"/>
  <c r="F10" i="33" s="1" a="1"/>
  <c r="F10" i="33" s="1"/>
  <c r="P9" i="33"/>
  <c r="Q9" i="33" s="1"/>
  <c r="M9" i="33"/>
  <c r="L9" i="33"/>
  <c r="I9" i="33"/>
  <c r="D9" i="33"/>
  <c r="Q8" i="33"/>
  <c r="P8" i="33"/>
  <c r="M8" i="33"/>
  <c r="L8" i="33"/>
  <c r="I8" i="33"/>
  <c r="P7" i="33"/>
  <c r="Q7" i="33" s="1"/>
  <c r="M7" i="33"/>
  <c r="L7" i="33"/>
  <c r="I7" i="33"/>
  <c r="Q6" i="33"/>
  <c r="P6" i="33"/>
  <c r="M6" i="33"/>
  <c r="L6" i="33"/>
  <c r="I6" i="33"/>
  <c r="D6" i="33"/>
  <c r="P100" i="32"/>
  <c r="Q100" i="32" s="1"/>
  <c r="M100" i="32"/>
  <c r="L100" i="32"/>
  <c r="I100" i="32"/>
  <c r="C100" i="32"/>
  <c r="F100" i="32" s="1" a="1"/>
  <c r="F100" i="32" s="1"/>
  <c r="P99" i="32"/>
  <c r="Q99" i="32" s="1"/>
  <c r="M99" i="32"/>
  <c r="L99" i="32"/>
  <c r="I99" i="32"/>
  <c r="C99" i="32"/>
  <c r="D99" i="32" s="1"/>
  <c r="Q98" i="32"/>
  <c r="P98" i="32"/>
  <c r="M98" i="32"/>
  <c r="L98" i="32"/>
  <c r="I98" i="32"/>
  <c r="C98" i="32"/>
  <c r="F98" i="32" s="1" a="1"/>
  <c r="F98" i="32" s="1"/>
  <c r="Q97" i="32"/>
  <c r="P97" i="32"/>
  <c r="M97" i="32"/>
  <c r="L97" i="32"/>
  <c r="I97" i="32"/>
  <c r="F97" i="32" a="1"/>
  <c r="F97" i="32" s="1"/>
  <c r="D97" i="32"/>
  <c r="C97" i="32"/>
  <c r="Q96" i="32"/>
  <c r="P96" i="32"/>
  <c r="M96" i="32"/>
  <c r="L96" i="32"/>
  <c r="I96" i="32"/>
  <c r="F96" i="32" a="1"/>
  <c r="F96" i="32" s="1"/>
  <c r="D96" i="32"/>
  <c r="C96" i="32"/>
  <c r="Q95" i="32"/>
  <c r="P95" i="32"/>
  <c r="M95" i="32"/>
  <c r="L95" i="32"/>
  <c r="I95" i="32"/>
  <c r="F95" i="32"/>
  <c r="F95" i="32" a="1"/>
  <c r="D95" i="32"/>
  <c r="C95" i="32"/>
  <c r="Q94" i="32"/>
  <c r="P94" i="32"/>
  <c r="M94" i="32"/>
  <c r="L94" i="32"/>
  <c r="I94" i="32"/>
  <c r="F94" i="32" a="1"/>
  <c r="F94" i="32" s="1"/>
  <c r="D94" i="32"/>
  <c r="C94" i="32"/>
  <c r="P93" i="32"/>
  <c r="Q93" i="32" s="1"/>
  <c r="M93" i="32"/>
  <c r="L93" i="32"/>
  <c r="I93" i="32"/>
  <c r="F93" i="32" a="1"/>
  <c r="F93" i="32" s="1"/>
  <c r="D93" i="32"/>
  <c r="C93" i="32"/>
  <c r="P92" i="32"/>
  <c r="Q92" i="32" s="1"/>
  <c r="M92" i="32"/>
  <c r="L92" i="32"/>
  <c r="I92" i="32"/>
  <c r="C92" i="32"/>
  <c r="F92" i="32" s="1" a="1"/>
  <c r="F92" i="32" s="1"/>
  <c r="P91" i="32"/>
  <c r="Q91" i="32" s="1"/>
  <c r="M91" i="32"/>
  <c r="L91" i="32"/>
  <c r="I91" i="32"/>
  <c r="C91" i="32"/>
  <c r="D91" i="32" s="1"/>
  <c r="Q90" i="32"/>
  <c r="P90" i="32"/>
  <c r="M90" i="32"/>
  <c r="L90" i="32"/>
  <c r="I90" i="32"/>
  <c r="C90" i="32"/>
  <c r="F90" i="32" s="1" a="1"/>
  <c r="F90" i="32" s="1"/>
  <c r="Q89" i="32"/>
  <c r="P89" i="32"/>
  <c r="M89" i="32"/>
  <c r="L89" i="32"/>
  <c r="I89" i="32"/>
  <c r="F89" i="32" a="1"/>
  <c r="F89" i="32" s="1"/>
  <c r="D89" i="32"/>
  <c r="C89" i="32"/>
  <c r="P88" i="32"/>
  <c r="Q88" i="32" s="1"/>
  <c r="M88" i="32"/>
  <c r="L88" i="32"/>
  <c r="I88" i="32"/>
  <c r="F88" i="32" a="1"/>
  <c r="F88" i="32" s="1"/>
  <c r="D88" i="32"/>
  <c r="C88" i="32"/>
  <c r="Q87" i="32"/>
  <c r="P87" i="32"/>
  <c r="M87" i="32"/>
  <c r="L87" i="32"/>
  <c r="I87" i="32"/>
  <c r="C87" i="32"/>
  <c r="Q86" i="32"/>
  <c r="P86" i="32"/>
  <c r="M86" i="32"/>
  <c r="L86" i="32"/>
  <c r="I86" i="32"/>
  <c r="F86" i="32" a="1"/>
  <c r="F86" i="32" s="1"/>
  <c r="D86" i="32"/>
  <c r="C86" i="32"/>
  <c r="P85" i="32"/>
  <c r="Q85" i="32" s="1"/>
  <c r="M85" i="32"/>
  <c r="L85" i="32"/>
  <c r="I85" i="32"/>
  <c r="F85" i="32" a="1"/>
  <c r="F85" i="32" s="1"/>
  <c r="D85" i="32"/>
  <c r="C85" i="32"/>
  <c r="P84" i="32"/>
  <c r="Q84" i="32" s="1"/>
  <c r="M84" i="32"/>
  <c r="L84" i="32"/>
  <c r="I84" i="32"/>
  <c r="C84" i="32"/>
  <c r="F84" i="32" s="1" a="1"/>
  <c r="F84" i="32" s="1"/>
  <c r="P83" i="32"/>
  <c r="Q83" i="32" s="1"/>
  <c r="M83" i="32"/>
  <c r="L83" i="32"/>
  <c r="I83" i="32"/>
  <c r="C83" i="32"/>
  <c r="D83" i="32" s="1"/>
  <c r="Q82" i="32"/>
  <c r="P82" i="32"/>
  <c r="M82" i="32"/>
  <c r="L82" i="32"/>
  <c r="I82" i="32"/>
  <c r="C82" i="32"/>
  <c r="Q81" i="32"/>
  <c r="P81" i="32"/>
  <c r="M81" i="32"/>
  <c r="L81" i="32"/>
  <c r="I81" i="32"/>
  <c r="F81" i="32" a="1"/>
  <c r="F81" i="32" s="1"/>
  <c r="D81" i="32"/>
  <c r="C81" i="32"/>
  <c r="P80" i="32"/>
  <c r="Q80" i="32" s="1"/>
  <c r="M80" i="32"/>
  <c r="L80" i="32"/>
  <c r="I80" i="32"/>
  <c r="F80" i="32" a="1"/>
  <c r="F80" i="32" s="1"/>
  <c r="D80" i="32"/>
  <c r="C80" i="32"/>
  <c r="Q79" i="32"/>
  <c r="P79" i="32"/>
  <c r="M79" i="32"/>
  <c r="L79" i="32"/>
  <c r="I79" i="32"/>
  <c r="C79" i="32"/>
  <c r="Q78" i="32"/>
  <c r="P78" i="32"/>
  <c r="M78" i="32"/>
  <c r="L78" i="32"/>
  <c r="I78" i="32"/>
  <c r="F78" i="32"/>
  <c r="F78" i="32" a="1"/>
  <c r="D78" i="32"/>
  <c r="C78" i="32"/>
  <c r="P77" i="32"/>
  <c r="Q77" i="32" s="1"/>
  <c r="M77" i="32"/>
  <c r="L77" i="32"/>
  <c r="I77" i="32"/>
  <c r="F77" i="32" a="1"/>
  <c r="F77" i="32" s="1"/>
  <c r="D77" i="32"/>
  <c r="C77" i="32"/>
  <c r="P76" i="32"/>
  <c r="Q76" i="32" s="1"/>
  <c r="M76" i="32"/>
  <c r="L76" i="32"/>
  <c r="I76" i="32"/>
  <c r="C76" i="32"/>
  <c r="F76" i="32" s="1" a="1"/>
  <c r="F76" i="32" s="1"/>
  <c r="P75" i="32"/>
  <c r="Q75" i="32" s="1"/>
  <c r="M75" i="32"/>
  <c r="L75" i="32"/>
  <c r="I75" i="32"/>
  <c r="C75" i="32"/>
  <c r="F75" i="32" s="1" a="1"/>
  <c r="F75" i="32" s="1"/>
  <c r="Q74" i="32"/>
  <c r="P74" i="32"/>
  <c r="M74" i="32"/>
  <c r="L74" i="32"/>
  <c r="I74" i="32"/>
  <c r="C74" i="32"/>
  <c r="Q73" i="32"/>
  <c r="P73" i="32"/>
  <c r="M73" i="32"/>
  <c r="L73" i="32"/>
  <c r="I73" i="32"/>
  <c r="F73" i="32" a="1"/>
  <c r="F73" i="32" s="1"/>
  <c r="D73" i="32"/>
  <c r="C73" i="32"/>
  <c r="P72" i="32"/>
  <c r="Q72" i="32" s="1"/>
  <c r="M72" i="32"/>
  <c r="L72" i="32"/>
  <c r="I72" i="32"/>
  <c r="F72" i="32" a="1"/>
  <c r="F72" i="32" s="1"/>
  <c r="D72" i="32"/>
  <c r="C72" i="32"/>
  <c r="Q71" i="32"/>
  <c r="P71" i="32"/>
  <c r="M71" i="32"/>
  <c r="L71" i="32"/>
  <c r="I71" i="32"/>
  <c r="C71" i="32"/>
  <c r="Q70" i="32"/>
  <c r="P70" i="32"/>
  <c r="M70" i="32"/>
  <c r="L70" i="32"/>
  <c r="I70" i="32"/>
  <c r="F70" i="32"/>
  <c r="F70" i="32" a="1"/>
  <c r="D70" i="32"/>
  <c r="C70" i="32"/>
  <c r="P69" i="32"/>
  <c r="Q69" i="32" s="1"/>
  <c r="M69" i="32"/>
  <c r="L69" i="32"/>
  <c r="I69" i="32"/>
  <c r="F69" i="32" a="1"/>
  <c r="F69" i="32" s="1"/>
  <c r="D69" i="32"/>
  <c r="C69" i="32"/>
  <c r="P68" i="32"/>
  <c r="Q68" i="32" s="1"/>
  <c r="M68" i="32"/>
  <c r="L68" i="32"/>
  <c r="I68" i="32"/>
  <c r="C68" i="32"/>
  <c r="F68" i="32" s="1" a="1"/>
  <c r="F68" i="32" s="1"/>
  <c r="P67" i="32"/>
  <c r="Q67" i="32" s="1"/>
  <c r="M67" i="32"/>
  <c r="L67" i="32"/>
  <c r="I67" i="32"/>
  <c r="C67" i="32"/>
  <c r="D67" i="32" s="1"/>
  <c r="Q66" i="32"/>
  <c r="P66" i="32"/>
  <c r="M66" i="32"/>
  <c r="L66" i="32"/>
  <c r="I66" i="32"/>
  <c r="C66" i="32"/>
  <c r="Q65" i="32"/>
  <c r="P65" i="32"/>
  <c r="M65" i="32"/>
  <c r="L65" i="32"/>
  <c r="I65" i="32"/>
  <c r="F65" i="32" a="1"/>
  <c r="F65" i="32" s="1"/>
  <c r="D65" i="32"/>
  <c r="C65" i="32"/>
  <c r="P64" i="32"/>
  <c r="Q64" i="32" s="1"/>
  <c r="M64" i="32"/>
  <c r="L64" i="32"/>
  <c r="I64" i="32"/>
  <c r="F64" i="32" a="1"/>
  <c r="F64" i="32" s="1"/>
  <c r="D64" i="32"/>
  <c r="C64" i="32"/>
  <c r="Q63" i="32"/>
  <c r="P63" i="32"/>
  <c r="M63" i="32"/>
  <c r="L63" i="32"/>
  <c r="I63" i="32"/>
  <c r="C63" i="32"/>
  <c r="Q62" i="32"/>
  <c r="P62" i="32"/>
  <c r="M62" i="32"/>
  <c r="L62" i="32"/>
  <c r="I62" i="32"/>
  <c r="F62" i="32" a="1"/>
  <c r="F62" i="32" s="1"/>
  <c r="D62" i="32"/>
  <c r="C62" i="32"/>
  <c r="P61" i="32"/>
  <c r="Q61" i="32" s="1"/>
  <c r="M61" i="32"/>
  <c r="L61" i="32"/>
  <c r="I61" i="32"/>
  <c r="F61" i="32" a="1"/>
  <c r="F61" i="32" s="1"/>
  <c r="D61" i="32"/>
  <c r="C61" i="32"/>
  <c r="P60" i="32"/>
  <c r="Q60" i="32" s="1"/>
  <c r="M60" i="32"/>
  <c r="L60" i="32"/>
  <c r="I60" i="32"/>
  <c r="C60" i="32"/>
  <c r="F60" i="32" s="1" a="1"/>
  <c r="F60" i="32" s="1"/>
  <c r="P59" i="32"/>
  <c r="Q59" i="32" s="1"/>
  <c r="M59" i="32"/>
  <c r="L59" i="32"/>
  <c r="I59" i="32"/>
  <c r="C59" i="32"/>
  <c r="F59" i="32" s="1" a="1"/>
  <c r="F59" i="32" s="1"/>
  <c r="Q58" i="32"/>
  <c r="P58" i="32"/>
  <c r="M58" i="32"/>
  <c r="L58" i="32"/>
  <c r="I58" i="32"/>
  <c r="C58" i="32"/>
  <c r="Q57" i="32"/>
  <c r="P57" i="32"/>
  <c r="M57" i="32"/>
  <c r="L57" i="32"/>
  <c r="I57" i="32"/>
  <c r="F57" i="32" a="1"/>
  <c r="F57" i="32" s="1"/>
  <c r="D57" i="32"/>
  <c r="C57" i="32"/>
  <c r="P56" i="32"/>
  <c r="Q56" i="32" s="1"/>
  <c r="M56" i="32"/>
  <c r="L56" i="32"/>
  <c r="I56" i="32"/>
  <c r="F56" i="32" a="1"/>
  <c r="F56" i="32" s="1"/>
  <c r="D56" i="32"/>
  <c r="C56" i="32"/>
  <c r="Q55" i="32"/>
  <c r="P55" i="32"/>
  <c r="M55" i="32"/>
  <c r="L55" i="32"/>
  <c r="I55" i="32"/>
  <c r="C55" i="32"/>
  <c r="P54" i="32"/>
  <c r="Q54" i="32" s="1"/>
  <c r="M54" i="32"/>
  <c r="L54" i="32"/>
  <c r="I54" i="32"/>
  <c r="F54" i="32"/>
  <c r="F54" i="32" a="1"/>
  <c r="D54" i="32"/>
  <c r="C54" i="32"/>
  <c r="P53" i="32"/>
  <c r="Q53" i="32" s="1"/>
  <c r="M53" i="32"/>
  <c r="L53" i="32"/>
  <c r="I53" i="32"/>
  <c r="F53" i="32" a="1"/>
  <c r="F53" i="32" s="1"/>
  <c r="C53" i="32"/>
  <c r="D53" i="32" s="1"/>
  <c r="P52" i="32"/>
  <c r="Q52" i="32" s="1"/>
  <c r="M52" i="32"/>
  <c r="L52" i="32"/>
  <c r="I52" i="32"/>
  <c r="C52" i="32"/>
  <c r="F52" i="32" s="1" a="1"/>
  <c r="F52" i="32" s="1"/>
  <c r="P51" i="32"/>
  <c r="Q51" i="32" s="1"/>
  <c r="M51" i="32"/>
  <c r="L51" i="32"/>
  <c r="I51" i="32"/>
  <c r="C51" i="32"/>
  <c r="Q50" i="32"/>
  <c r="P50" i="32"/>
  <c r="M50" i="32"/>
  <c r="L50" i="32"/>
  <c r="I50" i="32"/>
  <c r="C50" i="32"/>
  <c r="F50" i="32" s="1" a="1"/>
  <c r="F50" i="32" s="1"/>
  <c r="Q49" i="32"/>
  <c r="P49" i="32"/>
  <c r="M49" i="32"/>
  <c r="L49" i="32"/>
  <c r="I49" i="32"/>
  <c r="F49" i="32" a="1"/>
  <c r="F49" i="32" s="1"/>
  <c r="D49" i="32"/>
  <c r="C49" i="32"/>
  <c r="P48" i="32"/>
  <c r="Q48" i="32" s="1"/>
  <c r="M48" i="32"/>
  <c r="L48" i="32"/>
  <c r="I48" i="32"/>
  <c r="F48" i="32"/>
  <c r="F48" i="32" a="1"/>
  <c r="D48" i="32"/>
  <c r="C48" i="32"/>
  <c r="Q47" i="32"/>
  <c r="P47" i="32"/>
  <c r="M47" i="32"/>
  <c r="L47" i="32"/>
  <c r="I47" i="32"/>
  <c r="C47" i="32"/>
  <c r="P46" i="32"/>
  <c r="Q46" i="32" s="1"/>
  <c r="M46" i="32"/>
  <c r="L46" i="32"/>
  <c r="I46" i="32"/>
  <c r="F46" i="32" a="1"/>
  <c r="F46" i="32" s="1"/>
  <c r="D46" i="32"/>
  <c r="C46" i="32"/>
  <c r="P45" i="32"/>
  <c r="Q45" i="32" s="1"/>
  <c r="M45" i="32"/>
  <c r="L45" i="32"/>
  <c r="I45" i="32"/>
  <c r="F45" i="32" a="1"/>
  <c r="F45" i="32" s="1"/>
  <c r="C45" i="32"/>
  <c r="D45" i="32" s="1"/>
  <c r="P44" i="32"/>
  <c r="Q44" i="32" s="1"/>
  <c r="M44" i="32"/>
  <c r="L44" i="32"/>
  <c r="I44" i="32"/>
  <c r="C44" i="32"/>
  <c r="F44" i="32" s="1" a="1"/>
  <c r="F44" i="32" s="1"/>
  <c r="P43" i="32"/>
  <c r="Q43" i="32" s="1"/>
  <c r="M43" i="32"/>
  <c r="L43" i="32"/>
  <c r="I43" i="32"/>
  <c r="C43" i="32"/>
  <c r="Q42" i="32"/>
  <c r="P42" i="32"/>
  <c r="M42" i="32"/>
  <c r="L42" i="32"/>
  <c r="I42" i="32"/>
  <c r="C42" i="32"/>
  <c r="F42" i="32" s="1" a="1"/>
  <c r="F42" i="32" s="1"/>
  <c r="Q41" i="32"/>
  <c r="P41" i="32"/>
  <c r="M41" i="32"/>
  <c r="L41" i="32"/>
  <c r="I41" i="32"/>
  <c r="F41" i="32" a="1"/>
  <c r="F41" i="32" s="1"/>
  <c r="D41" i="32"/>
  <c r="C41" i="32"/>
  <c r="P40" i="32"/>
  <c r="Q40" i="32" s="1"/>
  <c r="M40" i="32"/>
  <c r="L40" i="32"/>
  <c r="I40" i="32"/>
  <c r="F40" i="32" a="1"/>
  <c r="F40" i="32" s="1"/>
  <c r="D40" i="32"/>
  <c r="C40" i="32"/>
  <c r="Q39" i="32"/>
  <c r="P39" i="32"/>
  <c r="M39" i="32"/>
  <c r="L39" i="32"/>
  <c r="I39" i="32"/>
  <c r="C39" i="32"/>
  <c r="P38" i="32"/>
  <c r="Q38" i="32" s="1"/>
  <c r="M38" i="32"/>
  <c r="L38" i="32"/>
  <c r="I38" i="32"/>
  <c r="F38" i="32"/>
  <c r="F38" i="32" a="1"/>
  <c r="D38" i="32"/>
  <c r="C38" i="32"/>
  <c r="P37" i="32"/>
  <c r="Q37" i="32" s="1"/>
  <c r="M37" i="32"/>
  <c r="L37" i="32"/>
  <c r="I37" i="32"/>
  <c r="F37" i="32" a="1"/>
  <c r="F37" i="32" s="1"/>
  <c r="C37" i="32"/>
  <c r="D37" i="32" s="1"/>
  <c r="P36" i="32"/>
  <c r="Q36" i="32" s="1"/>
  <c r="M36" i="32"/>
  <c r="L36" i="32"/>
  <c r="I36" i="32"/>
  <c r="C36" i="32"/>
  <c r="F36" i="32" s="1" a="1"/>
  <c r="F36" i="32" s="1"/>
  <c r="P35" i="32"/>
  <c r="Q35" i="32" s="1"/>
  <c r="M35" i="32"/>
  <c r="L35" i="32"/>
  <c r="I35" i="32"/>
  <c r="C35" i="32"/>
  <c r="Q34" i="32"/>
  <c r="P34" i="32"/>
  <c r="M34" i="32"/>
  <c r="L34" i="32"/>
  <c r="I34" i="32"/>
  <c r="C34" i="32"/>
  <c r="F34" i="32" s="1" a="1"/>
  <c r="F34" i="32" s="1"/>
  <c r="Q33" i="32"/>
  <c r="P33" i="32"/>
  <c r="M33" i="32"/>
  <c r="L33" i="32"/>
  <c r="I33" i="32"/>
  <c r="C33" i="32"/>
  <c r="F33" i="32" s="1" a="1"/>
  <c r="F33" i="32" s="1"/>
  <c r="P32" i="32"/>
  <c r="Q32" i="32" s="1"/>
  <c r="M32" i="32"/>
  <c r="L32" i="32"/>
  <c r="I32" i="32"/>
  <c r="F32" i="32" a="1"/>
  <c r="F32" i="32" s="1"/>
  <c r="D32" i="32"/>
  <c r="C32" i="32"/>
  <c r="Q31" i="32"/>
  <c r="P31" i="32"/>
  <c r="M31" i="32"/>
  <c r="L31" i="32"/>
  <c r="I31" i="32"/>
  <c r="C31" i="32"/>
  <c r="D31" i="32" s="1"/>
  <c r="P30" i="32"/>
  <c r="Q30" i="32" s="1"/>
  <c r="M30" i="32"/>
  <c r="L30" i="32"/>
  <c r="I30" i="32"/>
  <c r="F30" i="32" a="1"/>
  <c r="F30" i="32" s="1"/>
  <c r="D30" i="32"/>
  <c r="C30" i="32"/>
  <c r="P29" i="32"/>
  <c r="Q29" i="32" s="1"/>
  <c r="M29" i="32"/>
  <c r="L29" i="32"/>
  <c r="I29" i="32"/>
  <c r="F29" i="32" a="1"/>
  <c r="F29" i="32" s="1"/>
  <c r="C29" i="32"/>
  <c r="D29" i="32" s="1"/>
  <c r="P28" i="32"/>
  <c r="Q28" i="32" s="1"/>
  <c r="M28" i="32"/>
  <c r="L28" i="32"/>
  <c r="I28" i="32"/>
  <c r="F28" i="32"/>
  <c r="C28" i="32"/>
  <c r="F28" i="32" s="1" a="1"/>
  <c r="Q27" i="32"/>
  <c r="P27" i="32"/>
  <c r="M27" i="32"/>
  <c r="L27" i="32"/>
  <c r="I27" i="32"/>
  <c r="C27" i="32"/>
  <c r="Q26" i="32"/>
  <c r="P26" i="32"/>
  <c r="M26" i="32"/>
  <c r="L26" i="32"/>
  <c r="I26" i="32"/>
  <c r="D26" i="32"/>
  <c r="C26" i="32"/>
  <c r="F26" i="32" s="1" a="1"/>
  <c r="F26" i="32" s="1"/>
  <c r="Q25" i="32"/>
  <c r="P25" i="32"/>
  <c r="M25" i="32"/>
  <c r="L25" i="32"/>
  <c r="I25" i="32"/>
  <c r="D25" i="32"/>
  <c r="C25" i="32"/>
  <c r="F25" i="32" s="1" a="1"/>
  <c r="F25" i="32" s="1"/>
  <c r="P24" i="32"/>
  <c r="Q24" i="32" s="1"/>
  <c r="M24" i="32"/>
  <c r="L24" i="32"/>
  <c r="I24" i="32"/>
  <c r="F24" i="32" a="1"/>
  <c r="F24" i="32" s="1"/>
  <c r="D24" i="32"/>
  <c r="C24" i="32"/>
  <c r="Q23" i="32"/>
  <c r="P23" i="32"/>
  <c r="M23" i="32"/>
  <c r="L23" i="32"/>
  <c r="I23" i="32"/>
  <c r="F23" i="32" a="1"/>
  <c r="F23" i="32" s="1"/>
  <c r="C23" i="32"/>
  <c r="D23" i="32" s="1"/>
  <c r="P22" i="32"/>
  <c r="Q22" i="32" s="1"/>
  <c r="M22" i="32"/>
  <c r="L22" i="32"/>
  <c r="I22" i="32"/>
  <c r="F22" i="32"/>
  <c r="F22" i="32" a="1"/>
  <c r="D22" i="32"/>
  <c r="C22" i="32"/>
  <c r="P21" i="32"/>
  <c r="Q21" i="32" s="1"/>
  <c r="M21" i="32"/>
  <c r="L21" i="32"/>
  <c r="I21" i="32"/>
  <c r="F21" i="32" a="1"/>
  <c r="F21" i="32" s="1"/>
  <c r="C21" i="32"/>
  <c r="D21" i="32" s="1"/>
  <c r="P20" i="32"/>
  <c r="Q20" i="32" s="1"/>
  <c r="M20" i="32"/>
  <c r="L20" i="32"/>
  <c r="I20" i="32"/>
  <c r="C20" i="32"/>
  <c r="F20" i="32" s="1" a="1"/>
  <c r="F20" i="32" s="1"/>
  <c r="Q19" i="32"/>
  <c r="P19" i="32"/>
  <c r="M19" i="32"/>
  <c r="L19" i="32"/>
  <c r="I19" i="32"/>
  <c r="C19" i="32"/>
  <c r="P18" i="32"/>
  <c r="Q18" i="32" s="1"/>
  <c r="M18" i="32"/>
  <c r="L18" i="32"/>
  <c r="I18" i="32"/>
  <c r="C18" i="32"/>
  <c r="F18" i="32" s="1" a="1"/>
  <c r="F18" i="32" s="1"/>
  <c r="Q17" i="32"/>
  <c r="P17" i="32"/>
  <c r="M17" i="32"/>
  <c r="L17" i="32"/>
  <c r="I17" i="32"/>
  <c r="C17" i="32"/>
  <c r="F17" i="32" s="1" a="1"/>
  <c r="F17" i="32" s="1"/>
  <c r="P16" i="32"/>
  <c r="Q16" i="32" s="1"/>
  <c r="M16" i="32"/>
  <c r="L16" i="32"/>
  <c r="I16" i="32"/>
  <c r="F16" i="32" a="1"/>
  <c r="F16" i="32" s="1"/>
  <c r="D16" i="32"/>
  <c r="C16" i="32"/>
  <c r="Q15" i="32"/>
  <c r="P15" i="32"/>
  <c r="M15" i="32"/>
  <c r="L15" i="32"/>
  <c r="I15" i="32"/>
  <c r="C15" i="32"/>
  <c r="D15" i="32" s="1"/>
  <c r="P14" i="32"/>
  <c r="Q14" i="32" s="1"/>
  <c r="M14" i="32"/>
  <c r="L14" i="32"/>
  <c r="I14" i="32"/>
  <c r="F14" i="32" a="1"/>
  <c r="F14" i="32" s="1"/>
  <c r="D14" i="32"/>
  <c r="C14" i="32"/>
  <c r="P13" i="32"/>
  <c r="Q13" i="32" s="1"/>
  <c r="M13" i="32"/>
  <c r="L13" i="32"/>
  <c r="I13" i="32"/>
  <c r="F13" i="32" a="1"/>
  <c r="F13" i="32" s="1"/>
  <c r="C13" i="32"/>
  <c r="D13" i="32" s="1"/>
  <c r="P12" i="32"/>
  <c r="Q12" i="32" s="1"/>
  <c r="M12" i="32"/>
  <c r="L12" i="32"/>
  <c r="I12" i="32"/>
  <c r="C12" i="32"/>
  <c r="F12" i="32" s="1" a="1"/>
  <c r="F12" i="32" s="1"/>
  <c r="P11" i="32"/>
  <c r="Q11" i="32" s="1"/>
  <c r="M11" i="32"/>
  <c r="L11" i="32"/>
  <c r="I11" i="32"/>
  <c r="C11" i="32"/>
  <c r="Q10" i="32"/>
  <c r="P10" i="32"/>
  <c r="M10" i="32"/>
  <c r="L10" i="32"/>
  <c r="I10" i="32"/>
  <c r="C10" i="32"/>
  <c r="F10" i="32" s="1" a="1"/>
  <c r="F10" i="32" s="1"/>
  <c r="P9" i="32"/>
  <c r="Q9" i="32" s="1"/>
  <c r="M9" i="32"/>
  <c r="L9" i="32"/>
  <c r="I9" i="32"/>
  <c r="D9" i="32"/>
  <c r="P8" i="32"/>
  <c r="Q8" i="32" s="1"/>
  <c r="M8" i="32"/>
  <c r="L8" i="32"/>
  <c r="I8" i="32"/>
  <c r="Q7" i="32"/>
  <c r="P7" i="32"/>
  <c r="M7" i="32"/>
  <c r="L7" i="32"/>
  <c r="I7" i="32"/>
  <c r="P6" i="32"/>
  <c r="Q6" i="32" s="1"/>
  <c r="M6" i="32"/>
  <c r="L6" i="32"/>
  <c r="I6" i="32"/>
  <c r="D6" i="32"/>
  <c r="F11" i="33" l="1" a="1"/>
  <c r="F11" i="33" s="1"/>
  <c r="D12" i="33"/>
  <c r="F19" i="33" a="1"/>
  <c r="F19" i="33" s="1"/>
  <c r="D20" i="33"/>
  <c r="F27" i="33" a="1"/>
  <c r="F27" i="33" s="1"/>
  <c r="D28" i="33"/>
  <c r="F35" i="33" a="1"/>
  <c r="F35" i="33" s="1"/>
  <c r="D36" i="33"/>
  <c r="F43" i="33" a="1"/>
  <c r="F43" i="33" s="1"/>
  <c r="D44" i="33"/>
  <c r="F51" i="33" a="1"/>
  <c r="F51" i="33" s="1"/>
  <c r="D52" i="33"/>
  <c r="D60" i="33"/>
  <c r="D68" i="33"/>
  <c r="D76" i="33"/>
  <c r="D84" i="33"/>
  <c r="D92" i="33"/>
  <c r="D100" i="33"/>
  <c r="F11" i="32" a="1"/>
  <c r="F11" i="32" s="1"/>
  <c r="D11" i="32"/>
  <c r="F82" i="32" a="1"/>
  <c r="F82" i="32" s="1"/>
  <c r="D82" i="32"/>
  <c r="F74" i="32" a="1"/>
  <c r="F74" i="32" s="1"/>
  <c r="D74" i="32"/>
  <c r="F66" i="32" a="1"/>
  <c r="F66" i="32" s="1"/>
  <c r="D66" i="32"/>
  <c r="F79" i="32" a="1"/>
  <c r="F79" i="32" s="1"/>
  <c r="D79" i="32"/>
  <c r="F15" i="32" a="1"/>
  <c r="F15" i="32" s="1"/>
  <c r="D17" i="32"/>
  <c r="D18" i="32"/>
  <c r="F35" i="32" a="1"/>
  <c r="F35" i="32" s="1"/>
  <c r="D35" i="32"/>
  <c r="F43" i="32" a="1"/>
  <c r="F43" i="32" s="1"/>
  <c r="D43" i="32"/>
  <c r="F51" i="32" a="1"/>
  <c r="F51" i="32" s="1"/>
  <c r="D51" i="32"/>
  <c r="F58" i="32" a="1"/>
  <c r="F58" i="32" s="1"/>
  <c r="D58" i="32"/>
  <c r="F71" i="32" a="1"/>
  <c r="F71" i="32" s="1"/>
  <c r="D71" i="32"/>
  <c r="D10" i="32"/>
  <c r="F27" i="32" a="1"/>
  <c r="F27" i="32" s="1"/>
  <c r="D27" i="32"/>
  <c r="F63" i="32" a="1"/>
  <c r="F63" i="32" s="1"/>
  <c r="D63" i="32"/>
  <c r="F19" i="32" a="1"/>
  <c r="F19" i="32" s="1"/>
  <c r="D19" i="32"/>
  <c r="F87" i="32" a="1"/>
  <c r="F87" i="32" s="1"/>
  <c r="D87" i="32"/>
  <c r="F31" i="32" a="1"/>
  <c r="F31" i="32" s="1"/>
  <c r="D33" i="32"/>
  <c r="D34" i="32"/>
  <c r="F39" i="32" a="1"/>
  <c r="F39" i="32" s="1"/>
  <c r="D39" i="32"/>
  <c r="D42" i="32"/>
  <c r="F47" i="32" a="1"/>
  <c r="F47" i="32" s="1"/>
  <c r="D47" i="32"/>
  <c r="D50" i="32"/>
  <c r="F55" i="32" a="1"/>
  <c r="F55" i="32" s="1"/>
  <c r="D55" i="32"/>
  <c r="D90" i="32"/>
  <c r="D59" i="32"/>
  <c r="D75" i="32"/>
  <c r="D12" i="32"/>
  <c r="D20" i="32"/>
  <c r="D28" i="32"/>
  <c r="D36" i="32"/>
  <c r="D44" i="32"/>
  <c r="D60" i="32"/>
  <c r="F67" i="32" a="1"/>
  <c r="F67" i="32" s="1"/>
  <c r="D68" i="32"/>
  <c r="D76" i="32"/>
  <c r="F83" i="32" a="1"/>
  <c r="F83" i="32" s="1"/>
  <c r="D84" i="32"/>
  <c r="F91" i="32" a="1"/>
  <c r="F91" i="32" s="1"/>
  <c r="D92" i="32"/>
  <c r="F99" i="32" a="1"/>
  <c r="F99" i="32" s="1"/>
  <c r="D100" i="32"/>
  <c r="D98" i="32"/>
  <c r="D52" i="32"/>
  <c r="P100" i="31" l="1"/>
  <c r="Q100" i="31" s="1"/>
  <c r="M100" i="31"/>
  <c r="L100" i="31"/>
  <c r="I100" i="31"/>
  <c r="C100" i="31"/>
  <c r="F100" i="31" s="1" a="1"/>
  <c r="F100" i="31" s="1"/>
  <c r="P99" i="31"/>
  <c r="Q99" i="31" s="1"/>
  <c r="M99" i="31"/>
  <c r="L99" i="31"/>
  <c r="I99" i="31"/>
  <c r="C99" i="31"/>
  <c r="F99" i="31" s="1" a="1"/>
  <c r="F99" i="31" s="1"/>
  <c r="Q98" i="31"/>
  <c r="P98" i="31"/>
  <c r="M98" i="31"/>
  <c r="L98" i="31"/>
  <c r="I98" i="31"/>
  <c r="C98" i="31"/>
  <c r="F98" i="31" s="1" a="1"/>
  <c r="F98" i="31" s="1"/>
  <c r="P97" i="31"/>
  <c r="Q97" i="31" s="1"/>
  <c r="M97" i="31"/>
  <c r="L97" i="31"/>
  <c r="I97" i="31"/>
  <c r="F97" i="31" a="1"/>
  <c r="F97" i="31" s="1"/>
  <c r="D97" i="31"/>
  <c r="C97" i="31"/>
  <c r="Q96" i="31"/>
  <c r="P96" i="31"/>
  <c r="M96" i="31"/>
  <c r="L96" i="31"/>
  <c r="I96" i="31"/>
  <c r="F96" i="31" a="1"/>
  <c r="F96" i="31" s="1"/>
  <c r="C96" i="31"/>
  <c r="D96" i="31" s="1"/>
  <c r="Q95" i="31"/>
  <c r="P95" i="31"/>
  <c r="M95" i="31"/>
  <c r="L95" i="31"/>
  <c r="I95" i="31"/>
  <c r="D95" i="31"/>
  <c r="C95" i="31"/>
  <c r="F95" i="31" s="1" a="1"/>
  <c r="F95" i="31" s="1"/>
  <c r="Q94" i="31"/>
  <c r="P94" i="31"/>
  <c r="M94" i="31"/>
  <c r="L94" i="31"/>
  <c r="I94" i="31"/>
  <c r="F94" i="31" a="1"/>
  <c r="F94" i="31" s="1"/>
  <c r="D94" i="31"/>
  <c r="C94" i="31"/>
  <c r="P93" i="31"/>
  <c r="Q93" i="31" s="1"/>
  <c r="M93" i="31"/>
  <c r="L93" i="31"/>
  <c r="I93" i="31"/>
  <c r="F93" i="31" a="1"/>
  <c r="F93" i="31" s="1"/>
  <c r="D93" i="31"/>
  <c r="C93" i="31"/>
  <c r="P92" i="31"/>
  <c r="Q92" i="31" s="1"/>
  <c r="M92" i="31"/>
  <c r="L92" i="31"/>
  <c r="I92" i="31"/>
  <c r="F92" i="31" a="1"/>
  <c r="F92" i="31" s="1"/>
  <c r="C92" i="31"/>
  <c r="D92" i="31" s="1"/>
  <c r="P91" i="31"/>
  <c r="Q91" i="31" s="1"/>
  <c r="M91" i="31"/>
  <c r="L91" i="31"/>
  <c r="I91" i="31"/>
  <c r="C91" i="31"/>
  <c r="F91" i="31" s="1" a="1"/>
  <c r="F91" i="31" s="1"/>
  <c r="Q90" i="31"/>
  <c r="P90" i="31"/>
  <c r="M90" i="31"/>
  <c r="L90" i="31"/>
  <c r="I90" i="31"/>
  <c r="C90" i="31"/>
  <c r="F90" i="31" s="1" a="1"/>
  <c r="F90" i="31" s="1"/>
  <c r="P89" i="31"/>
  <c r="Q89" i="31" s="1"/>
  <c r="M89" i="31"/>
  <c r="L89" i="31"/>
  <c r="I89" i="31"/>
  <c r="F89" i="31" a="1"/>
  <c r="F89" i="31" s="1"/>
  <c r="D89" i="31"/>
  <c r="C89" i="31"/>
  <c r="Q88" i="31"/>
  <c r="P88" i="31"/>
  <c r="M88" i="31"/>
  <c r="L88" i="31"/>
  <c r="I88" i="31"/>
  <c r="F88" i="31" a="1"/>
  <c r="F88" i="31" s="1"/>
  <c r="C88" i="31"/>
  <c r="D88" i="31" s="1"/>
  <c r="Q87" i="31"/>
  <c r="P87" i="31"/>
  <c r="M87" i="31"/>
  <c r="L87" i="31"/>
  <c r="I87" i="31"/>
  <c r="D87" i="31"/>
  <c r="C87" i="31"/>
  <c r="F87" i="31" s="1" a="1"/>
  <c r="F87" i="31" s="1"/>
  <c r="Q86" i="31"/>
  <c r="P86" i="31"/>
  <c r="M86" i="31"/>
  <c r="L86" i="31"/>
  <c r="I86" i="31"/>
  <c r="F86" i="31" a="1"/>
  <c r="F86" i="31" s="1"/>
  <c r="D86" i="31"/>
  <c r="C86" i="31"/>
  <c r="Q85" i="31"/>
  <c r="P85" i="31"/>
  <c r="M85" i="31"/>
  <c r="L85" i="31"/>
  <c r="I85" i="31"/>
  <c r="F85" i="31" a="1"/>
  <c r="F85" i="31" s="1"/>
  <c r="D85" i="31"/>
  <c r="C85" i="31"/>
  <c r="P84" i="31"/>
  <c r="Q84" i="31" s="1"/>
  <c r="M84" i="31"/>
  <c r="L84" i="31"/>
  <c r="I84" i="31"/>
  <c r="F84" i="31" a="1"/>
  <c r="F84" i="31" s="1"/>
  <c r="D84" i="31"/>
  <c r="C84" i="31"/>
  <c r="P83" i="31"/>
  <c r="Q83" i="31" s="1"/>
  <c r="M83" i="31"/>
  <c r="L83" i="31"/>
  <c r="I83" i="31"/>
  <c r="C83" i="31"/>
  <c r="F83" i="31" s="1" a="1"/>
  <c r="F83" i="31" s="1"/>
  <c r="Q82" i="31"/>
  <c r="P82" i="31"/>
  <c r="M82" i="31"/>
  <c r="L82" i="31"/>
  <c r="I82" i="31"/>
  <c r="C82" i="31"/>
  <c r="F82" i="31" s="1" a="1"/>
  <c r="F82" i="31" s="1"/>
  <c r="P81" i="31"/>
  <c r="Q81" i="31" s="1"/>
  <c r="M81" i="31"/>
  <c r="L81" i="31"/>
  <c r="I81" i="31"/>
  <c r="F81" i="31" a="1"/>
  <c r="F81" i="31" s="1"/>
  <c r="D81" i="31"/>
  <c r="C81" i="31"/>
  <c r="Q80" i="31"/>
  <c r="P80" i="31"/>
  <c r="M80" i="31"/>
  <c r="L80" i="31"/>
  <c r="I80" i="31"/>
  <c r="F80" i="31" a="1"/>
  <c r="F80" i="31" s="1"/>
  <c r="C80" i="31"/>
  <c r="D80" i="31" s="1"/>
  <c r="Q79" i="31"/>
  <c r="P79" i="31"/>
  <c r="M79" i="31"/>
  <c r="L79" i="31"/>
  <c r="I79" i="31"/>
  <c r="D79" i="31"/>
  <c r="C79" i="31"/>
  <c r="F79" i="31" s="1" a="1"/>
  <c r="F79" i="31" s="1"/>
  <c r="Q78" i="31"/>
  <c r="P78" i="31"/>
  <c r="M78" i="31"/>
  <c r="L78" i="31"/>
  <c r="I78" i="31"/>
  <c r="F78" i="31" a="1"/>
  <c r="F78" i="31" s="1"/>
  <c r="D78" i="31"/>
  <c r="C78" i="31"/>
  <c r="Q77" i="31"/>
  <c r="P77" i="31"/>
  <c r="M77" i="31"/>
  <c r="L77" i="31"/>
  <c r="I77" i="31"/>
  <c r="F77" i="31"/>
  <c r="F77" i="31" a="1"/>
  <c r="D77" i="31"/>
  <c r="C77" i="31"/>
  <c r="P76" i="31"/>
  <c r="Q76" i="31" s="1"/>
  <c r="M76" i="31"/>
  <c r="L76" i="31"/>
  <c r="I76" i="31"/>
  <c r="F76" i="31"/>
  <c r="F76" i="31" a="1"/>
  <c r="D76" i="31"/>
  <c r="C76" i="31"/>
  <c r="P75" i="31"/>
  <c r="Q75" i="31" s="1"/>
  <c r="M75" i="31"/>
  <c r="L75" i="31"/>
  <c r="I75" i="31"/>
  <c r="C75" i="31"/>
  <c r="F75" i="31" s="1" a="1"/>
  <c r="F75" i="31" s="1"/>
  <c r="Q74" i="31"/>
  <c r="P74" i="31"/>
  <c r="M74" i="31"/>
  <c r="L74" i="31"/>
  <c r="I74" i="31"/>
  <c r="C74" i="31"/>
  <c r="F74" i="31" s="1" a="1"/>
  <c r="F74" i="31" s="1"/>
  <c r="P73" i="31"/>
  <c r="Q73" i="31" s="1"/>
  <c r="M73" i="31"/>
  <c r="L73" i="31"/>
  <c r="I73" i="31"/>
  <c r="F73" i="31" a="1"/>
  <c r="F73" i="31" s="1"/>
  <c r="D73" i="31"/>
  <c r="C73" i="31"/>
  <c r="Q72" i="31"/>
  <c r="P72" i="31"/>
  <c r="M72" i="31"/>
  <c r="L72" i="31"/>
  <c r="I72" i="31"/>
  <c r="F72" i="31" a="1"/>
  <c r="F72" i="31" s="1"/>
  <c r="C72" i="31"/>
  <c r="D72" i="31" s="1"/>
  <c r="Q71" i="31"/>
  <c r="P71" i="31"/>
  <c r="M71" i="31"/>
  <c r="L71" i="31"/>
  <c r="I71" i="31"/>
  <c r="D71" i="31"/>
  <c r="C71" i="31"/>
  <c r="F71" i="31" s="1" a="1"/>
  <c r="F71" i="31" s="1"/>
  <c r="Q70" i="31"/>
  <c r="P70" i="31"/>
  <c r="M70" i="31"/>
  <c r="L70" i="31"/>
  <c r="I70" i="31"/>
  <c r="F70" i="31" a="1"/>
  <c r="F70" i="31" s="1"/>
  <c r="D70" i="31"/>
  <c r="C70" i="31"/>
  <c r="Q69" i="31"/>
  <c r="P69" i="31"/>
  <c r="M69" i="31"/>
  <c r="L69" i="31"/>
  <c r="I69" i="31"/>
  <c r="F69" i="31" a="1"/>
  <c r="F69" i="31" s="1"/>
  <c r="D69" i="31"/>
  <c r="C69" i="31"/>
  <c r="P68" i="31"/>
  <c r="Q68" i="31" s="1"/>
  <c r="M68" i="31"/>
  <c r="L68" i="31"/>
  <c r="I68" i="31"/>
  <c r="F68" i="31" a="1"/>
  <c r="F68" i="31" s="1"/>
  <c r="D68" i="31"/>
  <c r="C68" i="31"/>
  <c r="P67" i="31"/>
  <c r="Q67" i="31" s="1"/>
  <c r="M67" i="31"/>
  <c r="L67" i="31"/>
  <c r="I67" i="31"/>
  <c r="C67" i="31"/>
  <c r="F67" i="31" s="1" a="1"/>
  <c r="F67" i="31" s="1"/>
  <c r="Q66" i="31"/>
  <c r="P66" i="31"/>
  <c r="M66" i="31"/>
  <c r="L66" i="31"/>
  <c r="I66" i="31"/>
  <c r="C66" i="31"/>
  <c r="F66" i="31" s="1" a="1"/>
  <c r="F66" i="31" s="1"/>
  <c r="P65" i="31"/>
  <c r="Q65" i="31" s="1"/>
  <c r="M65" i="31"/>
  <c r="L65" i="31"/>
  <c r="I65" i="31"/>
  <c r="F65" i="31" a="1"/>
  <c r="F65" i="31" s="1"/>
  <c r="D65" i="31"/>
  <c r="C65" i="31"/>
  <c r="Q64" i="31"/>
  <c r="P64" i="31"/>
  <c r="M64" i="31"/>
  <c r="L64" i="31"/>
  <c r="I64" i="31"/>
  <c r="C64" i="31"/>
  <c r="F64" i="31" s="1" a="1"/>
  <c r="F64" i="31" s="1"/>
  <c r="Q63" i="31"/>
  <c r="P63" i="31"/>
  <c r="M63" i="31"/>
  <c r="L63" i="31"/>
  <c r="I63" i="31"/>
  <c r="D63" i="31"/>
  <c r="C63" i="31"/>
  <c r="F63" i="31" s="1" a="1"/>
  <c r="F63" i="31" s="1"/>
  <c r="Q62" i="31"/>
  <c r="P62" i="31"/>
  <c r="M62" i="31"/>
  <c r="L62" i="31"/>
  <c r="I62" i="31"/>
  <c r="F62" i="31" a="1"/>
  <c r="F62" i="31" s="1"/>
  <c r="D62" i="31"/>
  <c r="C62" i="31"/>
  <c r="Q61" i="31"/>
  <c r="P61" i="31"/>
  <c r="M61" i="31"/>
  <c r="L61" i="31"/>
  <c r="I61" i="31"/>
  <c r="F61" i="31" a="1"/>
  <c r="F61" i="31" s="1"/>
  <c r="D61" i="31"/>
  <c r="C61" i="31"/>
  <c r="P60" i="31"/>
  <c r="Q60" i="31" s="1"/>
  <c r="M60" i="31"/>
  <c r="L60" i="31"/>
  <c r="I60" i="31"/>
  <c r="F60" i="31" a="1"/>
  <c r="F60" i="31" s="1"/>
  <c r="D60" i="31"/>
  <c r="C60" i="31"/>
  <c r="P59" i="31"/>
  <c r="Q59" i="31" s="1"/>
  <c r="M59" i="31"/>
  <c r="L59" i="31"/>
  <c r="I59" i="31"/>
  <c r="C59" i="31"/>
  <c r="F59" i="31" s="1" a="1"/>
  <c r="F59" i="31" s="1"/>
  <c r="Q58" i="31"/>
  <c r="P58" i="31"/>
  <c r="M58" i="31"/>
  <c r="L58" i="31"/>
  <c r="I58" i="31"/>
  <c r="C58" i="31"/>
  <c r="F58" i="31" s="1" a="1"/>
  <c r="F58" i="31" s="1"/>
  <c r="P57" i="31"/>
  <c r="Q57" i="31" s="1"/>
  <c r="M57" i="31"/>
  <c r="L57" i="31"/>
  <c r="I57" i="31"/>
  <c r="F57" i="31" a="1"/>
  <c r="F57" i="31" s="1"/>
  <c r="D57" i="31"/>
  <c r="C57" i="31"/>
  <c r="Q56" i="31"/>
  <c r="P56" i="31"/>
  <c r="M56" i="31"/>
  <c r="L56" i="31"/>
  <c r="I56" i="31"/>
  <c r="C56" i="31"/>
  <c r="F56" i="31" s="1" a="1"/>
  <c r="F56" i="31" s="1"/>
  <c r="Q55" i="31"/>
  <c r="P55" i="31"/>
  <c r="M55" i="31"/>
  <c r="L55" i="31"/>
  <c r="I55" i="31"/>
  <c r="D55" i="31"/>
  <c r="C55" i="31"/>
  <c r="F55" i="31" s="1" a="1"/>
  <c r="F55" i="31" s="1"/>
  <c r="Q54" i="31"/>
  <c r="P54" i="31"/>
  <c r="M54" i="31"/>
  <c r="L54" i="31"/>
  <c r="I54" i="31"/>
  <c r="F54" i="31" a="1"/>
  <c r="F54" i="31" s="1"/>
  <c r="D54" i="31"/>
  <c r="C54" i="31"/>
  <c r="Q53" i="31"/>
  <c r="P53" i="31"/>
  <c r="M53" i="31"/>
  <c r="L53" i="31"/>
  <c r="I53" i="31"/>
  <c r="F53" i="31" a="1"/>
  <c r="F53" i="31" s="1"/>
  <c r="D53" i="31"/>
  <c r="C53" i="31"/>
  <c r="P52" i="31"/>
  <c r="Q52" i="31" s="1"/>
  <c r="M52" i="31"/>
  <c r="L52" i="31"/>
  <c r="I52" i="31"/>
  <c r="F52" i="31" a="1"/>
  <c r="F52" i="31" s="1"/>
  <c r="D52" i="31"/>
  <c r="C52" i="31"/>
  <c r="P51" i="31"/>
  <c r="Q51" i="31" s="1"/>
  <c r="M51" i="31"/>
  <c r="L51" i="31"/>
  <c r="I51" i="31"/>
  <c r="C51" i="31"/>
  <c r="F51" i="31" s="1" a="1"/>
  <c r="F51" i="31" s="1"/>
  <c r="Q50" i="31"/>
  <c r="P50" i="31"/>
  <c r="M50" i="31"/>
  <c r="L50" i="31"/>
  <c r="I50" i="31"/>
  <c r="C50" i="31"/>
  <c r="F50" i="31" s="1" a="1"/>
  <c r="F50" i="31" s="1"/>
  <c r="P49" i="31"/>
  <c r="Q49" i="31" s="1"/>
  <c r="M49" i="31"/>
  <c r="L49" i="31"/>
  <c r="I49" i="31"/>
  <c r="F49" i="31" a="1"/>
  <c r="F49" i="31" s="1"/>
  <c r="D49" i="31"/>
  <c r="C49" i="31"/>
  <c r="Q48" i="31"/>
  <c r="P48" i="31"/>
  <c r="M48" i="31"/>
  <c r="L48" i="31"/>
  <c r="I48" i="31"/>
  <c r="C48" i="31"/>
  <c r="F48" i="31" s="1" a="1"/>
  <c r="F48" i="31" s="1"/>
  <c r="Q47" i="31"/>
  <c r="P47" i="31"/>
  <c r="M47" i="31"/>
  <c r="L47" i="31"/>
  <c r="I47" i="31"/>
  <c r="D47" i="31"/>
  <c r="C47" i="31"/>
  <c r="F47" i="31" s="1" a="1"/>
  <c r="F47" i="31" s="1"/>
  <c r="Q46" i="31"/>
  <c r="P46" i="31"/>
  <c r="M46" i="31"/>
  <c r="L46" i="31"/>
  <c r="I46" i="31"/>
  <c r="F46" i="31" a="1"/>
  <c r="F46" i="31" s="1"/>
  <c r="D46" i="31"/>
  <c r="C46" i="31"/>
  <c r="Q45" i="31"/>
  <c r="P45" i="31"/>
  <c r="M45" i="31"/>
  <c r="L45" i="31"/>
  <c r="I45" i="31"/>
  <c r="F45" i="31" a="1"/>
  <c r="F45" i="31" s="1"/>
  <c r="D45" i="31"/>
  <c r="C45" i="31"/>
  <c r="P44" i="31"/>
  <c r="Q44" i="31" s="1"/>
  <c r="M44" i="31"/>
  <c r="L44" i="31"/>
  <c r="I44" i="31"/>
  <c r="F44" i="31" a="1"/>
  <c r="F44" i="31" s="1"/>
  <c r="D44" i="31"/>
  <c r="C44" i="31"/>
  <c r="P43" i="31"/>
  <c r="Q43" i="31" s="1"/>
  <c r="M43" i="31"/>
  <c r="L43" i="31"/>
  <c r="I43" i="31"/>
  <c r="C43" i="31"/>
  <c r="F43" i="31" s="1" a="1"/>
  <c r="F43" i="31" s="1"/>
  <c r="Q42" i="31"/>
  <c r="P42" i="31"/>
  <c r="M42" i="31"/>
  <c r="L42" i="31"/>
  <c r="I42" i="31"/>
  <c r="C42" i="31"/>
  <c r="D42" i="31" s="1"/>
  <c r="P41" i="31"/>
  <c r="Q41" i="31" s="1"/>
  <c r="M41" i="31"/>
  <c r="L41" i="31"/>
  <c r="I41" i="31"/>
  <c r="F41" i="31" a="1"/>
  <c r="F41" i="31" s="1"/>
  <c r="D41" i="31"/>
  <c r="C41" i="31"/>
  <c r="Q40" i="31"/>
  <c r="P40" i="31"/>
  <c r="M40" i="31"/>
  <c r="L40" i="31"/>
  <c r="I40" i="31"/>
  <c r="C40" i="31"/>
  <c r="F40" i="31" s="1" a="1"/>
  <c r="F40" i="31" s="1"/>
  <c r="Q39" i="31"/>
  <c r="P39" i="31"/>
  <c r="M39" i="31"/>
  <c r="L39" i="31"/>
  <c r="I39" i="31"/>
  <c r="D39" i="31"/>
  <c r="C39" i="31"/>
  <c r="F39" i="31" s="1" a="1"/>
  <c r="F39" i="31" s="1"/>
  <c r="Q38" i="31"/>
  <c r="P38" i="31"/>
  <c r="M38" i="31"/>
  <c r="L38" i="31"/>
  <c r="I38" i="31"/>
  <c r="F38" i="31" a="1"/>
  <c r="F38" i="31" s="1"/>
  <c r="D38" i="31"/>
  <c r="C38" i="31"/>
  <c r="Q37" i="31"/>
  <c r="P37" i="31"/>
  <c r="M37" i="31"/>
  <c r="L37" i="31"/>
  <c r="I37" i="31"/>
  <c r="F37" i="31" a="1"/>
  <c r="F37" i="31" s="1"/>
  <c r="D37" i="31"/>
  <c r="C37" i="31"/>
  <c r="P36" i="31"/>
  <c r="Q36" i="31" s="1"/>
  <c r="M36" i="31"/>
  <c r="L36" i="31"/>
  <c r="I36" i="31"/>
  <c r="F36" i="31" a="1"/>
  <c r="F36" i="31" s="1"/>
  <c r="D36" i="31"/>
  <c r="C36" i="31"/>
  <c r="P35" i="31"/>
  <c r="Q35" i="31" s="1"/>
  <c r="M35" i="31"/>
  <c r="L35" i="31"/>
  <c r="I35" i="31"/>
  <c r="C35" i="31"/>
  <c r="F35" i="31" s="1" a="1"/>
  <c r="F35" i="31" s="1"/>
  <c r="Q34" i="31"/>
  <c r="P34" i="31"/>
  <c r="M34" i="31"/>
  <c r="L34" i="31"/>
  <c r="I34" i="31"/>
  <c r="C34" i="31"/>
  <c r="F34" i="31" s="1" a="1"/>
  <c r="F34" i="31" s="1"/>
  <c r="P33" i="31"/>
  <c r="Q33" i="31" s="1"/>
  <c r="M33" i="31"/>
  <c r="L33" i="31"/>
  <c r="I33" i="31"/>
  <c r="F33" i="31" a="1"/>
  <c r="F33" i="31" s="1"/>
  <c r="D33" i="31"/>
  <c r="C33" i="31"/>
  <c r="Q32" i="31"/>
  <c r="P32" i="31"/>
  <c r="M32" i="31"/>
  <c r="L32" i="31"/>
  <c r="I32" i="31"/>
  <c r="C32" i="31"/>
  <c r="F32" i="31" s="1" a="1"/>
  <c r="F32" i="31" s="1"/>
  <c r="Q31" i="31"/>
  <c r="P31" i="31"/>
  <c r="M31" i="31"/>
  <c r="L31" i="31"/>
  <c r="I31" i="31"/>
  <c r="D31" i="31"/>
  <c r="C31" i="31"/>
  <c r="F31" i="31" s="1" a="1"/>
  <c r="F31" i="31" s="1"/>
  <c r="Q30" i="31"/>
  <c r="P30" i="31"/>
  <c r="M30" i="31"/>
  <c r="L30" i="31"/>
  <c r="I30" i="31"/>
  <c r="F30" i="31" a="1"/>
  <c r="F30" i="31" s="1"/>
  <c r="D30" i="31"/>
  <c r="C30" i="31"/>
  <c r="Q29" i="31"/>
  <c r="P29" i="31"/>
  <c r="M29" i="31"/>
  <c r="L29" i="31"/>
  <c r="I29" i="31"/>
  <c r="F29" i="31" a="1"/>
  <c r="F29" i="31" s="1"/>
  <c r="D29" i="31"/>
  <c r="C29" i="31"/>
  <c r="P28" i="31"/>
  <c r="Q28" i="31" s="1"/>
  <c r="M28" i="31"/>
  <c r="L28" i="31"/>
  <c r="I28" i="31"/>
  <c r="F28" i="31" a="1"/>
  <c r="F28" i="31" s="1"/>
  <c r="D28" i="31"/>
  <c r="C28" i="31"/>
  <c r="P27" i="31"/>
  <c r="Q27" i="31" s="1"/>
  <c r="M27" i="31"/>
  <c r="L27" i="31"/>
  <c r="I27" i="31"/>
  <c r="C27" i="31"/>
  <c r="F27" i="31" s="1" a="1"/>
  <c r="F27" i="31" s="1"/>
  <c r="Q26" i="31"/>
  <c r="P26" i="31"/>
  <c r="M26" i="31"/>
  <c r="L26" i="31"/>
  <c r="I26" i="31"/>
  <c r="C26" i="31"/>
  <c r="F26" i="31" s="1" a="1"/>
  <c r="F26" i="31" s="1"/>
  <c r="P25" i="31"/>
  <c r="Q25" i="31" s="1"/>
  <c r="M25" i="31"/>
  <c r="L25" i="31"/>
  <c r="I25" i="31"/>
  <c r="F25" i="31" a="1"/>
  <c r="F25" i="31" s="1"/>
  <c r="D25" i="31"/>
  <c r="C25" i="31"/>
  <c r="Q24" i="31"/>
  <c r="P24" i="31"/>
  <c r="M24" i="31"/>
  <c r="L24" i="31"/>
  <c r="I24" i="31"/>
  <c r="C24" i="31"/>
  <c r="F24" i="31" s="1" a="1"/>
  <c r="F24" i="31" s="1"/>
  <c r="Q23" i="31"/>
  <c r="P23" i="31"/>
  <c r="M23" i="31"/>
  <c r="L23" i="31"/>
  <c r="I23" i="31"/>
  <c r="D23" i="31"/>
  <c r="C23" i="31"/>
  <c r="F23" i="31" s="1" a="1"/>
  <c r="F23" i="31" s="1"/>
  <c r="Q22" i="31"/>
  <c r="P22" i="31"/>
  <c r="M22" i="31"/>
  <c r="L22" i="31"/>
  <c r="I22" i="31"/>
  <c r="F22" i="31" a="1"/>
  <c r="F22" i="31" s="1"/>
  <c r="D22" i="31"/>
  <c r="C22" i="31"/>
  <c r="Q21" i="31"/>
  <c r="P21" i="31"/>
  <c r="M21" i="31"/>
  <c r="L21" i="31"/>
  <c r="I21" i="31"/>
  <c r="F21" i="31" a="1"/>
  <c r="F21" i="31" s="1"/>
  <c r="D21" i="31"/>
  <c r="C21" i="31"/>
  <c r="P20" i="31"/>
  <c r="Q20" i="31" s="1"/>
  <c r="M20" i="31"/>
  <c r="L20" i="31"/>
  <c r="I20" i="31"/>
  <c r="F20" i="31" a="1"/>
  <c r="F20" i="31" s="1"/>
  <c r="D20" i="31"/>
  <c r="C20" i="31"/>
  <c r="P19" i="31"/>
  <c r="Q19" i="31" s="1"/>
  <c r="M19" i="31"/>
  <c r="L19" i="31"/>
  <c r="I19" i="31"/>
  <c r="C19" i="31"/>
  <c r="F19" i="31" s="1" a="1"/>
  <c r="F19" i="31" s="1"/>
  <c r="Q18" i="31"/>
  <c r="P18" i="31"/>
  <c r="M18" i="31"/>
  <c r="L18" i="31"/>
  <c r="I18" i="31"/>
  <c r="C18" i="31"/>
  <c r="F18" i="31" s="1" a="1"/>
  <c r="F18" i="31" s="1"/>
  <c r="P17" i="31"/>
  <c r="Q17" i="31" s="1"/>
  <c r="M17" i="31"/>
  <c r="L17" i="31"/>
  <c r="I17" i="31"/>
  <c r="F17" i="31" a="1"/>
  <c r="F17" i="31" s="1"/>
  <c r="D17" i="31"/>
  <c r="C17" i="31"/>
  <c r="Q16" i="31"/>
  <c r="P16" i="31"/>
  <c r="M16" i="31"/>
  <c r="L16" i="31"/>
  <c r="I16" i="31"/>
  <c r="C16" i="31"/>
  <c r="F16" i="31" s="1" a="1"/>
  <c r="F16" i="31" s="1"/>
  <c r="Q15" i="31"/>
  <c r="P15" i="31"/>
  <c r="M15" i="31"/>
  <c r="L15" i="31"/>
  <c r="I15" i="31"/>
  <c r="D15" i="31"/>
  <c r="C15" i="31"/>
  <c r="F15" i="31" s="1" a="1"/>
  <c r="F15" i="31" s="1"/>
  <c r="Q14" i="31"/>
  <c r="P14" i="31"/>
  <c r="M14" i="31"/>
  <c r="L14" i="31"/>
  <c r="I14" i="31"/>
  <c r="F14" i="31" a="1"/>
  <c r="F14" i="31" s="1"/>
  <c r="D14" i="31"/>
  <c r="C14" i="31"/>
  <c r="Q13" i="31"/>
  <c r="P13" i="31"/>
  <c r="M13" i="31"/>
  <c r="L13" i="31"/>
  <c r="I13" i="31"/>
  <c r="F13" i="31" a="1"/>
  <c r="F13" i="31" s="1"/>
  <c r="D13" i="31"/>
  <c r="C13" i="31"/>
  <c r="P12" i="31"/>
  <c r="Q12" i="31" s="1"/>
  <c r="M12" i="31"/>
  <c r="L12" i="31"/>
  <c r="I12" i="31"/>
  <c r="F12" i="31" a="1"/>
  <c r="F12" i="31" s="1"/>
  <c r="D12" i="31"/>
  <c r="C12" i="31"/>
  <c r="P11" i="31"/>
  <c r="Q11" i="31" s="1"/>
  <c r="M11" i="31"/>
  <c r="L11" i="31"/>
  <c r="I11" i="31"/>
  <c r="C11" i="31"/>
  <c r="F11" i="31" s="1" a="1"/>
  <c r="F11" i="31" s="1"/>
  <c r="Q10" i="31"/>
  <c r="P10" i="31"/>
  <c r="M10" i="31"/>
  <c r="L10" i="31"/>
  <c r="I10" i="31"/>
  <c r="C10" i="31"/>
  <c r="D10" i="31" s="1"/>
  <c r="P9" i="31"/>
  <c r="Q9" i="31" s="1"/>
  <c r="M9" i="31"/>
  <c r="L9" i="31"/>
  <c r="I9" i="31"/>
  <c r="F9" i="31" a="1"/>
  <c r="F9" i="31" s="1"/>
  <c r="D9" i="31"/>
  <c r="C9" i="31"/>
  <c r="Q8" i="31"/>
  <c r="P8" i="31"/>
  <c r="M8" i="31"/>
  <c r="L8" i="31"/>
  <c r="I8" i="31"/>
  <c r="D8" i="31"/>
  <c r="Q7" i="31"/>
  <c r="P7" i="31"/>
  <c r="M7" i="31"/>
  <c r="I7" i="31"/>
  <c r="D7" i="31"/>
  <c r="P6" i="31"/>
  <c r="Q6" i="31" s="1"/>
  <c r="M6" i="31"/>
  <c r="L6" i="31"/>
  <c r="I6" i="31"/>
  <c r="D6" i="31"/>
  <c r="P100" i="30"/>
  <c r="Q100" i="30" s="1"/>
  <c r="M100" i="30"/>
  <c r="L100" i="30"/>
  <c r="I100" i="30"/>
  <c r="F100" i="30"/>
  <c r="F100" i="30" a="1"/>
  <c r="D100" i="30"/>
  <c r="C100" i="30"/>
  <c r="P99" i="30"/>
  <c r="Q99" i="30" s="1"/>
  <c r="M99" i="30"/>
  <c r="L99" i="30"/>
  <c r="I99" i="30"/>
  <c r="F99" i="30" a="1"/>
  <c r="F99" i="30" s="1"/>
  <c r="C99" i="30"/>
  <c r="D99" i="30" s="1"/>
  <c r="Q98" i="30"/>
  <c r="P98" i="30"/>
  <c r="M98" i="30"/>
  <c r="L98" i="30"/>
  <c r="I98" i="30"/>
  <c r="C98" i="30"/>
  <c r="F98" i="30" s="1" a="1"/>
  <c r="F98" i="30" s="1"/>
  <c r="P97" i="30"/>
  <c r="Q97" i="30" s="1"/>
  <c r="M97" i="30"/>
  <c r="L97" i="30"/>
  <c r="I97" i="30"/>
  <c r="F97" i="30" a="1"/>
  <c r="F97" i="30" s="1"/>
  <c r="D97" i="30"/>
  <c r="C97" i="30"/>
  <c r="P96" i="30"/>
  <c r="Q96" i="30" s="1"/>
  <c r="M96" i="30"/>
  <c r="L96" i="30"/>
  <c r="I96" i="30"/>
  <c r="F96" i="30" a="1"/>
  <c r="F96" i="30" s="1"/>
  <c r="C96" i="30"/>
  <c r="D96" i="30" s="1"/>
  <c r="Q95" i="30"/>
  <c r="P95" i="30"/>
  <c r="M95" i="30"/>
  <c r="L95" i="30"/>
  <c r="I95" i="30"/>
  <c r="C95" i="30"/>
  <c r="F95" i="30" s="1" a="1"/>
  <c r="F95" i="30" s="1"/>
  <c r="P94" i="30"/>
  <c r="Q94" i="30" s="1"/>
  <c r="M94" i="30"/>
  <c r="L94" i="30"/>
  <c r="I94" i="30"/>
  <c r="D94" i="30"/>
  <c r="C94" i="30"/>
  <c r="F94" i="30" s="1" a="1"/>
  <c r="F94" i="30" s="1"/>
  <c r="Q93" i="30"/>
  <c r="P93" i="30"/>
  <c r="M93" i="30"/>
  <c r="L93" i="30"/>
  <c r="I93" i="30"/>
  <c r="C93" i="30"/>
  <c r="F93" i="30" s="1" a="1"/>
  <c r="F93" i="30" s="1"/>
  <c r="P92" i="30"/>
  <c r="Q92" i="30" s="1"/>
  <c r="M92" i="30"/>
  <c r="L92" i="30"/>
  <c r="I92" i="30"/>
  <c r="F92" i="30" a="1"/>
  <c r="F92" i="30" s="1"/>
  <c r="D92" i="30"/>
  <c r="C92" i="30"/>
  <c r="P91" i="30"/>
  <c r="Q91" i="30" s="1"/>
  <c r="M91" i="30"/>
  <c r="L91" i="30"/>
  <c r="I91" i="30"/>
  <c r="F91" i="30" a="1"/>
  <c r="F91" i="30" s="1"/>
  <c r="C91" i="30"/>
  <c r="D91" i="30" s="1"/>
  <c r="Q90" i="30"/>
  <c r="P90" i="30"/>
  <c r="M90" i="30"/>
  <c r="L90" i="30"/>
  <c r="I90" i="30"/>
  <c r="C90" i="30"/>
  <c r="F90" i="30" s="1" a="1"/>
  <c r="F90" i="30" s="1"/>
  <c r="P89" i="30"/>
  <c r="Q89" i="30" s="1"/>
  <c r="M89" i="30"/>
  <c r="L89" i="30"/>
  <c r="I89" i="30"/>
  <c r="F89" i="30" a="1"/>
  <c r="F89" i="30" s="1"/>
  <c r="D89" i="30"/>
  <c r="C89" i="30"/>
  <c r="P88" i="30"/>
  <c r="Q88" i="30" s="1"/>
  <c r="M88" i="30"/>
  <c r="L88" i="30"/>
  <c r="I88" i="30"/>
  <c r="F88" i="30" a="1"/>
  <c r="F88" i="30" s="1"/>
  <c r="C88" i="30"/>
  <c r="D88" i="30" s="1"/>
  <c r="Q87" i="30"/>
  <c r="P87" i="30"/>
  <c r="M87" i="30"/>
  <c r="L87" i="30"/>
  <c r="I87" i="30"/>
  <c r="C87" i="30"/>
  <c r="F87" i="30" s="1" a="1"/>
  <c r="F87" i="30" s="1"/>
  <c r="P86" i="30"/>
  <c r="Q86" i="30" s="1"/>
  <c r="M86" i="30"/>
  <c r="L86" i="30"/>
  <c r="I86" i="30"/>
  <c r="C86" i="30"/>
  <c r="D86" i="30" s="1"/>
  <c r="Q85" i="30"/>
  <c r="P85" i="30"/>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Q82" i="30"/>
  <c r="P82" i="30"/>
  <c r="M82" i="30"/>
  <c r="L82" i="30"/>
  <c r="I82" i="30"/>
  <c r="C82" i="30"/>
  <c r="F82" i="30" s="1" a="1"/>
  <c r="F82" i="30" s="1"/>
  <c r="P81" i="30"/>
  <c r="Q81" i="30" s="1"/>
  <c r="M81" i="30"/>
  <c r="L81" i="30"/>
  <c r="I81" i="30"/>
  <c r="F81" i="30" a="1"/>
  <c r="F81" i="30" s="1"/>
  <c r="D81" i="30"/>
  <c r="C81" i="30"/>
  <c r="P80" i="30"/>
  <c r="Q80" i="30" s="1"/>
  <c r="M80" i="30"/>
  <c r="L80" i="30"/>
  <c r="I80" i="30"/>
  <c r="F80" i="30" a="1"/>
  <c r="F80" i="30" s="1"/>
  <c r="C80" i="30"/>
  <c r="D80" i="30" s="1"/>
  <c r="P79" i="30"/>
  <c r="Q79" i="30" s="1"/>
  <c r="M79" i="30"/>
  <c r="L79" i="30"/>
  <c r="I79" i="30"/>
  <c r="C79" i="30"/>
  <c r="F79" i="30" s="1" a="1"/>
  <c r="F79" i="30" s="1"/>
  <c r="P78" i="30"/>
  <c r="Q78" i="30" s="1"/>
  <c r="M78" i="30"/>
  <c r="L78" i="30"/>
  <c r="I78" i="30"/>
  <c r="C78" i="30"/>
  <c r="F78" i="30" s="1" a="1"/>
  <c r="F78" i="30" s="1"/>
  <c r="Q77" i="30"/>
  <c r="P77" i="30"/>
  <c r="M77" i="30"/>
  <c r="L77" i="30"/>
  <c r="I77" i="30"/>
  <c r="C77" i="30"/>
  <c r="D77" i="30" s="1"/>
  <c r="P76" i="30"/>
  <c r="Q76" i="30" s="1"/>
  <c r="M76" i="30"/>
  <c r="L76" i="30"/>
  <c r="I76" i="30"/>
  <c r="F76" i="30" a="1"/>
  <c r="F76" i="30" s="1"/>
  <c r="D76" i="30"/>
  <c r="C76" i="30"/>
  <c r="P75" i="30"/>
  <c r="Q75" i="30" s="1"/>
  <c r="M75" i="30"/>
  <c r="L75" i="30"/>
  <c r="I75" i="30"/>
  <c r="F75" i="30" a="1"/>
  <c r="F75" i="30" s="1"/>
  <c r="C75" i="30"/>
  <c r="D75" i="30" s="1"/>
  <c r="Q74" i="30"/>
  <c r="P74" i="30"/>
  <c r="M74" i="30"/>
  <c r="L74" i="30"/>
  <c r="I74" i="30"/>
  <c r="C74" i="30"/>
  <c r="F74" i="30" s="1" a="1"/>
  <c r="F74" i="30" s="1"/>
  <c r="P73" i="30"/>
  <c r="Q73" i="30" s="1"/>
  <c r="M73" i="30"/>
  <c r="L73" i="30"/>
  <c r="I73" i="30"/>
  <c r="F73" i="30" a="1"/>
  <c r="F73" i="30" s="1"/>
  <c r="D73" i="30"/>
  <c r="C73" i="30"/>
  <c r="P72" i="30"/>
  <c r="Q72" i="30" s="1"/>
  <c r="M72" i="30"/>
  <c r="L72" i="30"/>
  <c r="I72" i="30"/>
  <c r="F72" i="30" a="1"/>
  <c r="F72" i="30" s="1"/>
  <c r="C72" i="30"/>
  <c r="D72" i="30" s="1"/>
  <c r="P71" i="30"/>
  <c r="Q71" i="30" s="1"/>
  <c r="M71" i="30"/>
  <c r="L71" i="30"/>
  <c r="I71" i="30"/>
  <c r="C71" i="30"/>
  <c r="F71" i="30" s="1" a="1"/>
  <c r="F71" i="30" s="1"/>
  <c r="P70" i="30"/>
  <c r="Q70" i="30" s="1"/>
  <c r="M70" i="30"/>
  <c r="L70" i="30"/>
  <c r="I70" i="30"/>
  <c r="C70" i="30"/>
  <c r="D70" i="30" s="1"/>
  <c r="Q69" i="30"/>
  <c r="P69" i="30"/>
  <c r="M69" i="30"/>
  <c r="L69" i="30"/>
  <c r="I69" i="30"/>
  <c r="C69" i="30"/>
  <c r="F69" i="30" s="1" a="1"/>
  <c r="F69" i="30" s="1"/>
  <c r="P68" i="30"/>
  <c r="Q68" i="30" s="1"/>
  <c r="M68" i="30"/>
  <c r="L68" i="30"/>
  <c r="I68" i="30"/>
  <c r="F68" i="30" a="1"/>
  <c r="F68" i="30" s="1"/>
  <c r="D68" i="30"/>
  <c r="C68" i="30"/>
  <c r="P67" i="30"/>
  <c r="Q67" i="30" s="1"/>
  <c r="M67" i="30"/>
  <c r="L67" i="30"/>
  <c r="I67" i="30"/>
  <c r="F67" i="30" a="1"/>
  <c r="F67" i="30" s="1"/>
  <c r="C67" i="30"/>
  <c r="D67" i="30" s="1"/>
  <c r="Q66" i="30"/>
  <c r="P66" i="30"/>
  <c r="M66" i="30"/>
  <c r="L66" i="30"/>
  <c r="I66" i="30"/>
  <c r="C66" i="30"/>
  <c r="F66" i="30" s="1" a="1"/>
  <c r="F66" i="30" s="1"/>
  <c r="P65" i="30"/>
  <c r="Q65" i="30" s="1"/>
  <c r="M65" i="30"/>
  <c r="L65" i="30"/>
  <c r="I65" i="30"/>
  <c r="F65" i="30" a="1"/>
  <c r="F65" i="30" s="1"/>
  <c r="D65" i="30"/>
  <c r="C65" i="30"/>
  <c r="P64" i="30"/>
  <c r="Q64" i="30" s="1"/>
  <c r="M64" i="30"/>
  <c r="L64" i="30"/>
  <c r="I64" i="30"/>
  <c r="F64" i="30" a="1"/>
  <c r="F64" i="30" s="1"/>
  <c r="C64" i="30"/>
  <c r="D64" i="30" s="1"/>
  <c r="P63" i="30"/>
  <c r="Q63" i="30" s="1"/>
  <c r="M63" i="30"/>
  <c r="L63" i="30"/>
  <c r="I63" i="30"/>
  <c r="C63" i="30"/>
  <c r="F63" i="30" s="1" a="1"/>
  <c r="F63" i="30" s="1"/>
  <c r="P62" i="30"/>
  <c r="Q62" i="30" s="1"/>
  <c r="M62" i="30"/>
  <c r="L62" i="30"/>
  <c r="I62" i="30"/>
  <c r="C62" i="30"/>
  <c r="F62" i="30" s="1" a="1"/>
  <c r="F62" i="30" s="1"/>
  <c r="Q61" i="30"/>
  <c r="P61" i="30"/>
  <c r="M61" i="30"/>
  <c r="L61" i="30"/>
  <c r="I61" i="30"/>
  <c r="C61" i="30"/>
  <c r="F61" i="30" s="1" a="1"/>
  <c r="F61" i="30" s="1"/>
  <c r="P60" i="30"/>
  <c r="Q60" i="30" s="1"/>
  <c r="M60" i="30"/>
  <c r="L60" i="30"/>
  <c r="I60" i="30"/>
  <c r="F60" i="30" a="1"/>
  <c r="F60" i="30" s="1"/>
  <c r="D60" i="30"/>
  <c r="C60" i="30"/>
  <c r="P59" i="30"/>
  <c r="Q59" i="30" s="1"/>
  <c r="M59" i="30"/>
  <c r="L59" i="30"/>
  <c r="I59" i="30"/>
  <c r="F59" i="30" a="1"/>
  <c r="F59" i="30" s="1"/>
  <c r="C59" i="30"/>
  <c r="D59" i="30" s="1"/>
  <c r="Q58" i="30"/>
  <c r="P58" i="30"/>
  <c r="M58" i="30"/>
  <c r="L58" i="30"/>
  <c r="I58" i="30"/>
  <c r="C58" i="30"/>
  <c r="F58" i="30" s="1" a="1"/>
  <c r="F58" i="30" s="1"/>
  <c r="P57" i="30"/>
  <c r="Q57" i="30" s="1"/>
  <c r="M57" i="30"/>
  <c r="L57" i="30"/>
  <c r="I57" i="30"/>
  <c r="F57" i="30" a="1"/>
  <c r="F57" i="30" s="1"/>
  <c r="D57" i="30"/>
  <c r="C57" i="30"/>
  <c r="P56" i="30"/>
  <c r="Q56" i="30" s="1"/>
  <c r="M56" i="30"/>
  <c r="L56" i="30"/>
  <c r="I56" i="30"/>
  <c r="F56" i="30" a="1"/>
  <c r="F56" i="30" s="1"/>
  <c r="C56" i="30"/>
  <c r="D56" i="30" s="1"/>
  <c r="P55" i="30"/>
  <c r="Q55" i="30" s="1"/>
  <c r="M55" i="30"/>
  <c r="L55" i="30"/>
  <c r="I55" i="30"/>
  <c r="C55" i="30"/>
  <c r="F55" i="30" s="1" a="1"/>
  <c r="F55" i="30" s="1"/>
  <c r="P54" i="30"/>
  <c r="Q54" i="30" s="1"/>
  <c r="M54" i="30"/>
  <c r="L54" i="30"/>
  <c r="I54" i="30"/>
  <c r="C54" i="30"/>
  <c r="F54" i="30" s="1" a="1"/>
  <c r="F54" i="30" s="1"/>
  <c r="Q53" i="30"/>
  <c r="P53" i="30"/>
  <c r="M53" i="30"/>
  <c r="L53" i="30"/>
  <c r="I53" i="30"/>
  <c r="C53" i="30"/>
  <c r="D53" i="30" s="1"/>
  <c r="P52" i="30"/>
  <c r="Q52" i="30" s="1"/>
  <c r="M52" i="30"/>
  <c r="L52" i="30"/>
  <c r="I52" i="30"/>
  <c r="F52" i="30" a="1"/>
  <c r="F52" i="30" s="1"/>
  <c r="D52" i="30"/>
  <c r="C52" i="30"/>
  <c r="P51" i="30"/>
  <c r="Q51" i="30" s="1"/>
  <c r="M51" i="30"/>
  <c r="L51" i="30"/>
  <c r="I51" i="30"/>
  <c r="F51" i="30" a="1"/>
  <c r="F51" i="30" s="1"/>
  <c r="C51" i="30"/>
  <c r="D51" i="30" s="1"/>
  <c r="Q50" i="30"/>
  <c r="P50" i="30"/>
  <c r="M50" i="30"/>
  <c r="L50" i="30"/>
  <c r="I50" i="30"/>
  <c r="C50" i="30"/>
  <c r="F50" i="30" s="1" a="1"/>
  <c r="F50" i="30" s="1"/>
  <c r="P49" i="30"/>
  <c r="Q49" i="30" s="1"/>
  <c r="M49" i="30"/>
  <c r="L49" i="30"/>
  <c r="I49" i="30"/>
  <c r="F49" i="30" a="1"/>
  <c r="F49" i="30" s="1"/>
  <c r="D49" i="30"/>
  <c r="C49" i="30"/>
  <c r="P48" i="30"/>
  <c r="Q48" i="30" s="1"/>
  <c r="M48" i="30"/>
  <c r="L48" i="30"/>
  <c r="I48" i="30"/>
  <c r="F48" i="30" a="1"/>
  <c r="F48" i="30" s="1"/>
  <c r="C48" i="30"/>
  <c r="D48" i="30" s="1"/>
  <c r="P47" i="30"/>
  <c r="Q47" i="30" s="1"/>
  <c r="M47" i="30"/>
  <c r="L47" i="30"/>
  <c r="I47" i="30"/>
  <c r="C47" i="30"/>
  <c r="F47" i="30" s="1" a="1"/>
  <c r="F47" i="30" s="1"/>
  <c r="P46" i="30"/>
  <c r="Q46" i="30" s="1"/>
  <c r="M46" i="30"/>
  <c r="L46" i="30"/>
  <c r="I46" i="30"/>
  <c r="C46" i="30"/>
  <c r="F46" i="30" s="1" a="1"/>
  <c r="F46" i="30" s="1"/>
  <c r="Q45" i="30"/>
  <c r="P45" i="30"/>
  <c r="M45" i="30"/>
  <c r="L45" i="30"/>
  <c r="I45" i="30"/>
  <c r="C45" i="30"/>
  <c r="F45" i="30" s="1" a="1"/>
  <c r="F45" i="30" s="1"/>
  <c r="P44" i="30"/>
  <c r="Q44" i="30" s="1"/>
  <c r="M44" i="30"/>
  <c r="L44" i="30"/>
  <c r="I44" i="30"/>
  <c r="F44" i="30" a="1"/>
  <c r="F44" i="30" s="1"/>
  <c r="D44" i="30"/>
  <c r="C44" i="30"/>
  <c r="P43" i="30"/>
  <c r="Q43" i="30" s="1"/>
  <c r="M43" i="30"/>
  <c r="L43" i="30"/>
  <c r="I43" i="30"/>
  <c r="F43" i="30" a="1"/>
  <c r="F43" i="30" s="1"/>
  <c r="C43" i="30"/>
  <c r="D43" i="30" s="1"/>
  <c r="Q42" i="30"/>
  <c r="P42" i="30"/>
  <c r="M42" i="30"/>
  <c r="L42" i="30"/>
  <c r="I42" i="30"/>
  <c r="C42" i="30"/>
  <c r="F42" i="30" s="1" a="1"/>
  <c r="F42" i="30" s="1"/>
  <c r="P41" i="30"/>
  <c r="Q41" i="30" s="1"/>
  <c r="M41" i="30"/>
  <c r="L41" i="30"/>
  <c r="I41" i="30"/>
  <c r="F41" i="30" a="1"/>
  <c r="F41" i="30" s="1"/>
  <c r="D41" i="30"/>
  <c r="C41" i="30"/>
  <c r="P40" i="30"/>
  <c r="Q40" i="30" s="1"/>
  <c r="M40" i="30"/>
  <c r="L40" i="30"/>
  <c r="I40" i="30"/>
  <c r="F40" i="30" a="1"/>
  <c r="F40" i="30" s="1"/>
  <c r="C40" i="30"/>
  <c r="D40" i="30" s="1"/>
  <c r="P39" i="30"/>
  <c r="Q39" i="30" s="1"/>
  <c r="M39" i="30"/>
  <c r="L39" i="30"/>
  <c r="I39" i="30"/>
  <c r="C39" i="30"/>
  <c r="F39" i="30" s="1" a="1"/>
  <c r="F39" i="30" s="1"/>
  <c r="P38" i="30"/>
  <c r="Q38" i="30" s="1"/>
  <c r="M38" i="30"/>
  <c r="L38" i="30"/>
  <c r="I38" i="30"/>
  <c r="C38" i="30"/>
  <c r="F38" i="30" s="1" a="1"/>
  <c r="F38" i="30" s="1"/>
  <c r="Q37" i="30"/>
  <c r="P37" i="30"/>
  <c r="M37" i="30"/>
  <c r="L37" i="30"/>
  <c r="I37" i="30"/>
  <c r="C37" i="30"/>
  <c r="D37" i="30" s="1"/>
  <c r="P36" i="30"/>
  <c r="Q36" i="30" s="1"/>
  <c r="M36" i="30"/>
  <c r="L36" i="30"/>
  <c r="I36" i="30"/>
  <c r="F36" i="30" a="1"/>
  <c r="F36" i="30" s="1"/>
  <c r="D36" i="30"/>
  <c r="C36" i="30"/>
  <c r="P35" i="30"/>
  <c r="Q35" i="30" s="1"/>
  <c r="M35" i="30"/>
  <c r="L35" i="30"/>
  <c r="I35" i="30"/>
  <c r="F35" i="30" a="1"/>
  <c r="F35" i="30" s="1"/>
  <c r="C35" i="30"/>
  <c r="D35" i="30" s="1"/>
  <c r="Q34" i="30"/>
  <c r="P34" i="30"/>
  <c r="M34" i="30"/>
  <c r="L34" i="30"/>
  <c r="I34" i="30"/>
  <c r="C34" i="30"/>
  <c r="F34" i="30" s="1" a="1"/>
  <c r="F34" i="30" s="1"/>
  <c r="P33" i="30"/>
  <c r="Q33" i="30" s="1"/>
  <c r="M33" i="30"/>
  <c r="L33" i="30"/>
  <c r="I33" i="30"/>
  <c r="F33" i="30" a="1"/>
  <c r="F33" i="30" s="1"/>
  <c r="D33" i="30"/>
  <c r="C33" i="30"/>
  <c r="P32" i="30"/>
  <c r="Q32" i="30" s="1"/>
  <c r="M32" i="30"/>
  <c r="L32" i="30"/>
  <c r="I32" i="30"/>
  <c r="F32" i="30" a="1"/>
  <c r="F32" i="30" s="1"/>
  <c r="C32" i="30"/>
  <c r="D32" i="30" s="1"/>
  <c r="P31" i="30"/>
  <c r="Q31" i="30" s="1"/>
  <c r="M31" i="30"/>
  <c r="L31" i="30"/>
  <c r="I31" i="30"/>
  <c r="C31" i="30"/>
  <c r="F31" i="30" s="1" a="1"/>
  <c r="F31" i="30" s="1"/>
  <c r="P30" i="30"/>
  <c r="Q30" i="30" s="1"/>
  <c r="M30" i="30"/>
  <c r="L30" i="30"/>
  <c r="I30" i="30"/>
  <c r="C30" i="30"/>
  <c r="D30" i="30" s="1"/>
  <c r="Q29" i="30"/>
  <c r="P29" i="30"/>
  <c r="M29" i="30"/>
  <c r="L29" i="30"/>
  <c r="I29" i="30"/>
  <c r="C29" i="30"/>
  <c r="F29" i="30" s="1" a="1"/>
  <c r="F29" i="30" s="1"/>
  <c r="P28" i="30"/>
  <c r="Q28" i="30" s="1"/>
  <c r="M28" i="30"/>
  <c r="L28" i="30"/>
  <c r="I28" i="30"/>
  <c r="F28" i="30" a="1"/>
  <c r="F28" i="30" s="1"/>
  <c r="D28" i="30"/>
  <c r="C28" i="30"/>
  <c r="P27" i="30"/>
  <c r="Q27" i="30" s="1"/>
  <c r="M27" i="30"/>
  <c r="L27" i="30"/>
  <c r="I27" i="30"/>
  <c r="F27" i="30" a="1"/>
  <c r="F27" i="30" s="1"/>
  <c r="C27" i="30"/>
  <c r="D27" i="30" s="1"/>
  <c r="Q26" i="30"/>
  <c r="P26" i="30"/>
  <c r="M26" i="30"/>
  <c r="L26" i="30"/>
  <c r="I26" i="30"/>
  <c r="C26" i="30"/>
  <c r="F26" i="30" s="1" a="1"/>
  <c r="F26" i="30" s="1"/>
  <c r="P25" i="30"/>
  <c r="Q25" i="30" s="1"/>
  <c r="M25" i="30"/>
  <c r="L25" i="30"/>
  <c r="I25" i="30"/>
  <c r="F25" i="30" a="1"/>
  <c r="F25" i="30" s="1"/>
  <c r="D25" i="30"/>
  <c r="C25" i="30"/>
  <c r="P24" i="30"/>
  <c r="Q24" i="30" s="1"/>
  <c r="M24" i="30"/>
  <c r="L24" i="30"/>
  <c r="I24" i="30"/>
  <c r="F24" i="30" a="1"/>
  <c r="F24" i="30" s="1"/>
  <c r="C24" i="30"/>
  <c r="D24" i="30" s="1"/>
  <c r="P23" i="30"/>
  <c r="Q23" i="30" s="1"/>
  <c r="M23" i="30"/>
  <c r="L23" i="30"/>
  <c r="I23" i="30"/>
  <c r="C23" i="30"/>
  <c r="F23" i="30" s="1" a="1"/>
  <c r="F23" i="30" s="1"/>
  <c r="P22" i="30"/>
  <c r="Q22" i="30" s="1"/>
  <c r="M22" i="30"/>
  <c r="L22" i="30"/>
  <c r="I22" i="30"/>
  <c r="C22" i="30"/>
  <c r="F22" i="30" s="1" a="1"/>
  <c r="F22" i="30" s="1"/>
  <c r="Q21" i="30"/>
  <c r="P21" i="30"/>
  <c r="M21" i="30"/>
  <c r="L21" i="30"/>
  <c r="I21" i="30"/>
  <c r="C21" i="30"/>
  <c r="F21" i="30" s="1" a="1"/>
  <c r="F21" i="30" s="1"/>
  <c r="P20" i="30"/>
  <c r="Q20" i="30" s="1"/>
  <c r="M20" i="30"/>
  <c r="L20" i="30"/>
  <c r="I20" i="30"/>
  <c r="F20" i="30" a="1"/>
  <c r="F20" i="30" s="1"/>
  <c r="D20" i="30"/>
  <c r="C20" i="30"/>
  <c r="P19" i="30"/>
  <c r="Q19" i="30" s="1"/>
  <c r="M19" i="30"/>
  <c r="L19" i="30"/>
  <c r="I19" i="30"/>
  <c r="F19" i="30" a="1"/>
  <c r="F19" i="30" s="1"/>
  <c r="C19" i="30"/>
  <c r="D19" i="30" s="1"/>
  <c r="Q18" i="30"/>
  <c r="P18" i="30"/>
  <c r="M18" i="30"/>
  <c r="L18" i="30"/>
  <c r="I18" i="30"/>
  <c r="C18" i="30"/>
  <c r="F18" i="30" s="1" a="1"/>
  <c r="F18" i="30" s="1"/>
  <c r="P17" i="30"/>
  <c r="Q17" i="30" s="1"/>
  <c r="M17" i="30"/>
  <c r="L17" i="30"/>
  <c r="I17" i="30"/>
  <c r="F17" i="30" a="1"/>
  <c r="F17" i="30" s="1"/>
  <c r="D17" i="30"/>
  <c r="C17" i="30"/>
  <c r="P16" i="30"/>
  <c r="Q16" i="30" s="1"/>
  <c r="M16" i="30"/>
  <c r="L16" i="30"/>
  <c r="I16" i="30"/>
  <c r="F16" i="30" a="1"/>
  <c r="F16" i="30" s="1"/>
  <c r="C16" i="30"/>
  <c r="D16" i="30" s="1"/>
  <c r="P15" i="30"/>
  <c r="Q15" i="30" s="1"/>
  <c r="M15" i="30"/>
  <c r="L15" i="30"/>
  <c r="I15" i="30"/>
  <c r="C15" i="30"/>
  <c r="F15" i="30" s="1" a="1"/>
  <c r="F15" i="30" s="1"/>
  <c r="P14" i="30"/>
  <c r="Q14" i="30" s="1"/>
  <c r="M14" i="30"/>
  <c r="L14" i="30"/>
  <c r="I14" i="30"/>
  <c r="C14" i="30"/>
  <c r="D14" i="30" s="1"/>
  <c r="Q13" i="30"/>
  <c r="P13" i="30"/>
  <c r="M13" i="30"/>
  <c r="L13" i="30"/>
  <c r="I13" i="30"/>
  <c r="C13" i="30"/>
  <c r="F13" i="30" s="1" a="1"/>
  <c r="F13" i="30" s="1"/>
  <c r="P12" i="30"/>
  <c r="Q12" i="30" s="1"/>
  <c r="M12" i="30"/>
  <c r="L12" i="30"/>
  <c r="I12" i="30"/>
  <c r="F12" i="30" a="1"/>
  <c r="F12" i="30" s="1"/>
  <c r="D12" i="30"/>
  <c r="C12" i="30"/>
  <c r="P11" i="30"/>
  <c r="Q11" i="30" s="1"/>
  <c r="M11" i="30"/>
  <c r="L11" i="30"/>
  <c r="I11" i="30"/>
  <c r="F11" i="30" a="1"/>
  <c r="F11" i="30" s="1"/>
  <c r="C11" i="30"/>
  <c r="D11" i="30" s="1"/>
  <c r="Q10" i="30"/>
  <c r="P10" i="30"/>
  <c r="M10" i="30"/>
  <c r="L10" i="30"/>
  <c r="I10" i="30"/>
  <c r="C10" i="30"/>
  <c r="F10" i="30" s="1" a="1"/>
  <c r="F10" i="30" s="1"/>
  <c r="P9" i="30"/>
  <c r="Q9" i="30" s="1"/>
  <c r="M9" i="30"/>
  <c r="L9" i="30"/>
  <c r="I9" i="30"/>
  <c r="F9" i="30" a="1"/>
  <c r="F9" i="30" s="1"/>
  <c r="D9" i="30"/>
  <c r="C9" i="30"/>
  <c r="P8" i="30"/>
  <c r="Q8" i="30" s="1"/>
  <c r="M8" i="30"/>
  <c r="L8" i="30"/>
  <c r="I8" i="30"/>
  <c r="D8" i="30"/>
  <c r="P7" i="30"/>
  <c r="Q7" i="30" s="1"/>
  <c r="M7" i="30"/>
  <c r="L7" i="30"/>
  <c r="I7" i="30"/>
  <c r="Q6" i="30"/>
  <c r="P6" i="30"/>
  <c r="M6" i="30"/>
  <c r="L6" i="30"/>
  <c r="I6" i="30"/>
  <c r="D6" i="30"/>
  <c r="B11" i="24"/>
  <c r="D16" i="31" l="1"/>
  <c r="D24" i="31"/>
  <c r="D32" i="31"/>
  <c r="D40" i="31"/>
  <c r="D48" i="31"/>
  <c r="D56" i="31"/>
  <c r="D64" i="31"/>
  <c r="D26" i="31"/>
  <c r="D50" i="31"/>
  <c r="D58" i="31"/>
  <c r="D66" i="31"/>
  <c r="D74" i="31"/>
  <c r="D82" i="31"/>
  <c r="D90" i="31"/>
  <c r="D98" i="31"/>
  <c r="D18" i="31"/>
  <c r="D34" i="31"/>
  <c r="F10" i="31" a="1"/>
  <c r="F10" i="31" s="1"/>
  <c r="D11" i="31"/>
  <c r="D19" i="31"/>
  <c r="D27" i="31"/>
  <c r="D35" i="31"/>
  <c r="F42" i="31" a="1"/>
  <c r="F42" i="31" s="1"/>
  <c r="D43" i="31"/>
  <c r="D51" i="31"/>
  <c r="D59" i="31"/>
  <c r="D67" i="31"/>
  <c r="D75" i="31"/>
  <c r="D83" i="31"/>
  <c r="D91" i="31"/>
  <c r="D99" i="31"/>
  <c r="D100" i="31"/>
  <c r="D21" i="30"/>
  <c r="D85" i="30"/>
  <c r="D93" i="30"/>
  <c r="D13" i="30"/>
  <c r="D29" i="30"/>
  <c r="D45" i="30"/>
  <c r="D61" i="30"/>
  <c r="D22" i="30"/>
  <c r="F37" i="30" a="1"/>
  <c r="F37" i="30" s="1"/>
  <c r="D38" i="30"/>
  <c r="D46" i="30"/>
  <c r="F53" i="30" a="1"/>
  <c r="F53" i="30" s="1"/>
  <c r="D54" i="30"/>
  <c r="D62" i="30"/>
  <c r="F77" i="30" a="1"/>
  <c r="F77" i="30" s="1"/>
  <c r="D78" i="30"/>
  <c r="F14" i="30" a="1"/>
  <c r="F14" i="30" s="1"/>
  <c r="D15" i="30"/>
  <c r="D23" i="30"/>
  <c r="F30" i="30" a="1"/>
  <c r="F30" i="30" s="1"/>
  <c r="D31" i="30"/>
  <c r="D39" i="30"/>
  <c r="D47" i="30"/>
  <c r="D55" i="30"/>
  <c r="D63" i="30"/>
  <c r="F70" i="30" a="1"/>
  <c r="F70" i="30" s="1"/>
  <c r="D71" i="30"/>
  <c r="D79" i="30"/>
  <c r="F86" i="30" a="1"/>
  <c r="F86" i="30" s="1"/>
  <c r="D87" i="30"/>
  <c r="D95" i="30"/>
  <c r="D69" i="30"/>
  <c r="D26" i="30"/>
  <c r="D34" i="30"/>
  <c r="D50" i="30"/>
  <c r="D58" i="30"/>
  <c r="D66" i="30"/>
  <c r="D74" i="30"/>
  <c r="D82" i="30"/>
  <c r="D90" i="30"/>
  <c r="D98" i="30"/>
  <c r="D10" i="30"/>
  <c r="D18" i="30"/>
  <c r="D42" i="30"/>
  <c r="E16" i="29" l="1"/>
  <c r="E15" i="29"/>
  <c r="E7" i="29"/>
  <c r="P100" i="29"/>
  <c r="Q100" i="29" s="1"/>
  <c r="M100" i="29"/>
  <c r="L100" i="29"/>
  <c r="I100" i="29"/>
  <c r="C100" i="29"/>
  <c r="F100" i="29" s="1" a="1"/>
  <c r="F100" i="29" s="1"/>
  <c r="P99" i="29"/>
  <c r="Q99" i="29" s="1"/>
  <c r="M99" i="29"/>
  <c r="L99" i="29"/>
  <c r="I99" i="29"/>
  <c r="C99" i="29"/>
  <c r="F99" i="29" s="1" a="1"/>
  <c r="F99" i="29" s="1"/>
  <c r="P98" i="29"/>
  <c r="Q98" i="29" s="1"/>
  <c r="M98" i="29"/>
  <c r="L98" i="29"/>
  <c r="I98" i="29"/>
  <c r="C98" i="29"/>
  <c r="F98" i="29" s="1" a="1"/>
  <c r="F98" i="29" s="1"/>
  <c r="P97" i="29"/>
  <c r="Q97" i="29" s="1"/>
  <c r="M97" i="29"/>
  <c r="L97" i="29"/>
  <c r="I97" i="29"/>
  <c r="C97" i="29"/>
  <c r="F97" i="29" s="1" a="1"/>
  <c r="F97" i="29" s="1"/>
  <c r="P96" i="29"/>
  <c r="Q96" i="29" s="1"/>
  <c r="M96" i="29"/>
  <c r="L96" i="29"/>
  <c r="I96" i="29"/>
  <c r="C96" i="29"/>
  <c r="F96" i="29" s="1" a="1"/>
  <c r="F96" i="29" s="1"/>
  <c r="P95" i="29"/>
  <c r="Q95" i="29" s="1"/>
  <c r="M95" i="29"/>
  <c r="L95" i="29"/>
  <c r="I95" i="29"/>
  <c r="C95" i="29"/>
  <c r="F95" i="29" s="1" a="1"/>
  <c r="F95" i="29" s="1"/>
  <c r="P94" i="29"/>
  <c r="Q94" i="29" s="1"/>
  <c r="M94" i="29"/>
  <c r="L94" i="29"/>
  <c r="I94" i="29"/>
  <c r="C94" i="29"/>
  <c r="F94" i="29" s="1" a="1"/>
  <c r="F94" i="29" s="1"/>
  <c r="P93" i="29"/>
  <c r="Q93" i="29" s="1"/>
  <c r="M93" i="29"/>
  <c r="L93" i="29"/>
  <c r="I93" i="29"/>
  <c r="C93" i="29"/>
  <c r="F93" i="29" s="1" a="1"/>
  <c r="F93" i="29" s="1"/>
  <c r="P92" i="29"/>
  <c r="Q92" i="29" s="1"/>
  <c r="M92" i="29"/>
  <c r="L92" i="29"/>
  <c r="I92" i="29"/>
  <c r="C92" i="29"/>
  <c r="F92" i="29" s="1" a="1"/>
  <c r="F92" i="29" s="1"/>
  <c r="P91" i="29"/>
  <c r="Q91" i="29" s="1"/>
  <c r="M91" i="29"/>
  <c r="L91" i="29"/>
  <c r="I91" i="29"/>
  <c r="F91" i="29" a="1"/>
  <c r="F91" i="29" s="1"/>
  <c r="D91" i="29"/>
  <c r="C91" i="29"/>
  <c r="P90" i="29"/>
  <c r="Q90" i="29" s="1"/>
  <c r="M90" i="29"/>
  <c r="L90" i="29"/>
  <c r="I90" i="29"/>
  <c r="C90" i="29"/>
  <c r="F90" i="29" s="1" a="1"/>
  <c r="F90" i="29" s="1"/>
  <c r="P89" i="29"/>
  <c r="Q89" i="29" s="1"/>
  <c r="M89" i="29"/>
  <c r="L89" i="29"/>
  <c r="I89" i="29"/>
  <c r="C89" i="29"/>
  <c r="F89" i="29" s="1" a="1"/>
  <c r="F89" i="29" s="1"/>
  <c r="P88" i="29"/>
  <c r="Q88" i="29" s="1"/>
  <c r="M88" i="29"/>
  <c r="L88" i="29"/>
  <c r="I88" i="29"/>
  <c r="C88" i="29"/>
  <c r="F88" i="29" s="1" a="1"/>
  <c r="F88" i="29" s="1"/>
  <c r="P87" i="29"/>
  <c r="Q87" i="29" s="1"/>
  <c r="M87" i="29"/>
  <c r="L87" i="29"/>
  <c r="I87" i="29"/>
  <c r="D87" i="29"/>
  <c r="C87" i="29"/>
  <c r="F87" i="29" s="1" a="1"/>
  <c r="F87" i="29" s="1"/>
  <c r="P86" i="29"/>
  <c r="Q86" i="29" s="1"/>
  <c r="M86" i="29"/>
  <c r="L86" i="29"/>
  <c r="I86" i="29"/>
  <c r="C86" i="29"/>
  <c r="F86" i="29" s="1" a="1"/>
  <c r="F86" i="29" s="1"/>
  <c r="P85" i="29"/>
  <c r="Q85" i="29" s="1"/>
  <c r="M85" i="29"/>
  <c r="L85" i="29"/>
  <c r="I85" i="29"/>
  <c r="C85" i="29"/>
  <c r="F85" i="29" s="1" a="1"/>
  <c r="F85" i="29" s="1"/>
  <c r="P84" i="29"/>
  <c r="Q84" i="29" s="1"/>
  <c r="M84" i="29"/>
  <c r="L84" i="29"/>
  <c r="I84" i="29"/>
  <c r="C84" i="29"/>
  <c r="F84" i="29" s="1" a="1"/>
  <c r="F84" i="29" s="1"/>
  <c r="P83" i="29"/>
  <c r="Q83" i="29" s="1"/>
  <c r="M83" i="29"/>
  <c r="L83" i="29"/>
  <c r="I83" i="29"/>
  <c r="F83" i="29" a="1"/>
  <c r="F83" i="29" s="1"/>
  <c r="D83" i="29"/>
  <c r="C83" i="29"/>
  <c r="P82" i="29"/>
  <c r="Q82" i="29" s="1"/>
  <c r="M82" i="29"/>
  <c r="L82" i="29"/>
  <c r="I82" i="29"/>
  <c r="C82" i="29"/>
  <c r="F82" i="29" s="1" a="1"/>
  <c r="F82" i="29" s="1"/>
  <c r="P81" i="29"/>
  <c r="Q81" i="29" s="1"/>
  <c r="M81" i="29"/>
  <c r="L81" i="29"/>
  <c r="I81" i="29"/>
  <c r="C81" i="29"/>
  <c r="F81" i="29" s="1" a="1"/>
  <c r="F81" i="29" s="1"/>
  <c r="P80" i="29"/>
  <c r="Q80" i="29" s="1"/>
  <c r="M80" i="29"/>
  <c r="L80" i="29"/>
  <c r="I80" i="29"/>
  <c r="C80" i="29"/>
  <c r="F80" i="29" s="1" a="1"/>
  <c r="F80" i="29" s="1"/>
  <c r="P79" i="29"/>
  <c r="Q79" i="29" s="1"/>
  <c r="M79" i="29"/>
  <c r="L79" i="29"/>
  <c r="I79" i="29"/>
  <c r="C79" i="29"/>
  <c r="D79" i="29" s="1"/>
  <c r="P78" i="29"/>
  <c r="Q78" i="29" s="1"/>
  <c r="M78" i="29"/>
  <c r="L78" i="29"/>
  <c r="I78" i="29"/>
  <c r="C78" i="29"/>
  <c r="F78" i="29" s="1" a="1"/>
  <c r="F78" i="29" s="1"/>
  <c r="P77" i="29"/>
  <c r="Q77" i="29" s="1"/>
  <c r="M77" i="29"/>
  <c r="L77" i="29"/>
  <c r="I77" i="29"/>
  <c r="C77" i="29"/>
  <c r="F77" i="29" s="1" a="1"/>
  <c r="F77" i="29" s="1"/>
  <c r="P76" i="29"/>
  <c r="Q76" i="29" s="1"/>
  <c r="M76" i="29"/>
  <c r="L76" i="29"/>
  <c r="I76" i="29"/>
  <c r="C76" i="29"/>
  <c r="F76" i="29" s="1" a="1"/>
  <c r="F76" i="29" s="1"/>
  <c r="P75" i="29"/>
  <c r="Q75" i="29" s="1"/>
  <c r="M75" i="29"/>
  <c r="L75" i="29"/>
  <c r="I75" i="29"/>
  <c r="C75" i="29"/>
  <c r="F75" i="29" s="1" a="1"/>
  <c r="F75" i="29" s="1"/>
  <c r="P74" i="29"/>
  <c r="Q74" i="29" s="1"/>
  <c r="M74" i="29"/>
  <c r="L74" i="29"/>
  <c r="I74" i="29"/>
  <c r="C74" i="29"/>
  <c r="F74" i="29" s="1" a="1"/>
  <c r="F74" i="29" s="1"/>
  <c r="P73" i="29"/>
  <c r="Q73" i="29" s="1"/>
  <c r="M73" i="29"/>
  <c r="L73" i="29"/>
  <c r="I73" i="29"/>
  <c r="C73" i="29"/>
  <c r="F73" i="29" s="1" a="1"/>
  <c r="F73" i="29" s="1"/>
  <c r="P72" i="29"/>
  <c r="Q72" i="29" s="1"/>
  <c r="M72" i="29"/>
  <c r="L72" i="29"/>
  <c r="I72" i="29"/>
  <c r="C72" i="29"/>
  <c r="F72" i="29" s="1" a="1"/>
  <c r="F72" i="29" s="1"/>
  <c r="P71" i="29"/>
  <c r="Q71" i="29" s="1"/>
  <c r="M71" i="29"/>
  <c r="L71" i="29"/>
  <c r="I71" i="29"/>
  <c r="C71" i="29"/>
  <c r="F71" i="29" s="1" a="1"/>
  <c r="F71" i="29" s="1"/>
  <c r="P70" i="29"/>
  <c r="Q70" i="29" s="1"/>
  <c r="M70" i="29"/>
  <c r="L70" i="29"/>
  <c r="I70" i="29"/>
  <c r="C70" i="29"/>
  <c r="F70" i="29" s="1" a="1"/>
  <c r="F70" i="29" s="1"/>
  <c r="P69" i="29"/>
  <c r="Q69" i="29" s="1"/>
  <c r="M69" i="29"/>
  <c r="L69" i="29"/>
  <c r="I69" i="29"/>
  <c r="C69" i="29"/>
  <c r="F69" i="29" s="1" a="1"/>
  <c r="F69" i="29" s="1"/>
  <c r="P68" i="29"/>
  <c r="Q68" i="29" s="1"/>
  <c r="M68" i="29"/>
  <c r="L68" i="29"/>
  <c r="I68" i="29"/>
  <c r="C68" i="29"/>
  <c r="F68" i="29" s="1" a="1"/>
  <c r="F68" i="29" s="1"/>
  <c r="P67" i="29"/>
  <c r="Q67" i="29" s="1"/>
  <c r="M67" i="29"/>
  <c r="L67" i="29"/>
  <c r="I67" i="29"/>
  <c r="F67" i="29" a="1"/>
  <c r="F67" i="29" s="1"/>
  <c r="C67" i="29"/>
  <c r="D67" i="29" s="1"/>
  <c r="P66" i="29"/>
  <c r="Q66" i="29" s="1"/>
  <c r="M66" i="29"/>
  <c r="L66" i="29"/>
  <c r="I66" i="29"/>
  <c r="C66" i="29"/>
  <c r="F66" i="29" s="1" a="1"/>
  <c r="F66" i="29" s="1"/>
  <c r="P65" i="29"/>
  <c r="Q65" i="29" s="1"/>
  <c r="M65" i="29"/>
  <c r="L65" i="29"/>
  <c r="I65" i="29"/>
  <c r="C65" i="29"/>
  <c r="F65" i="29" s="1" a="1"/>
  <c r="F65" i="29" s="1"/>
  <c r="P64" i="29"/>
  <c r="Q64" i="29" s="1"/>
  <c r="M64" i="29"/>
  <c r="L64" i="29"/>
  <c r="I64" i="29"/>
  <c r="C64" i="29"/>
  <c r="F64" i="29" s="1" a="1"/>
  <c r="F64" i="29" s="1"/>
  <c r="P63" i="29"/>
  <c r="Q63" i="29" s="1"/>
  <c r="M63" i="29"/>
  <c r="L63" i="29"/>
  <c r="I63" i="29"/>
  <c r="C63" i="29"/>
  <c r="D63" i="29" s="1"/>
  <c r="P62" i="29"/>
  <c r="Q62" i="29" s="1"/>
  <c r="M62" i="29"/>
  <c r="L62" i="29"/>
  <c r="I62" i="29"/>
  <c r="C62" i="29"/>
  <c r="F62" i="29" s="1" a="1"/>
  <c r="F62" i="29" s="1"/>
  <c r="P61" i="29"/>
  <c r="Q61" i="29" s="1"/>
  <c r="M61" i="29"/>
  <c r="L61" i="29"/>
  <c r="I61" i="29"/>
  <c r="C61" i="29"/>
  <c r="F61" i="29" s="1" a="1"/>
  <c r="F61" i="29" s="1"/>
  <c r="P60" i="29"/>
  <c r="Q60" i="29" s="1"/>
  <c r="M60" i="29"/>
  <c r="L60" i="29"/>
  <c r="I60" i="29"/>
  <c r="C60" i="29"/>
  <c r="F60" i="29" s="1" a="1"/>
  <c r="F60" i="29" s="1"/>
  <c r="P59" i="29"/>
  <c r="Q59" i="29" s="1"/>
  <c r="M59" i="29"/>
  <c r="L59" i="29"/>
  <c r="I59" i="29"/>
  <c r="C59" i="29"/>
  <c r="F59" i="29" s="1" a="1"/>
  <c r="F59" i="29" s="1"/>
  <c r="Q58" i="29"/>
  <c r="P58" i="29"/>
  <c r="M58" i="29"/>
  <c r="L58" i="29"/>
  <c r="I58" i="29"/>
  <c r="C58" i="29"/>
  <c r="F58" i="29" s="1" a="1"/>
  <c r="F58" i="29" s="1"/>
  <c r="P57" i="29"/>
  <c r="Q57" i="29" s="1"/>
  <c r="M57" i="29"/>
  <c r="L57" i="29"/>
  <c r="I57" i="29"/>
  <c r="C57" i="29"/>
  <c r="F57" i="29" s="1" a="1"/>
  <c r="F57" i="29" s="1"/>
  <c r="P56" i="29"/>
  <c r="Q56" i="29" s="1"/>
  <c r="M56" i="29"/>
  <c r="L56" i="29"/>
  <c r="I56" i="29"/>
  <c r="C56" i="29"/>
  <c r="F56" i="29" s="1" a="1"/>
  <c r="F56" i="29" s="1"/>
  <c r="P55" i="29"/>
  <c r="Q55" i="29" s="1"/>
  <c r="M55" i="29"/>
  <c r="L55" i="29"/>
  <c r="I55" i="29"/>
  <c r="C55" i="29"/>
  <c r="F55" i="29" s="1" a="1"/>
  <c r="F55" i="29" s="1"/>
  <c r="P54" i="29"/>
  <c r="Q54" i="29" s="1"/>
  <c r="M54" i="29"/>
  <c r="L54" i="29"/>
  <c r="I54" i="29"/>
  <c r="C54" i="29"/>
  <c r="F54" i="29" s="1" a="1"/>
  <c r="F54" i="29" s="1"/>
  <c r="P53" i="29"/>
  <c r="Q53" i="29" s="1"/>
  <c r="M53" i="29"/>
  <c r="L53" i="29"/>
  <c r="I53" i="29"/>
  <c r="C53" i="29"/>
  <c r="F53" i="29" s="1" a="1"/>
  <c r="F53" i="29" s="1"/>
  <c r="P52" i="29"/>
  <c r="Q52" i="29" s="1"/>
  <c r="M52" i="29"/>
  <c r="L52" i="29"/>
  <c r="I52" i="29"/>
  <c r="C52" i="29"/>
  <c r="F52" i="29" s="1" a="1"/>
  <c r="F52" i="29" s="1"/>
  <c r="P51" i="29"/>
  <c r="Q51" i="29" s="1"/>
  <c r="M51" i="29"/>
  <c r="L51" i="29"/>
  <c r="I51" i="29"/>
  <c r="F51" i="29" a="1"/>
  <c r="F51" i="29" s="1"/>
  <c r="D51" i="29"/>
  <c r="C51" i="29"/>
  <c r="P50" i="29"/>
  <c r="Q50" i="29" s="1"/>
  <c r="M50" i="29"/>
  <c r="L50" i="29"/>
  <c r="I50" i="29"/>
  <c r="C50" i="29"/>
  <c r="F50" i="29" s="1" a="1"/>
  <c r="F50" i="29" s="1"/>
  <c r="P49" i="29"/>
  <c r="Q49" i="29" s="1"/>
  <c r="M49" i="29"/>
  <c r="L49" i="29"/>
  <c r="I49" i="29"/>
  <c r="C49" i="29"/>
  <c r="F49" i="29" s="1" a="1"/>
  <c r="F49" i="29" s="1"/>
  <c r="P48" i="29"/>
  <c r="Q48" i="29" s="1"/>
  <c r="M48" i="29"/>
  <c r="L48" i="29"/>
  <c r="I48" i="29"/>
  <c r="C48" i="29"/>
  <c r="F48" i="29" s="1" a="1"/>
  <c r="F48" i="29" s="1"/>
  <c r="P47" i="29"/>
  <c r="Q47" i="29" s="1"/>
  <c r="M47" i="29"/>
  <c r="L47" i="29"/>
  <c r="I47" i="29"/>
  <c r="C47" i="29"/>
  <c r="F47" i="29" s="1" a="1"/>
  <c r="F47" i="29" s="1"/>
  <c r="P46" i="29"/>
  <c r="Q46" i="29" s="1"/>
  <c r="M46" i="29"/>
  <c r="L46" i="29"/>
  <c r="I46" i="29"/>
  <c r="C46" i="29"/>
  <c r="F46" i="29" s="1" a="1"/>
  <c r="F46" i="29" s="1"/>
  <c r="P45" i="29"/>
  <c r="Q45" i="29" s="1"/>
  <c r="M45" i="29"/>
  <c r="L45" i="29"/>
  <c r="I45" i="29"/>
  <c r="C45" i="29"/>
  <c r="F45" i="29" s="1" a="1"/>
  <c r="F45" i="29" s="1"/>
  <c r="P44" i="29"/>
  <c r="Q44" i="29" s="1"/>
  <c r="M44" i="29"/>
  <c r="L44" i="29"/>
  <c r="I44" i="29"/>
  <c r="C44" i="29"/>
  <c r="F44" i="29" s="1" a="1"/>
  <c r="F44" i="29" s="1"/>
  <c r="P43" i="29"/>
  <c r="Q43" i="29" s="1"/>
  <c r="M43" i="29"/>
  <c r="L43" i="29"/>
  <c r="I43" i="29"/>
  <c r="C43" i="29"/>
  <c r="F43" i="29" s="1" a="1"/>
  <c r="F43" i="29" s="1"/>
  <c r="P42" i="29"/>
  <c r="Q42" i="29" s="1"/>
  <c r="M42" i="29"/>
  <c r="L42" i="29"/>
  <c r="I42" i="29"/>
  <c r="C42" i="29"/>
  <c r="F42" i="29" s="1" a="1"/>
  <c r="F42" i="29" s="1"/>
  <c r="P41" i="29"/>
  <c r="Q41" i="29" s="1"/>
  <c r="M41" i="29"/>
  <c r="L41" i="29"/>
  <c r="I41" i="29"/>
  <c r="C41" i="29"/>
  <c r="F41" i="29" s="1" a="1"/>
  <c r="F41" i="29" s="1"/>
  <c r="P40" i="29"/>
  <c r="Q40" i="29" s="1"/>
  <c r="M40" i="29"/>
  <c r="L40" i="29"/>
  <c r="I40" i="29"/>
  <c r="C40" i="29"/>
  <c r="F40" i="29" s="1" a="1"/>
  <c r="F40" i="29" s="1"/>
  <c r="P39" i="29"/>
  <c r="Q39" i="29" s="1"/>
  <c r="M39" i="29"/>
  <c r="L39" i="29"/>
  <c r="I39" i="29"/>
  <c r="C39" i="29"/>
  <c r="F39" i="29" s="1" a="1"/>
  <c r="F39" i="29" s="1"/>
  <c r="P38" i="29"/>
  <c r="Q38" i="29" s="1"/>
  <c r="M38" i="29"/>
  <c r="L38" i="29"/>
  <c r="I38" i="29"/>
  <c r="C38" i="29"/>
  <c r="F38" i="29" s="1" a="1"/>
  <c r="F38" i="29" s="1"/>
  <c r="P37" i="29"/>
  <c r="Q37" i="29" s="1"/>
  <c r="M37" i="29"/>
  <c r="L37" i="29"/>
  <c r="I37" i="29"/>
  <c r="C37" i="29"/>
  <c r="F37" i="29" s="1" a="1"/>
  <c r="F37" i="29" s="1"/>
  <c r="P36" i="29"/>
  <c r="Q36" i="29" s="1"/>
  <c r="M36" i="29"/>
  <c r="L36" i="29"/>
  <c r="I36" i="29"/>
  <c r="C36" i="29"/>
  <c r="D36" i="29" s="1"/>
  <c r="P35" i="29"/>
  <c r="Q35" i="29" s="1"/>
  <c r="M35" i="29"/>
  <c r="L35" i="29"/>
  <c r="I35" i="29"/>
  <c r="F35" i="29" a="1"/>
  <c r="F35" i="29" s="1"/>
  <c r="D35" i="29"/>
  <c r="C35" i="29"/>
  <c r="P34" i="29"/>
  <c r="Q34" i="29" s="1"/>
  <c r="M34" i="29"/>
  <c r="L34" i="29"/>
  <c r="I34" i="29"/>
  <c r="C34" i="29"/>
  <c r="F34" i="29" s="1" a="1"/>
  <c r="F34" i="29" s="1"/>
  <c r="P33" i="29"/>
  <c r="Q33" i="29" s="1"/>
  <c r="M33" i="29"/>
  <c r="L33" i="29"/>
  <c r="I33" i="29"/>
  <c r="D33" i="29"/>
  <c r="C33" i="29"/>
  <c r="F33" i="29" s="1" a="1"/>
  <c r="F33" i="29" s="1"/>
  <c r="P32" i="29"/>
  <c r="Q32" i="29" s="1"/>
  <c r="M32" i="29"/>
  <c r="L32" i="29"/>
  <c r="I32" i="29"/>
  <c r="C32" i="29"/>
  <c r="D32" i="29" s="1"/>
  <c r="P31" i="29"/>
  <c r="Q31" i="29" s="1"/>
  <c r="M31" i="29"/>
  <c r="L31" i="29"/>
  <c r="I31" i="29"/>
  <c r="C31" i="29"/>
  <c r="F31" i="29" s="1" a="1"/>
  <c r="F31" i="29" s="1"/>
  <c r="P30" i="29"/>
  <c r="Q30" i="29" s="1"/>
  <c r="M30" i="29"/>
  <c r="L30" i="29"/>
  <c r="I30" i="29"/>
  <c r="C30" i="29"/>
  <c r="F30" i="29" s="1" a="1"/>
  <c r="F30" i="29" s="1"/>
  <c r="P29" i="29"/>
  <c r="Q29" i="29" s="1"/>
  <c r="M29" i="29"/>
  <c r="L29" i="29"/>
  <c r="I29" i="29"/>
  <c r="C29" i="29"/>
  <c r="F29" i="29" s="1" a="1"/>
  <c r="F29" i="29" s="1"/>
  <c r="P28" i="29"/>
  <c r="Q28" i="29" s="1"/>
  <c r="M28" i="29"/>
  <c r="L28" i="29"/>
  <c r="I28" i="29"/>
  <c r="C28" i="29"/>
  <c r="D28" i="29" s="1"/>
  <c r="P27" i="29"/>
  <c r="Q27" i="29" s="1"/>
  <c r="M27" i="29"/>
  <c r="L27" i="29"/>
  <c r="I27" i="29"/>
  <c r="C27" i="29"/>
  <c r="D27" i="29" s="1"/>
  <c r="Q26" i="29"/>
  <c r="P26" i="29"/>
  <c r="M26" i="29"/>
  <c r="L26" i="29"/>
  <c r="I26" i="29"/>
  <c r="C26" i="29"/>
  <c r="F26" i="29" s="1" a="1"/>
  <c r="F26" i="29" s="1"/>
  <c r="P25" i="29"/>
  <c r="Q25" i="29" s="1"/>
  <c r="M25" i="29"/>
  <c r="L25" i="29"/>
  <c r="I25" i="29"/>
  <c r="C25" i="29"/>
  <c r="F25" i="29" s="1" a="1"/>
  <c r="F25" i="29" s="1"/>
  <c r="P24" i="29"/>
  <c r="Q24" i="29" s="1"/>
  <c r="M24" i="29"/>
  <c r="L24" i="29"/>
  <c r="I24" i="29"/>
  <c r="F24" i="29" a="1"/>
  <c r="F24" i="29" s="1"/>
  <c r="C24" i="29"/>
  <c r="D24" i="29" s="1"/>
  <c r="P23" i="29"/>
  <c r="Q23" i="29" s="1"/>
  <c r="M23" i="29"/>
  <c r="L23" i="29"/>
  <c r="I23" i="29"/>
  <c r="C23" i="29"/>
  <c r="D23" i="29" s="1"/>
  <c r="P22" i="29"/>
  <c r="Q22" i="29" s="1"/>
  <c r="M22" i="29"/>
  <c r="L22" i="29"/>
  <c r="I22" i="29"/>
  <c r="C22" i="29"/>
  <c r="F22" i="29" s="1" a="1"/>
  <c r="F22" i="29" s="1"/>
  <c r="P21" i="29"/>
  <c r="Q21" i="29" s="1"/>
  <c r="M21" i="29"/>
  <c r="L21" i="29"/>
  <c r="I21" i="29"/>
  <c r="C21" i="29"/>
  <c r="F21" i="29" s="1" a="1"/>
  <c r="F21" i="29" s="1"/>
  <c r="P20" i="29"/>
  <c r="Q20" i="29" s="1"/>
  <c r="M20" i="29"/>
  <c r="L20" i="29"/>
  <c r="I20" i="29"/>
  <c r="C20" i="29"/>
  <c r="D20" i="29" s="1"/>
  <c r="P19" i="29"/>
  <c r="Q19" i="29" s="1"/>
  <c r="M19" i="29"/>
  <c r="L19" i="29"/>
  <c r="I19" i="29"/>
  <c r="F19" i="29" a="1"/>
  <c r="F19" i="29" s="1"/>
  <c r="D19" i="29"/>
  <c r="C19" i="29"/>
  <c r="P18" i="29"/>
  <c r="Q18" i="29" s="1"/>
  <c r="M18" i="29"/>
  <c r="L18" i="29"/>
  <c r="I18" i="29"/>
  <c r="C18" i="29"/>
  <c r="F18" i="29" s="1" a="1"/>
  <c r="F18" i="29" s="1"/>
  <c r="P17" i="29"/>
  <c r="Q17" i="29" s="1"/>
  <c r="M17" i="29"/>
  <c r="L17" i="29"/>
  <c r="I17" i="29"/>
  <c r="D17" i="29"/>
  <c r="C17" i="29"/>
  <c r="F17" i="29" s="1" a="1"/>
  <c r="F17" i="29" s="1"/>
  <c r="P16" i="29"/>
  <c r="Q16" i="29" s="1"/>
  <c r="M16" i="29"/>
  <c r="L16" i="29"/>
  <c r="Q15" i="29"/>
  <c r="P15" i="29"/>
  <c r="M15" i="29"/>
  <c r="L15" i="29"/>
  <c r="M14" i="29"/>
  <c r="L14" i="29"/>
  <c r="P13" i="29"/>
  <c r="Q13" i="29" s="1"/>
  <c r="M13" i="29"/>
  <c r="L13" i="29"/>
  <c r="Q12" i="29"/>
  <c r="P12" i="29"/>
  <c r="M12" i="29"/>
  <c r="L12" i="29"/>
  <c r="Q11" i="29"/>
  <c r="P11" i="29"/>
  <c r="M11" i="29"/>
  <c r="L11" i="29"/>
  <c r="P10" i="29"/>
  <c r="Q10" i="29" s="1"/>
  <c r="M10" i="29"/>
  <c r="L10" i="29"/>
  <c r="Q9" i="29"/>
  <c r="P9" i="29"/>
  <c r="M9" i="29"/>
  <c r="L9" i="29"/>
  <c r="Q8" i="29"/>
  <c r="P8" i="29"/>
  <c r="M8" i="29"/>
  <c r="L8" i="29"/>
  <c r="P7" i="29"/>
  <c r="Q7" i="29" s="1"/>
  <c r="M7" i="29"/>
  <c r="L7" i="29"/>
  <c r="Q6" i="29"/>
  <c r="P6" i="29"/>
  <c r="M6" i="29"/>
  <c r="L6" i="29"/>
  <c r="F63" i="29" l="1" a="1"/>
  <c r="F63" i="29" s="1"/>
  <c r="F79" i="29" a="1"/>
  <c r="F79" i="29" s="1"/>
  <c r="D82" i="29"/>
  <c r="D95" i="29"/>
  <c r="F32" i="29" a="1"/>
  <c r="F32" i="29" s="1"/>
  <c r="D59" i="29"/>
  <c r="F27" i="29" a="1"/>
  <c r="F27" i="29" s="1"/>
  <c r="D31" i="29"/>
  <c r="F36" i="29" a="1"/>
  <c r="F36" i="29" s="1"/>
  <c r="D55" i="29"/>
  <c r="D75" i="29"/>
  <c r="D39" i="29"/>
  <c r="D43" i="29"/>
  <c r="D47" i="29"/>
  <c r="D71" i="29"/>
  <c r="F23" i="29" a="1"/>
  <c r="F23" i="29" s="1"/>
  <c r="D25" i="29"/>
  <c r="F28" i="29" a="1"/>
  <c r="F28" i="29" s="1"/>
  <c r="D37" i="29"/>
  <c r="D41" i="29"/>
  <c r="D45" i="29"/>
  <c r="D21" i="29"/>
  <c r="F20" i="29" a="1"/>
  <c r="F20" i="29" s="1"/>
  <c r="D29" i="29"/>
  <c r="D99" i="29"/>
  <c r="D18" i="29"/>
  <c r="D42" i="29"/>
  <c r="D58" i="29"/>
  <c r="D66" i="29"/>
  <c r="D49" i="29"/>
  <c r="D53" i="29"/>
  <c r="D57" i="29"/>
  <c r="D61" i="29"/>
  <c r="D65" i="29"/>
  <c r="D69" i="29"/>
  <c r="D73" i="29"/>
  <c r="D77" i="29"/>
  <c r="D81" i="29"/>
  <c r="D85" i="29"/>
  <c r="D89" i="29"/>
  <c r="D93" i="29"/>
  <c r="D97" i="29"/>
  <c r="D30" i="29"/>
  <c r="D46" i="29"/>
  <c r="D22" i="29"/>
  <c r="D26" i="29"/>
  <c r="D34" i="29"/>
  <c r="D38" i="29"/>
  <c r="D50" i="29"/>
  <c r="D70" i="29"/>
  <c r="D40" i="29"/>
  <c r="D44" i="29"/>
  <c r="D48" i="29"/>
  <c r="D52" i="29"/>
  <c r="D56" i="29"/>
  <c r="D60" i="29"/>
  <c r="D64" i="29"/>
  <c r="D68" i="29"/>
  <c r="D72" i="29"/>
  <c r="D76" i="29"/>
  <c r="D80" i="29"/>
  <c r="D84" i="29"/>
  <c r="D88" i="29"/>
  <c r="D92" i="29"/>
  <c r="D96" i="29"/>
  <c r="D100" i="29"/>
  <c r="D54" i="29"/>
  <c r="D62" i="29"/>
  <c r="D74" i="29"/>
  <c r="D78" i="29"/>
  <c r="D86" i="29"/>
  <c r="D90" i="29"/>
  <c r="D94" i="29"/>
  <c r="D98" i="29"/>
  <c r="P100" i="25" l="1"/>
  <c r="Q100" i="25" s="1"/>
  <c r="M100" i="25"/>
  <c r="L100" i="25"/>
  <c r="I100" i="25"/>
  <c r="C100" i="25"/>
  <c r="F100" i="25" s="1" a="1"/>
  <c r="F100" i="25" s="1"/>
  <c r="P99" i="25"/>
  <c r="Q99" i="25" s="1"/>
  <c r="M99" i="25"/>
  <c r="L99" i="25"/>
  <c r="I99" i="25"/>
  <c r="C99" i="25"/>
  <c r="F99" i="25" s="1" a="1"/>
  <c r="F99" i="25" s="1"/>
  <c r="P98" i="25"/>
  <c r="Q98" i="25" s="1"/>
  <c r="M98" i="25"/>
  <c r="L98" i="25"/>
  <c r="I98" i="25"/>
  <c r="C98" i="25"/>
  <c r="F98" i="25" s="1" a="1"/>
  <c r="F98" i="25" s="1"/>
  <c r="P97" i="25"/>
  <c r="Q97" i="25" s="1"/>
  <c r="M97" i="25"/>
  <c r="L97" i="25"/>
  <c r="I97" i="25"/>
  <c r="C97" i="25"/>
  <c r="F97" i="25" s="1" a="1"/>
  <c r="F97" i="25" s="1"/>
  <c r="P96" i="25"/>
  <c r="Q96" i="25" s="1"/>
  <c r="M96" i="25"/>
  <c r="L96" i="25"/>
  <c r="I96" i="25"/>
  <c r="C96" i="25"/>
  <c r="F96" i="25" s="1" a="1"/>
  <c r="F96" i="25" s="1"/>
  <c r="P95" i="25"/>
  <c r="Q95" i="25" s="1"/>
  <c r="M95" i="25"/>
  <c r="L95" i="25"/>
  <c r="I95" i="25"/>
  <c r="C95" i="25"/>
  <c r="F95" i="25" s="1" a="1"/>
  <c r="F95" i="25" s="1"/>
  <c r="P94" i="25"/>
  <c r="Q94" i="25" s="1"/>
  <c r="M94" i="25"/>
  <c r="L94" i="25"/>
  <c r="I94" i="25"/>
  <c r="C94" i="25"/>
  <c r="F94" i="25" s="1" a="1"/>
  <c r="F94" i="25" s="1"/>
  <c r="P93" i="25"/>
  <c r="Q93" i="25" s="1"/>
  <c r="M93" i="25"/>
  <c r="L93" i="25"/>
  <c r="I93" i="25"/>
  <c r="C93" i="25"/>
  <c r="F93" i="25" s="1" a="1"/>
  <c r="F93" i="25" s="1"/>
  <c r="P92" i="25"/>
  <c r="Q92" i="25" s="1"/>
  <c r="M92" i="25"/>
  <c r="L92" i="25"/>
  <c r="I92" i="25"/>
  <c r="C92" i="25"/>
  <c r="F92" i="25" s="1" a="1"/>
  <c r="F92" i="25" s="1"/>
  <c r="P91" i="25"/>
  <c r="Q91" i="25" s="1"/>
  <c r="M91" i="25"/>
  <c r="L91" i="25"/>
  <c r="I91" i="25"/>
  <c r="C91" i="25"/>
  <c r="F91" i="25" s="1" a="1"/>
  <c r="F91" i="25" s="1"/>
  <c r="P90" i="25"/>
  <c r="Q90" i="25" s="1"/>
  <c r="M90" i="25"/>
  <c r="L90" i="25"/>
  <c r="I90" i="25"/>
  <c r="C90" i="25"/>
  <c r="F90" i="25" s="1" a="1"/>
  <c r="F90" i="25" s="1"/>
  <c r="P89" i="25"/>
  <c r="Q89" i="25" s="1"/>
  <c r="M89" i="25"/>
  <c r="L89" i="25"/>
  <c r="I89" i="25"/>
  <c r="C89" i="25"/>
  <c r="F89" i="25" s="1" a="1"/>
  <c r="F89" i="25" s="1"/>
  <c r="P88" i="25"/>
  <c r="Q88" i="25" s="1"/>
  <c r="M88" i="25"/>
  <c r="L88" i="25"/>
  <c r="I88" i="25"/>
  <c r="C88" i="25"/>
  <c r="F88" i="25" s="1" a="1"/>
  <c r="F88" i="25" s="1"/>
  <c r="P87" i="25"/>
  <c r="Q87" i="25" s="1"/>
  <c r="M87" i="25"/>
  <c r="L87" i="25"/>
  <c r="I87" i="25"/>
  <c r="C87" i="25"/>
  <c r="F87" i="25" s="1" a="1"/>
  <c r="F87" i="25" s="1"/>
  <c r="P86" i="25"/>
  <c r="Q86" i="25" s="1"/>
  <c r="M86" i="25"/>
  <c r="L86" i="25"/>
  <c r="I86" i="25"/>
  <c r="C86" i="25"/>
  <c r="F86" i="25" s="1" a="1"/>
  <c r="F86" i="25" s="1"/>
  <c r="P85" i="25"/>
  <c r="Q85" i="25" s="1"/>
  <c r="M85" i="25"/>
  <c r="L85" i="25"/>
  <c r="I85" i="25"/>
  <c r="C85" i="25"/>
  <c r="F85" i="25" s="1" a="1"/>
  <c r="F85" i="25" s="1"/>
  <c r="P84" i="25"/>
  <c r="Q84" i="25" s="1"/>
  <c r="M84" i="25"/>
  <c r="L84" i="25"/>
  <c r="I84" i="25"/>
  <c r="C84" i="25"/>
  <c r="F84" i="25" s="1" a="1"/>
  <c r="F84" i="25" s="1"/>
  <c r="P83" i="25"/>
  <c r="Q83" i="25" s="1"/>
  <c r="M83" i="25"/>
  <c r="L83" i="25"/>
  <c r="I83" i="25"/>
  <c r="C83" i="25"/>
  <c r="F83" i="25" s="1" a="1"/>
  <c r="F83" i="25" s="1"/>
  <c r="P82" i="25"/>
  <c r="Q82" i="25" s="1"/>
  <c r="M82" i="25"/>
  <c r="L82" i="25"/>
  <c r="I82" i="25"/>
  <c r="C82" i="25"/>
  <c r="F82" i="25" s="1" a="1"/>
  <c r="F82" i="25" s="1"/>
  <c r="P81" i="25"/>
  <c r="Q81" i="25" s="1"/>
  <c r="M81" i="25"/>
  <c r="L81" i="25"/>
  <c r="I81" i="25"/>
  <c r="C81" i="25"/>
  <c r="F81" i="25" s="1" a="1"/>
  <c r="F81" i="25" s="1"/>
  <c r="P80" i="25"/>
  <c r="Q80" i="25" s="1"/>
  <c r="M80" i="25"/>
  <c r="L80" i="25"/>
  <c r="I80" i="25"/>
  <c r="C80" i="25"/>
  <c r="F80" i="25" s="1" a="1"/>
  <c r="F80" i="25" s="1"/>
  <c r="P79" i="25"/>
  <c r="Q79" i="25" s="1"/>
  <c r="M79" i="25"/>
  <c r="L79" i="25"/>
  <c r="I79" i="25"/>
  <c r="C79" i="25"/>
  <c r="F79" i="25" s="1" a="1"/>
  <c r="F79" i="25" s="1"/>
  <c r="P78" i="25"/>
  <c r="Q78" i="25" s="1"/>
  <c r="M78" i="25"/>
  <c r="L78" i="25"/>
  <c r="I78" i="25"/>
  <c r="C78" i="25"/>
  <c r="F78" i="25" s="1" a="1"/>
  <c r="F78" i="25" s="1"/>
  <c r="P77" i="25"/>
  <c r="Q77" i="25" s="1"/>
  <c r="M77" i="25"/>
  <c r="L77" i="25"/>
  <c r="I77" i="25"/>
  <c r="C77" i="25"/>
  <c r="F77" i="25" s="1" a="1"/>
  <c r="F77" i="25" s="1"/>
  <c r="P76" i="25"/>
  <c r="Q76" i="25" s="1"/>
  <c r="M76" i="25"/>
  <c r="L76" i="25"/>
  <c r="I76" i="25"/>
  <c r="C76" i="25"/>
  <c r="F76" i="25" s="1" a="1"/>
  <c r="F76" i="25" s="1"/>
  <c r="P75" i="25"/>
  <c r="Q75" i="25" s="1"/>
  <c r="M75" i="25"/>
  <c r="L75" i="25"/>
  <c r="I75" i="25"/>
  <c r="C75" i="25"/>
  <c r="F75" i="25" s="1" a="1"/>
  <c r="F75" i="25" s="1"/>
  <c r="P74" i="25"/>
  <c r="Q74" i="25" s="1"/>
  <c r="M74" i="25"/>
  <c r="L74" i="25"/>
  <c r="I74" i="25"/>
  <c r="C74" i="25"/>
  <c r="F74" i="25" s="1" a="1"/>
  <c r="F74" i="25" s="1"/>
  <c r="P73" i="25"/>
  <c r="Q73" i="25" s="1"/>
  <c r="M73" i="25"/>
  <c r="L73" i="25"/>
  <c r="I73" i="25"/>
  <c r="C73" i="25"/>
  <c r="F73" i="25" s="1" a="1"/>
  <c r="F73" i="25" s="1"/>
  <c r="P72" i="25"/>
  <c r="Q72" i="25" s="1"/>
  <c r="M72" i="25"/>
  <c r="L72" i="25"/>
  <c r="I72" i="25"/>
  <c r="C72" i="25"/>
  <c r="F72" i="25" s="1" a="1"/>
  <c r="F72" i="25" s="1"/>
  <c r="P71" i="25"/>
  <c r="Q71" i="25" s="1"/>
  <c r="M71" i="25"/>
  <c r="L71" i="25"/>
  <c r="I71" i="25"/>
  <c r="C71" i="25"/>
  <c r="F71" i="25" s="1" a="1"/>
  <c r="F71" i="25" s="1"/>
  <c r="P70" i="25"/>
  <c r="Q70" i="25" s="1"/>
  <c r="M70" i="25"/>
  <c r="L70" i="25"/>
  <c r="I70" i="25"/>
  <c r="C70" i="25"/>
  <c r="F70" i="25" s="1" a="1"/>
  <c r="F70" i="25" s="1"/>
  <c r="P69" i="25"/>
  <c r="Q69" i="25" s="1"/>
  <c r="M69" i="25"/>
  <c r="L69" i="25"/>
  <c r="I69" i="25"/>
  <c r="C69" i="25"/>
  <c r="F69" i="25" s="1" a="1"/>
  <c r="F69" i="25" s="1"/>
  <c r="P68" i="25"/>
  <c r="Q68" i="25" s="1"/>
  <c r="M68" i="25"/>
  <c r="L68" i="25"/>
  <c r="I68" i="25"/>
  <c r="C68" i="25"/>
  <c r="F68" i="25" s="1" a="1"/>
  <c r="F68" i="25" s="1"/>
  <c r="P67" i="25"/>
  <c r="Q67" i="25" s="1"/>
  <c r="M67" i="25"/>
  <c r="L67" i="25"/>
  <c r="I67" i="25"/>
  <c r="C67" i="25"/>
  <c r="F67" i="25" s="1" a="1"/>
  <c r="F67" i="25" s="1"/>
  <c r="P66" i="25"/>
  <c r="Q66" i="25" s="1"/>
  <c r="M66" i="25"/>
  <c r="L66" i="25"/>
  <c r="I66" i="25"/>
  <c r="C66" i="25"/>
  <c r="F66" i="25" s="1" a="1"/>
  <c r="F66" i="25" s="1"/>
  <c r="P65" i="25"/>
  <c r="Q65" i="25" s="1"/>
  <c r="M65" i="25"/>
  <c r="L65" i="25"/>
  <c r="I65" i="25"/>
  <c r="C65" i="25"/>
  <c r="F65" i="25" s="1" a="1"/>
  <c r="F65" i="25" s="1"/>
  <c r="P64" i="25"/>
  <c r="Q64" i="25" s="1"/>
  <c r="M64" i="25"/>
  <c r="L64" i="25"/>
  <c r="I64" i="25"/>
  <c r="C64" i="25"/>
  <c r="F64" i="25" s="1" a="1"/>
  <c r="F64" i="25" s="1"/>
  <c r="P63" i="25"/>
  <c r="Q63" i="25" s="1"/>
  <c r="M63" i="25"/>
  <c r="L63" i="25"/>
  <c r="I63" i="25"/>
  <c r="C63" i="25"/>
  <c r="F63" i="25" s="1" a="1"/>
  <c r="F63" i="25" s="1"/>
  <c r="P62" i="25"/>
  <c r="Q62" i="25" s="1"/>
  <c r="M62" i="25"/>
  <c r="L62" i="25"/>
  <c r="I62" i="25"/>
  <c r="C62" i="25"/>
  <c r="F62" i="25" s="1" a="1"/>
  <c r="F62" i="25" s="1"/>
  <c r="P61" i="25"/>
  <c r="Q61" i="25" s="1"/>
  <c r="M61" i="25"/>
  <c r="L61" i="25"/>
  <c r="I61" i="25"/>
  <c r="C61" i="25"/>
  <c r="F61" i="25" s="1" a="1"/>
  <c r="F61" i="25" s="1"/>
  <c r="P60" i="25"/>
  <c r="Q60" i="25" s="1"/>
  <c r="M60" i="25"/>
  <c r="L60" i="25"/>
  <c r="I60" i="25"/>
  <c r="C60" i="25"/>
  <c r="F60" i="25" s="1" a="1"/>
  <c r="F60" i="25" s="1"/>
  <c r="P59" i="25"/>
  <c r="Q59" i="25" s="1"/>
  <c r="M59" i="25"/>
  <c r="L59" i="25"/>
  <c r="I59" i="25"/>
  <c r="C59" i="25"/>
  <c r="F59" i="25" s="1" a="1"/>
  <c r="F59" i="25" s="1"/>
  <c r="P58" i="25"/>
  <c r="Q58" i="25" s="1"/>
  <c r="M58" i="25"/>
  <c r="L58" i="25"/>
  <c r="I58" i="25"/>
  <c r="F58" i="25" a="1"/>
  <c r="F58" i="25" s="1"/>
  <c r="C58" i="25"/>
  <c r="D58" i="25" s="1"/>
  <c r="P57" i="25"/>
  <c r="Q57" i="25" s="1"/>
  <c r="M57" i="25"/>
  <c r="L57" i="25"/>
  <c r="I57" i="25"/>
  <c r="D57" i="25"/>
  <c r="C57" i="25"/>
  <c r="F57" i="25" s="1" a="1"/>
  <c r="F57" i="25" s="1"/>
  <c r="Q56" i="25"/>
  <c r="P56" i="25"/>
  <c r="M56" i="25"/>
  <c r="L56" i="25"/>
  <c r="I56" i="25"/>
  <c r="C56" i="25"/>
  <c r="F56" i="25" s="1" a="1"/>
  <c r="F56" i="25" s="1"/>
  <c r="P55" i="25"/>
  <c r="Q55" i="25" s="1"/>
  <c r="M55" i="25"/>
  <c r="L55" i="25"/>
  <c r="I55" i="25"/>
  <c r="C55" i="25"/>
  <c r="F55" i="25" s="1" a="1"/>
  <c r="F55" i="25" s="1"/>
  <c r="P54" i="25"/>
  <c r="Q54" i="25" s="1"/>
  <c r="M54" i="25"/>
  <c r="L54" i="25"/>
  <c r="I54" i="25"/>
  <c r="C54" i="25"/>
  <c r="D54" i="25" s="1"/>
  <c r="P53" i="25"/>
  <c r="Q53" i="25" s="1"/>
  <c r="M53" i="25"/>
  <c r="L53" i="25"/>
  <c r="I53" i="25"/>
  <c r="C53" i="25"/>
  <c r="F53" i="25" s="1" a="1"/>
  <c r="F53" i="25" s="1"/>
  <c r="P52" i="25"/>
  <c r="Q52" i="25" s="1"/>
  <c r="M52" i="25"/>
  <c r="L52" i="25"/>
  <c r="I52" i="25"/>
  <c r="C52" i="25"/>
  <c r="F52" i="25" s="1" a="1"/>
  <c r="F52" i="25" s="1"/>
  <c r="P51" i="25"/>
  <c r="Q51" i="25" s="1"/>
  <c r="M51" i="25"/>
  <c r="L51" i="25"/>
  <c r="I51" i="25"/>
  <c r="C51" i="25"/>
  <c r="F51" i="25" s="1" a="1"/>
  <c r="F51" i="25" s="1"/>
  <c r="P50" i="25"/>
  <c r="Q50" i="25" s="1"/>
  <c r="M50" i="25"/>
  <c r="L50" i="25"/>
  <c r="I50" i="25"/>
  <c r="F50" i="25" a="1"/>
  <c r="F50" i="25" s="1"/>
  <c r="C50" i="25"/>
  <c r="D50" i="25" s="1"/>
  <c r="P49" i="25"/>
  <c r="Q49" i="25" s="1"/>
  <c r="M49" i="25"/>
  <c r="L49" i="25"/>
  <c r="I49" i="25"/>
  <c r="D49" i="25"/>
  <c r="C49" i="25"/>
  <c r="F49" i="25" s="1" a="1"/>
  <c r="F49" i="25" s="1"/>
  <c r="Q48" i="25"/>
  <c r="P48" i="25"/>
  <c r="M48" i="25"/>
  <c r="L48" i="25"/>
  <c r="I48" i="25"/>
  <c r="C48" i="25"/>
  <c r="F48" i="25" s="1" a="1"/>
  <c r="F48" i="25" s="1"/>
  <c r="P47" i="25"/>
  <c r="Q47" i="25" s="1"/>
  <c r="M47" i="25"/>
  <c r="L47" i="25"/>
  <c r="I47" i="25"/>
  <c r="C47" i="25"/>
  <c r="F47" i="25" s="1" a="1"/>
  <c r="F47" i="25" s="1"/>
  <c r="P46" i="25"/>
  <c r="Q46" i="25" s="1"/>
  <c r="M46" i="25"/>
  <c r="L46" i="25"/>
  <c r="I46" i="25"/>
  <c r="C46" i="25"/>
  <c r="D46" i="25" s="1"/>
  <c r="P45" i="25"/>
  <c r="Q45" i="25" s="1"/>
  <c r="M45" i="25"/>
  <c r="L45" i="25"/>
  <c r="I45" i="25"/>
  <c r="C45" i="25"/>
  <c r="F45" i="25" s="1" a="1"/>
  <c r="F45" i="25" s="1"/>
  <c r="P44" i="25"/>
  <c r="Q44" i="25" s="1"/>
  <c r="M44" i="25"/>
  <c r="L44" i="25"/>
  <c r="I44" i="25"/>
  <c r="C44" i="25"/>
  <c r="F44" i="25" s="1" a="1"/>
  <c r="F44" i="25" s="1"/>
  <c r="P43" i="25"/>
  <c r="Q43" i="25" s="1"/>
  <c r="M43" i="25"/>
  <c r="L43" i="25"/>
  <c r="I43" i="25"/>
  <c r="C43" i="25"/>
  <c r="F43" i="25" s="1" a="1"/>
  <c r="F43" i="25" s="1"/>
  <c r="P42" i="25"/>
  <c r="Q42" i="25" s="1"/>
  <c r="M42" i="25"/>
  <c r="L42" i="25"/>
  <c r="I42" i="25"/>
  <c r="F42" i="25" a="1"/>
  <c r="F42" i="25" s="1"/>
  <c r="C42" i="25"/>
  <c r="D42" i="25" s="1"/>
  <c r="P41" i="25"/>
  <c r="Q41" i="25" s="1"/>
  <c r="M41" i="25"/>
  <c r="L41" i="25"/>
  <c r="I41" i="25"/>
  <c r="C41" i="25"/>
  <c r="F41" i="25" s="1" a="1"/>
  <c r="F41" i="25" s="1"/>
  <c r="Q40" i="25"/>
  <c r="P40" i="25"/>
  <c r="M40" i="25"/>
  <c r="L40" i="25"/>
  <c r="I40" i="25"/>
  <c r="C40" i="25"/>
  <c r="F40" i="25" s="1" a="1"/>
  <c r="F40" i="25" s="1"/>
  <c r="P39" i="25"/>
  <c r="Q39" i="25" s="1"/>
  <c r="M39" i="25"/>
  <c r="L39" i="25"/>
  <c r="I39" i="25"/>
  <c r="C39" i="25"/>
  <c r="F39" i="25" s="1" a="1"/>
  <c r="F39" i="25" s="1"/>
  <c r="P38" i="25"/>
  <c r="Q38" i="25" s="1"/>
  <c r="M38" i="25"/>
  <c r="L38" i="25"/>
  <c r="I38" i="25"/>
  <c r="C38" i="25"/>
  <c r="D38" i="25" s="1"/>
  <c r="P37" i="25"/>
  <c r="Q37" i="25" s="1"/>
  <c r="M37" i="25"/>
  <c r="L37" i="25"/>
  <c r="I37" i="25"/>
  <c r="C37" i="25"/>
  <c r="F37" i="25" s="1" a="1"/>
  <c r="F37" i="25" s="1"/>
  <c r="P36" i="25"/>
  <c r="Q36" i="25" s="1"/>
  <c r="M36" i="25"/>
  <c r="L36" i="25"/>
  <c r="I36" i="25"/>
  <c r="C36" i="25"/>
  <c r="F36" i="25" s="1" a="1"/>
  <c r="F36" i="25" s="1"/>
  <c r="P35" i="25"/>
  <c r="Q35" i="25" s="1"/>
  <c r="M35" i="25"/>
  <c r="L35" i="25"/>
  <c r="I35" i="25"/>
  <c r="C35" i="25"/>
  <c r="F35" i="25" s="1" a="1"/>
  <c r="F35" i="25" s="1"/>
  <c r="P34" i="25"/>
  <c r="Q34" i="25" s="1"/>
  <c r="M34" i="25"/>
  <c r="L34" i="25"/>
  <c r="I34" i="25"/>
  <c r="C34" i="25"/>
  <c r="D34" i="25" s="1"/>
  <c r="P33" i="25"/>
  <c r="Q33" i="25" s="1"/>
  <c r="M33" i="25"/>
  <c r="L33" i="25"/>
  <c r="I33" i="25"/>
  <c r="D33" i="25"/>
  <c r="C33" i="25"/>
  <c r="F33" i="25" s="1" a="1"/>
  <c r="F33" i="25" s="1"/>
  <c r="P32" i="25"/>
  <c r="Q32" i="25" s="1"/>
  <c r="M32" i="25"/>
  <c r="L32" i="25"/>
  <c r="I32" i="25"/>
  <c r="C32" i="25"/>
  <c r="F32" i="25" s="1" a="1"/>
  <c r="F32" i="25" s="1"/>
  <c r="P31" i="25"/>
  <c r="Q31" i="25" s="1"/>
  <c r="M31" i="25"/>
  <c r="L31" i="25"/>
  <c r="I31" i="25"/>
  <c r="C31" i="25"/>
  <c r="F31" i="25" s="1" a="1"/>
  <c r="F31" i="25" s="1"/>
  <c r="P30" i="25"/>
  <c r="Q30" i="25" s="1"/>
  <c r="M30" i="25"/>
  <c r="L30" i="25"/>
  <c r="I30" i="25"/>
  <c r="C30" i="25"/>
  <c r="D30" i="25" s="1"/>
  <c r="P29" i="25"/>
  <c r="Q29" i="25" s="1"/>
  <c r="M29" i="25"/>
  <c r="L29" i="25"/>
  <c r="I29" i="25"/>
  <c r="C29" i="25"/>
  <c r="F29" i="25" s="1" a="1"/>
  <c r="F29" i="25" s="1"/>
  <c r="P28" i="25"/>
  <c r="Q28" i="25" s="1"/>
  <c r="M28" i="25"/>
  <c r="L28" i="25"/>
  <c r="I28" i="25"/>
  <c r="C28" i="25"/>
  <c r="F28" i="25" s="1" a="1"/>
  <c r="F28" i="25" s="1"/>
  <c r="P27" i="25"/>
  <c r="Q27" i="25" s="1"/>
  <c r="M27" i="25"/>
  <c r="L27" i="25"/>
  <c r="I27" i="25"/>
  <c r="C27" i="25"/>
  <c r="F27" i="25" s="1" a="1"/>
  <c r="F27" i="25" s="1"/>
  <c r="P26" i="25"/>
  <c r="Q26" i="25" s="1"/>
  <c r="M26" i="25"/>
  <c r="L26" i="25"/>
  <c r="I26" i="25"/>
  <c r="F26" i="25" a="1"/>
  <c r="F26" i="25" s="1"/>
  <c r="C26" i="25"/>
  <c r="D26" i="25" s="1"/>
  <c r="P25" i="25"/>
  <c r="Q25" i="25" s="1"/>
  <c r="M25" i="25"/>
  <c r="L25" i="25"/>
  <c r="I25" i="25"/>
  <c r="D25" i="25"/>
  <c r="C25" i="25"/>
  <c r="F25" i="25" s="1" a="1"/>
  <c r="F25" i="25" s="1"/>
  <c r="Q24" i="25"/>
  <c r="P24" i="25"/>
  <c r="M24" i="25"/>
  <c r="L24" i="25"/>
  <c r="I24" i="25"/>
  <c r="C24" i="25"/>
  <c r="F24" i="25" s="1" a="1"/>
  <c r="F24" i="25" s="1"/>
  <c r="P23" i="25"/>
  <c r="Q23" i="25" s="1"/>
  <c r="M23" i="25"/>
  <c r="L23" i="25"/>
  <c r="I23" i="25"/>
  <c r="C23" i="25"/>
  <c r="F23" i="25" s="1" a="1"/>
  <c r="F23" i="25" s="1"/>
  <c r="P22" i="25"/>
  <c r="Q22" i="25" s="1"/>
  <c r="M22" i="25"/>
  <c r="L22" i="25"/>
  <c r="I22" i="25"/>
  <c r="C22" i="25"/>
  <c r="D22" i="25" s="1"/>
  <c r="P21" i="25"/>
  <c r="Q21" i="25" s="1"/>
  <c r="M21" i="25"/>
  <c r="L21" i="25"/>
  <c r="I21" i="25"/>
  <c r="C21" i="25"/>
  <c r="F21" i="25" s="1" a="1"/>
  <c r="F21" i="25" s="1"/>
  <c r="P20" i="25"/>
  <c r="Q20" i="25" s="1"/>
  <c r="M20" i="25"/>
  <c r="L20" i="25"/>
  <c r="I20" i="25"/>
  <c r="C20" i="25"/>
  <c r="F20" i="25" s="1" a="1"/>
  <c r="F20" i="25" s="1"/>
  <c r="P19" i="25"/>
  <c r="Q19" i="25" s="1"/>
  <c r="M19" i="25"/>
  <c r="L19" i="25"/>
  <c r="I19" i="25"/>
  <c r="C19" i="25"/>
  <c r="F19" i="25" s="1" a="1"/>
  <c r="F19" i="25" s="1"/>
  <c r="P18" i="25"/>
  <c r="Q18" i="25" s="1"/>
  <c r="M18" i="25"/>
  <c r="L18" i="25"/>
  <c r="I18" i="25"/>
  <c r="F18" i="25" a="1"/>
  <c r="F18" i="25" s="1"/>
  <c r="C18" i="25"/>
  <c r="D18" i="25" s="1"/>
  <c r="P17" i="25"/>
  <c r="Q17" i="25" s="1"/>
  <c r="M17" i="25"/>
  <c r="L17" i="25"/>
  <c r="I17" i="25"/>
  <c r="D17" i="25"/>
  <c r="C17" i="25"/>
  <c r="F17" i="25" s="1" a="1"/>
  <c r="F17" i="25" s="1"/>
  <c r="Q16" i="25"/>
  <c r="P16" i="25"/>
  <c r="M16" i="25"/>
  <c r="L16" i="25"/>
  <c r="I16" i="25"/>
  <c r="C16" i="25"/>
  <c r="F16" i="25" s="1" a="1"/>
  <c r="F16" i="25" s="1"/>
  <c r="P15" i="25"/>
  <c r="Q15" i="25" s="1"/>
  <c r="M15" i="25"/>
  <c r="L15" i="25"/>
  <c r="I15" i="25"/>
  <c r="C15" i="25"/>
  <c r="F15" i="25" s="1" a="1"/>
  <c r="F15" i="25" s="1"/>
  <c r="P14" i="25"/>
  <c r="Q14" i="25" s="1"/>
  <c r="M14" i="25"/>
  <c r="L14" i="25"/>
  <c r="I14" i="25"/>
  <c r="C14" i="25"/>
  <c r="D14" i="25" s="1"/>
  <c r="P13" i="25"/>
  <c r="Q13" i="25" s="1"/>
  <c r="M13" i="25"/>
  <c r="L13" i="25"/>
  <c r="I13" i="25"/>
  <c r="C13" i="25"/>
  <c r="F13" i="25" s="1" a="1"/>
  <c r="F13" i="25" s="1"/>
  <c r="P12" i="25"/>
  <c r="Q12" i="25" s="1"/>
  <c r="M12" i="25"/>
  <c r="L12" i="25"/>
  <c r="I12" i="25"/>
  <c r="C12" i="25"/>
  <c r="F12" i="25" s="1" a="1"/>
  <c r="F12" i="25" s="1"/>
  <c r="P11" i="25"/>
  <c r="Q11" i="25" s="1"/>
  <c r="M11" i="25"/>
  <c r="L11" i="25"/>
  <c r="I11" i="25"/>
  <c r="C11" i="25"/>
  <c r="F11" i="25" s="1" a="1"/>
  <c r="F11" i="25" s="1"/>
  <c r="P10" i="25"/>
  <c r="Q10" i="25" s="1"/>
  <c r="M10" i="25"/>
  <c r="L10" i="25"/>
  <c r="I10" i="25"/>
  <c r="F10" i="25" a="1"/>
  <c r="F10" i="25" s="1"/>
  <c r="C10" i="25"/>
  <c r="D10" i="25" s="1"/>
  <c r="P9" i="25"/>
  <c r="Q9" i="25" s="1"/>
  <c r="M9" i="25"/>
  <c r="L9" i="25"/>
  <c r="I9" i="25"/>
  <c r="C9" i="25"/>
  <c r="F9" i="25" s="1" a="1"/>
  <c r="F9" i="25" s="1"/>
  <c r="Q8" i="25"/>
  <c r="P8" i="25"/>
  <c r="M8" i="25"/>
  <c r="L8" i="25"/>
  <c r="I8" i="25"/>
  <c r="C8" i="25"/>
  <c r="F8" i="25" s="1" a="1"/>
  <c r="F8" i="25" s="1"/>
  <c r="P7" i="25"/>
  <c r="Q7" i="25" s="1"/>
  <c r="M7" i="25"/>
  <c r="L7" i="25"/>
  <c r="I7" i="25"/>
  <c r="Q6" i="25"/>
  <c r="P6" i="25"/>
  <c r="M6" i="25"/>
  <c r="L6" i="25"/>
  <c r="I6" i="25"/>
  <c r="C98" i="10"/>
  <c r="F98" i="10" s="1" a="1"/>
  <c r="F98" i="10" s="1"/>
  <c r="I98" i="10"/>
  <c r="L98" i="10"/>
  <c r="M98" i="10"/>
  <c r="P98" i="10"/>
  <c r="Q98" i="10" s="1"/>
  <c r="D13" i="25" l="1"/>
  <c r="F30" i="25" a="1"/>
  <c r="F30" i="25" s="1"/>
  <c r="D37" i="25"/>
  <c r="D65" i="25"/>
  <c r="D81" i="25"/>
  <c r="D97" i="25"/>
  <c r="D45" i="25"/>
  <c r="D85" i="25"/>
  <c r="F22" i="25" a="1"/>
  <c r="F22" i="25" s="1"/>
  <c r="D29" i="25"/>
  <c r="F54" i="25" a="1"/>
  <c r="F54" i="25" s="1"/>
  <c r="D61" i="25"/>
  <c r="D77" i="25"/>
  <c r="D93" i="25"/>
  <c r="D69" i="25"/>
  <c r="F38" i="25" a="1"/>
  <c r="F38" i="25" s="1"/>
  <c r="D9" i="25"/>
  <c r="F34" i="25" a="1"/>
  <c r="F34" i="25" s="1"/>
  <c r="D41" i="25"/>
  <c r="F14" i="25" a="1"/>
  <c r="F14" i="25" s="1"/>
  <c r="D21" i="25"/>
  <c r="F46" i="25" a="1"/>
  <c r="F46" i="25" s="1"/>
  <c r="D53" i="25"/>
  <c r="D73" i="25"/>
  <c r="D89" i="25"/>
  <c r="D8" i="25"/>
  <c r="D12" i="25"/>
  <c r="D16" i="25"/>
  <c r="D20" i="25"/>
  <c r="D24" i="25"/>
  <c r="D28" i="25"/>
  <c r="D32" i="25"/>
  <c r="D36" i="25"/>
  <c r="D40" i="25"/>
  <c r="D44" i="25"/>
  <c r="D48" i="25"/>
  <c r="D52" i="25"/>
  <c r="D56" i="25"/>
  <c r="D60" i="25"/>
  <c r="D64" i="25"/>
  <c r="D68" i="25"/>
  <c r="D72" i="25"/>
  <c r="D76" i="25"/>
  <c r="D80" i="25"/>
  <c r="D84" i="25"/>
  <c r="D88" i="25"/>
  <c r="D92" i="25"/>
  <c r="D96" i="25"/>
  <c r="D100" i="25"/>
  <c r="D15" i="25"/>
  <c r="D19" i="25"/>
  <c r="D23" i="25"/>
  <c r="D27" i="25"/>
  <c r="D31" i="25"/>
  <c r="D35" i="25"/>
  <c r="D39" i="25"/>
  <c r="D43" i="25"/>
  <c r="D47" i="25"/>
  <c r="D51" i="25"/>
  <c r="D55" i="25"/>
  <c r="D59" i="25"/>
  <c r="D63" i="25"/>
  <c r="D67" i="25"/>
  <c r="D71" i="25"/>
  <c r="D75" i="25"/>
  <c r="D79" i="25"/>
  <c r="D83" i="25"/>
  <c r="D87" i="25"/>
  <c r="D91" i="25"/>
  <c r="D95" i="25"/>
  <c r="D99" i="25"/>
  <c r="D11" i="25"/>
  <c r="D62" i="25"/>
  <c r="D66" i="25"/>
  <c r="D70" i="25"/>
  <c r="D74" i="25"/>
  <c r="D78" i="25"/>
  <c r="D82" i="25"/>
  <c r="D86" i="25"/>
  <c r="D90" i="25"/>
  <c r="D94" i="25"/>
  <c r="D98" i="25"/>
  <c r="D98" i="10"/>
  <c r="B12"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7" i="24"/>
  <c r="B15"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4" i="24"/>
  <c r="B16" i="24"/>
  <c r="B19" i="24"/>
  <c r="B20" i="24"/>
  <c r="B21" i="24"/>
  <c r="B22" i="24"/>
  <c r="B23" i="24"/>
  <c r="B24" i="24"/>
  <c r="B25" i="24"/>
  <c r="B26" i="24"/>
  <c r="B27" i="24"/>
  <c r="B28" i="24"/>
  <c r="B29" i="24"/>
  <c r="B30" i="24"/>
  <c r="B31" i="24"/>
  <c r="B32" i="24"/>
  <c r="B33" i="24"/>
  <c r="B34" i="24"/>
  <c r="B35" i="24"/>
  <c r="B36" i="24"/>
  <c r="B39" i="24"/>
  <c r="B18" i="24"/>
  <c r="B13"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<sst xmlns="http://schemas.openxmlformats.org/spreadsheetml/2006/main" count="1041" uniqueCount="349">
  <si>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</si>
  <si>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</si>
  <si>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</si>
  <si>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</si>
  <si>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</si>
  <si>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</si>
  <si>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</si>
  <si>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</si>
  <si>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</si>
  <si>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</si>
  <si>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</si>
  <si>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</si>
  <si>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</si>
  <si>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</si>
  <si>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</si>
  <si>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</si>
  <si>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</si>
  <si>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</si>
  <si>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</si>
  <si>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</si>
  <si>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</si>
  <si>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</si>
  <si>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</si>
  <si>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</si>
  <si>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</si>
  <si>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</si>
  <si>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</si>
  <si>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</si>
  <si>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</si>
  <si>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</si>
  <si>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</si>
  <si>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</si>
  <si>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</si>
  <si>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</si>
  <si>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</si>
  <si>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</si>
  <si>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</si>
  <si>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</si>
  <si>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</si>
  <si>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</si>
  <si>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</si>
  <si>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</si>
  <si>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</si>
  <si>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</si>
  <si>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</si>
  <si>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</si>
  <si>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</si>
  <si>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</si>
  <si>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</si>
  <si>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</si>
  <si>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</si>
  <si>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</si>
  <si>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</si>
  <si>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</si>
  <si>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</si>
  <si>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</si>
  <si>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</si>
  <si>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</si>
  <si>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</si>
  <si>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</si>
  <si>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</si>
  <si>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</si>
  <si>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</si>
  <si>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</si>
  <si>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</si>
  <si>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</si>
  <si>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</si>
  <si>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</si>
  <si>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</si>
  <si>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</si>
  <si>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</si>
  <si>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</si>
  <si>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</si>
  <si>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</si>
  <si>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</si>
  <si>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</si>
  <si>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</si>
  <si>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</si>
  <si>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</si>
  <si>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</si>
  <si>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</si>
  <si>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</si>
  <si>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</si>
  <si>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</si>
  <si>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</si>
  <si>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</si>
  <si>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</si>
  <si>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</si>
  <si>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</si>
  <si>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</si>
  <si>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</si>
  <si>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</si>
  <si>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</si>
  <si>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</si>
  <si>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</si>
  <si>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</si>
  <si>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</si>
  <si>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</si>
  <si>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</si>
  <si>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</si>
  <si>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</si>
  <si>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</si>
  <si>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</si>
  <si>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</si>
  <si>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</si>
  <si>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</si>
  <si>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</si>
  <si>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</si>
  <si>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</si>
  <si>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</si>
  <si>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</si>
  <si>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</si>
  <si>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</si>
  <si>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</si>
  <si>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</si>
  <si>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</si>
  <si>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</si>
  <si>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</si>
  <si>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</si>
  <si>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</si>
  <si>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</si>
  <si>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</si>
  <si>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</si>
  <si>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</si>
  <si>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</si>
  <si>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</si>
  <si>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</si>
  <si>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</si>
  <si>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</si>
  <si>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</si>
  <si>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</si>
  <si>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</si>
  <si>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</si>
  <si>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</si>
  <si>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</si>
  <si>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</si>
  <si>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</si>
  <si>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</si>
  <si>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</si>
  <si>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</si>
  <si>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</si>
  <si>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</si>
  <si>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</si>
  <si>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</si>
  <si>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</si>
  <si>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</si>
  <si>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</si>
  <si>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</si>
  <si>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</si>
  <si>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</si>
  <si>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</si>
  <si>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</si>
  <si>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</si>
  <si>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</si>
  <si>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</si>
  <si>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</si>
  <si>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</si>
  <si>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</si>
  <si>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</si>
  <si>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</si>
  <si>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</si>
  <si>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</si>
  <si>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</si>
  <si>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</si>
  <si>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</si>
  <si>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</si>
  <si>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</si>
  <si>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</si>
  <si>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</si>
  <si>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</si>
  <si>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</si>
  <si>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</si>
  <si>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</si>
  <si>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</si>
  <si>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</si>
  <si>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</si>
  <si>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</si>
  <si>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</si>
  <si>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</si>
  <si>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</si>
  <si>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</si>
  <si>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</si>
  <si>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</si>
  <si>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</si>
  <si>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</si>
  <si>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</si>
  <si>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</si>
  <si>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</si>
  <si>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</si>
  <si>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</si>
  <si>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</si>
  <si>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</si>
  <si>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</si>
  <si>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</si>
  <si>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</si>
  <si>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</si>
  <si>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</si>
  <si>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</si>
  <si>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</si>
  <si>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</si>
  <si>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</si>
  <si>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</si>
  <si>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</si>
  <si>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</si>
  <si>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</si>
  <si>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</si>
  <si>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</si>
  <si>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</si>
  <si>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</si>
  <si>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</si>
  <si>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</si>
  <si>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</si>
  <si>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</si>
  <si>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</si>
  <si>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</si>
  <si>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</si>
  <si>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</si>
  <si>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</si>
  <si>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</si>
  <si>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</si>
  <si>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</si>
  <si>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</si>
  <si>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</si>
  <si>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</si>
  <si>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</si>
  <si>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</si>
  <si>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</si>
  <si>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</si>
  <si>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</si>
  <si>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</si>
  <si>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</si>
  <si>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</si>
  <si>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</si>
  <si>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</si>
  <si>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</si>
  <si>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</si>
  <si>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</si>
  <si>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</si>
  <si>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</si>
  <si>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</si>
  <si>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</si>
  <si>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</si>
  <si>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</si>
  <si>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</si>
  <si>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</si>
  <si>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</si>
  <si>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</si>
  <si>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</si>
  <si>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</si>
  <si>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</si>
  <si>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</si>
  <si>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</si>
  <si>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</si>
  <si>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</si>
  <si>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</si>
  <si>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</si>
  <si>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</si>
  <si>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</si>
  <si>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</si>
  <si>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</si>
  <si>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</si>
  <si>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</si>
  <si>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</si>
  <si>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</si>
  <si>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</si>
  <si>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</si>
  <si>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</si>
  <si>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</si>
  <si>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</si>
  <si>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</si>
  <si>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</si>
  <si>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</si>
  <si>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</si>
  <si>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</si>
  <si>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</si>
  <si>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</si>
  <si>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</si>
  <si>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</si>
  <si>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</si>
  <si>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</si>
  <si>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</si>
  <si>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</si>
  <si>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</si>
  <si>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</si>
  <si>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</si>
  <si>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</si>
  <si>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</si>
  <si>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</si>
  <si>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</si>
  <si>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</si>
  <si>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</si>
  <si>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</si>
  <si>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</si>
  <si>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</si>
  <si>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</si>
  <si>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</si>
  <si>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</si>
  <si>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</si>
  <si>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</si>
  <si>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</si>
  <si>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</si>
  <si>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</si>
  <si>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</si>
  <si>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</si>
  <si>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</si>
  <si>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</si>
  <si>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</si>
  <si>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</si>
  <si>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</si>
  <si>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</si>
  <si>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</si>
  <si>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</si>
  <si>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</si>
  <si>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</si>
  <si>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</si>
  <si>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</si>
  <si>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</si>
  <si>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</si>
  <si>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</si>
  <si>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</si>
  <si>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</si>
  <si>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</si>
  <si>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</si>
  <si>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</si>
  <si>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</si>
  <si>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</si>
  <si>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</si>
  <si>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</si>
  <si>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</si>
  <si>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</si>
  <si>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</si>
  <si>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</si>
  <si>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</si>
  <si>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</si>
  <si>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</si>
  <si>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</si>
  <si>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</si>
  <si>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</si>
  <si>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Algae growth in WWTPs. No energy is allocated to algae.</t>
  </si>
  <si>
    <t>96% sulfuric acid.</t>
  </si>
  <si>
    <t>Surrogate for MgCl2</t>
  </si>
  <si>
    <t>Hydrotreating main bed catalyst and HT guard bed catalyst</t>
  </si>
  <si>
    <t>Nitrogen in struvite</t>
  </si>
  <si>
    <t>P in struvite</t>
  </si>
  <si>
    <t>Forest residue processing</t>
  </si>
  <si>
    <t>Forest residue transportation</t>
  </si>
  <si>
    <t>electricity_units</t>
  </si>
  <si>
    <t>Algae growth</t>
  </si>
  <si>
    <t>Receiving handling and storage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</si>
</sst>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0.0"/>
    <numFmt numFmtId="167" formatCode="_(* #,##0.0000_);_(* \(#,##0.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6">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43" fontId="0" fillId="0" borderId="2" xfId="1" applyFont="1" applyBorder="1"/>
    <xf numFmtId="2" fontId="0" fillId="0" borderId="2" xfId="1" applyNumberFormat="1" applyFont="1" applyBorder="1"/>
    <xf numFmtId="167" fontId="0" fillId="0" borderId="2"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98">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8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9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B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C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A00-000001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97" dataDxfId="196" tableBorderDxfId="195" dataCellStyle="Percent">
  <autoFilter ref="A5:T100" xr:uid="{1644AED8-49DE-4A1D-989C-1566C9A522B9}"/>
  <tableColumns count="20">
    <tableColumn id="1" xr3:uid="{3C4E83C1-4DAF-4B93-AE9A-B658DBA43631}" name="Type" dataDxfId="194"/>
    <tableColumn id="2" xr3:uid="{7AC9B54E-C457-49EC-A7D6-0ED656B6CFE9}" name="Category" dataDxfId="193"/>
    <tableColumn id="3" xr3:uid="{350F9A14-F368-49FE-AF21-19555EB999FB}" name="Resource" dataDxfId="192">
      <calculatedColumnFormula>_xlfn.XLOOKUP($B6,'SI - Resources'!$A$1:$J$1,'SI - Resources'!$A$2:$J$2, "")</calculatedColumnFormula>
    </tableColumn>
    <tableColumn id="4" xr3:uid="{A0B55D89-6640-4C29-88AC-93188C5097C5}" name="End Use" dataDxfId="191">
      <calculatedColumnFormula>IF(_xlfn.XLOOKUP($C6,'SI - End Use'!$B$2:$B$6,'SI - End Use'!$C$2:$C$6, "")="", "", _xlfn.XLOOKUP($C6,'SI - End Use'!$B$2:$B$6,'SI - End Use'!$C$2:$C$6, ""))</calculatedColumnFormula>
    </tableColumn>
    <tableColumn id="5" xr3:uid="{5ADDDF1D-4510-4428-A882-8D5C8F52BE8C}" name="Amount" dataDxfId="190" dataCellStyle="Comma"/>
    <tableColumn id="6" xr3:uid="{341D427F-5F42-4F22-98AD-9D6883E4330B}" name="Unit" dataDxfId="189">
      <calculatedColumnFormula array="1">IF($B6="Transportation",  'SI - Units'!$B$9:$B$9, _xlfn.XLOOKUP(_xlfn.XLOOKUP($C6,'SI - Units'!$B$24:$B$109,'SI - Units'!$C$24:$C$109, ""),'SI - Units'!$A$2:$A$8,'SI - Units'!$B$2:$B$8, ""))</calculatedColumnFormula>
    </tableColumn>
    <tableColumn id="7" xr3:uid="{515C4DB0-B187-40B1-8F47-45FF3483AEC1}" name="Moisture" dataDxfId="188" dataCellStyle="Percent"/>
    <tableColumn id="8" xr3:uid="{294BC856-42BB-4049-BD49-6A865E88E771}" name="Previous Stage" dataDxfId="187" dataCellStyle="Percent"/>
    <tableColumn id="9" xr3:uid="{CDA23678-EB57-4035-9101-F29AA45C63EE}" name="Always Use Displacement Method for Co-Product?" dataDxfId="186" dataCellStyle="Percent">
      <calculatedColumnFormula>IF(Table1[[#This Row],[Type]]="Co-product", "No", "")</calculatedColumnFormula>
    </tableColumn>
    <tableColumn id="19" xr3:uid="{9ACBBA67-4B7F-43A7-9CF8-0FBB7B61A832}" name="Urban Share" dataDxfId="185" dataCellStyle="Percent"/>
    <tableColumn id="10" xr3:uid="{0E5BF4B8-8667-40EE-B9EF-BC9E06D72AAB}" name="Product Train" dataDxfId="184"/>
    <tableColumn id="14" xr3:uid="{D99A9C54-A8C3-4803-A70D-4659D5193A9A}" name="Payload" dataDxfId="183">
      <calculatedColumnFormula>IF(Table1[[#This Row],[Category]]="Transportation", _xlfn.XLOOKUP(Table1[[#This Row],[Resource]], 'SI - Payload'!$A$10:$A$39,'SI - Payload'!$B$10:$B$39,"",0), "")</calculatedColumnFormula>
    </tableColumn>
    <tableColumn id="15" xr3:uid="{3BF278AE-6D04-4ABA-AACE-E651957B5676}" name="Payload Unit" dataDxfId="182">
      <calculatedColumnFormula>IF(Table1[[#This Row],[Category]]="Transportation", "ton", "")</calculatedColumnFormula>
    </tableColumn>
    <tableColumn id="16" xr3:uid="{B4587E16-116C-48C2-B897-34EA45D2B5E2}" name="Market Price" dataDxfId="181"/>
    <tableColumn id="17" xr3:uid="{CFF030DD-8740-4448-85CE-69419CA7344D}" name="Market Price Unit" dataDxfId="180"/>
    <tableColumn id="12" xr3:uid="{0A5A1CE9-5C17-482C-ACCA-BB3BA789761E}" name="Incumbent Product" dataDxfId="179">
      <calculatedColumnFormula>IF(OR(Table1[[#This Row],[Type]]="Main Product", Table1[[#This Row],[Type]]="Co-Product"), Table1[[#This Row],[Resource]], "")</calculatedColumnFormula>
    </tableColumn>
    <tableColumn id="13" xr3:uid="{A8C514D4-4EE9-4BFC-A5D9-1A3B1C61CAF3}" name="End Use of Incumbent Product" dataDxfId="178">
      <calculatedColumnFormula>IF(_xlfn.XLOOKUP($P6,'SI - End Use'!$B$2:$B$6,'SI - End Use'!$C$2:$C$6, "")="", "", _xlfn.XLOOKUP($C6,'SI - End Use'!$B$2:$B$6,'SI - End Use'!$C$2:$C$6, ""))</calculatedColumnFormula>
    </tableColumn>
    <tableColumn id="20" xr3:uid="{3D510D5D-99B7-4EB4-8590-3620FE598E5C}" name="Surrogate For" dataDxfId="177"/>
    <tableColumn id="18" xr3:uid="{1AFBF91D-E45D-442D-BA06-D58B0AE7953E}" name="Process" dataDxfId="176"/>
    <tableColumn id="11" xr3:uid="{34D8D993-53F9-46B7-8FE9-32F1A6F2DFD2}" name="Note" dataDxfId="17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74" dataDxfId="173">
  <autoFilter ref="A1:K53" xr:uid="{BF352F56-F627-4A8D-9B22-DA497E2644FC}"/>
  <tableColumns count="11">
    <tableColumn id="1" xr3:uid="{B4C1BEA4-EC08-4542-9BC0-5CAC3303F1DE}" name="Biomass" dataDxfId="172"/>
    <tableColumn id="8" xr3:uid="{CA09F49F-4D37-4D57-9F64-66042BBFCAF3}" name="Waste" dataDxfId="171"/>
    <tableColumn id="2" xr3:uid="{16936180-7E0F-4E08-BEC7-75346859C647}" name="Process fuel" dataDxfId="170"/>
    <tableColumn id="6" xr3:uid="{8ABA29FD-C6B0-4B51-8840-E17193E077EC}" name="Electricity" dataDxfId="169"/>
    <tableColumn id="3" xr3:uid="{C1A34163-30E4-47F2-BE75-A919CC80E9BF}" name="Chemicals and catalysts" dataDxfId="168"/>
    <tableColumn id="4" xr3:uid="{CA7E12F4-CA42-4C30-8167-75EC0AE0646A}" name="Water" dataDxfId="167"/>
    <tableColumn id="9" xr3:uid="{6ADE4401-0F6C-4911-9721-036C8287FC6F}" name="Infrastructure" dataDxfId="166"/>
    <tableColumn id="7" xr3:uid="{C235CCC4-A94E-464B-AE35-96309F90FA7A}" name="Transportation" dataDxfId="165"/>
    <tableColumn id="10" xr3:uid="{C8DE9AE9-442D-497B-B981-79FAEF638C23}" name="Other" dataDxfId="164"/>
    <tableColumn id="5" xr3:uid="{FBD24046-BCD6-418A-8FDF-2918685E10CE}" name="Emissions and sequestration" dataDxfId="163"/>
    <tableColumn id="11" xr3:uid="{B559EE47-EDB5-47AD-9A10-77802A08495D}" name="Placeholder" dataDxfId="16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161"/>
    <tableColumn id="4" xr3:uid="{066E5028-FE97-46DD-94DD-3F5362889CC8}" name="Column4" dataDxfId="160"/>
    <tableColumn id="5" xr3:uid="{518CF11D-9FC1-41DC-A48E-08F72F35ADAA}" name="Column5" dataDxfId="159"/>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158">
  <autoFilter ref="A1:R10" xr:uid="{A38095DD-9874-4EE7-A8C2-2706165CCEBD}"/>
  <tableColumns count="18">
    <tableColumn id="1" xr3:uid="{65B7BBF3-4BCE-43A4-9B03-83AE412598EC}" name="Column1"/>
    <tableColumn id="2" xr3:uid="{FFDF068B-D532-4DC4-904E-48D00A60A52E}" name="Column2" dataDxfId="157"/>
    <tableColumn id="3" xr3:uid="{22885E79-E7D2-4EEE-B0A6-74B1C5779681}" name="Column3" dataDxfId="156"/>
    <tableColumn id="4" xr3:uid="{C1DEFD79-EA05-47FD-8251-B29B3BCC06B2}" name="Column4" dataDxfId="155"/>
    <tableColumn id="5" xr3:uid="{29AEEBB1-E43B-4691-B73C-A8FA6D80443C}" name="Column5" dataDxfId="154"/>
    <tableColumn id="6" xr3:uid="{CC08C1F9-C485-4200-A0F9-C8E59BA65B97}" name="Column6" dataDxfId="153"/>
    <tableColumn id="7" xr3:uid="{6C28381F-6253-4E2E-A800-FF075582292A}" name="Column7" dataDxfId="152"/>
    <tableColumn id="8" xr3:uid="{CA3D0B6B-B24F-4751-A1CE-28D7D0B98174}" name="Column8" dataDxfId="151"/>
    <tableColumn id="9" xr3:uid="{7057E753-ED12-407E-950F-CC59E808A2BF}" name="Column9" dataDxfId="150"/>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149">
  <autoFilter ref="B23:C109" xr:uid="{09147A22-E822-45D3-B3C2-ABDDF48EE5E6}"/>
  <tableColumns count="2">
    <tableColumn id="1" xr3:uid="{CDC0A0AC-3BED-4650-82CE-403A1BF28367}" name="Column1" dataDxfId="148"/>
    <tableColumn id="2" xr3:uid="{B6F8A3B9-3868-4A35-8F6E-BA3E60A1529E}" name="Column2" dataDxfId="14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146">
  <autoFilter ref="A12:R20" xr:uid="{B01EA81C-1645-4ED3-BEC5-6C5396237E43}"/>
  <tableColumns count="18">
    <tableColumn id="1" xr3:uid="{821EE498-6278-4E39-82EF-1F47FBA85A36}" name="Column1"/>
    <tableColumn id="2" xr3:uid="{E81954FF-60B7-4ABD-BC14-40676F73AA3E}" name="Column2" dataDxfId="145">
      <calculatedColumnFormula>IF(B2&lt;&gt;"","$/"&amp;B2, "")</calculatedColumnFormula>
    </tableColumn>
    <tableColumn id="3" xr3:uid="{A15329FC-BC0D-46AE-9A0E-F4CFE0FF184A}" name="Column3" dataDxfId="144">
      <calculatedColumnFormula>IF(C2&lt;&gt;"","$/"&amp;C2, "")</calculatedColumnFormula>
    </tableColumn>
    <tableColumn id="4" xr3:uid="{2197BCF8-40A1-4D22-B05E-D0E1CBFBA215}" name="Column4" dataDxfId="143">
      <calculatedColumnFormula>IF(D2&lt;&gt;"","$/"&amp;D2, "")</calculatedColumnFormula>
    </tableColumn>
    <tableColumn id="5" xr3:uid="{3DAF72F2-745A-4FCF-BD44-BDC825984018}" name="Column5" dataDxfId="142">
      <calculatedColumnFormula>IF(E2&lt;&gt;"","$/"&amp;E2, "")</calculatedColumnFormula>
    </tableColumn>
    <tableColumn id="6" xr3:uid="{820E7353-19C6-4D63-B444-F7CAC7BF01AA}" name="Column6" dataDxfId="141">
      <calculatedColumnFormula>IF(F2&lt;&gt;"","$/"&amp;F2, "")</calculatedColumnFormula>
    </tableColumn>
    <tableColumn id="7" xr3:uid="{91F510E8-B638-43EB-BA78-D4632DA66CD4}" name="Column7" dataDxfId="140">
      <calculatedColumnFormula>IF(G2&lt;&gt;"","$/"&amp;G2, "")</calculatedColumnFormula>
    </tableColumn>
    <tableColumn id="8" xr3:uid="{9CD4EFF6-953E-4257-A2B2-041DCDDBD0BB}" name="Column8" dataDxfId="139">
      <calculatedColumnFormula>IF(H2&lt;&gt;"","$/"&amp;H2, "")</calculatedColumnFormula>
    </tableColumn>
    <tableColumn id="9" xr3:uid="{E1D1E2ED-A567-4428-8C9E-5EE867B5D225}" name="Column9" dataDxfId="138">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D8B5D3A-CF5A-4362-87A1-1F4ABC611D0E}" name="Table13" displayName="Table13" ref="A5:T100" totalsRowShown="0" headerRowDxfId="137" dataDxfId="136" tableBorderDxfId="135" dataCellStyle="Percent">
  <autoFilter ref="A5:T100" xr:uid="{1644AED8-49DE-4A1D-989C-1566C9A522B9}"/>
  <tableColumns count="20">
    <tableColumn id="1" xr3:uid="{8540DF43-2806-481E-B486-7485B3433A50}" name="Type" dataDxfId="134"/>
    <tableColumn id="2" xr3:uid="{5DB32785-08CD-46C6-B810-4AE79A5BEE54}" name="Category" dataDxfId="133"/>
    <tableColumn id="3" xr3:uid="{24EADEC7-262D-4287-878E-D7ECCA4D6D6F}" name="Resource" dataDxfId="132">
      <calculatedColumnFormula>_xlfn.XLOOKUP($B6,'SI - Resources'!$A$1:$J$1,'SI - Resources'!$A$2:$J$2, "")</calculatedColumnFormula>
    </tableColumn>
    <tableColumn id="4" xr3:uid="{7EFF1B5D-86EF-4AB3-A15E-CFF5737F74D0}" name="End Use" dataDxfId="131">
      <calculatedColumnFormula>IF(_xlfn.XLOOKUP($C6,'SI - End Use'!$B$2:$B$6,'SI - End Use'!$C$2:$C$6, "")="", "", _xlfn.XLOOKUP($C6,'SI - End Use'!$B$2:$B$6,'SI - End Use'!$C$2:$C$6, ""))</calculatedColumnFormula>
    </tableColumn>
    <tableColumn id="5" xr3:uid="{93944664-1BAD-4D56-8826-B7D3D1A218C7}" name="Amount" dataDxfId="130" dataCellStyle="Comma"/>
    <tableColumn id="6" xr3:uid="{FD97E02B-B21D-46C8-94A1-DD7BB3D51B49}" name="Unit" dataDxfId="129">
      <calculatedColumnFormula array="1">IF($B6="Transportation",  'SI - Units'!$B$9:$B$9, _xlfn.XLOOKUP(_xlfn.XLOOKUP($C6,'SI - Units'!$B$24:$B$109,'SI - Units'!$C$24:$C$109, ""),'SI - Units'!$A$2:$A$8,'SI - Units'!$B$2:$B$8, ""))</calculatedColumnFormula>
    </tableColumn>
    <tableColumn id="7" xr3:uid="{29CAC8F0-275B-46F1-88C9-6479D28E7B7D}" name="Moisture" dataDxfId="128" dataCellStyle="Percent"/>
    <tableColumn id="8" xr3:uid="{7B421903-0BF6-4756-840A-5FAF357635E4}" name="Previous Stage" dataDxfId="127" dataCellStyle="Percent"/>
    <tableColumn id="9" xr3:uid="{E254A280-B169-466B-9A62-3DBDB7DD86BA}" name="Always Use Displacement Method for Co-Product?" dataDxfId="126" dataCellStyle="Percent">
      <calculatedColumnFormula>IF(Table13[[#This Row],[Type]]="Co-product", "No", "")</calculatedColumnFormula>
    </tableColumn>
    <tableColumn id="19" xr3:uid="{E27BC804-56F1-4640-96B2-43FCC0447C90}" name="Urban Share" dataDxfId="125" dataCellStyle="Percent"/>
    <tableColumn id="10" xr3:uid="{DF64873B-FE0D-4C8D-AFDB-D86C3E425CB5}" name="Product Train" dataDxfId="124"/>
    <tableColumn id="14" xr3:uid="{4AC77A6B-00E0-4097-8F6B-E44D6FD33A60}" name="Payload" dataDxfId="123">
      <calculatedColumnFormula>IF(Table13[[#This Row],[Category]]="Transportation", _xlfn.XLOOKUP(Table13[[#This Row],[Resource]], 'SI - Payload'!$A$10:$A$39,'SI - Payload'!$B$10:$B$39,"",0), "")</calculatedColumnFormula>
    </tableColumn>
    <tableColumn id="15" xr3:uid="{12266DA7-2860-4902-A860-F7A8C967B8AC}" name="Payload Unit" dataDxfId="122">
      <calculatedColumnFormula>IF(Table13[[#This Row],[Category]]="Transportation", "ton", "")</calculatedColumnFormula>
    </tableColumn>
    <tableColumn id="16" xr3:uid="{D6525627-CDFF-4A10-A93C-AF0010F1065E}" name="Market Price" dataDxfId="121"/>
    <tableColumn id="17" xr3:uid="{1E3EA3C9-0C10-407B-B7C3-5BE85A872B4C}" name="Market Price Unit" dataDxfId="120"/>
    <tableColumn id="12" xr3:uid="{CD73860D-9B70-4890-8CD2-E59A65DCFC66}" name="Incumbent Product" dataDxfId="119">
      <calculatedColumnFormula>IF(OR(Table13[[#This Row],[Type]]="Main Product", Table13[[#This Row],[Type]]="Co-Product"), Table13[[#This Row],[Resource]], "")</calculatedColumnFormula>
    </tableColumn>
    <tableColumn id="13" xr3:uid="{30F6CFBB-2166-40C4-AE0E-1D647850EE2E}" name="End Use of Incumbent Product" dataDxfId="118">
      <calculatedColumnFormula>IF(_xlfn.XLOOKUP($P6,'SI - End Use'!$B$2:$B$6,'SI - End Use'!$C$2:$C$6, "")="", "", _xlfn.XLOOKUP($C6,'SI - End Use'!$B$2:$B$6,'SI - End Use'!$C$2:$C$6, ""))</calculatedColumnFormula>
    </tableColumn>
    <tableColumn id="20" xr3:uid="{20CCDE22-7242-4E74-BE65-590DE755856E}" name="Surrogate For" dataDxfId="117"/>
    <tableColumn id="18" xr3:uid="{FC7A5781-CD67-4A58-82D3-8FE69D1A977B}" name="Process" dataDxfId="116"/>
    <tableColumn id="11" xr3:uid="{70E9ED22-A1DB-4D0C-BD30-E431BDC78730}" name="Note" dataDxfId="11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0D125D4-894F-457D-99E7-9E22E658288E}" name="Table111" displayName="Table111" ref="A5:T100" totalsRowShown="0" headerRowDxfId="114" dataDxfId="113" tableBorderDxfId="112" dataCellStyle="Percent">
  <autoFilter ref="A5:T100" xr:uid="{1644AED8-49DE-4A1D-989C-1566C9A522B9}"/>
  <tableColumns count="20">
    <tableColumn id="1" xr3:uid="{4963602F-EE9D-4275-BB06-94275FA0ADC9}" name="Type" dataDxfId="111"/>
    <tableColumn id="2" xr3:uid="{A2EC3194-B813-4DCE-AE01-1C673B9568DE}" name="Category" dataDxfId="110"/>
    <tableColumn id="3" xr3:uid="{35734D3D-B786-40BB-B133-3A0C99319B95}" name="Resource" dataDxfId="109">
      <calculatedColumnFormula>_xlfn.XLOOKUP($B6,'SI - Resources'!$A$1:$J$1,'SI - Resources'!$A$2:$J$2, "")</calculatedColumnFormula>
    </tableColumn>
    <tableColumn id="4" xr3:uid="{1FA39DD6-DF4B-47C8-BE66-FCFED64BAE56}" name="End Use" dataDxfId="108">
      <calculatedColumnFormula>IF(_xlfn.XLOOKUP($C6,'SI - End Use'!$B$2:$B$6,'SI - End Use'!$C$2:$C$6, "")="", "", _xlfn.XLOOKUP($C6,'SI - End Use'!$B$2:$B$6,'SI - End Use'!$C$2:$C$6, ""))</calculatedColumnFormula>
    </tableColumn>
    <tableColumn id="5" xr3:uid="{095C2C61-1536-4D98-864A-5D7D6EC876DE}" name="Amount" dataDxfId="107" dataCellStyle="Comma"/>
    <tableColumn id="6" xr3:uid="{CE6564ED-CD6C-456D-B652-43635DFD9834}" name="Unit" dataDxfId="106">
      <calculatedColumnFormula array="1">IF($B6="Transportation",  'SI - Units'!$B$9:$B$9, _xlfn.XLOOKUP(_xlfn.XLOOKUP($C6,'SI - Units'!$B$24:$B$109,'SI - Units'!$C$24:$C$109, ""),'SI - Units'!$A$2:$A$8,'SI - Units'!$B$2:$B$8, ""))</calculatedColumnFormula>
    </tableColumn>
    <tableColumn id="7" xr3:uid="{93B7310A-05ED-418A-820F-1D6A823213F6}" name="Moisture" dataDxfId="105" dataCellStyle="Percent"/>
    <tableColumn id="8" xr3:uid="{44A8F169-15F2-430B-8821-744C929984E0}" name="Previous Stage" dataDxfId="104" dataCellStyle="Percent"/>
    <tableColumn id="9" xr3:uid="{E71A0842-E5CE-48E8-A252-18C8F430EFAD}" name="Always Use Displacement Method for Co-Product?" dataDxfId="103" dataCellStyle="Percent">
      <calculatedColumnFormula>IF(Table111[[#This Row],[Type]]="Co-product", "No", "")</calculatedColumnFormula>
    </tableColumn>
    <tableColumn id="19" xr3:uid="{2D0F5DB1-12CA-4619-99FB-232F373338EF}" name="Urban Share" dataDxfId="102" dataCellStyle="Percent"/>
    <tableColumn id="10" xr3:uid="{097318D1-F1F3-4567-B18E-213E054F7B08}" name="Product Train" dataDxfId="101"/>
    <tableColumn id="14" xr3:uid="{1D13D1F2-E088-44EC-9D2B-22F8FEA8B4EB}" name="Payload" dataDxfId="100">
      <calculatedColumnFormula>IF(Table111[[#This Row],[Category]]="Transportation", _xlfn.XLOOKUP(Table111[[#This Row],[Resource]], 'SI - Payload'!$A$10:$A$39,'SI - Payload'!$B$10:$B$39,"",0), "")</calculatedColumnFormula>
    </tableColumn>
    <tableColumn id="15" xr3:uid="{89012612-FBFF-4D1A-8D93-A61A932877E9}" name="Payload Unit" dataDxfId="99">
      <calculatedColumnFormula>IF(Table111[[#This Row],[Category]]="Transportation", "ton", "")</calculatedColumnFormula>
    </tableColumn>
    <tableColumn id="16" xr3:uid="{B5098648-5BCC-4ACE-905E-4B4F86D78E95}" name="Market Price" dataDxfId="98"/>
    <tableColumn id="17" xr3:uid="{920B4711-E01C-4180-BC6D-98BF6D2D6376}" name="Market Price Unit" dataDxfId="97"/>
    <tableColumn id="12" xr3:uid="{8073611B-E408-40C3-B6EA-623AEE738E4C}" name="Incumbent Product" dataDxfId="96">
      <calculatedColumnFormula>IF(OR(Table111[[#This Row],[Type]]="Main Product", Table111[[#This Row],[Type]]="Co-Product"), Table111[[#This Row],[Resource]], "")</calculatedColumnFormula>
    </tableColumn>
    <tableColumn id="13" xr3:uid="{6C1DF92A-6FE0-4C7C-9FD0-A294FE8A10AA}" name="End Use of Incumbent Product" dataDxfId="95">
      <calculatedColumnFormula>IF(_xlfn.XLOOKUP($P6,'SI - End Use'!$B$2:$B$6,'SI - End Use'!$C$2:$C$6, "")="", "", _xlfn.XLOOKUP($C6,'SI - End Use'!$B$2:$B$6,'SI - End Use'!$C$2:$C$6, ""))</calculatedColumnFormula>
    </tableColumn>
    <tableColumn id="20" xr3:uid="{12597A7D-90BC-4319-9721-FDDEAC190034}" name="Surrogate For" dataDxfId="94"/>
    <tableColumn id="18" xr3:uid="{CAC8F60F-8ACC-43F8-87C3-5C04CBE58CD8}" name="Process" dataDxfId="93"/>
    <tableColumn id="11" xr3:uid="{F73475E7-AF8D-404A-9124-BC75A281D1BA}" name="Note" dataDxfId="9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C37011F-8B4C-45EB-B9E0-68561F1D07F5}" name="Table16" displayName="Table16" ref="A5:T100" totalsRowShown="0" headerRowDxfId="91" dataDxfId="90" tableBorderDxfId="89" dataCellStyle="Percent">
  <autoFilter ref="A5:T100" xr:uid="{1644AED8-49DE-4A1D-989C-1566C9A522B9}"/>
  <tableColumns count="20">
    <tableColumn id="1" xr3:uid="{4DE4F306-3300-44EB-B5BE-476B296920FE}" name="Type" dataDxfId="88"/>
    <tableColumn id="2" xr3:uid="{8924AF68-5919-4384-9AC3-3BFBC216A663}" name="Category" dataDxfId="87"/>
    <tableColumn id="3" xr3:uid="{B7002DB0-EE94-424E-8B5B-4E0236FB8491}" name="Resource" dataDxfId="86">
      <calculatedColumnFormula>_xlfn.XLOOKUP($B6,'SI - Resources'!$A$1:$J$1,'SI - Resources'!$A$2:$J$2, "")</calculatedColumnFormula>
    </tableColumn>
    <tableColumn id="4" xr3:uid="{9F84E59A-E518-428D-8E2F-6FF4058E754B}" name="End Use" dataDxfId="85">
      <calculatedColumnFormula>IF(_xlfn.XLOOKUP($C6,'SI - End Use'!$B$2:$B$6,'SI - End Use'!$C$2:$C$6, "")="", "", _xlfn.XLOOKUP($C6,'SI - End Use'!$B$2:$B$6,'SI - End Use'!$C$2:$C$6, ""))</calculatedColumnFormula>
    </tableColumn>
    <tableColumn id="5" xr3:uid="{7256AC60-9844-405A-A921-61E8C8FD3AA7}" name="Amount" dataDxfId="84" dataCellStyle="Comma"/>
    <tableColumn id="6" xr3:uid="{44BE0D75-FAE9-4832-B6D6-D8CF06B71D0C}" name="Unit" dataDxfId="83">
      <calculatedColumnFormula array="1">IF($B6="Transportation",  'SI - Units'!$B$9:$B$9, _xlfn.XLOOKUP(_xlfn.XLOOKUP($C6,'SI - Units'!$B$24:$B$109,'SI - Units'!$C$24:$C$109, ""),'SI - Units'!$A$2:$A$8,'SI - Units'!$B$2:$B$8, ""))</calculatedColumnFormula>
    </tableColumn>
    <tableColumn id="7" xr3:uid="{43D5A240-8AB8-4961-B551-66B594CD0D62}" name="Moisture" dataDxfId="82" dataCellStyle="Percent"/>
    <tableColumn id="8" xr3:uid="{625625FF-7AC8-489E-BEC1-FF26AEDC5726}" name="Previous Stage" dataDxfId="81" dataCellStyle="Percent"/>
    <tableColumn id="9" xr3:uid="{687A2E2A-BBA4-4CE3-BA8D-96A3BA5E0FBB}" name="Always Use Displacement Method for Co-Product?" dataDxfId="80" dataCellStyle="Percent">
      <calculatedColumnFormula>IF(Table16[[#This Row],[Type]]="Co-product", "No", "")</calculatedColumnFormula>
    </tableColumn>
    <tableColumn id="19" xr3:uid="{AFAE3135-776B-4172-B5D1-9D0477D6BFF4}" name="Urban Share" dataDxfId="79" dataCellStyle="Percent"/>
    <tableColumn id="10" xr3:uid="{82EF3DFB-6C96-4FA1-BA8F-810301136673}" name="Product Train" dataDxfId="78"/>
    <tableColumn id="14" xr3:uid="{CCEF1C10-3BF7-45DF-B1B3-1E1D16FCAB66}" name="Payload" dataDxfId="77">
      <calculatedColumnFormula>IF(Table16[[#This Row],[Category]]="Transportation", _xlfn.XLOOKUP(Table16[[#This Row],[Resource]], 'SI - Payload'!$A$10:$A$39,'SI - Payload'!$B$10:$B$39,"",0), "")</calculatedColumnFormula>
    </tableColumn>
    <tableColumn id="15" xr3:uid="{68170548-B8D8-452A-9BDF-57DE514A5A59}" name="Payload Unit" dataDxfId="76">
      <calculatedColumnFormula>IF(Table16[[#This Row],[Category]]="Transportation", "ton", "")</calculatedColumnFormula>
    </tableColumn>
    <tableColumn id="16" xr3:uid="{F5E0D2B0-9C80-4B2A-9BDC-DA79777EBD93}" name="Market Price" dataDxfId="75"/>
    <tableColumn id="17" xr3:uid="{C86C9923-2805-4906-9A19-EB41F6FA61C0}" name="Market Price Unit" dataDxfId="74"/>
    <tableColumn id="12" xr3:uid="{EAB5714C-2FB4-4C92-A2E3-EED8D19B69E9}" name="Incumbent Product" dataDxfId="73">
      <calculatedColumnFormula>IF(OR(Table16[[#This Row],[Type]]="Main Product", Table16[[#This Row],[Type]]="Co-Product"), Table16[[#This Row],[Resource]], "")</calculatedColumnFormula>
    </tableColumn>
    <tableColumn id="13" xr3:uid="{04B19DE7-96C0-432D-BCDB-9AFB92069E79}" name="End Use of Incumbent Product" dataDxfId="72">
      <calculatedColumnFormula>IF(_xlfn.XLOOKUP($P6,'SI - End Use'!$B$2:$B$6,'SI - End Use'!$C$2:$C$6, "")="", "", _xlfn.XLOOKUP($C6,'SI - End Use'!$B$2:$B$6,'SI - End Use'!$C$2:$C$6, ""))</calculatedColumnFormula>
    </tableColumn>
    <tableColumn id="20" xr3:uid="{D42C39ED-A6B2-4FB7-BD47-767E08826531}" name="Surrogate For" dataDxfId="71"/>
    <tableColumn id="18" xr3:uid="{78C3B200-3712-4A9B-B0B0-F43C3FC85978}" name="Process" dataDxfId="70"/>
    <tableColumn id="11" xr3:uid="{52DC74A1-C8D8-4428-9C8D-6B94E271C7DB}" name="Note" dataDxfId="6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899C90F-5B22-4C82-9C47-DA16FB7B2DC7}" name="Table18" displayName="Table18" ref="A5:T100" totalsRowShown="0" headerRowDxfId="45" dataDxfId="44" tableBorderDxfId="43" dataCellStyle="Percent">
  <autoFilter ref="A5:T100" xr:uid="{1644AED8-49DE-4A1D-989C-1566C9A522B9}"/>
  <tableColumns count="20">
    <tableColumn id="1" xr3:uid="{2CB032B9-D44E-4982-9B52-71CACFAA31B7}" name="Type" dataDxfId="42"/>
    <tableColumn id="2" xr3:uid="{68863F2A-5ED2-4D2D-9321-0694E0002A4D}" name="Category" dataDxfId="41"/>
    <tableColumn id="3" xr3:uid="{6F6A00AA-2114-4E89-ACA6-F79D0CCB10FE}" name="Resource" dataDxfId="40">
      <calculatedColumnFormula>_xlfn.XLOOKUP($B6,'SI - Resources'!$A$1:$J$1,'SI - Resources'!$A$2:$J$2, "")</calculatedColumnFormula>
    </tableColumn>
    <tableColumn id="4" xr3:uid="{9EA4BC64-2518-49EB-96FE-47C6D7D0A619}" name="End Use" dataDxfId="39">
      <calculatedColumnFormula>IF(_xlfn.XLOOKUP($C6,'SI - End Use'!$B$2:$B$6,'SI - End Use'!$C$2:$C$6, "")="", "", _xlfn.XLOOKUP($C6,'SI - End Use'!$B$2:$B$6,'SI - End Use'!$C$2:$C$6, ""))</calculatedColumnFormula>
    </tableColumn>
    <tableColumn id="5" xr3:uid="{FEEC8BBE-142D-470F-B857-356BF2881BE2}" name="Amount" dataDxfId="38" dataCellStyle="Comma"/>
    <tableColumn id="6" xr3:uid="{4C75A85A-690F-4C1C-B366-37885C4C05E9}" name="Unit" dataDxfId="37">
      <calculatedColumnFormula array="1">IF($B6="Transportation",  'SI - Units'!$B$9:$B$9, _xlfn.XLOOKUP(_xlfn.XLOOKUP($C6,'SI - Units'!$B$24:$B$109,'SI - Units'!$C$24:$C$109, ""),'SI - Units'!$A$2:$A$8,'SI - Units'!$B$2:$B$8, ""))</calculatedColumnFormula>
    </tableColumn>
    <tableColumn id="7" xr3:uid="{04EB82E7-0D31-4373-9323-8FE7ABD0453D}" name="Moisture" dataDxfId="36" dataCellStyle="Percent"/>
    <tableColumn id="8" xr3:uid="{EA1D1281-616C-4C33-BC33-15137860670A}" name="Previous Stage" dataDxfId="35" dataCellStyle="Percent"/>
    <tableColumn id="9" xr3:uid="{032753C9-1EF2-495C-A94D-E887DC18620F}" name="Always Use Displacement Method for Co-Product?" dataDxfId="34" dataCellStyle="Percent">
      <calculatedColumnFormula>IF(Table18[[#This Row],[Type]]="Co-product", "No", "")</calculatedColumnFormula>
    </tableColumn>
    <tableColumn id="19" xr3:uid="{393ED02F-81F2-4156-A237-869BECD41DC7}" name="Urban Share" dataDxfId="33" dataCellStyle="Percent"/>
    <tableColumn id="10" xr3:uid="{53E3C02C-2DC7-41CB-89C1-6D5F8A6A5EB5}" name="Product Train" dataDxfId="32"/>
    <tableColumn id="14" xr3:uid="{E23EC0B8-FBC1-42BE-A92D-8C31AA437B4C}" name="Payload" dataDxfId="31">
      <calculatedColumnFormula>IF(Table18[[#This Row],[Category]]="Transportation", _xlfn.XLOOKUP(Table18[[#This Row],[Resource]], 'SI - Payload'!$A$10:$A$39,'SI - Payload'!$B$10:$B$39,"",0), "")</calculatedColumnFormula>
    </tableColumn>
    <tableColumn id="15" xr3:uid="{42AC4B14-4042-4A75-910F-5580454B0995}" name="Payload Unit" dataDxfId="30">
      <calculatedColumnFormula>IF(Table18[[#This Row],[Category]]="Transportation", "ton", "")</calculatedColumnFormula>
    </tableColumn>
    <tableColumn id="16" xr3:uid="{A7DD5412-C938-4375-9218-792E0CDCB11F}" name="Market Price" dataDxfId="29"/>
    <tableColumn id="17" xr3:uid="{24218AD5-48BA-45D0-93FA-04007D428029}" name="Market Price Unit" dataDxfId="28"/>
    <tableColumn id="12" xr3:uid="{F8D31996-38CD-420E-9185-024F9E10DC79}" name="Incumbent Product" dataDxfId="27">
      <calculatedColumnFormula>IF(OR(Table18[[#This Row],[Type]]="Main Product", Table18[[#This Row],[Type]]="Co-Product"), Table18[[#This Row],[Resource]], "")</calculatedColumnFormula>
    </tableColumn>
    <tableColumn id="13" xr3:uid="{65220A8F-B5EF-4B30-9EF4-3898FB323CE9}" name="End Use of Incumbent Product" dataDxfId="26">
      <calculatedColumnFormula>IF(_xlfn.XLOOKUP($P6,'SI - End Use'!$B$2:$B$6,'SI - End Use'!$C$2:$C$6, "")="", "", _xlfn.XLOOKUP($C6,'SI - End Use'!$B$2:$B$6,'SI - End Use'!$C$2:$C$6, ""))</calculatedColumnFormula>
    </tableColumn>
    <tableColumn id="20" xr3:uid="{160C4CBB-B69B-4789-AFA3-70BBC8C4D452}" name="Surrogate For" dataDxfId="25"/>
    <tableColumn id="18" xr3:uid="{B7B7DFEF-9AA7-4C9A-BCCA-30B907F85428}" name="Process" dataDxfId="24"/>
    <tableColumn id="11" xr3:uid="{B3275D68-769D-493E-BE61-29C8645E2901}" name="Note" dataDxfId="2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E4B4FE2-B5AD-4B66-A13C-A6D47E0473D3}" name="Table112" displayName="Table112" ref="A5:T100" totalsRowShown="0" headerRowDxfId="22" dataDxfId="21" tableBorderDxfId="20" dataCellStyle="Percent">
  <autoFilter ref="A5:T100" xr:uid="{1644AED8-49DE-4A1D-989C-1566C9A522B9}"/>
  <tableColumns count="20">
    <tableColumn id="1" xr3:uid="{F9268571-DF00-4FFB-9A83-7682AEBC5180}" name="Type" dataDxfId="19"/>
    <tableColumn id="2" xr3:uid="{8CEA012C-141E-43D7-9FB1-3A233DF5B0D9}" name="Category" dataDxfId="18"/>
    <tableColumn id="3" xr3:uid="{071183EA-B158-4630-8453-44BFE1F93BFA}" name="Resource" dataDxfId="17">
      <calculatedColumnFormula>_xlfn.XLOOKUP($B6,'SI - Resources'!$A$1:$J$1,'SI - Resources'!$A$2:$J$2, "")</calculatedColumnFormula>
    </tableColumn>
    <tableColumn id="4" xr3:uid="{8538D180-C57D-4272-A2C2-25F9B92E8F44}" name="End Use" dataDxfId="16">
      <calculatedColumnFormula>IF(_xlfn.XLOOKUP($C6,'SI - End Use'!$B$2:$B$6,'SI - End Use'!$C$2:$C$6, "")="", "", _xlfn.XLOOKUP($C6,'SI - End Use'!$B$2:$B$6,'SI - End Use'!$C$2:$C$6, ""))</calculatedColumnFormula>
    </tableColumn>
    <tableColumn id="5" xr3:uid="{7EE740BC-C484-4543-87EF-F7BE2F712141}" name="Amount" dataDxfId="15" dataCellStyle="Comma"/>
    <tableColumn id="6" xr3:uid="{3D4210C9-4B39-4FD7-8451-0C8A9446B267}" name="Unit" dataDxfId="14">
      <calculatedColumnFormula array="1">IF($B6="Transportation",  'SI - Units'!$B$9:$B$9, _xlfn.XLOOKUP(_xlfn.XLOOKUP($C6,'SI - Units'!$B$24:$B$109,'SI - Units'!$C$24:$C$109, ""),'SI - Units'!$A$2:$A$8,'SI - Units'!$B$2:$B$8, ""))</calculatedColumnFormula>
    </tableColumn>
    <tableColumn id="7" xr3:uid="{5EA55020-1C05-432C-B854-5E615D3C5BAB}" name="Moisture" dataDxfId="13" dataCellStyle="Percent"/>
    <tableColumn id="8" xr3:uid="{DD7861DE-DF22-4FAE-B0C3-778E13FE1B6A}" name="Previous Stage" dataDxfId="12" dataCellStyle="Percent"/>
    <tableColumn id="9" xr3:uid="{2E9C44F5-492F-4BFD-A22E-077E6EA854F0}" name="Always Use Displacement Method for Co-Product?" dataDxfId="11" dataCellStyle="Percent">
      <calculatedColumnFormula>IF(Table112[[#This Row],[Type]]="Co-product", "No", "")</calculatedColumnFormula>
    </tableColumn>
    <tableColumn id="19" xr3:uid="{7EF4FF93-AD32-4BA9-84B7-380D3C8B3BAA}" name="Urban Share" dataDxfId="10" dataCellStyle="Percent"/>
    <tableColumn id="10" xr3:uid="{834831EB-0FE7-4150-A095-4C38C6C96EBB}" name="Product Train" dataDxfId="9"/>
    <tableColumn id="14" xr3:uid="{92196EBB-3FF1-483D-A0E6-4184C9C7F441}" name="Payload" dataDxfId="8">
      <calculatedColumnFormula>IF(Table112[[#This Row],[Category]]="Transportation", _xlfn.XLOOKUP(Table112[[#This Row],[Resource]], 'SI - Payload'!$A$10:$A$39,'SI - Payload'!$B$10:$B$39,"",0), "")</calculatedColumnFormula>
    </tableColumn>
    <tableColumn id="15" xr3:uid="{766842DD-2003-44A7-BF0D-2160522E75B5}" name="Payload Unit" dataDxfId="7">
      <calculatedColumnFormula>IF(Table112[[#This Row],[Category]]="Transportation", "ton", "")</calculatedColumnFormula>
    </tableColumn>
    <tableColumn id="16" xr3:uid="{047CF82A-DBA2-4E6B-BB30-3676F27FBCF6}" name="Market Price" dataDxfId="6"/>
    <tableColumn id="17" xr3:uid="{A0392FFC-E5EF-4E3D-86D1-40AAE36E4A98}" name="Market Price Unit" dataDxfId="5"/>
    <tableColumn id="12" xr3:uid="{96F477C6-DF4B-445F-8ADE-886D864B9D7C}" name="Incumbent Product" dataDxfId="4">
      <calculatedColumnFormula>IF(OR(Table112[[#This Row],[Type]]="Main Product", Table112[[#This Row],[Type]]="Co-Product"), Table112[[#This Row],[Resource]], "")</calculatedColumnFormula>
    </tableColumn>
    <tableColumn id="13" xr3:uid="{B92420EF-B58D-42DF-97E0-DE4FD9E773D2}" name="End Use of Incumbent Product" dataDxfId="3">
      <calculatedColumnFormula>IF(_xlfn.XLOOKUP($P6,'SI - End Use'!$B$2:$B$6,'SI - End Use'!$C$2:$C$6, "")="", "", _xlfn.XLOOKUP($C6,'SI - End Use'!$B$2:$B$6,'SI - End Use'!$C$2:$C$6, ""))</calculatedColumnFormula>
    </tableColumn>
    <tableColumn id="20" xr3:uid="{2EBB5AC0-853B-46D0-A0CA-EEE613506D2C}" name="Surrogate For" dataDxfId="2"/>
    <tableColumn id="18" xr3:uid="{50E2788C-325B-4941-B41B-BEEC6F58A31B}" name="Process" dataDxfId="1"/>
    <tableColumn id="11" xr3:uid="{4387B92E-E28A-49DF-A217-66DD1969DCD3}" name="Note" dataDxfId="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A7E7FEB-F7CA-4FE4-9A7B-D71938D77985}" name="Table113" displayName="Table113" ref="A5:T100" totalsRowShown="0" headerRowDxfId="68" dataDxfId="67" tableBorderDxfId="66" dataCellStyle="Percent">
  <autoFilter ref="A5:T100" xr:uid="{1644AED8-49DE-4A1D-989C-1566C9A522B9}"/>
  <tableColumns count="20">
    <tableColumn id="1" xr3:uid="{B3CEA4CB-FBE2-4452-B090-D9E08EBB2473}" name="Type" dataDxfId="65"/>
    <tableColumn id="2" xr3:uid="{45559C56-C563-4D9E-B960-59C2C2F18959}" name="Category" dataDxfId="64"/>
    <tableColumn id="3" xr3:uid="{7B4FBFCD-F58B-4B56-B139-3A59FBC43CAD}" name="Resource" dataDxfId="63">
      <calculatedColumnFormula>_xlfn.XLOOKUP($B6,'SI - Resources'!$A$1:$J$1,'SI - Resources'!$A$2:$J$2, "")</calculatedColumnFormula>
    </tableColumn>
    <tableColumn id="4" xr3:uid="{525A2627-4460-4824-9E3F-281886F29CC9}" name="End Use" dataDxfId="62">
      <calculatedColumnFormula>IF(_xlfn.XLOOKUP($C6,'SI - End Use'!$B$2:$B$6,'SI - End Use'!$C$2:$C$6, "")="", "", _xlfn.XLOOKUP($C6,'SI - End Use'!$B$2:$B$6,'SI - End Use'!$C$2:$C$6, ""))</calculatedColumnFormula>
    </tableColumn>
    <tableColumn id="5" xr3:uid="{B3C6A26A-3CB0-4E2B-AFCA-67CD6B76D916}" name="Amount" dataDxfId="61" dataCellStyle="Comma"/>
    <tableColumn id="6" xr3:uid="{8FD22B6B-8AA1-4DBB-9F76-CBB79FA09A06}" name="Unit" dataDxfId="60">
      <calculatedColumnFormula array="1">IF($B6="Transportation",  'SI - Units'!$B$9:$B$9, _xlfn.XLOOKUP(_xlfn.XLOOKUP($C6,'SI - Units'!$B$24:$B$109,'SI - Units'!$C$24:$C$109, ""),'SI - Units'!$A$2:$A$8,'SI - Units'!$B$2:$B$8, ""))</calculatedColumnFormula>
    </tableColumn>
    <tableColumn id="7" xr3:uid="{6DD41B9C-0A14-41AE-96A2-29DEB981099B}" name="Moisture" dataDxfId="59" dataCellStyle="Percent"/>
    <tableColumn id="8" xr3:uid="{B0A1A10D-3735-4890-B84B-F8D3D675E318}" name="Previous Stage" dataDxfId="58" dataCellStyle="Percent"/>
    <tableColumn id="9" xr3:uid="{EDC3F019-DE4D-4042-AE8E-00D5436A51E3}" name="Always Use Displacement Method for Co-Product?" dataDxfId="57" dataCellStyle="Percent">
      <calculatedColumnFormula>IF(Table113[[#This Row],[Type]]="Co-product", "No", "")</calculatedColumnFormula>
    </tableColumn>
    <tableColumn id="19" xr3:uid="{3A563F43-D647-40C7-9E96-488CC44C996C}" name="Urban Share" dataDxfId="56" dataCellStyle="Percent"/>
    <tableColumn id="10" xr3:uid="{EA570375-6059-4EED-8557-BFD832A8E540}" name="Product Train" dataDxfId="55"/>
    <tableColumn id="14" xr3:uid="{E6BD6136-7D68-4093-A430-C21A38704D87}" name="Payload" dataDxfId="54">
      <calculatedColumnFormula>IF(Table113[[#This Row],[Category]]="Transportation", _xlfn.XLOOKUP(Table113[[#This Row],[Resource]], 'SI - Payload'!$A$10:$A$39,'SI - Payload'!$B$10:$B$39,"",0), "")</calculatedColumnFormula>
    </tableColumn>
    <tableColumn id="15" xr3:uid="{DBA86F02-3775-4CAA-BB53-A444AC9F92AE}" name="Payload Unit" dataDxfId="53">
      <calculatedColumnFormula>IF(Table113[[#This Row],[Category]]="Transportation", "ton", "")</calculatedColumnFormula>
    </tableColumn>
    <tableColumn id="16" xr3:uid="{46C5E33E-E5D3-4CE0-9EB8-22B1E275F577}" name="Market Price" dataDxfId="52"/>
    <tableColumn id="17" xr3:uid="{ADF82CAB-0594-49FA-8B95-8FBF3B048294}" name="Market Price Unit" dataDxfId="51"/>
    <tableColumn id="12" xr3:uid="{28C78F97-3922-4FC5-97A8-2A973E0AC108}" name="Incumbent Product" dataDxfId="50">
      <calculatedColumnFormula>IF(OR(Table113[[#This Row],[Type]]="Main Product", Table113[[#This Row],[Type]]="Co-Product"), Table113[[#This Row],[Resource]], "")</calculatedColumnFormula>
    </tableColumn>
    <tableColumn id="13" xr3:uid="{1699A0FF-DDBB-45EC-BAA2-491F1834CBA7}" name="End Use of Incumbent Product" dataDxfId="49">
      <calculatedColumnFormula>IF(_xlfn.XLOOKUP($P6,'SI - End Use'!$B$2:$B$6,'SI - End Use'!$C$2:$C$6, "")="", "", _xlfn.XLOOKUP($C6,'SI - End Use'!$B$2:$B$6,'SI - End Use'!$C$2:$C$6, ""))</calculatedColumnFormula>
    </tableColumn>
    <tableColumn id="20" xr3:uid="{C7AD867E-640B-4EA6-8359-ADFC9A5A6354}" name="Surrogate For" dataDxfId="48"/>
    <tableColumn id="18" xr3:uid="{CC8A460B-D074-4A36-9D2A-CBEB86D375E0}" name="Process" dataDxfId="47"/>
    <tableColumn id="11" xr3:uid="{E4454EBC-EADB-4606-BBBC-5B9E129F8CDA}" name="Note" dataDxfId="4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3" t="s">
        <v>261</v>
      </c>
      <c r="B2" s="63"/>
    </row>
    <row r="3" spans="1:3" ht="29.15" customHeight="1" x14ac:dyDescent="0.35">
      <c r="A3" s="65" t="s">
        <v>274</v>
      </c>
      <c r="B3" s="65"/>
    </row>
    <row r="4" spans="1:3" ht="28" customHeight="1" x14ac:dyDescent="0.35">
      <c r="A4" s="19"/>
      <c r="B4" s="19"/>
    </row>
    <row r="5" spans="1:3" ht="28" customHeight="1" x14ac:dyDescent="0.35">
      <c r="A5" s="64" t="s">
        <v>260</v>
      </c>
      <c r="B5" s="64"/>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Payload'!$A$10:$A$39,'SI - Payload'!$B$10:$B$39,"",0),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Payload'!$A$10:$A$39,'SI - Payload'!$B$10:$B$39,"",0),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Payload'!$A$10:$A$39,'SI - Payload'!$B$10:$B$39,"",0),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Payload'!$A$10:$A$39,'SI - Payload'!$B$10:$B$39,"",0),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Payload'!$A$10:$A$39,'SI - Payload'!$B$10:$B$39,"",0),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Payload'!$A$10:$A$39,'SI - Payload'!$B$10:$B$39,"",0),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Payload'!$A$10:$A$39,'SI - Payload'!$B$10:$B$39,"",0),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Payload'!$A$10:$A$39,'SI - Payload'!$B$10:$B$39,"",0),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Payload'!$A$10:$A$39,'SI - Payload'!$B$10:$B$39,"",0),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Payload'!$A$10:$A$39,'SI - Payload'!$B$10:$B$39,"",0),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Payload'!$A$10:$A$39,'SI - Payload'!$B$10:$B$39,"",0),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Payload'!$A$10:$A$39,'SI - Payload'!$B$10:$B$39,"",0),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Payload'!$A$10:$A$39,'SI - Payload'!$B$10:$B$39,"",0),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Payload'!$A$10:$A$39,'SI - Payload'!$B$10:$B$39,"",0),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Payload'!$A$10:$A$39,'SI - Payload'!$B$10:$B$39,"",0),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Payload'!$A$10:$A$39,'SI - Payload'!$B$10:$B$39,"",0),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Payload'!$A$10:$A$39,'SI - Payload'!$B$10:$B$39,"",0),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Payload'!$A$10:$A$39,'SI - Payload'!$B$10:$B$39,"",0),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Payload'!$A$10:$A$39,'SI - Payload'!$B$10:$B$39,"",0),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Payload'!$A$10:$A$39,'SI - Payload'!$B$10:$B$39,"",0),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Payload'!$A$10:$A$39,'SI - Payload'!$B$10:$B$39,"",0),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Payload'!$A$10:$A$39,'SI - Payload'!$B$10:$B$39,"",0),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Payload'!$A$10:$A$39,'SI - Payload'!$B$10:$B$39,"",0),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Payload'!$A$10:$A$39,'SI - Payload'!$B$10:$B$39,"",0),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Payload'!$A$10:$A$39,'SI - Payload'!$B$10:$B$39,"",0),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Payload'!$A$10:$A$39,'SI - Payload'!$B$10:$B$39,"",0),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Payload'!$A$10:$A$39,'SI - Payload'!$B$10:$B$39,"",0),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Payload'!$A$10:$A$39,'SI - Payload'!$B$10:$B$39,"",0),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Payload'!$A$10:$A$39,'SI - Payload'!$B$10:$B$39,"",0),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Payload'!$A$10:$A$39,'SI - Payload'!$B$10:$B$39,"",0),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Payload'!$A$10:$A$39,'SI - Payload'!$B$10:$B$39,"",0),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Payload'!$A$10:$A$39,'SI - Payload'!$B$10:$B$39,"",0),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Payload'!$A$10:$A$39,'SI - Payload'!$B$10:$B$39,"",0),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Payload'!$A$10:$A$39,'SI - Payload'!$B$10:$B$39,"",0),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Payload'!$A$10:$A$39,'SI - Payload'!$B$10:$B$39,"",0),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Payload'!$A$10:$A$39,'SI - Payload'!$B$10:$B$39,"",0),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Payload'!$A$10:$A$39,'SI - Payload'!$B$10:$B$39,"",0),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Payload'!$A$10:$A$39,'SI - Payload'!$B$10:$B$39,"",0),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Payload'!$A$10:$A$39,'SI - Payload'!$B$10:$B$39,"",0),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Payload'!$A$10:$A$39,'SI - Payload'!$B$10:$B$39,"",0),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Payload'!$A$10:$A$39,'SI - Payload'!$B$10:$B$39,"",0),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Payload'!$A$10:$A$39,'SI - Payload'!$B$10:$B$39,"",0),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Payload'!$A$10:$A$39,'SI - Payload'!$B$10:$B$39,"",0),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Payload'!$A$10:$A$39,'SI - Payload'!$B$10:$B$39,"",0),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Payload'!$A$10:$A$39,'SI - Payload'!$B$10:$B$39,"",0),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Payload'!$A$10:$A$39,'SI - Payload'!$B$10:$B$39,"",0),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Payload'!$A$10:$A$39,'SI - Payload'!$B$10:$B$39,"",0),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Payload'!$A$10:$A$39,'SI - Payload'!$B$10:$B$39,"",0),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Payload'!$A$10:$A$39,'SI - Payload'!$B$10:$B$39,"",0),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Payload'!$A$10:$A$39,'SI - Payload'!$B$10:$B$39,"",0),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Payload'!$A$10:$A$39,'SI - Payload'!$B$10:$B$39,"",0),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Payload'!$A$10:$A$39,'SI - Payload'!$B$10:$B$39,"",0),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Payload'!$A$10:$A$39,'SI - Payload'!$B$10:$B$39,"",0),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Payload'!$A$10:$A$39,'SI - Payload'!$B$10:$B$39,"",0),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Payload'!$A$10:$A$39,'SI - Payload'!$B$10:$B$39,"",0),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Payload'!$A$10:$A$39,'SI - Payload'!$B$10:$B$39,"",0),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Payload'!$A$10:$A$39,'SI - Payload'!$B$10:$B$39,"",0),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Payload'!$A$10:$A$39,'SI - Payload'!$B$10:$B$39,"",0),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Payload'!$A$10:$A$39,'SI - Payload'!$B$10:$B$39,"",0),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Payload'!$A$10:$A$39,'SI - Payload'!$B$10:$B$39,"",0),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Payload'!$A$10:$A$39,'SI - Payload'!$B$10:$B$39,"",0),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Payload'!$A$10:$A$39,'SI - Payload'!$B$10:$B$39,"",0),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Payload'!$A$10:$A$39,'SI - Payload'!$B$10:$B$39,"",0),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Payload'!$A$10:$A$39,'SI - Payload'!$B$10:$B$39,"",0),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Payload'!$A$10:$A$39,'SI - Payload'!$B$10:$B$39,"",0),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Payload'!$A$10:$A$39,'SI - Payload'!$B$10:$B$39,"",0),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Payload'!$A$10:$A$39,'SI - Payload'!$B$10:$B$39,"",0),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Payload'!$A$10:$A$39,'SI - Payload'!$B$10:$B$39,"",0),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Payload'!$A$10:$A$39,'SI - Payload'!$B$10:$B$39,"",0),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Payload'!$A$10:$A$39,'SI - Payload'!$B$10:$B$39,"",0),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Payload'!$A$10:$A$39,'SI - Payload'!$B$10:$B$39,"",0),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Payload'!$A$10:$A$39,'SI - Payload'!$B$10:$B$39,"",0),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Payload'!$A$10:$A$39,'SI - Payload'!$B$10:$B$39,"",0),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Payload'!$A$10:$A$39,'SI - Payload'!$B$10:$B$39,"",0),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Payload'!$A$10:$A$39,'SI - Payload'!$B$10:$B$39,"",0),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Payload'!$A$10:$A$39,'SI - Payload'!$B$10:$B$39,"",0),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Payload'!$A$10:$A$39,'SI - Payload'!$B$10:$B$39,"",0),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Payload'!$A$10:$A$39,'SI - Payload'!$B$10:$B$39,"",0),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Payload'!$A$10:$A$39,'SI - Payload'!$B$10:$B$39,"",0),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Payload'!$A$10:$A$39,'SI - Payload'!$B$10:$B$39,"",0),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Payload'!$A$10:$A$39,'SI - Payload'!$B$10:$B$39,"",0),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Payload'!$A$10:$A$39,'SI - Payload'!$B$10:$B$39,"",0),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Payload'!$A$10:$A$39,'SI - Payload'!$B$10:$B$39,"",0),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Payload'!$A$10:$A$39,'SI - Payload'!$B$10:$B$39,"",0),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Payload'!$A$10:$A$39,'SI - Payload'!$B$10:$B$39,"",0),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Payload'!$A$10:$A$39,'SI - Payload'!$B$10:$B$39,"",0),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Payload'!$A$10:$A$39,'SI - Payload'!$B$10:$B$39,"",0),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Payload'!$A$10:$A$39,'SI - Payload'!$B$10:$B$39,"",0),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Payload'!$A$10:$A$39,'SI - Payload'!$B$10:$B$39,"",0),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Payload'!$A$10:$A$39,'SI - Payload'!$B$10:$B$39,"",0),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Payload'!$A$10:$A$39,'SI - Payload'!$B$10:$B$39,"",0),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Payload'!$A$10:$A$39,'SI - Payload'!$B$10:$B$39,"",0),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Payload'!$A$10:$A$39,'SI - Payload'!$B$10:$B$39,"",0),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Payload'!$A$10:$A$39,'SI - Payload'!$B$10:$B$39,"",0),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Payload'!$A$10:$A$39,'SI - Payload'!$B$10:$B$39,"",0),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CE4F3BE5-4A30-4B88-911F-8304175FD33C}">
          <x14:formula1>
            <xm:f>IF($B6="Transportation",  transport_units, INDIRECT(_xlfn.XLOOKUP($C6, 'SI - Units'!$F$26:$F$37,'SI - Units'!$G$26:$G$37,"mass",0)))</xm:f>
          </x14:formula1>
          <xm:sqref>F6:F100</xm:sqref>
        </x14:dataValidation>
        <x14:dataValidation type="list" allowBlank="1" showInputMessage="1" showErrorMessage="1" xr:uid="{05496563-CC83-4996-B1CE-3FED2D55798A}">
          <x14:formula1>
            <xm:f>INDIRECT("p_"&amp;_xlfn.XLOOKUP($C6,'SI - Units'!$F$26:$F$37,'SI - Units'!$G$26:$G$37,"mass",0))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9"/>
  <sheetViews>
    <sheetView workbookViewId="0">
      <selection activeCell="B12" sqref="B12"/>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168</v>
      </c>
      <c r="B11" s="50">
        <f>AF4</f>
        <v>17.5</v>
      </c>
    </row>
    <row r="12" spans="1:78" x14ac:dyDescent="0.35">
      <c r="A12" t="s">
        <v>288</v>
      </c>
      <c r="B12" s="50">
        <f>AV4</f>
        <v>25</v>
      </c>
    </row>
    <row r="13" spans="1:78" x14ac:dyDescent="0.35">
      <c r="A13" t="s">
        <v>2</v>
      </c>
      <c r="B13" s="50">
        <f>D4</f>
        <v>25</v>
      </c>
    </row>
    <row r="14" spans="1:78" x14ac:dyDescent="0.35">
      <c r="A14" t="s">
        <v>22</v>
      </c>
      <c r="B14" s="51">
        <f>Q4</f>
        <v>0.4</v>
      </c>
    </row>
    <row r="15" spans="1:78" x14ac:dyDescent="0.35">
      <c r="A15" t="s">
        <v>71</v>
      </c>
      <c r="B15" s="50">
        <f>W4</f>
        <v>25</v>
      </c>
    </row>
    <row r="16" spans="1:78" x14ac:dyDescent="0.35">
      <c r="A16" t="s">
        <v>276</v>
      </c>
      <c r="B16" s="50">
        <f>W4</f>
        <v>25</v>
      </c>
    </row>
    <row r="17" spans="1:2" x14ac:dyDescent="0.35">
      <c r="A17" t="s">
        <v>277</v>
      </c>
      <c r="B17" s="50">
        <f>W4</f>
        <v>25</v>
      </c>
    </row>
    <row r="18" spans="1:2" x14ac:dyDescent="0.35">
      <c r="A18" t="s">
        <v>13</v>
      </c>
      <c r="B18" s="50">
        <f>$Y$4</f>
        <v>22.5</v>
      </c>
    </row>
    <row r="19" spans="1:2" x14ac:dyDescent="0.35">
      <c r="A19" t="s">
        <v>14</v>
      </c>
      <c r="B19" s="50">
        <f t="shared" ref="B19:B39" si="0">$Y$4</f>
        <v>22.5</v>
      </c>
    </row>
    <row r="20" spans="1:2" x14ac:dyDescent="0.35">
      <c r="A20" t="s">
        <v>15</v>
      </c>
      <c r="B20" s="50">
        <f t="shared" si="0"/>
        <v>22.5</v>
      </c>
    </row>
    <row r="21" spans="1:2" x14ac:dyDescent="0.35">
      <c r="A21" t="s">
        <v>16</v>
      </c>
      <c r="B21" s="50">
        <f t="shared" si="0"/>
        <v>22.5</v>
      </c>
    </row>
    <row r="22" spans="1:2" x14ac:dyDescent="0.35">
      <c r="A22" t="s">
        <v>17</v>
      </c>
      <c r="B22" s="50">
        <f t="shared" si="0"/>
        <v>22.5</v>
      </c>
    </row>
    <row r="23" spans="1:2" x14ac:dyDescent="0.35">
      <c r="A23" t="s">
        <v>18</v>
      </c>
      <c r="B23" s="50">
        <f t="shared" si="0"/>
        <v>22.5</v>
      </c>
    </row>
    <row r="24" spans="1:2" x14ac:dyDescent="0.35">
      <c r="A24" t="s">
        <v>19</v>
      </c>
      <c r="B24" s="50">
        <f t="shared" si="0"/>
        <v>22.5</v>
      </c>
    </row>
    <row r="25" spans="1:2" x14ac:dyDescent="0.35">
      <c r="A25" t="s">
        <v>107</v>
      </c>
      <c r="B25" s="50">
        <f t="shared" si="0"/>
        <v>22.5</v>
      </c>
    </row>
    <row r="26" spans="1:2" x14ac:dyDescent="0.35">
      <c r="A26" t="s">
        <v>106</v>
      </c>
      <c r="B26" s="50">
        <f t="shared" si="0"/>
        <v>22.5</v>
      </c>
    </row>
    <row r="27" spans="1:2" x14ac:dyDescent="0.35">
      <c r="A27" t="s">
        <v>21</v>
      </c>
      <c r="B27" s="50">
        <f t="shared" si="0"/>
        <v>22.5</v>
      </c>
    </row>
    <row r="28" spans="1:2" x14ac:dyDescent="0.35">
      <c r="A28" t="s">
        <v>36</v>
      </c>
      <c r="B28" s="50">
        <f t="shared" si="0"/>
        <v>22.5</v>
      </c>
    </row>
    <row r="29" spans="1:2" x14ac:dyDescent="0.35">
      <c r="A29" t="s">
        <v>23</v>
      </c>
      <c r="B29" s="50">
        <f t="shared" si="0"/>
        <v>22.5</v>
      </c>
    </row>
    <row r="30" spans="1:2" x14ac:dyDescent="0.35">
      <c r="A30" t="s">
        <v>25</v>
      </c>
      <c r="B30" s="50">
        <f t="shared" si="0"/>
        <v>22.5</v>
      </c>
    </row>
    <row r="31" spans="1:2" x14ac:dyDescent="0.35">
      <c r="A31" t="s">
        <v>26</v>
      </c>
      <c r="B31" s="50">
        <f t="shared" si="0"/>
        <v>22.5</v>
      </c>
    </row>
    <row r="32" spans="1:2" x14ac:dyDescent="0.35">
      <c r="A32" t="s">
        <v>30</v>
      </c>
      <c r="B32" s="50">
        <f t="shared" si="0"/>
        <v>22.5</v>
      </c>
    </row>
    <row r="33" spans="1:2" x14ac:dyDescent="0.35">
      <c r="A33" t="s">
        <v>21</v>
      </c>
      <c r="B33" s="50">
        <f t="shared" si="0"/>
        <v>22.5</v>
      </c>
    </row>
    <row r="34" spans="1:2" x14ac:dyDescent="0.35">
      <c r="A34" t="s">
        <v>20</v>
      </c>
      <c r="B34" s="50">
        <f t="shared" si="0"/>
        <v>22.5</v>
      </c>
    </row>
    <row r="35" spans="1:2" x14ac:dyDescent="0.35">
      <c r="A35" t="s">
        <v>36</v>
      </c>
      <c r="B35" s="50">
        <f t="shared" si="0"/>
        <v>22.5</v>
      </c>
    </row>
    <row r="36" spans="1:2" x14ac:dyDescent="0.35">
      <c r="A36" t="s">
        <v>25</v>
      </c>
      <c r="B36" s="50">
        <f t="shared" si="0"/>
        <v>22.5</v>
      </c>
    </row>
    <row r="37" spans="1:2" x14ac:dyDescent="0.35">
      <c r="A37" t="s">
        <v>239</v>
      </c>
      <c r="B37" s="50">
        <v>23</v>
      </c>
    </row>
    <row r="38" spans="1:2" x14ac:dyDescent="0.35">
      <c r="A38" t="s">
        <v>243</v>
      </c>
      <c r="B38" s="50">
        <v>23</v>
      </c>
    </row>
    <row r="39" spans="1:2" x14ac:dyDescent="0.35">
      <c r="A39" t="s">
        <v>51</v>
      </c>
      <c r="B39"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H6" sqref="H2:H6"/>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A4" t="s">
        <v>168</v>
      </c>
      <c r="C4" s="1" t="s">
        <v>22</v>
      </c>
      <c r="D4" s="1"/>
      <c r="E4" s="1" t="s">
        <v>51</v>
      </c>
      <c r="G4" t="s">
        <v>285</v>
      </c>
      <c r="H4" t="s">
        <v>243</v>
      </c>
      <c r="J4" t="s">
        <v>220</v>
      </c>
      <c r="R4" t="s">
        <v>3</v>
      </c>
      <c r="S4" t="s">
        <v>323</v>
      </c>
    </row>
    <row r="5" spans="1:19" x14ac:dyDescent="0.35">
      <c r="C5" s="1" t="s">
        <v>309</v>
      </c>
      <c r="D5" s="1"/>
      <c r="E5" s="1" t="s">
        <v>36</v>
      </c>
      <c r="G5" t="s">
        <v>286</v>
      </c>
      <c r="H5" t="s">
        <v>288</v>
      </c>
      <c r="J5" t="s">
        <v>221</v>
      </c>
      <c r="R5" t="s">
        <v>37</v>
      </c>
      <c r="S5" t="s">
        <v>327</v>
      </c>
    </row>
    <row r="6" spans="1:19" x14ac:dyDescent="0.35">
      <c r="C6" t="s">
        <v>71</v>
      </c>
      <c r="E6" s="1" t="s">
        <v>13</v>
      </c>
      <c r="H6" t="s">
        <v>168</v>
      </c>
      <c r="J6" t="s">
        <v>222</v>
      </c>
      <c r="R6" t="s">
        <v>29</v>
      </c>
      <c r="S6" t="s">
        <v>324</v>
      </c>
    </row>
    <row r="7" spans="1:19" x14ac:dyDescent="0.35">
      <c r="C7" t="s">
        <v>276</v>
      </c>
      <c r="E7" s="1" t="s">
        <v>235</v>
      </c>
      <c r="J7" t="s">
        <v>223</v>
      </c>
      <c r="R7" t="s">
        <v>282</v>
      </c>
      <c r="S7" t="s">
        <v>328</v>
      </c>
    </row>
    <row r="8" spans="1:19" x14ac:dyDescent="0.35">
      <c r="C8" t="s">
        <v>277</v>
      </c>
      <c r="E8" s="1" t="s">
        <v>25</v>
      </c>
      <c r="J8" t="s">
        <v>224</v>
      </c>
      <c r="R8" t="s">
        <v>33</v>
      </c>
      <c r="S8" t="s">
        <v>333</v>
      </c>
    </row>
    <row r="9" spans="1:19" x14ac:dyDescent="0.35">
      <c r="C9" t="s">
        <v>312</v>
      </c>
      <c r="E9" s="1" t="s">
        <v>279</v>
      </c>
      <c r="J9" t="s">
        <v>225</v>
      </c>
      <c r="R9" t="s">
        <v>217</v>
      </c>
      <c r="S9" t="s">
        <v>325</v>
      </c>
    </row>
    <row r="10" spans="1:19" x14ac:dyDescent="0.35">
      <c r="C10" t="s">
        <v>313</v>
      </c>
      <c r="E10" s="1" t="s">
        <v>15</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workbookViewId="0">
      <selection activeCell="F31" sqref="F31"/>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3</v>
      </c>
      <c r="G30" s="3" t="s">
        <v>346</v>
      </c>
      <c r="H30" s="3"/>
      <c r="I30" s="3"/>
      <c r="J30" s="3"/>
      <c r="K30" s="3"/>
      <c r="L30" s="3"/>
    </row>
    <row r="31" spans="1:23" x14ac:dyDescent="0.35">
      <c r="A31" s="2"/>
      <c r="B31" s="1" t="s">
        <v>309</v>
      </c>
      <c r="C31" t="s">
        <v>52</v>
      </c>
      <c r="F31" s="1" t="s">
        <v>71</v>
      </c>
      <c r="G31" s="3" t="s">
        <v>331</v>
      </c>
      <c r="H31" s="3"/>
      <c r="I31" s="3"/>
      <c r="J31" s="3"/>
      <c r="K31" s="3"/>
      <c r="L31" s="3"/>
    </row>
    <row r="32" spans="1:23" x14ac:dyDescent="0.35">
      <c r="A32" s="2"/>
      <c r="B32" s="1" t="s">
        <v>71</v>
      </c>
      <c r="C32" t="s">
        <v>52</v>
      </c>
      <c r="F32" s="1" t="s">
        <v>276</v>
      </c>
      <c r="G32" s="3" t="s">
        <v>331</v>
      </c>
      <c r="H32" s="3"/>
      <c r="I32" s="3"/>
      <c r="J32" s="3"/>
      <c r="K32" s="3"/>
      <c r="L32" s="3"/>
    </row>
    <row r="33" spans="1:7" x14ac:dyDescent="0.35">
      <c r="A33" s="2"/>
      <c r="B33" s="1" t="s">
        <v>276</v>
      </c>
      <c r="C33" t="s">
        <v>52</v>
      </c>
      <c r="F33" s="1" t="s">
        <v>277</v>
      </c>
      <c r="G33" s="3" t="s">
        <v>331</v>
      </c>
    </row>
    <row r="34" spans="1:7" x14ac:dyDescent="0.35">
      <c r="A34" s="2"/>
      <c r="B34" s="1" t="s">
        <v>277</v>
      </c>
      <c r="C34" t="s">
        <v>52</v>
      </c>
      <c r="F34" t="s">
        <v>312</v>
      </c>
      <c r="G34" s="3" t="s">
        <v>331</v>
      </c>
    </row>
    <row r="35" spans="1:7" x14ac:dyDescent="0.35">
      <c r="A35" s="2"/>
      <c r="B35" t="s">
        <v>312</v>
      </c>
      <c r="C35" t="s">
        <v>52</v>
      </c>
      <c r="F35" t="s">
        <v>313</v>
      </c>
      <c r="G35" s="3" t="s">
        <v>331</v>
      </c>
    </row>
    <row r="36" spans="1:7" x14ac:dyDescent="0.35">
      <c r="A36" s="2"/>
      <c r="B36" t="s">
        <v>313</v>
      </c>
      <c r="C36" t="s">
        <v>52</v>
      </c>
      <c r="F36" s="1" t="s">
        <v>87</v>
      </c>
      <c r="G36" s="3" t="s">
        <v>331</v>
      </c>
    </row>
    <row r="37" spans="1:7" x14ac:dyDescent="0.35">
      <c r="A37" s="2"/>
      <c r="B37" s="1" t="s">
        <v>87</v>
      </c>
      <c r="C37" t="s">
        <v>52</v>
      </c>
      <c r="F37" t="s">
        <v>29</v>
      </c>
      <c r="G37" s="3" t="s">
        <v>332</v>
      </c>
    </row>
    <row r="38" spans="1:7" x14ac:dyDescent="0.35">
      <c r="A38" s="2" t="s">
        <v>37</v>
      </c>
      <c r="B38" t="s">
        <v>13</v>
      </c>
      <c r="C38" t="s">
        <v>56</v>
      </c>
      <c r="G38" s="3"/>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7" x14ac:dyDescent="0.35">
      <c r="B81" s="56" t="s">
        <v>305</v>
      </c>
      <c r="C81" s="52" t="s">
        <v>56</v>
      </c>
    </row>
    <row r="82" spans="1:7" x14ac:dyDescent="0.35">
      <c r="B82" s="56" t="s">
        <v>306</v>
      </c>
      <c r="C82" s="52" t="s">
        <v>56</v>
      </c>
    </row>
    <row r="83" spans="1:7" x14ac:dyDescent="0.35">
      <c r="B83" s="56" t="s">
        <v>307</v>
      </c>
      <c r="C83" s="52" t="s">
        <v>56</v>
      </c>
    </row>
    <row r="84" spans="1:7" x14ac:dyDescent="0.35">
      <c r="B84" s="56" t="s">
        <v>308</v>
      </c>
      <c r="C84" s="52" t="s">
        <v>56</v>
      </c>
    </row>
    <row r="85" spans="1:7" x14ac:dyDescent="0.35">
      <c r="B85" s="52" t="s">
        <v>310</v>
      </c>
      <c r="C85" s="52" t="s">
        <v>56</v>
      </c>
    </row>
    <row r="86" spans="1:7" x14ac:dyDescent="0.35">
      <c r="B86" s="52" t="s">
        <v>311</v>
      </c>
      <c r="C86" s="52" t="s">
        <v>56</v>
      </c>
    </row>
    <row r="87" spans="1:7" x14ac:dyDescent="0.35">
      <c r="B87" s="52" t="s">
        <v>314</v>
      </c>
      <c r="C87" s="52" t="s">
        <v>56</v>
      </c>
    </row>
    <row r="88" spans="1:7" x14ac:dyDescent="0.35">
      <c r="B88" s="52" t="s">
        <v>315</v>
      </c>
      <c r="C88" s="52" t="s">
        <v>56</v>
      </c>
    </row>
    <row r="89" spans="1:7" x14ac:dyDescent="0.35">
      <c r="B89" s="52" t="s">
        <v>316</v>
      </c>
      <c r="C89" s="52" t="s">
        <v>56</v>
      </c>
    </row>
    <row r="90" spans="1:7" x14ac:dyDescent="0.35">
      <c r="B90" t="s">
        <v>238</v>
      </c>
      <c r="C90" t="s">
        <v>56</v>
      </c>
    </row>
    <row r="91" spans="1:7" s="52" customFormat="1" x14ac:dyDescent="0.35">
      <c r="A91" s="53" t="s">
        <v>282</v>
      </c>
      <c r="B91" s="52" t="s">
        <v>283</v>
      </c>
      <c r="C91" s="52" t="s">
        <v>56</v>
      </c>
      <c r="F91"/>
      <c r="G91"/>
    </row>
    <row r="92" spans="1:7" s="52" customFormat="1" x14ac:dyDescent="0.35">
      <c r="B92" s="52" t="s">
        <v>284</v>
      </c>
      <c r="C92" s="52" t="s">
        <v>56</v>
      </c>
    </row>
    <row r="93" spans="1:7" s="52" customFormat="1" x14ac:dyDescent="0.35">
      <c r="B93" s="52" t="s">
        <v>285</v>
      </c>
      <c r="C93" s="52" t="s">
        <v>56</v>
      </c>
    </row>
    <row r="94" spans="1:7" s="52" customFormat="1" x14ac:dyDescent="0.35">
      <c r="B94" s="52" t="s">
        <v>286</v>
      </c>
      <c r="C94" s="52" t="s">
        <v>56</v>
      </c>
    </row>
    <row r="95" spans="1:7" x14ac:dyDescent="0.35">
      <c r="A95" s="2" t="s">
        <v>245</v>
      </c>
      <c r="B95" t="s">
        <v>218</v>
      </c>
      <c r="C95" t="s">
        <v>56</v>
      </c>
      <c r="F95" s="52"/>
      <c r="G95" s="52"/>
    </row>
    <row r="96" spans="1:7"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D8524-BA05-4CC9-8F65-D24D978D32D6}">
  <sheetPr codeName="Sheet9"/>
  <dimension ref="A1:T100"/>
  <sheetViews>
    <sheetView workbookViewId="0">
      <pane ySplit="5" topLeftCell="A6" activePane="bottomLeft" state="frozen"/>
      <selection activeCell="C19" sqref="C19"/>
      <selection pane="bottomLeft" activeCell="C7" sqref="C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v>
      </c>
      <c r="C6" s="6" t="s">
        <v>3</v>
      </c>
      <c r="D6" s="6" t="s">
        <v>10</v>
      </c>
      <c r="E6" s="12">
        <v>0</v>
      </c>
      <c r="F6" s="6" t="s">
        <v>68</v>
      </c>
      <c r="G6" s="25"/>
      <c r="H6" s="25"/>
      <c r="I6" s="26" t="str">
        <f>IF(Table13[[#This Row],[Type]]="Co-product", "No", "")</f>
        <v/>
      </c>
      <c r="J6" s="25"/>
      <c r="K6" s="6"/>
      <c r="L6" s="6" t="str">
        <f>IF(Table13[[#This Row],[Category]]="Transportation", _xlfn.XLOOKUP(Table13[[#This Row],[Resource]], 'SI - Payload'!$A$10:$A$39,'SI - Payload'!$B$10:$B$39,"",0),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t="s">
        <v>338</v>
      </c>
    </row>
    <row r="7" spans="1:20" x14ac:dyDescent="0.35">
      <c r="A7" s="6" t="s">
        <v>113</v>
      </c>
      <c r="B7" s="6" t="s">
        <v>38</v>
      </c>
      <c r="C7" s="6" t="s">
        <v>288</v>
      </c>
      <c r="D7" s="6" t="s">
        <v>337</v>
      </c>
      <c r="E7" s="12">
        <v>1</v>
      </c>
      <c r="F7" s="6" t="s">
        <v>58</v>
      </c>
      <c r="G7" s="25"/>
      <c r="H7" s="25"/>
      <c r="I7" s="26" t="str">
        <f>IF(Table13[[#This Row],[Type]]="Co-product", "No", "")</f>
        <v/>
      </c>
      <c r="J7" s="25"/>
      <c r="K7" s="6"/>
      <c r="L7" s="6" t="str">
        <f>IF(Table13[[#This Row],[Category]]="Transportation", _xlfn.XLOOKUP(Table13[[#This Row],[Resource]], 'SI - Payload'!$A$10:$A$39,'SI - Payload'!$B$10:$B$39,"",0), "")</f>
        <v/>
      </c>
      <c r="M7" s="6" t="str">
        <f>IF(Table13[[#This Row],[Category]]="Transportation", "ton", "")</f>
        <v/>
      </c>
      <c r="N7" s="6"/>
      <c r="O7" s="6"/>
      <c r="P7" s="6" t="str">
        <f>IF(OR(Table13[[#This Row],[Type]]="Main Product", Table13[[#This Row],[Type]]="Co-Product"), Table13[[#This Row],[Resource]], "")</f>
        <v>Algae</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IF(Table13[[#This Row],[Type]]="Co-product", "No", "")</f>
        <v/>
      </c>
      <c r="J8" s="25"/>
      <c r="K8" s="6"/>
      <c r="L8" s="6" t="str">
        <f>IF(Table13[[#This Row],[Category]]="Transportation", _xlfn.XLOOKUP(Table13[[#This Row],[Resource]], 'SI - Payload'!$A$10:$A$39,'SI - Payload'!$B$10:$B$39,"",0), "")</f>
        <v/>
      </c>
      <c r="M8" s="6" t="str">
        <f>IF(Table13[[#This Row],[Category]]="Transportation", "ton", "")</f>
        <v/>
      </c>
      <c r="N8" s="6"/>
      <c r="O8" s="6"/>
      <c r="P8" s="6" t="str">
        <f>IF(OR(Table13[[#This Row],[Type]]="Main Product", Table13[[#This Row],[Type]]="Co-Product"), Table13[[#This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IF(Table13[[#This Row],[Type]]="Co-product", "No", "")</f>
        <v/>
      </c>
      <c r="J9" s="25"/>
      <c r="K9" s="6"/>
      <c r="L9" s="6" t="str">
        <f>IF(Table13[[#This Row],[Category]]="Transportation", _xlfn.XLOOKUP(Table13[[#This Row],[Resource]], 'SI - Payload'!$A$10:$A$39,'SI - Payload'!$B$10:$B$39,"",0),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Payload'!$A$10:$A$39,'SI - Payload'!$B$10:$B$39,"",0),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Payload'!$A$10:$A$39,'SI - Payload'!$B$10:$B$39,"",0),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Payload'!$A$10:$A$39,'SI - Payload'!$B$10:$B$39,"",0),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Payload'!$A$10:$A$39,'SI - Payload'!$B$10:$B$39,"",0),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Payload'!$A$10:$A$39,'SI - Payload'!$B$10:$B$39,"",0),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Payload'!$A$10:$A$39,'SI - Payload'!$B$10:$B$39,"",0),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Payload'!$A$10:$A$39,'SI - Payload'!$B$10:$B$39,"",0),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Payload'!$A$10:$A$39,'SI - Payload'!$B$10:$B$39,"",0),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Payload'!$A$10:$A$39,'SI - Payload'!$B$10:$B$39,"",0),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Payload'!$A$10:$A$39,'SI - Payload'!$B$10:$B$39,"",0),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Payload'!$A$10:$A$39,'SI - Payload'!$B$10:$B$39,"",0),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Payload'!$A$10:$A$39,'SI - Payload'!$B$10:$B$39,"",0),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Payload'!$A$10:$A$39,'SI - Payload'!$B$10:$B$39,"",0),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Payload'!$A$10:$A$39,'SI - Payload'!$B$10:$B$39,"",0),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Payload'!$A$10:$A$39,'SI - Payload'!$B$10:$B$39,"",0),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Payload'!$A$10:$A$39,'SI - Payload'!$B$10:$B$39,"",0),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Payload'!$A$10:$A$39,'SI - Payload'!$B$10:$B$39,"",0),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Payload'!$A$10:$A$39,'SI - Payload'!$B$10:$B$39,"",0),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Payload'!$A$10:$A$39,'SI - Payload'!$B$10:$B$39,"",0),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Payload'!$A$10:$A$39,'SI - Payload'!$B$10:$B$39,"",0),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Payload'!$A$10:$A$39,'SI - Payload'!$B$10:$B$39,"",0),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Payload'!$A$10:$A$39,'SI - Payload'!$B$10:$B$39,"",0),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Payload'!$A$10:$A$39,'SI - Payload'!$B$10:$B$39,"",0),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Payload'!$A$10:$A$39,'SI - Payload'!$B$10:$B$39,"",0),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Payload'!$A$10:$A$39,'SI - Payload'!$B$10:$B$39,"",0),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Payload'!$A$10:$A$39,'SI - Payload'!$B$10:$B$39,"",0),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Payload'!$A$10:$A$39,'SI - Payload'!$B$10:$B$39,"",0),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Payload'!$A$10:$A$39,'SI - Payload'!$B$10:$B$39,"",0),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Payload'!$A$10:$A$39,'SI - Payload'!$B$10:$B$39,"",0),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Payload'!$A$10:$A$39,'SI - Payload'!$B$10:$B$39,"",0),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Payload'!$A$10:$A$39,'SI - Payload'!$B$10:$B$39,"",0),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Payload'!$A$10:$A$39,'SI - Payload'!$B$10:$B$39,"",0),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Payload'!$A$10:$A$39,'SI - Payload'!$B$10:$B$39,"",0),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Payload'!$A$10:$A$39,'SI - Payload'!$B$10:$B$39,"",0),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Payload'!$A$10:$A$39,'SI - Payload'!$B$10:$B$39,"",0),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Payload'!$A$10:$A$39,'SI - Payload'!$B$10:$B$39,"",0),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Payload'!$A$10:$A$39,'SI - Payload'!$B$10:$B$39,"",0),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Payload'!$A$10:$A$39,'SI - Payload'!$B$10:$B$39,"",0),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Payload'!$A$10:$A$39,'SI - Payload'!$B$10:$B$39,"",0),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Payload'!$A$10:$A$39,'SI - Payload'!$B$10:$B$39,"",0),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Payload'!$A$10:$A$39,'SI - Payload'!$B$10:$B$39,"",0),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Payload'!$A$10:$A$39,'SI - Payload'!$B$10:$B$39,"",0),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Payload'!$A$10:$A$39,'SI - Payload'!$B$10:$B$39,"",0),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Payload'!$A$10:$A$39,'SI - Payload'!$B$10:$B$39,"",0),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Payload'!$A$10:$A$39,'SI - Payload'!$B$10:$B$39,"",0),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Payload'!$A$10:$A$39,'SI - Payload'!$B$10:$B$39,"",0),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Payload'!$A$10:$A$39,'SI - Payload'!$B$10:$B$39,"",0),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Payload'!$A$10:$A$39,'SI - Payload'!$B$10:$B$39,"",0),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Payload'!$A$10:$A$39,'SI - Payload'!$B$10:$B$39,"",0),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Payload'!$A$10:$A$39,'SI - Payload'!$B$10:$B$39,"",0),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Payload'!$A$10:$A$39,'SI - Payload'!$B$10:$B$39,"",0),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Payload'!$A$10:$A$39,'SI - Payload'!$B$10:$B$39,"",0),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Payload'!$A$10:$A$39,'SI - Payload'!$B$10:$B$39,"",0),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Payload'!$A$10:$A$39,'SI - Payload'!$B$10:$B$39,"",0),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Payload'!$A$10:$A$39,'SI - Payload'!$B$10:$B$39,"",0),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Payload'!$A$10:$A$39,'SI - Payload'!$B$10:$B$39,"",0),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Payload'!$A$10:$A$39,'SI - Payload'!$B$10:$B$39,"",0),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Payload'!$A$10:$A$39,'SI - Payload'!$B$10:$B$39,"",0),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Payload'!$A$10:$A$39,'SI - Payload'!$B$10:$B$39,"",0),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Payload'!$A$10:$A$39,'SI - Payload'!$B$10:$B$39,"",0),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Payload'!$A$10:$A$39,'SI - Payload'!$B$10:$B$39,"",0),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Payload'!$A$10:$A$39,'SI - Payload'!$B$10:$B$39,"",0),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Payload'!$A$10:$A$39,'SI - Payload'!$B$10:$B$39,"",0),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Payload'!$A$10:$A$39,'SI - Payload'!$B$10:$B$39,"",0),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Payload'!$A$10:$A$39,'SI - Payload'!$B$10:$B$39,"",0),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Payload'!$A$10:$A$39,'SI - Payload'!$B$10:$B$39,"",0),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Payload'!$A$10:$A$39,'SI - Payload'!$B$10:$B$39,"",0),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Payload'!$A$10:$A$39,'SI - Payload'!$B$10:$B$39,"",0),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Payload'!$A$10:$A$39,'SI - Payload'!$B$10:$B$39,"",0),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Payload'!$A$10:$A$39,'SI - Payload'!$B$10:$B$39,"",0),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Payload'!$A$10:$A$39,'SI - Payload'!$B$10:$B$39,"",0),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Payload'!$A$10:$A$39,'SI - Payload'!$B$10:$B$39,"",0),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Payload'!$A$10:$A$39,'SI - Payload'!$B$10:$B$39,"",0),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Payload'!$A$10:$A$39,'SI - Payload'!$B$10:$B$39,"",0),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Payload'!$A$10:$A$39,'SI - Payload'!$B$10:$B$39,"",0),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Payload'!$A$10:$A$39,'SI - Payload'!$B$10:$B$39,"",0),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Payload'!$A$10:$A$39,'SI - Payload'!$B$10:$B$39,"",0),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Payload'!$A$10:$A$39,'SI - Payload'!$B$10:$B$39,"",0),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Payload'!$A$10:$A$39,'SI - Payload'!$B$10:$B$39,"",0),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Payload'!$A$10:$A$39,'SI - Payload'!$B$10:$B$39,"",0),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Payload'!$A$10:$A$39,'SI - Payload'!$B$10:$B$39,"",0),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Payload'!$A$10:$A$39,'SI - Payload'!$B$10:$B$39,"",0),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Payload'!$A$10:$A$39,'SI - Payload'!$B$10:$B$39,"",0),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Payload'!$A$10:$A$39,'SI - Payload'!$B$10:$B$39,"",0),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Payload'!$A$10:$A$39,'SI - Payload'!$B$10:$B$39,"",0),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Payload'!$A$10:$A$39,'SI - Payload'!$B$10:$B$39,"",0),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Payload'!$A$10:$A$39,'SI - Payload'!$B$10:$B$39,"",0),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Payload'!$A$10:$A$39,'SI - Payload'!$B$10:$B$39,"",0),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Payload'!$A$10:$A$39,'SI - Payload'!$B$10:$B$39,"",0),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Payload'!$A$10:$A$39,'SI - Payload'!$B$10:$B$39,"",0),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Payload'!$A$10:$A$39,'SI - Payload'!$B$10:$B$39,"",0),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4699FD7-3095-4708-B6EF-62A975A0D911}">
      <formula1>0</formula1>
      <formula2>1</formula2>
    </dataValidation>
    <dataValidation type="list" allowBlank="1" showInputMessage="1" showErrorMessage="1" sqref="M6:M100" xr:uid="{0A97B274-F7FE-4AE8-9506-4C3AA349B394}">
      <formula1>payload_units</formula1>
    </dataValidation>
    <dataValidation type="decimal" operator="greaterThan" allowBlank="1" showInputMessage="1" showErrorMessage="1" error="Please type a positive number." sqref="L6:L100" xr:uid="{C8303D59-8881-4678-9294-9FC16266D66C}">
      <formula1>0</formula1>
    </dataValidation>
    <dataValidation type="decimal" operator="greaterThan" allowBlank="1" showInputMessage="1" showErrorMessage="1" error="Please type a positive price." sqref="N6:N100" xr:uid="{0A8DB883-727C-4811-9E77-3245F3C11347}">
      <formula1>0</formula1>
    </dataValidation>
    <dataValidation type="decimal" allowBlank="1" showInputMessage="1" showErrorMessage="1" error="Please type a number between 0 and 1." sqref="G6:G100" xr:uid="{51594220-887F-4B26-9BE7-7DA25BDF976F}">
      <formula1>0</formula1>
      <formula2>1</formula2>
    </dataValidation>
    <dataValidation type="custom" allowBlank="1" showInputMessage="1" showErrorMessage="1" sqref="E6:E100" xr:uid="{7934A37D-E80E-4F13-AD38-7581F818E7F7}">
      <formula1>ISNUMBER(E6)</formula1>
    </dataValidation>
    <dataValidation type="list" allowBlank="1" showInputMessage="1" showErrorMessage="1" sqref="C2" xr:uid="{1B052A39-1713-45E0-93B2-E2EF9DE08E3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0448855-9469-4205-B24A-667D75DA964B}">
          <x14:formula1>
            <xm:f>INDIRECT(_xlfn.XLOOKUP($P6,'SI - End Use'!$A$11:$A$17,'SI - End Use'!$B$11:$B$17,"other_end_use",0))</xm:f>
          </x14:formula1>
          <xm:sqref>Q6:R100</xm:sqref>
        </x14:dataValidation>
        <x14:dataValidation type="list" allowBlank="1" showInputMessage="1" xr:uid="{982D08DF-025C-48ED-9EA4-618EAFC4180C}">
          <x14:formula1>
            <xm:f>INDIRECT(_xlfn.XLOOKUP($C6,'SI - End Use'!$A$11:$A$17,'SI - End Use'!$B$11:$B$17,"other_end_use",0))</xm:f>
          </x14:formula1>
          <xm:sqref>D6:D100</xm:sqref>
        </x14:dataValidation>
        <x14:dataValidation type="list" allowBlank="1" showInputMessage="1" showErrorMessage="1" xr:uid="{5D5BAEA0-A366-4ED8-86D7-4582BB95384B}">
          <x14:formula1>
            <xm:f>INDIRECT(_xlfn.XLOOKUP($B6, 'SI - Resources'!$R$1:$R$10,'SI - Resources'!$S$1:$S$10, "placeholder_resource", 0))</xm:f>
          </x14:formula1>
          <xm:sqref>P6:P100 C6:C100</xm:sqref>
        </x14:dataValidation>
        <x14:dataValidation type="list" allowBlank="1" showInputMessage="1" showErrorMessage="1" xr:uid="{1C68C8C7-BE0A-4069-ACAA-977926F5E3E6}">
          <x14:formula1>
            <xm:f>'SI - Co-products'!$B$2:$B$6</xm:f>
          </x14:formula1>
          <xm:sqref>A6:A100</xm:sqref>
        </x14:dataValidation>
        <x14:dataValidation type="list" allowBlank="1" showInputMessage="1" showErrorMessage="1" xr:uid="{A160C034-AAD5-49CD-A53A-FC8149CA91C5}">
          <x14:formula1>
            <xm:f>'SI - Resources'!$A$1:$J$1</xm:f>
          </x14:formula1>
          <xm:sqref>B6:B100</xm:sqref>
        </x14:dataValidation>
        <x14:dataValidation type="list" allowBlank="1" showInputMessage="1" showErrorMessage="1" xr:uid="{AE11CF34-D26A-4A53-BFB9-B9DBAE1A2ED4}">
          <x14:formula1>
            <xm:f>'SI - Co-products'!$C$2:$C$4</xm:f>
          </x14:formula1>
          <xm:sqref>I6:I100</xm:sqref>
        </x14:dataValidation>
        <x14:dataValidation type="list" allowBlank="1" showInputMessage="1" showErrorMessage="1" xr:uid="{B4D6013D-0533-4FED-A4CC-C8D0F77A2CCE}">
          <x14:formula1>
            <xm:f>'SI - Co-products'!$A$2:$A$5</xm:f>
          </x14:formula1>
          <xm:sqref>K6:K100</xm:sqref>
        </x14:dataValidation>
        <x14:dataValidation type="list" allowBlank="1" showInputMessage="1" showErrorMessage="1" xr:uid="{08013760-55D1-4A93-9CB8-B574F188F52A}">
          <x14:formula1>
            <xm:f>'SI - Co-products'!$D$2:$D$8</xm:f>
          </x14:formula1>
          <xm:sqref>C1</xm:sqref>
        </x14:dataValidation>
        <x14:dataValidation type="list" allowBlank="1" showInputMessage="1" showErrorMessage="1" xr:uid="{2ADD888F-FC5C-40C9-BFC5-F0695177F495}">
          <x14:formula1>
            <xm:f>IF($B6="Transportation",  transport_units, INDIRECT(_xlfn.XLOOKUP($C6, 'SI - Units'!$F$26:$F$37,'SI - Units'!$G$26:$G$37,"mass",0)))</xm:f>
          </x14:formula1>
          <xm:sqref>F6:F100</xm:sqref>
        </x14:dataValidation>
        <x14:dataValidation type="list" allowBlank="1" showInputMessage="1" showErrorMessage="1" xr:uid="{B9D69BEF-4C08-4265-B9E2-E34497675518}">
          <x14:formula1>
            <xm:f>INDIRECT("p_"&amp;_xlfn.XLOOKUP($C6,'SI - Units'!$F$26:$F$37,'SI - Units'!$G$26:$G$37,"mass",0))</xm:f>
          </x14:formula1>
          <xm:sqref>O6:O100</xm:sqref>
        </x14:dataValidation>
        <x14:dataValidation type="list" allowBlank="1" showInputMessage="1" showErrorMessage="1" xr:uid="{C4843EE0-A88B-4480-909F-88E927C9C372}">
          <x14:formula1>
            <xm:f>_xlfn.XLOOKUP(_xlfn.XLOOKUP(#REF!,'SI - Units'!$B$24:$B$109,'SI - Units'!$C$24:$C$109),'SI - Units'!$A$2:$A$8,'SI - Units'!$B$2:$R$8)</xm:f>
          </x14:formula1>
          <xm:sqref>F5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75D46-D92B-4D21-91E9-350B92967B37}">
  <sheetPr codeName="Sheet13"/>
  <dimension ref="A1:T100"/>
  <sheetViews>
    <sheetView workbookViewId="0">
      <pane ySplit="5" topLeftCell="A6" activePane="bottomLeft" state="frozen"/>
      <selection activeCell="C19" sqref="C19"/>
      <selection pane="bottomLeft" activeCell="H6" sqref="H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288</v>
      </c>
      <c r="D6" s="6" t="s">
        <v>337</v>
      </c>
      <c r="E6" s="12">
        <v>5236.5668579256999</v>
      </c>
      <c r="F6" s="6" t="s">
        <v>58</v>
      </c>
      <c r="G6" s="25"/>
      <c r="H6" s="25" t="s">
        <v>347</v>
      </c>
      <c r="I6" s="26" t="s">
        <v>337</v>
      </c>
      <c r="J6" s="25"/>
      <c r="K6" s="6"/>
      <c r="L6" s="6" t="str">
        <f>IF(Table111[[#This Row],[Category]]="Transportation", _xlfn.XLOOKUP(Table111[[#This Row],[Resource]], 'SI - Payload'!$A$10:$A$39,'SI - Payload'!$B$10:$B$39,"",0),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0</v>
      </c>
      <c r="B7" s="6" t="s">
        <v>37</v>
      </c>
      <c r="C7" s="6" t="s">
        <v>106</v>
      </c>
      <c r="D7" s="6" t="s">
        <v>337</v>
      </c>
      <c r="E7" s="12">
        <f>511.23957641751*0.96</f>
        <v>490.7899933608096</v>
      </c>
      <c r="F7" s="6" t="s">
        <v>58</v>
      </c>
      <c r="G7" s="25"/>
      <c r="H7" s="25"/>
      <c r="I7" s="26" t="s">
        <v>337</v>
      </c>
      <c r="J7" s="25"/>
      <c r="K7" s="6"/>
      <c r="L7" s="6" t="str">
        <f>IF(Table111[[#This Row],[Category]]="Transportation", _xlfn.XLOOKUP(Table111[[#This Row],[Resource]], 'SI - Payload'!$A$10:$A$39,'SI - Payload'!$B$10:$B$39,"",0),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t="s">
        <v>339</v>
      </c>
    </row>
    <row r="8" spans="1:20" x14ac:dyDescent="0.35">
      <c r="A8" s="6" t="s">
        <v>0</v>
      </c>
      <c r="B8" s="6" t="s">
        <v>37</v>
      </c>
      <c r="C8" s="6" t="s">
        <v>314</v>
      </c>
      <c r="D8" s="6" t="s">
        <v>337</v>
      </c>
      <c r="E8" s="12">
        <v>201.65892112686393</v>
      </c>
      <c r="F8" s="6" t="s">
        <v>58</v>
      </c>
      <c r="G8" s="25"/>
      <c r="H8" s="25"/>
      <c r="I8" s="26" t="s">
        <v>337</v>
      </c>
      <c r="J8" s="25"/>
      <c r="K8" s="6"/>
      <c r="L8" s="6" t="str">
        <f>IF(Table111[[#This Row],[Category]]="Transportation", _xlfn.XLOOKUP(Table111[[#This Row],[Resource]], 'SI - Payload'!$A$10:$A$39,'SI - Payload'!$B$10:$B$39,"",0),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35">
      <c r="A9" s="6" t="s">
        <v>0</v>
      </c>
      <c r="B9" s="6" t="s">
        <v>37</v>
      </c>
      <c r="C9" s="6" t="s">
        <v>315</v>
      </c>
      <c r="D9" s="6" t="s">
        <v>337</v>
      </c>
      <c r="E9" s="60">
        <v>201.39966720621192</v>
      </c>
      <c r="F9" s="6" t="s">
        <v>58</v>
      </c>
      <c r="G9" s="25"/>
      <c r="H9" s="25"/>
      <c r="I9" s="26" t="s">
        <v>337</v>
      </c>
      <c r="J9" s="25"/>
      <c r="K9" s="6"/>
      <c r="L9" s="6" t="str">
        <f>IF(Table111[[#This Row],[Category]]="Transportation", _xlfn.XLOOKUP(Table111[[#This Row],[Resource]], 'SI - Payload'!$A$10:$A$39,'SI - Payload'!$B$10:$B$39,"",0),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t="s">
        <v>340</v>
      </c>
    </row>
    <row r="10" spans="1:20" x14ac:dyDescent="0.35">
      <c r="A10" s="6" t="s">
        <v>0</v>
      </c>
      <c r="B10" s="6" t="s">
        <v>37</v>
      </c>
      <c r="C10" s="6" t="s">
        <v>291</v>
      </c>
      <c r="D10" s="6" t="s">
        <v>337</v>
      </c>
      <c r="E10" s="60">
        <v>1.8597842431200169</v>
      </c>
      <c r="F10" s="6" t="s">
        <v>58</v>
      </c>
      <c r="G10" s="25"/>
      <c r="H10" s="25"/>
      <c r="I10" s="26" t="s">
        <v>337</v>
      </c>
      <c r="J10" s="25"/>
      <c r="K10" s="6"/>
      <c r="L10" s="6" t="str">
        <f>IF(Table111[[#This Row],[Category]]="Transportation", _xlfn.XLOOKUP(Table111[[#This Row],[Resource]], 'SI - Payload'!$A$10:$A$39,'SI - Payload'!$B$10:$B$39,"",0), "")</f>
        <v/>
      </c>
      <c r="M10" s="6" t="str">
        <f>IF(Table111[[#This Row],[Category]]="Transportation", "ton", "")</f>
        <v/>
      </c>
      <c r="N10" s="6"/>
      <c r="O10" s="6"/>
      <c r="P10" s="6" t="str">
        <f>IF(OR(Table111[[#This Row],[Type]]="Main Product", Table111[[#This Row],[Type]]="Co-Product"), Table111[[#This Row],[Resource]], "")</f>
        <v/>
      </c>
      <c r="Q10" s="6" t="str">
        <f>IF(_xlfn.XLOOKUP($P10,'SI - End Use'!$B$2:$B$6,'SI - End Use'!$C$2:$C$6, "")="", "", _xlfn.XLOOKUP($C10,'SI - End Use'!$B$2:$B$6,'SI - End Use'!$C$2:$C$6, ""))</f>
        <v/>
      </c>
      <c r="R10" s="6"/>
      <c r="S10" s="6"/>
      <c r="T10" s="6" t="s">
        <v>341</v>
      </c>
    </row>
    <row r="11" spans="1:20" x14ac:dyDescent="0.35">
      <c r="A11" s="6" t="s">
        <v>0</v>
      </c>
      <c r="B11" s="6" t="s">
        <v>244</v>
      </c>
      <c r="C11" s="6" t="s">
        <v>24</v>
      </c>
      <c r="D11" s="6" t="s">
        <v>232</v>
      </c>
      <c r="E11" s="12">
        <v>175.88746264028885</v>
      </c>
      <c r="F11" s="6" t="s">
        <v>58</v>
      </c>
      <c r="G11" s="25"/>
      <c r="H11" s="25"/>
      <c r="I11" s="26" t="s">
        <v>337</v>
      </c>
      <c r="J11" s="25"/>
      <c r="K11" s="6"/>
      <c r="L11" s="6" t="str">
        <f>IF(Table111[[#This Row],[Category]]="Transportation", _xlfn.XLOOKUP(Table111[[#This Row],[Resource]], 'SI - Payload'!$A$10:$A$39,'SI - Payload'!$B$10:$B$39,"",0),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35">
      <c r="A12" s="6" t="s">
        <v>0</v>
      </c>
      <c r="B12" s="6" t="s">
        <v>29</v>
      </c>
      <c r="C12" s="6" t="s">
        <v>29</v>
      </c>
      <c r="D12" s="6" t="s">
        <v>337</v>
      </c>
      <c r="E12" s="12">
        <v>12090.334189772017</v>
      </c>
      <c r="F12" s="6" t="s">
        <v>58</v>
      </c>
      <c r="G12" s="25"/>
      <c r="H12" s="25"/>
      <c r="I12" s="26" t="s">
        <v>337</v>
      </c>
      <c r="J12" s="25"/>
      <c r="K12" s="6"/>
      <c r="L12" s="6" t="str">
        <f>IF(Table111[[#This Row],[Category]]="Transportation", _xlfn.XLOOKUP(Table111[[#This Row],[Resource]], 'SI - Payload'!$A$10:$A$39,'SI - Payload'!$B$10:$B$39,"",0),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t="s">
        <v>0</v>
      </c>
      <c r="B13" s="6" t="s">
        <v>3</v>
      </c>
      <c r="C13" s="6" t="s">
        <v>3</v>
      </c>
      <c r="D13" s="6" t="s">
        <v>10</v>
      </c>
      <c r="E13" s="12">
        <v>724.40807047509054</v>
      </c>
      <c r="F13" s="6" t="s">
        <v>68</v>
      </c>
      <c r="G13" s="25"/>
      <c r="H13" s="25"/>
      <c r="I13" s="26" t="s">
        <v>337</v>
      </c>
      <c r="J13" s="25"/>
      <c r="K13" s="6"/>
      <c r="L13" s="6" t="str">
        <f>IF(Table111[[#This Row],[Category]]="Transportation", _xlfn.XLOOKUP(Table111[[#This Row],[Resource]], 'SI - Payload'!$A$10:$A$39,'SI - Payload'!$B$10:$B$39,"",0),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t="s">
        <v>113</v>
      </c>
      <c r="B14" s="6" t="s">
        <v>244</v>
      </c>
      <c r="C14" s="6" t="s">
        <v>71</v>
      </c>
      <c r="D14" s="6" t="s">
        <v>241</v>
      </c>
      <c r="E14" s="12">
        <v>49.176297406328395</v>
      </c>
      <c r="F14" s="6" t="s">
        <v>70</v>
      </c>
      <c r="G14" s="25"/>
      <c r="H14" s="25"/>
      <c r="I14" s="26" t="s">
        <v>337</v>
      </c>
      <c r="J14" s="25"/>
      <c r="K14" s="6"/>
      <c r="L14" s="6" t="str">
        <f>IF(Table111[[#This Row],[Category]]="Transportation", _xlfn.XLOOKUP(Table111[[#This Row],[Resource]], 'SI - Payload'!$A$10:$A$39,'SI - Payload'!$B$10:$B$39,"",0), "")</f>
        <v/>
      </c>
      <c r="M14" s="6" t="str">
        <f>IF(Table111[[#This Row],[Category]]="Transportation", "ton", "")</f>
        <v/>
      </c>
      <c r="N14" s="6"/>
      <c r="O14" s="6"/>
      <c r="P14" s="6" t="s">
        <v>2</v>
      </c>
      <c r="Q14" s="6" t="s">
        <v>83</v>
      </c>
      <c r="R14" s="6"/>
      <c r="S14" s="6"/>
      <c r="T14" s="6"/>
    </row>
    <row r="15" spans="1:20" x14ac:dyDescent="0.35">
      <c r="A15" s="6" t="s">
        <v>85</v>
      </c>
      <c r="B15" s="6" t="s">
        <v>37</v>
      </c>
      <c r="C15" s="6" t="s">
        <v>304</v>
      </c>
      <c r="D15" s="6" t="s">
        <v>337</v>
      </c>
      <c r="E15" s="12">
        <f>2019.29326307739*5.71/100</f>
        <v>115.30164532171896</v>
      </c>
      <c r="F15" s="6" t="s">
        <v>58</v>
      </c>
      <c r="G15" s="25"/>
      <c r="H15" s="25"/>
      <c r="I15" s="26" t="s">
        <v>124</v>
      </c>
      <c r="J15" s="25"/>
      <c r="K15" s="6"/>
      <c r="L15" s="6" t="str">
        <f>IF(Table111[[#This Row],[Category]]="Transportation", _xlfn.XLOOKUP(Table111[[#This Row],[Resource]], 'SI - Payload'!$A$10:$A$39,'SI - Payload'!$B$10:$B$39,"",0), "")</f>
        <v/>
      </c>
      <c r="M15" s="6" t="str">
        <f>IF(Table111[[#This Row],[Category]]="Transportation", "ton", "")</f>
        <v/>
      </c>
      <c r="N15" s="6"/>
      <c r="O15" s="6"/>
      <c r="P15" s="6" t="str">
        <f>IF(OR(Table111[[#This Row],[Type]]="Main Product", Table111[[#This Row],[Type]]="Co-Product"), Table111[[#This Row],[Resource]], "")</f>
        <v>Nitrogen</v>
      </c>
      <c r="Q15" s="6" t="str">
        <f>IF(_xlfn.XLOOKUP($P15,'SI - End Use'!$B$2:$B$6,'SI - End Use'!$C$2:$C$6, "")="", "", _xlfn.XLOOKUP($C15,'SI - End Use'!$B$2:$B$6,'SI - End Use'!$C$2:$C$6, ""))</f>
        <v/>
      </c>
      <c r="R15" s="6"/>
      <c r="S15" s="6"/>
      <c r="T15" s="6" t="s">
        <v>342</v>
      </c>
    </row>
    <row r="16" spans="1:20" x14ac:dyDescent="0.35">
      <c r="A16" s="6" t="s">
        <v>85</v>
      </c>
      <c r="B16" s="6" t="s">
        <v>37</v>
      </c>
      <c r="C16" s="6" t="s">
        <v>316</v>
      </c>
      <c r="D16" s="6" t="s">
        <v>337</v>
      </c>
      <c r="E16" s="12">
        <f>2019.29326307739*28.92/100</f>
        <v>583.97961168198128</v>
      </c>
      <c r="F16" s="6" t="s">
        <v>58</v>
      </c>
      <c r="G16" s="25"/>
      <c r="H16" s="25"/>
      <c r="I16" s="26" t="s">
        <v>124</v>
      </c>
      <c r="J16" s="25"/>
      <c r="K16" s="6"/>
      <c r="L16" s="6" t="str">
        <f>IF(Table111[[#This Row],[Category]]="Transportation", _xlfn.XLOOKUP(Table111[[#This Row],[Resource]], 'SI - Payload'!$A$10:$A$39,'SI - Payload'!$B$10:$B$39,"",0), "")</f>
        <v/>
      </c>
      <c r="M16" s="6" t="str">
        <f>IF(Table111[[#This Row],[Category]]="Transportation", "ton", "")</f>
        <v/>
      </c>
      <c r="N16" s="6"/>
      <c r="O16" s="6"/>
      <c r="P16" s="6" t="str">
        <f>IF(OR(Table111[[#This Row],[Type]]="Main Product", Table111[[#This Row],[Type]]="Co-Product"), Table111[[#This Row],[Resource]], "")</f>
        <v>P2O5</v>
      </c>
      <c r="Q16" s="6" t="str">
        <f>IF(_xlfn.XLOOKUP($P16,'SI - End Use'!$B$2:$B$6,'SI - End Use'!$C$2:$C$6, "")="", "", _xlfn.XLOOKUP($C16,'SI - End Use'!$B$2:$B$6,'SI - End Use'!$C$2:$C$6, ""))</f>
        <v/>
      </c>
      <c r="R16" s="6"/>
      <c r="S16" s="6"/>
      <c r="T16" s="6" t="s">
        <v>343</v>
      </c>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Payload'!$A$10:$A$39,'SI - Payload'!$B$10:$B$39,"",0),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Payload'!$A$10:$A$39,'SI - Payload'!$B$10:$B$39,"",0),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Payload'!$A$10:$A$39,'SI - Payload'!$B$10:$B$39,"",0),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Payload'!$A$10:$A$39,'SI - Payload'!$B$10:$B$39,"",0),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Payload'!$A$10:$A$39,'SI - Payload'!$B$10:$B$39,"",0),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Payload'!$A$10:$A$39,'SI - Payload'!$B$10:$B$39,"",0),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Payload'!$A$10:$A$39,'SI - Payload'!$B$10:$B$39,"",0),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Payload'!$A$10:$A$39,'SI - Payload'!$B$10:$B$39,"",0),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Payload'!$A$10:$A$39,'SI - Payload'!$B$10:$B$39,"",0),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Payload'!$A$10:$A$39,'SI - Payload'!$B$10:$B$39,"",0),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Payload'!$A$10:$A$39,'SI - Payload'!$B$10:$B$39,"",0),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Payload'!$A$10:$A$39,'SI - Payload'!$B$10:$B$39,"",0),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Payload'!$A$10:$A$39,'SI - Payload'!$B$10:$B$39,"",0),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Payload'!$A$10:$A$39,'SI - Payload'!$B$10:$B$39,"",0),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Payload'!$A$10:$A$39,'SI - Payload'!$B$10:$B$39,"",0),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Payload'!$A$10:$A$39,'SI - Payload'!$B$10:$B$39,"",0),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Payload'!$A$10:$A$39,'SI - Payload'!$B$10:$B$39,"",0),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Payload'!$A$10:$A$39,'SI - Payload'!$B$10:$B$39,"",0),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Payload'!$A$10:$A$39,'SI - Payload'!$B$10:$B$39,"",0),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Payload'!$A$10:$A$39,'SI - Payload'!$B$10:$B$39,"",0),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Payload'!$A$10:$A$39,'SI - Payload'!$B$10:$B$39,"",0),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Payload'!$A$10:$A$39,'SI - Payload'!$B$10:$B$39,"",0),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Payload'!$A$10:$A$39,'SI - Payload'!$B$10:$B$39,"",0),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Payload'!$A$10:$A$39,'SI - Payload'!$B$10:$B$39,"",0),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Payload'!$A$10:$A$39,'SI - Payload'!$B$10:$B$39,"",0),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Payload'!$A$10:$A$39,'SI - Payload'!$B$10:$B$39,"",0),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Payload'!$A$10:$A$39,'SI - Payload'!$B$10:$B$39,"",0),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Payload'!$A$10:$A$39,'SI - Payload'!$B$10:$B$39,"",0),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Payload'!$A$10:$A$39,'SI - Payload'!$B$10:$B$39,"",0),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Payload'!$A$10:$A$39,'SI - Payload'!$B$10:$B$39,"",0),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Payload'!$A$10:$A$39,'SI - Payload'!$B$10:$B$39,"",0),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Payload'!$A$10:$A$39,'SI - Payload'!$B$10:$B$39,"",0),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Payload'!$A$10:$A$39,'SI - Payload'!$B$10:$B$39,"",0),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Payload'!$A$10:$A$39,'SI - Payload'!$B$10:$B$39,"",0),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Payload'!$A$10:$A$39,'SI - Payload'!$B$10:$B$39,"",0),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Payload'!$A$10:$A$39,'SI - Payload'!$B$10:$B$39,"",0),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Payload'!$A$10:$A$39,'SI - Payload'!$B$10:$B$39,"",0),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Payload'!$A$10:$A$39,'SI - Payload'!$B$10:$B$39,"",0),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Payload'!$A$10:$A$39,'SI - Payload'!$B$10:$B$39,"",0),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Payload'!$A$10:$A$39,'SI - Payload'!$B$10:$B$39,"",0),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Payload'!$A$10:$A$39,'SI - Payload'!$B$10:$B$39,"",0),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Payload'!$A$10:$A$39,'SI - Payload'!$B$10:$B$39,"",0),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Payload'!$A$10:$A$39,'SI - Payload'!$B$10:$B$39,"",0),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Payload'!$A$10:$A$39,'SI - Payload'!$B$10:$B$39,"",0),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Payload'!$A$10:$A$39,'SI - Payload'!$B$10:$B$39,"",0),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Payload'!$A$10:$A$39,'SI - Payload'!$B$10:$B$39,"",0),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Payload'!$A$10:$A$39,'SI - Payload'!$B$10:$B$39,"",0),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Payload'!$A$10:$A$39,'SI - Payload'!$B$10:$B$39,"",0),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Payload'!$A$10:$A$39,'SI - Payload'!$B$10:$B$39,"",0),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Payload'!$A$10:$A$39,'SI - Payload'!$B$10:$B$39,"",0),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Payload'!$A$10:$A$39,'SI - Payload'!$B$10:$B$39,"",0),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Payload'!$A$10:$A$39,'SI - Payload'!$B$10:$B$39,"",0),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Payload'!$A$10:$A$39,'SI - Payload'!$B$10:$B$39,"",0),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Payload'!$A$10:$A$39,'SI - Payload'!$B$10:$B$39,"",0),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Payload'!$A$10:$A$39,'SI - Payload'!$B$10:$B$39,"",0),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Payload'!$A$10:$A$39,'SI - Payload'!$B$10:$B$39,"",0),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Payload'!$A$10:$A$39,'SI - Payload'!$B$10:$B$39,"",0),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Payload'!$A$10:$A$39,'SI - Payload'!$B$10:$B$39,"",0),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Payload'!$A$10:$A$39,'SI - Payload'!$B$10:$B$39,"",0),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Payload'!$A$10:$A$39,'SI - Payload'!$B$10:$B$39,"",0),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Payload'!$A$10:$A$39,'SI - Payload'!$B$10:$B$39,"",0),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Payload'!$A$10:$A$39,'SI - Payload'!$B$10:$B$39,"",0),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Payload'!$A$10:$A$39,'SI - Payload'!$B$10:$B$39,"",0),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Payload'!$A$10:$A$39,'SI - Payload'!$B$10:$B$39,"",0),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Payload'!$A$10:$A$39,'SI - Payload'!$B$10:$B$39,"",0),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Payload'!$A$10:$A$39,'SI - Payload'!$B$10:$B$39,"",0),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Payload'!$A$10:$A$39,'SI - Payload'!$B$10:$B$39,"",0),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Payload'!$A$10:$A$39,'SI - Payload'!$B$10:$B$39,"",0),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Payload'!$A$10:$A$39,'SI - Payload'!$B$10:$B$39,"",0),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Payload'!$A$10:$A$39,'SI - Payload'!$B$10:$B$39,"",0),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Payload'!$A$10:$A$39,'SI - Payload'!$B$10:$B$39,"",0),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Payload'!$A$10:$A$39,'SI - Payload'!$B$10:$B$39,"",0),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Payload'!$A$10:$A$39,'SI - Payload'!$B$10:$B$39,"",0),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Payload'!$A$10:$A$39,'SI - Payload'!$B$10:$B$39,"",0),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Payload'!$A$10:$A$39,'SI - Payload'!$B$10:$B$39,"",0),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Payload'!$A$10:$A$39,'SI - Payload'!$B$10:$B$39,"",0),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Payload'!$A$10:$A$39,'SI - Payload'!$B$10:$B$39,"",0),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Payload'!$A$10:$A$39,'SI - Payload'!$B$10:$B$39,"",0),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Payload'!$A$10:$A$39,'SI - Payload'!$B$10:$B$39,"",0),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Payload'!$A$10:$A$39,'SI - Payload'!$B$10:$B$39,"",0),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Payload'!$A$10:$A$39,'SI - Payload'!$B$10:$B$39,"",0),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Payload'!$A$10:$A$39,'SI - Payload'!$B$10:$B$39,"",0),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Payload'!$A$10:$A$39,'SI - Payload'!$B$10:$B$39,"",0),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Payload'!$A$10:$A$39,'SI - Payload'!$B$10:$B$39,"",0),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7AC4A125-06FB-4EE4-A8ED-1DDCCB8983CC}">
      <formula1>0</formula1>
      <formula2>1</formula2>
    </dataValidation>
    <dataValidation type="list" allowBlank="1" showInputMessage="1" showErrorMessage="1" sqref="M6:M100" xr:uid="{B6D86606-454E-489B-9733-450BBF4EC7F8}">
      <formula1>payload_units</formula1>
    </dataValidation>
    <dataValidation type="decimal" operator="greaterThan" allowBlank="1" showInputMessage="1" showErrorMessage="1" error="Please type a positive number." sqref="L6:L100" xr:uid="{4F4AE5BD-162A-4FCB-8A5D-BD59B62EB608}">
      <formula1>0</formula1>
    </dataValidation>
    <dataValidation type="decimal" operator="greaterThan" allowBlank="1" showInputMessage="1" showErrorMessage="1" error="Please type a positive price." sqref="N6:N100" xr:uid="{2A1F0029-7E5C-4CA2-96BB-DE342D588BB6}">
      <formula1>0</formula1>
    </dataValidation>
    <dataValidation type="decimal" allowBlank="1" showInputMessage="1" showErrorMessage="1" error="Please type a number between 0 and 1." sqref="G6:G100" xr:uid="{50A699E5-F124-434F-AC28-73C6D7453FB4}">
      <formula1>0</formula1>
      <formula2>1</formula2>
    </dataValidation>
    <dataValidation type="custom" allowBlank="1" showInputMessage="1" showErrorMessage="1" sqref="E6:E100" xr:uid="{74BA1D61-AC86-46A9-BB62-3909AF621213}">
      <formula1>ISNUMBER(E6)</formula1>
    </dataValidation>
    <dataValidation type="list" allowBlank="1" showInputMessage="1" showErrorMessage="1" sqref="C2" xr:uid="{1489050C-C6F7-45B6-9702-294197C27DA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E182B9-E293-44EE-9EC2-78CB70F2DF31}">
          <x14:formula1>
            <xm:f>INDIRECT(_xlfn.XLOOKUP($P6,'SI - End Use'!$A$11:$A$17,'SI - End Use'!$B$11:$B$17,"other_end_use",0))</xm:f>
          </x14:formula1>
          <xm:sqref>Q6:R100</xm:sqref>
        </x14:dataValidation>
        <x14:dataValidation type="list" allowBlank="1" showInputMessage="1" xr:uid="{7262E1AE-A4EE-404E-8237-729EF3FF4837}">
          <x14:formula1>
            <xm:f>INDIRECT(_xlfn.XLOOKUP($C6,'SI - End Use'!$A$11:$A$17,'SI - End Use'!$B$11:$B$17,"other_end_use",0))</xm:f>
          </x14:formula1>
          <xm:sqref>D6:D100</xm:sqref>
        </x14:dataValidation>
        <x14:dataValidation type="list" allowBlank="1" showInputMessage="1" showErrorMessage="1" xr:uid="{0CF0B2DB-15D6-4062-BD41-A339EB96F07F}">
          <x14:formula1>
            <xm:f>INDIRECT(_xlfn.XLOOKUP($B6, 'SI - Resources'!$R$1:$R$10,'SI - Resources'!$S$1:$S$10, "placeholder_resource", 0))</xm:f>
          </x14:formula1>
          <xm:sqref>P6:P100 C6:C100</xm:sqref>
        </x14:dataValidation>
        <x14:dataValidation type="list" allowBlank="1" showInputMessage="1" showErrorMessage="1" xr:uid="{861DF244-E6EE-421F-9E3B-A34C4424A86C}">
          <x14:formula1>
            <xm:f>'SI - Co-products'!$B$2:$B$6</xm:f>
          </x14:formula1>
          <xm:sqref>A6:A100</xm:sqref>
        </x14:dataValidation>
        <x14:dataValidation type="list" allowBlank="1" showInputMessage="1" showErrorMessage="1" xr:uid="{593470B6-805F-4780-B4A9-64C1F1569C15}">
          <x14:formula1>
            <xm:f>'SI - Resources'!$A$1:$J$1</xm:f>
          </x14:formula1>
          <xm:sqref>B6:B100</xm:sqref>
        </x14:dataValidation>
        <x14:dataValidation type="list" allowBlank="1" showInputMessage="1" showErrorMessage="1" xr:uid="{C7A6CA72-7C05-4AB2-9F76-FE153FF1F9F4}">
          <x14:formula1>
            <xm:f>'SI - Co-products'!$C$2:$C$4</xm:f>
          </x14:formula1>
          <xm:sqref>I6:I100</xm:sqref>
        </x14:dataValidation>
        <x14:dataValidation type="list" allowBlank="1" showInputMessage="1" showErrorMessage="1" xr:uid="{04C1A633-F6FD-4C48-86CB-D8A205568AA4}">
          <x14:formula1>
            <xm:f>'SI - Co-products'!$A$2:$A$5</xm:f>
          </x14:formula1>
          <xm:sqref>K6:K100</xm:sqref>
        </x14:dataValidation>
        <x14:dataValidation type="list" allowBlank="1" showInputMessage="1" showErrorMessage="1" xr:uid="{EDF4FB67-95B1-4B7E-BE8A-E57C32FBB039}">
          <x14:formula1>
            <xm:f>'SI - Co-products'!$D$2:$D$8</xm:f>
          </x14:formula1>
          <xm:sqref>C1</xm:sqref>
        </x14:dataValidation>
        <x14:dataValidation type="list" allowBlank="1" showInputMessage="1" showErrorMessage="1" xr:uid="{1396706C-4A17-4B38-90A3-3F1CA570A00D}">
          <x14:formula1>
            <xm:f>IF($B6="Transportation",  transport_units, INDIRECT(_xlfn.XLOOKUP($C6, 'SI - Units'!$F$26:$F$37,'SI - Units'!$G$26:$G$37,"mass",0)))</xm:f>
          </x14:formula1>
          <xm:sqref>F6:F100</xm:sqref>
        </x14:dataValidation>
        <x14:dataValidation type="list" allowBlank="1" showInputMessage="1" showErrorMessage="1" xr:uid="{6C547276-0E01-472D-9F22-EF808CB9A061}">
          <x14:formula1>
            <xm:f>INDIRECT("p_"&amp;_xlfn.XLOOKUP($C6,'SI - Units'!$F$26:$F$37,'SI - Units'!$G$26:$G$37,"mass",0))</xm:f>
          </x14:formula1>
          <xm:sqref>O6:O100</xm:sqref>
        </x14:dataValidation>
        <x14:dataValidation type="list" allowBlank="1" showInputMessage="1" showErrorMessage="1" xr:uid="{2C2514F0-96FC-4EA3-9729-014CB0B0BA74}">
          <x14:formula1>
            <xm:f>_xlfn.XLOOKUP(_xlfn.XLOOKUP(#REF!,'SI - Units'!$B$24:$B$109,'SI - Units'!$C$24:$C$109),'SI - Units'!$A$2:$A$8,'SI - Units'!$B$2:$R$8)</xm:f>
          </x14:formula1>
          <xm:sqref>F5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28E58-DE06-4D45-BFEB-CFB2DAB63558}">
  <sheetPr codeName="Sheet11"/>
  <dimension ref="A1:T100"/>
  <sheetViews>
    <sheetView workbookViewId="0">
      <pane ySplit="5" topLeftCell="A6" activePane="bottomLeft" state="frozen"/>
      <selection activeCell="C19" sqref="C19"/>
      <selection pane="bottomLeft" activeCell="E8" sqref="E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38</v>
      </c>
      <c r="C6" s="6" t="s">
        <v>168</v>
      </c>
      <c r="D6" s="6" t="str">
        <f>IF(_xlfn.XLOOKUP($C6,'SI - End Use'!$B$2:$B$6,'SI - End Use'!$C$2:$C$6, "")="", "", _xlfn.XLOOKUP($C6,'SI - End Use'!$B$2:$B$6,'SI - End Use'!$C$2:$C$6, ""))</f>
        <v/>
      </c>
      <c r="E6" s="62">
        <v>1</v>
      </c>
      <c r="F6" s="6" t="s">
        <v>11</v>
      </c>
      <c r="G6" s="25"/>
      <c r="H6" s="25"/>
      <c r="I6" s="26" t="str">
        <f>IF(Table16[[#This Row],[Type]]="Co-product", "No", "")</f>
        <v/>
      </c>
      <c r="J6" s="25"/>
      <c r="K6" s="6"/>
      <c r="L6" s="6" t="str">
        <f>IF(Table16[[#This Row],[Category]]="Transportation", _xlfn.XLOOKUP(Table16[[#This Row],[Resource]], 'SI - Payload'!$A$10:$A$39,'SI - Payload'!$B$10:$B$39,"",0),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x14ac:dyDescent="0.35">
      <c r="A7" s="6" t="s">
        <v>0</v>
      </c>
      <c r="B7" s="6" t="s">
        <v>244</v>
      </c>
      <c r="C7" s="6" t="s">
        <v>2</v>
      </c>
      <c r="D7" s="6" t="s">
        <v>9</v>
      </c>
      <c r="E7" s="12">
        <v>185360</v>
      </c>
      <c r="F7" s="6" t="s">
        <v>69</v>
      </c>
      <c r="G7" s="25"/>
      <c r="H7" s="25"/>
      <c r="I7" s="26" t="str">
        <f>IF(Table16[[#This Row],[Type]]="Co-product", "No", "")</f>
        <v/>
      </c>
      <c r="J7" s="25"/>
      <c r="K7" s="6"/>
      <c r="L7" s="6" t="str">
        <f>IF(Table16[[#This Row],[Category]]="Transportation", _xlfn.XLOOKUP(Table16[[#This Row],[Resource]], 'SI - Payload'!$A$10:$A$39,'SI - Payload'!$B$10:$B$39,"",0),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x14ac:dyDescent="0.35">
      <c r="A8" s="6" t="s">
        <v>113</v>
      </c>
      <c r="B8" s="6" t="s">
        <v>38</v>
      </c>
      <c r="C8" s="6" t="s">
        <v>168</v>
      </c>
      <c r="D8" s="6" t="str">
        <f>IF(_xlfn.XLOOKUP($C8,'SI - End Use'!$B$2:$B$6,'SI - End Use'!$C$2:$C$6, "")="", "", _xlfn.XLOOKUP($C8,'SI - End Use'!$B$2:$B$6,'SI - End Use'!$C$2:$C$6, ""))</f>
        <v/>
      </c>
      <c r="E8" s="61">
        <v>0.95</v>
      </c>
      <c r="F8" s="6" t="s">
        <v>11</v>
      </c>
      <c r="G8" s="25"/>
      <c r="H8" s="25"/>
      <c r="I8" s="26" t="str">
        <f>IF(Table16[[#This Row],[Type]]="Co-product", "No", "")</f>
        <v/>
      </c>
      <c r="J8" s="25"/>
      <c r="K8" s="6"/>
      <c r="L8" s="6" t="str">
        <f>IF(Table16[[#This Row],[Category]]="Transportation", _xlfn.XLOOKUP(Table16[[#This Row],[Resource]], 'SI - Payload'!$A$10:$A$39,'SI - Payload'!$B$10:$B$39,"",0), "")</f>
        <v/>
      </c>
      <c r="M8" s="6" t="str">
        <f>IF(Table16[[#This Row],[Category]]="Transportation", "ton", "")</f>
        <v/>
      </c>
      <c r="N8" s="6"/>
      <c r="O8" s="6"/>
      <c r="P8" s="6" t="str">
        <f>IF(OR(Table16[[#This Row],[Type]]="Main Product", Table16[[#This Row],[Type]]="Co-Product"), Table16[[#This Row],[Resource]], "")</f>
        <v>Forest Residue</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IF(Table16[[#This Row],[Type]]="Co-product", "No", "")</f>
        <v/>
      </c>
      <c r="J9" s="25"/>
      <c r="K9" s="6"/>
      <c r="L9" s="6" t="str">
        <f>IF(Table16[[#This Row],[Category]]="Transportation", _xlfn.XLOOKUP(Table16[[#This Row],[Resource]], 'SI - Payload'!$A$10:$A$39,'SI - Payload'!$B$10:$B$39,"",0),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IF(Table16[[#This Row],[Type]]="Co-product", "No", "")</f>
        <v/>
      </c>
      <c r="J10" s="25"/>
      <c r="K10" s="6"/>
      <c r="L10" s="6" t="str">
        <f>IF(Table16[[#This Row],[Category]]="Transportation", _xlfn.XLOOKUP(Table16[[#This Row],[Resource]], 'SI - Payload'!$A$10:$A$39,'SI - Payload'!$B$10:$B$39,"",0),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IF(Table16[[#This Row],[Type]]="Co-product", "No", "")</f>
        <v/>
      </c>
      <c r="J11" s="25"/>
      <c r="K11" s="6"/>
      <c r="L11" s="6" t="str">
        <f>IF(Table16[[#This Row],[Category]]="Transportation", _xlfn.XLOOKUP(Table16[[#This Row],[Resource]], 'SI - Payload'!$A$10:$A$39,'SI - Payload'!$B$10:$B$39,"",0),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IF(Table16[[#This Row],[Type]]="Co-product", "No", "")</f>
        <v/>
      </c>
      <c r="J12" s="25"/>
      <c r="K12" s="6"/>
      <c r="L12" s="6" t="str">
        <f>IF(Table16[[#This Row],[Category]]="Transportation", _xlfn.XLOOKUP(Table16[[#This Row],[Resource]], 'SI - Payload'!$A$10:$A$39,'SI - Payload'!$B$10:$B$39,"",0), "")</f>
        <v/>
      </c>
      <c r="M12" s="6" t="str">
        <f>IF(Table16[[#This Row],[Category]]="Transportation", "ton", "")</f>
        <v/>
      </c>
      <c r="N12" s="6"/>
      <c r="O12" s="6"/>
      <c r="P12" s="6" t="str">
        <f>IF(OR(Table16[[#This Row],[Type]]="Main Product", Table16[[#This Row],[Type]]="Co-Product"), Table16[[#This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IF(Table16[[#This Row],[Type]]="Co-product", "No", "")</f>
        <v/>
      </c>
      <c r="J13" s="25"/>
      <c r="K13" s="6"/>
      <c r="L13" s="6" t="str">
        <f>IF(Table16[[#This Row],[Category]]="Transportation", _xlfn.XLOOKUP(Table16[[#This Row],[Resource]], 'SI - Payload'!$A$10:$A$39,'SI - Payload'!$B$10:$B$39,"",0),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IF(Table16[[#This Row],[Type]]="Co-product", "No", "")</f>
        <v/>
      </c>
      <c r="J14" s="25"/>
      <c r="K14" s="6"/>
      <c r="L14" s="6" t="str">
        <f>IF(Table16[[#This Row],[Category]]="Transportation", _xlfn.XLOOKUP(Table16[[#This Row],[Resource]], 'SI - Payload'!$A$10:$A$39,'SI - Payload'!$B$10:$B$39,"",0),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Payload'!$A$10:$A$39,'SI - Payload'!$B$10:$B$39,"",0),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Payload'!$A$10:$A$39,'SI - Payload'!$B$10:$B$39,"",0),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Payload'!$A$10:$A$39,'SI - Payload'!$B$10:$B$39,"",0),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Payload'!$A$10:$A$39,'SI - Payload'!$B$10:$B$39,"",0),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Payload'!$A$10:$A$39,'SI - Payload'!$B$10:$B$39,"",0),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Payload'!$A$10:$A$39,'SI - Payload'!$B$10:$B$39,"",0),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Payload'!$A$10:$A$39,'SI - Payload'!$B$10:$B$39,"",0),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Payload'!$A$10:$A$39,'SI - Payload'!$B$10:$B$39,"",0),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Payload'!$A$10:$A$39,'SI - Payload'!$B$10:$B$39,"",0),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Payload'!$A$10:$A$39,'SI - Payload'!$B$10:$B$39,"",0),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Payload'!$A$10:$A$39,'SI - Payload'!$B$10:$B$39,"",0),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Payload'!$A$10:$A$39,'SI - Payload'!$B$10:$B$39,"",0),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Payload'!$A$10:$A$39,'SI - Payload'!$B$10:$B$39,"",0),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Payload'!$A$10:$A$39,'SI - Payload'!$B$10:$B$39,"",0),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Payload'!$A$10:$A$39,'SI - Payload'!$B$10:$B$39,"",0),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Payload'!$A$10:$A$39,'SI - Payload'!$B$10:$B$39,"",0),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Payload'!$A$10:$A$39,'SI - Payload'!$B$10:$B$39,"",0),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Payload'!$A$10:$A$39,'SI - Payload'!$B$10:$B$39,"",0),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Payload'!$A$10:$A$39,'SI - Payload'!$B$10:$B$39,"",0),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Payload'!$A$10:$A$39,'SI - Payload'!$B$10:$B$39,"",0),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Payload'!$A$10:$A$39,'SI - Payload'!$B$10:$B$39,"",0),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Payload'!$A$10:$A$39,'SI - Payload'!$B$10:$B$39,"",0),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Payload'!$A$10:$A$39,'SI - Payload'!$B$10:$B$39,"",0),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Payload'!$A$10:$A$39,'SI - Payload'!$B$10:$B$39,"",0),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Payload'!$A$10:$A$39,'SI - Payload'!$B$10:$B$39,"",0),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Payload'!$A$10:$A$39,'SI - Payload'!$B$10:$B$39,"",0),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Payload'!$A$10:$A$39,'SI - Payload'!$B$10:$B$39,"",0),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Payload'!$A$10:$A$39,'SI - Payload'!$B$10:$B$39,"",0),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Payload'!$A$10:$A$39,'SI - Payload'!$B$10:$B$39,"",0),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Payload'!$A$10:$A$39,'SI - Payload'!$B$10:$B$39,"",0),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Payload'!$A$10:$A$39,'SI - Payload'!$B$10:$B$39,"",0),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Payload'!$A$10:$A$39,'SI - Payload'!$B$10:$B$39,"",0),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Payload'!$A$10:$A$39,'SI - Payload'!$B$10:$B$39,"",0),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Payload'!$A$10:$A$39,'SI - Payload'!$B$10:$B$39,"",0),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Payload'!$A$10:$A$39,'SI - Payload'!$B$10:$B$39,"",0),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Payload'!$A$10:$A$39,'SI - Payload'!$B$10:$B$39,"",0),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Payload'!$A$10:$A$39,'SI - Payload'!$B$10:$B$39,"",0),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Payload'!$A$10:$A$39,'SI - Payload'!$B$10:$B$39,"",0),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Payload'!$A$10:$A$39,'SI - Payload'!$B$10:$B$39,"",0),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Payload'!$A$10:$A$39,'SI - Payload'!$B$10:$B$39,"",0),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Payload'!$A$10:$A$39,'SI - Payload'!$B$10:$B$39,"",0),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Payload'!$A$10:$A$39,'SI - Payload'!$B$10:$B$39,"",0),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Payload'!$A$10:$A$39,'SI - Payload'!$B$10:$B$39,"",0),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Payload'!$A$10:$A$39,'SI - Payload'!$B$10:$B$39,"",0),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Payload'!$A$10:$A$39,'SI - Payload'!$B$10:$B$39,"",0),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Payload'!$A$10:$A$39,'SI - Payload'!$B$10:$B$39,"",0),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Payload'!$A$10:$A$39,'SI - Payload'!$B$10:$B$39,"",0),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Payload'!$A$10:$A$39,'SI - Payload'!$B$10:$B$39,"",0),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Payload'!$A$10:$A$39,'SI - Payload'!$B$10:$B$39,"",0),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Payload'!$A$10:$A$39,'SI - Payload'!$B$10:$B$39,"",0),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Payload'!$A$10:$A$39,'SI - Payload'!$B$10:$B$39,"",0),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Payload'!$A$10:$A$39,'SI - Payload'!$B$10:$B$39,"",0),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Payload'!$A$10:$A$39,'SI - Payload'!$B$10:$B$39,"",0),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Payload'!$A$10:$A$39,'SI - Payload'!$B$10:$B$39,"",0),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Payload'!$A$10:$A$39,'SI - Payload'!$B$10:$B$39,"",0),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Payload'!$A$10:$A$39,'SI - Payload'!$B$10:$B$39,"",0),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Payload'!$A$10:$A$39,'SI - Payload'!$B$10:$B$39,"",0),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Payload'!$A$10:$A$39,'SI - Payload'!$B$10:$B$39,"",0),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Payload'!$A$10:$A$39,'SI - Payload'!$B$10:$B$39,"",0),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Payload'!$A$10:$A$39,'SI - Payload'!$B$10:$B$39,"",0),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Payload'!$A$10:$A$39,'SI - Payload'!$B$10:$B$39,"",0),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Payload'!$A$10:$A$39,'SI - Payload'!$B$10:$B$39,"",0),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Payload'!$A$10:$A$39,'SI - Payload'!$B$10:$B$39,"",0),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Payload'!$A$10:$A$39,'SI - Payload'!$B$10:$B$39,"",0),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Payload'!$A$10:$A$39,'SI - Payload'!$B$10:$B$39,"",0),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Payload'!$A$10:$A$39,'SI - Payload'!$B$10:$B$39,"",0),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Payload'!$A$10:$A$39,'SI - Payload'!$B$10:$B$39,"",0),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Payload'!$A$10:$A$39,'SI - Payload'!$B$10:$B$39,"",0),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Payload'!$A$10:$A$39,'SI - Payload'!$B$10:$B$39,"",0),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Payload'!$A$10:$A$39,'SI - Payload'!$B$10:$B$39,"",0),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Payload'!$A$10:$A$39,'SI - Payload'!$B$10:$B$39,"",0),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Payload'!$A$10:$A$39,'SI - Payload'!$B$10:$B$39,"",0),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Payload'!$A$10:$A$39,'SI - Payload'!$B$10:$B$39,"",0),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Payload'!$A$10:$A$39,'SI - Payload'!$B$10:$B$39,"",0),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Payload'!$A$10:$A$39,'SI - Payload'!$B$10:$B$39,"",0),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Payload'!$A$10:$A$39,'SI - Payload'!$B$10:$B$39,"",0),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Payload'!$A$10:$A$39,'SI - Payload'!$B$10:$B$39,"",0),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Payload'!$A$10:$A$39,'SI - Payload'!$B$10:$B$39,"",0),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Payload'!$A$10:$A$39,'SI - Payload'!$B$10:$B$39,"",0),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Payload'!$A$10:$A$39,'SI - Payload'!$B$10:$B$39,"",0),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Payload'!$A$10:$A$39,'SI - Payload'!$B$10:$B$39,"",0),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Payload'!$A$10:$A$39,'SI - Payload'!$B$10:$B$39,"",0),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Payload'!$A$10:$A$39,'SI - Payload'!$B$10:$B$39,"",0),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Payload'!$A$10:$A$39,'SI - Payload'!$B$10:$B$39,"",0),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Payload'!$A$10:$A$39,'SI - Payload'!$B$10:$B$39,"",0),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Payload'!$A$10:$A$39,'SI - Payload'!$B$10:$B$39,"",0),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6FD6C5D-E211-42D7-9E73-256D65BEE9A3}">
      <formula1>0</formula1>
      <formula2>1</formula2>
    </dataValidation>
    <dataValidation type="list" allowBlank="1" showInputMessage="1" showErrorMessage="1" sqref="M6:M100" xr:uid="{A900B1FD-5BE1-4DCF-9528-860A0F4519FF}">
      <formula1>payload_units</formula1>
    </dataValidation>
    <dataValidation type="decimal" operator="greaterThan" allowBlank="1" showInputMessage="1" showErrorMessage="1" error="Please type a positive number." sqref="L6:L100" xr:uid="{47440D07-02C9-4619-A6EF-7A27D48BCFB6}">
      <formula1>0</formula1>
    </dataValidation>
    <dataValidation type="decimal" operator="greaterThan" allowBlank="1" showInputMessage="1" showErrorMessage="1" error="Please type a positive price." sqref="N6:N100" xr:uid="{7FB5F691-C9D8-473C-AA8B-7DA3AA85E8A5}">
      <formula1>0</formula1>
    </dataValidation>
    <dataValidation type="decimal" allowBlank="1" showInputMessage="1" showErrorMessage="1" error="Please type a number between 0 and 1." sqref="G6:G100" xr:uid="{76C28C4B-C2EF-4996-A2DB-C4B65037A22E}">
      <formula1>0</formula1>
      <formula2>1</formula2>
    </dataValidation>
    <dataValidation type="custom" allowBlank="1" showInputMessage="1" showErrorMessage="1" sqref="E6:E100" xr:uid="{3A8A8680-F2FE-4462-AA9A-921F8CB225BE}">
      <formula1>ISNUMBER(E6)</formula1>
    </dataValidation>
    <dataValidation type="list" allowBlank="1" showInputMessage="1" showErrorMessage="1" sqref="C2" xr:uid="{AB0F50BA-8EC1-49B4-B5BC-3A7F016CE3E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4385C8B-1EE7-4C04-86D8-7774BBFC8B18}">
          <x14:formula1>
            <xm:f>INDIRECT(_xlfn.XLOOKUP($P6,'SI - End Use'!$A$11:$A$17,'SI - End Use'!$B$11:$B$17,"other_end_use",0))</xm:f>
          </x14:formula1>
          <xm:sqref>Q6:R100</xm:sqref>
        </x14:dataValidation>
        <x14:dataValidation type="list" allowBlank="1" showInputMessage="1" xr:uid="{BBAB8581-BD5F-456E-B6EA-CD29B4BD2C92}">
          <x14:formula1>
            <xm:f>INDIRECT(_xlfn.XLOOKUP($C6,'SI - End Use'!$A$11:$A$17,'SI - End Use'!$B$11:$B$17,"other_end_use",0))</xm:f>
          </x14:formula1>
          <xm:sqref>D6:D100</xm:sqref>
        </x14:dataValidation>
        <x14:dataValidation type="list" allowBlank="1" showInputMessage="1" showErrorMessage="1" xr:uid="{090CEAC4-6FB8-4EC8-9DB2-7C47443972AA}">
          <x14:formula1>
            <xm:f>INDIRECT(_xlfn.XLOOKUP($B6, 'SI - Resources'!$R$1:$R$10,'SI - Resources'!$S$1:$S$10, "placeholder_resource", 0))</xm:f>
          </x14:formula1>
          <xm:sqref>P6:P100 C6:C100</xm:sqref>
        </x14:dataValidation>
        <x14:dataValidation type="list" allowBlank="1" showInputMessage="1" showErrorMessage="1" xr:uid="{440B1EF4-0A9D-461F-86AD-FB68E0AB88BE}">
          <x14:formula1>
            <xm:f>'SI - Co-products'!$B$2:$B$6</xm:f>
          </x14:formula1>
          <xm:sqref>A6:A100</xm:sqref>
        </x14:dataValidation>
        <x14:dataValidation type="list" allowBlank="1" showInputMessage="1" showErrorMessage="1" xr:uid="{3A6B1376-AE53-4B00-A648-0B72C5BDAA2C}">
          <x14:formula1>
            <xm:f>'SI - Resources'!$A$1:$J$1</xm:f>
          </x14:formula1>
          <xm:sqref>B6:B100</xm:sqref>
        </x14:dataValidation>
        <x14:dataValidation type="list" allowBlank="1" showInputMessage="1" showErrorMessage="1" xr:uid="{D4E8EF1C-0A0E-45C9-8A5B-E79F30A7562F}">
          <x14:formula1>
            <xm:f>'SI - Co-products'!$C$2:$C$4</xm:f>
          </x14:formula1>
          <xm:sqref>I6:I100</xm:sqref>
        </x14:dataValidation>
        <x14:dataValidation type="list" allowBlank="1" showInputMessage="1" showErrorMessage="1" xr:uid="{88955055-1A57-4DBB-9DD1-FA6D2F297260}">
          <x14:formula1>
            <xm:f>'SI - Co-products'!$A$2:$A$5</xm:f>
          </x14:formula1>
          <xm:sqref>K6:K100</xm:sqref>
        </x14:dataValidation>
        <x14:dataValidation type="list" allowBlank="1" showInputMessage="1" showErrorMessage="1" xr:uid="{55B06CCD-6CB1-4672-B732-3EC6371A49A0}">
          <x14:formula1>
            <xm:f>'SI - Co-products'!$D$2:$D$8</xm:f>
          </x14:formula1>
          <xm:sqref>C1</xm:sqref>
        </x14:dataValidation>
        <x14:dataValidation type="list" allowBlank="1" showInputMessage="1" showErrorMessage="1" xr:uid="{C4E7F736-5731-477B-BDBE-A9C703D9E299}">
          <x14:formula1>
            <xm:f>IF($B6="Transportation",  transport_units, INDIRECT(_xlfn.XLOOKUP($C6, 'SI - Units'!$F$26:$F$37,'SI - Units'!$G$26:$G$37,"mass",0)))</xm:f>
          </x14:formula1>
          <xm:sqref>F6:F100</xm:sqref>
        </x14:dataValidation>
        <x14:dataValidation type="list" allowBlank="1" showInputMessage="1" showErrorMessage="1" xr:uid="{E0CA3522-6DF2-47F9-9E40-9426BDB55081}">
          <x14:formula1>
            <xm:f>INDIRECT("p_"&amp;_xlfn.XLOOKUP($C6,'SI - Units'!$F$26:$F$37,'SI - Units'!$G$26:$G$37,"mass",0))</xm:f>
          </x14:formula1>
          <xm:sqref>O6:O100</xm:sqref>
        </x14:dataValidation>
        <x14:dataValidation type="list" allowBlank="1" showInputMessage="1" showErrorMessage="1" xr:uid="{6F8723D7-BEAD-4531-A04B-85888F250E3C}">
          <x14:formula1>
            <xm:f>_xlfn.XLOOKUP(_xlfn.XLOOKUP(#REF!,'SI - Units'!$B$24:$B$109,'SI - Units'!$C$24:$C$109),'SI - Units'!$A$2:$A$8,'SI - Units'!$B$2:$R$8)</xm:f>
          </x14:formula1>
          <xm:sqref>F5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FAE0B-A45A-4564-BF06-EC078329A14E}">
  <sheetPr codeName="Sheet12"/>
  <dimension ref="A1:T100"/>
  <sheetViews>
    <sheetView topLeftCell="C1" workbookViewId="0">
      <pane ySplit="5" topLeftCell="A6" activePane="bottomLeft" state="frozen"/>
      <selection activeCell="C19" sqref="C19"/>
      <selection pane="bottomLeft" activeCell="L8" sqref="L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168</v>
      </c>
      <c r="D6" s="6" t="str">
        <f>IF(_xlfn.XLOOKUP($C6,'SI - End Use'!$B$2:$B$6,'SI - End Use'!$C$2:$C$6, "")="", "", _xlfn.XLOOKUP($C6,'SI - End Use'!$B$2:$B$6,'SI - End Use'!$C$2:$C$6, ""))</f>
        <v/>
      </c>
      <c r="E6" s="12">
        <v>1</v>
      </c>
      <c r="F6" s="6" t="s">
        <v>11</v>
      </c>
      <c r="G6" s="25"/>
      <c r="H6" s="25" t="s">
        <v>344</v>
      </c>
      <c r="I6" s="26" t="str">
        <f>IF(Table18[[#This Row],[Type]]="Co-product", "No", "")</f>
        <v/>
      </c>
      <c r="J6" s="25"/>
      <c r="K6" s="6"/>
      <c r="L6" s="6" t="str">
        <f>IF(Table18[[#This Row],[Category]]="Transportation", _xlfn.XLOOKUP(Table18[[#This Row],[Resource]], 'SI - Payload'!$A$10:$A$39,'SI - Payload'!$B$10:$B$39,"",0),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33</v>
      </c>
      <c r="C7" s="6" t="s">
        <v>168</v>
      </c>
      <c r="D7" s="6" t="str">
        <f>IF(_xlfn.XLOOKUP($C7,'SI - End Use'!$B$2:$B$6,'SI - End Use'!$C$2:$C$6, "")="", "", _xlfn.XLOOKUP($C7,'SI - End Use'!$B$2:$B$6,'SI - End Use'!$C$2:$C$6, ""))</f>
        <v/>
      </c>
      <c r="E7" s="12">
        <v>88</v>
      </c>
      <c r="F7" s="6" t="s">
        <v>34</v>
      </c>
      <c r="G7" s="25">
        <v>0.25</v>
      </c>
      <c r="H7" s="25"/>
      <c r="I7" s="26" t="str">
        <f>IF(Table18[[#This Row],[Type]]="Co-product", "No", "")</f>
        <v/>
      </c>
      <c r="J7" s="25"/>
      <c r="K7" s="6"/>
      <c r="L7" s="6">
        <v>17.68</v>
      </c>
      <c r="M7" s="6" t="str">
        <f>IF(Table18[[#This Row],[Category]]="Transportation", "ton", "")</f>
        <v>ton</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113</v>
      </c>
      <c r="B8" s="6" t="s">
        <v>38</v>
      </c>
      <c r="C8" s="6" t="s">
        <v>168</v>
      </c>
      <c r="D8" s="6" t="str">
        <f>IF(_xlfn.XLOOKUP($C8,'SI - End Use'!$B$2:$B$6,'SI - End Use'!$C$2:$C$6, "")="", "", _xlfn.XLOOKUP($C8,'SI - End Use'!$B$2:$B$6,'SI - End Use'!$C$2:$C$6, ""))</f>
        <v/>
      </c>
      <c r="E8" s="12">
        <v>1</v>
      </c>
      <c r="F8" s="6" t="s">
        <v>11</v>
      </c>
      <c r="G8" s="25"/>
      <c r="H8" s="25"/>
      <c r="I8" s="26" t="str">
        <f>IF(Table18[[#This Row],[Type]]="Co-product", "No", "")</f>
        <v/>
      </c>
      <c r="J8" s="25"/>
      <c r="K8" s="6"/>
      <c r="L8" s="6" t="str">
        <f>IF(Table18[[#This Row],[Category]]="Transportation", _xlfn.XLOOKUP(Table18[[#This Row],[Resource]], 'SI - Payload'!$A$10:$A$39,'SI - Payload'!$B$10:$B$39,"",0), "")</f>
        <v/>
      </c>
      <c r="M8" s="6" t="str">
        <f>IF(Table18[[#This Row],[Category]]="Transportation", "ton", "")</f>
        <v/>
      </c>
      <c r="N8" s="6"/>
      <c r="O8" s="6"/>
      <c r="P8" s="6" t="str">
        <f>IF(OR(Table18[[#This Row],[Type]]="Main Product", Table18[[#This Row],[Type]]="Co-Product"), Table18[[#This Row],[Resource]], "")</f>
        <v>Forest Residue</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IF(Table18[[#This Row],[Type]]="Co-product", "No", "")</f>
        <v/>
      </c>
      <c r="J9" s="25"/>
      <c r="K9" s="6"/>
      <c r="L9" s="6" t="str">
        <f>IF(Table18[[#This Row],[Category]]="Transportation", _xlfn.XLOOKUP(Table18[[#This Row],[Resource]], 'SI - Payload'!$A$10:$A$39,'SI - Payload'!$B$10:$B$39,"",0),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IF(Table18[[#This Row],[Type]]="Co-product", "No", "")</f>
        <v/>
      </c>
      <c r="J10" s="25"/>
      <c r="K10" s="6"/>
      <c r="L10" s="6" t="str">
        <f>IF(Table18[[#This Row],[Category]]="Transportation", _xlfn.XLOOKUP(Table18[[#This Row],[Resource]], 'SI - Payload'!$A$10:$A$39,'SI - Payload'!$B$10:$B$39,"",0), "")</f>
        <v/>
      </c>
      <c r="M10" s="6" t="str">
        <f>IF(Table18[[#This Row],[Category]]="Transportation", "ton", "")</f>
        <v/>
      </c>
      <c r="N10" s="6"/>
      <c r="O10" s="6"/>
      <c r="P10" s="6" t="str">
        <f>IF(OR(Table18[[#This Row],[Type]]="Main Product", Table18[[#This Row],[Type]]="Co-Product"), Table18[[#This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Payload'!$A$10:$A$39,'SI - Payload'!$B$10:$B$39,"",0),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Payload'!$A$10:$A$39,'SI - Payload'!$B$10:$B$39,"",0),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Payload'!$A$10:$A$39,'SI - Payload'!$B$10:$B$39,"",0),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Payload'!$A$10:$A$39,'SI - Payload'!$B$10:$B$39,"",0),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Payload'!$A$10:$A$39,'SI - Payload'!$B$10:$B$39,"",0),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Payload'!$A$10:$A$39,'SI - Payload'!$B$10:$B$39,"",0),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Payload'!$A$10:$A$39,'SI - Payload'!$B$10:$B$39,"",0),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Payload'!$A$10:$A$39,'SI - Payload'!$B$10:$B$39,"",0),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Payload'!$A$10:$A$39,'SI - Payload'!$B$10:$B$39,"",0),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Payload'!$A$10:$A$39,'SI - Payload'!$B$10:$B$39,"",0),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Payload'!$A$10:$A$39,'SI - Payload'!$B$10:$B$39,"",0),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Payload'!$A$10:$A$39,'SI - Payload'!$B$10:$B$39,"",0),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Payload'!$A$10:$A$39,'SI - Payload'!$B$10:$B$39,"",0),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Payload'!$A$10:$A$39,'SI - Payload'!$B$10:$B$39,"",0),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Payload'!$A$10:$A$39,'SI - Payload'!$B$10:$B$39,"",0),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Payload'!$A$10:$A$39,'SI - Payload'!$B$10:$B$39,"",0),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Payload'!$A$10:$A$39,'SI - Payload'!$B$10:$B$39,"",0),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Payload'!$A$10:$A$39,'SI - Payload'!$B$10:$B$39,"",0),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Payload'!$A$10:$A$39,'SI - Payload'!$B$10:$B$39,"",0),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Payload'!$A$10:$A$39,'SI - Payload'!$B$10:$B$39,"",0),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Payload'!$A$10:$A$39,'SI - Payload'!$B$10:$B$39,"",0),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Payload'!$A$10:$A$39,'SI - Payload'!$B$10:$B$39,"",0),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Payload'!$A$10:$A$39,'SI - Payload'!$B$10:$B$39,"",0),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Payload'!$A$10:$A$39,'SI - Payload'!$B$10:$B$39,"",0),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Payload'!$A$10:$A$39,'SI - Payload'!$B$10:$B$39,"",0),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Payload'!$A$10:$A$39,'SI - Payload'!$B$10:$B$39,"",0),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Payload'!$A$10:$A$39,'SI - Payload'!$B$10:$B$39,"",0),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Payload'!$A$10:$A$39,'SI - Payload'!$B$10:$B$39,"",0),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Payload'!$A$10:$A$39,'SI - Payload'!$B$10:$B$39,"",0),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Payload'!$A$10:$A$39,'SI - Payload'!$B$10:$B$39,"",0),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Payload'!$A$10:$A$39,'SI - Payload'!$B$10:$B$39,"",0),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Payload'!$A$10:$A$39,'SI - Payload'!$B$10:$B$39,"",0),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Payload'!$A$10:$A$39,'SI - Payload'!$B$10:$B$39,"",0),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Payload'!$A$10:$A$39,'SI - Payload'!$B$10:$B$39,"",0),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Payload'!$A$10:$A$39,'SI - Payload'!$B$10:$B$39,"",0),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Payload'!$A$10:$A$39,'SI - Payload'!$B$10:$B$39,"",0),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Payload'!$A$10:$A$39,'SI - Payload'!$B$10:$B$39,"",0),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Payload'!$A$10:$A$39,'SI - Payload'!$B$10:$B$39,"",0),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Payload'!$A$10:$A$39,'SI - Payload'!$B$10:$B$39,"",0),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Payload'!$A$10:$A$39,'SI - Payload'!$B$10:$B$39,"",0),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Payload'!$A$10:$A$39,'SI - Payload'!$B$10:$B$39,"",0),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Payload'!$A$10:$A$39,'SI - Payload'!$B$10:$B$39,"",0),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Payload'!$A$10:$A$39,'SI - Payload'!$B$10:$B$39,"",0),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Payload'!$A$10:$A$39,'SI - Payload'!$B$10:$B$39,"",0),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Payload'!$A$10:$A$39,'SI - Payload'!$B$10:$B$39,"",0),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Payload'!$A$10:$A$39,'SI - Payload'!$B$10:$B$39,"",0),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Payload'!$A$10:$A$39,'SI - Payload'!$B$10:$B$39,"",0),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Payload'!$A$10:$A$39,'SI - Payload'!$B$10:$B$39,"",0),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Payload'!$A$10:$A$39,'SI - Payload'!$B$10:$B$39,"",0),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Payload'!$A$10:$A$39,'SI - Payload'!$B$10:$B$39,"",0),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Payload'!$A$10:$A$39,'SI - Payload'!$B$10:$B$39,"",0),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Payload'!$A$10:$A$39,'SI - Payload'!$B$10:$B$39,"",0),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Payload'!$A$10:$A$39,'SI - Payload'!$B$10:$B$39,"",0),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Payload'!$A$10:$A$39,'SI - Payload'!$B$10:$B$39,"",0),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Payload'!$A$10:$A$39,'SI - Payload'!$B$10:$B$39,"",0),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Payload'!$A$10:$A$39,'SI - Payload'!$B$10:$B$39,"",0),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Payload'!$A$10:$A$39,'SI - Payload'!$B$10:$B$39,"",0),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Payload'!$A$10:$A$39,'SI - Payload'!$B$10:$B$39,"",0),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Payload'!$A$10:$A$39,'SI - Payload'!$B$10:$B$39,"",0),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Payload'!$A$10:$A$39,'SI - Payload'!$B$10:$B$39,"",0),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Payload'!$A$10:$A$39,'SI - Payload'!$B$10:$B$39,"",0),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Payload'!$A$10:$A$39,'SI - Payload'!$B$10:$B$39,"",0),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Payload'!$A$10:$A$39,'SI - Payload'!$B$10:$B$39,"",0),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Payload'!$A$10:$A$39,'SI - Payload'!$B$10:$B$39,"",0),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Payload'!$A$10:$A$39,'SI - Payload'!$B$10:$B$39,"",0),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Payload'!$A$10:$A$39,'SI - Payload'!$B$10:$B$39,"",0),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Payload'!$A$10:$A$39,'SI - Payload'!$B$10:$B$39,"",0),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Payload'!$A$10:$A$39,'SI - Payload'!$B$10:$B$39,"",0),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Payload'!$A$10:$A$39,'SI - Payload'!$B$10:$B$39,"",0),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Payload'!$A$10:$A$39,'SI - Payload'!$B$10:$B$39,"",0),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Payload'!$A$10:$A$39,'SI - Payload'!$B$10:$B$39,"",0),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Payload'!$A$10:$A$39,'SI - Payload'!$B$10:$B$39,"",0),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Payload'!$A$10:$A$39,'SI - Payload'!$B$10:$B$39,"",0),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Payload'!$A$10:$A$39,'SI - Payload'!$B$10:$B$39,"",0),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Payload'!$A$10:$A$39,'SI - Payload'!$B$10:$B$39,"",0),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Payload'!$A$10:$A$39,'SI - Payload'!$B$10:$B$39,"",0),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Payload'!$A$10:$A$39,'SI - Payload'!$B$10:$B$39,"",0),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Payload'!$A$10:$A$39,'SI - Payload'!$B$10:$B$39,"",0),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Payload'!$A$10:$A$39,'SI - Payload'!$B$10:$B$39,"",0),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Payload'!$A$10:$A$39,'SI - Payload'!$B$10:$B$39,"",0),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Payload'!$A$10:$A$39,'SI - Payload'!$B$10:$B$39,"",0),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Payload'!$A$10:$A$39,'SI - Payload'!$B$10:$B$39,"",0),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Payload'!$A$10:$A$39,'SI - Payload'!$B$10:$B$39,"",0),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Payload'!$A$10:$A$39,'SI - Payload'!$B$10:$B$39,"",0),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Payload'!$A$10:$A$39,'SI - Payload'!$B$10:$B$39,"",0),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Payload'!$A$10:$A$39,'SI - Payload'!$B$10:$B$39,"",0),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Payload'!$A$10:$A$39,'SI - Payload'!$B$10:$B$39,"",0),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Payload'!$A$10:$A$39,'SI - Payload'!$B$10:$B$39,"",0),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Payload'!$A$10:$A$39,'SI - Payload'!$B$10:$B$39,"",0),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Payload'!$A$10:$A$39,'SI - Payload'!$B$10:$B$39,"",0),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43902AE-2A77-4EEF-963B-065C3E9C1559}">
      <formula1>0</formula1>
      <formula2>1</formula2>
    </dataValidation>
    <dataValidation type="list" allowBlank="1" showInputMessage="1" showErrorMessage="1" sqref="M6:M100" xr:uid="{BE18B6B8-5408-43CF-A83D-83B33203BBC8}">
      <formula1>payload_units</formula1>
    </dataValidation>
    <dataValidation type="decimal" operator="greaterThan" allowBlank="1" showInputMessage="1" showErrorMessage="1" error="Please type a positive number." sqref="L6:L100" xr:uid="{5C67544D-4F95-4729-921D-5E789203E710}">
      <formula1>0</formula1>
    </dataValidation>
    <dataValidation type="decimal" operator="greaterThan" allowBlank="1" showInputMessage="1" showErrorMessage="1" error="Please type a positive price." sqref="N6:N100" xr:uid="{59C0D022-5733-4316-AC35-97D3732F858B}">
      <formula1>0</formula1>
    </dataValidation>
    <dataValidation type="decimal" allowBlank="1" showInputMessage="1" showErrorMessage="1" error="Please type a number between 0 and 1." sqref="G6:G100" xr:uid="{2A85CA52-593A-44BA-9817-4D81BEB3523C}">
      <formula1>0</formula1>
      <formula2>1</formula2>
    </dataValidation>
    <dataValidation type="custom" allowBlank="1" showInputMessage="1" showErrorMessage="1" sqref="E6:E100" xr:uid="{6E864DA0-4F14-4923-8B1F-F881AE2AB39A}">
      <formula1>ISNUMBER(E6)</formula1>
    </dataValidation>
    <dataValidation type="list" allowBlank="1" showInputMessage="1" showErrorMessage="1" sqref="C2" xr:uid="{F646003F-0B34-4EAF-9F0B-DDDB3BE2D38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2068E03-485C-43EA-A612-2EFB6B488019}">
          <x14:formula1>
            <xm:f>INDIRECT(_xlfn.XLOOKUP($P6,'SI - End Use'!$A$11:$A$17,'SI - End Use'!$B$11:$B$17,"other_end_use",0))</xm:f>
          </x14:formula1>
          <xm:sqref>Q6:R100</xm:sqref>
        </x14:dataValidation>
        <x14:dataValidation type="list" allowBlank="1" showInputMessage="1" xr:uid="{2ED86F60-8F42-4640-B962-03F51378F2D1}">
          <x14:formula1>
            <xm:f>INDIRECT(_xlfn.XLOOKUP($C6,'SI - End Use'!$A$11:$A$17,'SI - End Use'!$B$11:$B$17,"other_end_use",0))</xm:f>
          </x14:formula1>
          <xm:sqref>D6:D100</xm:sqref>
        </x14:dataValidation>
        <x14:dataValidation type="list" allowBlank="1" showInputMessage="1" showErrorMessage="1" xr:uid="{A6DEF9FF-FA75-4F26-8966-FB652128DD92}">
          <x14:formula1>
            <xm:f>INDIRECT(_xlfn.XLOOKUP($B6, 'SI - Resources'!$R$1:$R$10,'SI - Resources'!$S$1:$S$10, "placeholder_resource", 0))</xm:f>
          </x14:formula1>
          <xm:sqref>P6:P100 C6:C100</xm:sqref>
        </x14:dataValidation>
        <x14:dataValidation type="list" allowBlank="1" showInputMessage="1" showErrorMessage="1" xr:uid="{C0555714-15AE-4D50-8836-83188619EE21}">
          <x14:formula1>
            <xm:f>'SI - Co-products'!$B$2:$B$6</xm:f>
          </x14:formula1>
          <xm:sqref>A6:A100</xm:sqref>
        </x14:dataValidation>
        <x14:dataValidation type="list" allowBlank="1" showInputMessage="1" showErrorMessage="1" xr:uid="{7F76CD30-6B32-41AF-B988-FFD217BA615E}">
          <x14:formula1>
            <xm:f>'SI - Resources'!$A$1:$J$1</xm:f>
          </x14:formula1>
          <xm:sqref>B6:B100</xm:sqref>
        </x14:dataValidation>
        <x14:dataValidation type="list" allowBlank="1" showInputMessage="1" showErrorMessage="1" xr:uid="{8B65A51A-75B9-4726-BAAF-936D7D534369}">
          <x14:formula1>
            <xm:f>'SI - Co-products'!$C$2:$C$4</xm:f>
          </x14:formula1>
          <xm:sqref>I6:I100</xm:sqref>
        </x14:dataValidation>
        <x14:dataValidation type="list" allowBlank="1" showInputMessage="1" showErrorMessage="1" xr:uid="{E9933E9E-EED8-4179-907E-FA9B51156762}">
          <x14:formula1>
            <xm:f>'SI - Co-products'!$A$2:$A$5</xm:f>
          </x14:formula1>
          <xm:sqref>K6:K100</xm:sqref>
        </x14:dataValidation>
        <x14:dataValidation type="list" allowBlank="1" showInputMessage="1" showErrorMessage="1" xr:uid="{7512A1C4-D4D9-44B4-9940-3BA51AACBE41}">
          <x14:formula1>
            <xm:f>'SI - Co-products'!$D$2:$D$8</xm:f>
          </x14:formula1>
          <xm:sqref>C1</xm:sqref>
        </x14:dataValidation>
        <x14:dataValidation type="list" allowBlank="1" showInputMessage="1" showErrorMessage="1" xr:uid="{DC49E319-759E-4913-AE5C-43C576985DD7}">
          <x14:formula1>
            <xm:f>IF($B6="Transportation",  transport_units, INDIRECT(_xlfn.XLOOKUP($C6, 'SI - Units'!$F$26:$F$37,'SI - Units'!$G$26:$G$37,"mass",0)))</xm:f>
          </x14:formula1>
          <xm:sqref>F6:F100</xm:sqref>
        </x14:dataValidation>
        <x14:dataValidation type="list" allowBlank="1" showInputMessage="1" showErrorMessage="1" xr:uid="{4C407CAD-762D-409B-BB33-AD8B41800BB2}">
          <x14:formula1>
            <xm:f>INDIRECT("p_"&amp;_xlfn.XLOOKUP($C6,'SI - Units'!$F$26:$F$37,'SI - Units'!$G$26:$G$37,"mass",0))</xm:f>
          </x14:formula1>
          <xm:sqref>O6:O100</xm:sqref>
        </x14:dataValidation>
        <x14:dataValidation type="list" allowBlank="1" showInputMessage="1" showErrorMessage="1" xr:uid="{63CC6FC4-97E3-4843-ABAE-C129CD0FBC7F}">
          <x14:formula1>
            <xm:f>_xlfn.XLOOKUP(_xlfn.XLOOKUP(#REF!,'SI - Units'!$B$24:$B$109,'SI - Units'!$C$24:$C$109),'SI - Units'!$A$2:$A$8,'SI - Units'!$B$2:$R$8)</xm:f>
          </x14:formula1>
          <xm:sqref>F5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09D0F-F4A1-44F4-8875-3B0EBA85E251}">
  <sheetPr codeName="Sheet14"/>
  <dimension ref="A1:T100"/>
  <sheetViews>
    <sheetView workbookViewId="0">
      <pane ySplit="5" topLeftCell="A6" activePane="bottomLeft" state="frozen"/>
      <selection activeCell="C19" sqref="C19"/>
      <selection pane="bottomLeft" activeCell="O2" sqref="O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26.17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168</v>
      </c>
      <c r="D6" s="6" t="str">
        <f>IF(_xlfn.XLOOKUP($C6,'SI - End Use'!$B$2:$B$6,'SI - End Use'!$C$2:$C$6, "")="", "", _xlfn.XLOOKUP($C6,'SI - End Use'!$B$2:$B$6,'SI - End Use'!$C$2:$C$6, ""))</f>
        <v/>
      </c>
      <c r="E6" s="12">
        <v>1</v>
      </c>
      <c r="F6" s="6" t="s">
        <v>11</v>
      </c>
      <c r="G6" s="25"/>
      <c r="H6" s="25" t="s">
        <v>345</v>
      </c>
      <c r="I6" s="26" t="str">
        <f>IF(Table112[[#This Row],[Type]]="Co-product", "No", "")</f>
        <v/>
      </c>
      <c r="J6" s="25"/>
      <c r="K6" s="6"/>
      <c r="L6" s="6" t="str">
        <f>IF(Table112[[#This Row],[Category]]="Transportation", _xlfn.XLOOKUP(Table112[[#This Row],[Resource]], 'SI - Payload'!$A$10:$A$39,'SI - Payload'!$B$10:$B$39,"",0),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12">
        <v>11423</v>
      </c>
      <c r="F7" s="6" t="s">
        <v>69</v>
      </c>
      <c r="G7" s="25"/>
      <c r="H7" s="25"/>
      <c r="I7" s="26" t="str">
        <f>IF(Table112[[#This Row],[Type]]="Co-product", "No", "")</f>
        <v/>
      </c>
      <c r="J7" s="25"/>
      <c r="K7" s="6"/>
      <c r="L7" s="6" t="str">
        <f>IF(Table112[[#This Row],[Category]]="Transportation", _xlfn.XLOOKUP(Table112[[#This Row],[Resource]], 'SI - Payload'!$A$10:$A$39,'SI - Payload'!$B$10:$B$39,"",0), "")</f>
        <v/>
      </c>
      <c r="M7" s="6" t="str">
        <f>IF(Table112[[#This Row],[Category]]="Transportation", "ton", "")</f>
        <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12">
        <v>8720</v>
      </c>
      <c r="F8" s="6" t="s">
        <v>69</v>
      </c>
      <c r="G8" s="25"/>
      <c r="H8" s="25"/>
      <c r="I8" s="26" t="str">
        <f>IF(Table112[[#This Row],[Type]]="Co-product", "No", "")</f>
        <v/>
      </c>
      <c r="J8" s="25"/>
      <c r="K8" s="6"/>
      <c r="L8" s="6" t="str">
        <f>IF(Table112[[#This Row],[Category]]="Transportation", _xlfn.XLOOKUP(Table112[[#This Row],[Resource]], 'SI - Payload'!$A$10:$A$39,'SI - Payload'!$B$10:$B$39,"",0), "")</f>
        <v/>
      </c>
      <c r="M8" s="6" t="str">
        <f>IF(Table112[[#This Row],[Category]]="Transportation", "ton", "")</f>
        <v/>
      </c>
      <c r="N8" s="6"/>
      <c r="O8" s="6"/>
      <c r="P8" s="6" t="str">
        <f>IF(OR(Table112[[#This Row],[Type]]="Main Product", Table112[[#This Row],[Type]]="Co-Product"), Table112[[#This Row],[Resource]], "")</f>
        <v/>
      </c>
      <c r="Q8" s="6" t="str">
        <f>IF(_xlfn.XLOOKUP($P8,'SI - End Use'!$B$2:$B$6,'SI - End Use'!$C$2:$C$6, "")="", "", _xlfn.XLOOKUP($C8,'SI - End Use'!$B$2:$B$6,'SI - End Use'!$C$2:$C$6, ""))</f>
        <v/>
      </c>
      <c r="R8" s="6"/>
      <c r="S8" s="6"/>
      <c r="T8" s="6"/>
    </row>
    <row r="9" spans="1:20" x14ac:dyDescent="0.35">
      <c r="A9" s="6" t="s">
        <v>113</v>
      </c>
      <c r="B9" s="6" t="s">
        <v>38</v>
      </c>
      <c r="C9" s="6" t="s">
        <v>168</v>
      </c>
      <c r="D9" s="6" t="str">
        <f>IF(_xlfn.XLOOKUP($C9,'SI - End Use'!$B$2:$B$6,'SI - End Use'!$C$2:$C$6, "")="", "", _xlfn.XLOOKUP($C9,'SI - End Use'!$B$2:$B$6,'SI - End Use'!$C$2:$C$6, ""))</f>
        <v/>
      </c>
      <c r="E9" s="12">
        <v>1</v>
      </c>
      <c r="F9" s="6" t="s">
        <v>11</v>
      </c>
      <c r="G9" s="25"/>
      <c r="H9" s="25"/>
      <c r="I9" s="26" t="str">
        <f>IF(Table112[[#This Row],[Type]]="Co-product", "No", "")</f>
        <v/>
      </c>
      <c r="J9" s="25"/>
      <c r="K9" s="6"/>
      <c r="L9" s="6" t="str">
        <f>IF(Table112[[#This Row],[Category]]="Transportation", _xlfn.XLOOKUP(Table112[[#This Row],[Resource]], 'SI - Payload'!$A$10:$A$39,'SI - Payload'!$B$10:$B$39,"",0), "")</f>
        <v/>
      </c>
      <c r="M9" s="6" t="str">
        <f>IF(Table112[[#This Row],[Category]]="Transportation", "ton", "")</f>
        <v/>
      </c>
      <c r="N9" s="6"/>
      <c r="O9" s="6"/>
      <c r="P9" s="6" t="str">
        <f>IF(OR(Table112[[#This Row],[Type]]="Main Product", Table112[[#This Row],[Type]]="Co-Product"), Table112[[#This Row],[Resource]], "")</f>
        <v>Forest Residue</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Payload'!$A$10:$A$39,'SI - Payload'!$B$10:$B$39,"",0),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Payload'!$A$10:$A$39,'SI - Payload'!$B$10:$B$39,"",0),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Payload'!$A$10:$A$39,'SI - Payload'!$B$10:$B$39,"",0),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Payload'!$A$10:$A$39,'SI - Payload'!$B$10:$B$39,"",0),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Payload'!$A$10:$A$39,'SI - Payload'!$B$10:$B$39,"",0),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Payload'!$A$10:$A$39,'SI - Payload'!$B$10:$B$39,"",0),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Payload'!$A$10:$A$39,'SI - Payload'!$B$10:$B$39,"",0),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Payload'!$A$10:$A$39,'SI - Payload'!$B$10:$B$39,"",0),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Payload'!$A$10:$A$39,'SI - Payload'!$B$10:$B$39,"",0),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Payload'!$A$10:$A$39,'SI - Payload'!$B$10:$B$39,"",0),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Payload'!$A$10:$A$39,'SI - Payload'!$B$10:$B$39,"",0),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Payload'!$A$10:$A$39,'SI - Payload'!$B$10:$B$39,"",0),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Payload'!$A$10:$A$39,'SI - Payload'!$B$10:$B$39,"",0),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Payload'!$A$10:$A$39,'SI - Payload'!$B$10:$B$39,"",0),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Payload'!$A$10:$A$39,'SI - Payload'!$B$10:$B$39,"",0),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Payload'!$A$10:$A$39,'SI - Payload'!$B$10:$B$39,"",0),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Payload'!$A$10:$A$39,'SI - Payload'!$B$10:$B$39,"",0),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Payload'!$A$10:$A$39,'SI - Payload'!$B$10:$B$39,"",0),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Payload'!$A$10:$A$39,'SI - Payload'!$B$10:$B$39,"",0),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Payload'!$A$10:$A$39,'SI - Payload'!$B$10:$B$39,"",0),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Payload'!$A$10:$A$39,'SI - Payload'!$B$10:$B$39,"",0),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Payload'!$A$10:$A$39,'SI - Payload'!$B$10:$B$39,"",0),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Payload'!$A$10:$A$39,'SI - Payload'!$B$10:$B$39,"",0),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Payload'!$A$10:$A$39,'SI - Payload'!$B$10:$B$39,"",0),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Payload'!$A$10:$A$39,'SI - Payload'!$B$10:$B$39,"",0),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Payload'!$A$10:$A$39,'SI - Payload'!$B$10:$B$39,"",0),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Payload'!$A$10:$A$39,'SI - Payload'!$B$10:$B$39,"",0),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Payload'!$A$10:$A$39,'SI - Payload'!$B$10:$B$39,"",0),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Payload'!$A$10:$A$39,'SI - Payload'!$B$10:$B$39,"",0),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Payload'!$A$10:$A$39,'SI - Payload'!$B$10:$B$39,"",0),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Payload'!$A$10:$A$39,'SI - Payload'!$B$10:$B$39,"",0),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Payload'!$A$10:$A$39,'SI - Payload'!$B$10:$B$39,"",0),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Payload'!$A$10:$A$39,'SI - Payload'!$B$10:$B$39,"",0),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Payload'!$A$10:$A$39,'SI - Payload'!$B$10:$B$39,"",0),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Payload'!$A$10:$A$39,'SI - Payload'!$B$10:$B$39,"",0),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Payload'!$A$10:$A$39,'SI - Payload'!$B$10:$B$39,"",0),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Payload'!$A$10:$A$39,'SI - Payload'!$B$10:$B$39,"",0),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Payload'!$A$10:$A$39,'SI - Payload'!$B$10:$B$39,"",0),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Payload'!$A$10:$A$39,'SI - Payload'!$B$10:$B$39,"",0),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Payload'!$A$10:$A$39,'SI - Payload'!$B$10:$B$39,"",0),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Payload'!$A$10:$A$39,'SI - Payload'!$B$10:$B$39,"",0),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Payload'!$A$10:$A$39,'SI - Payload'!$B$10:$B$39,"",0),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Payload'!$A$10:$A$39,'SI - Payload'!$B$10:$B$39,"",0),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Payload'!$A$10:$A$39,'SI - Payload'!$B$10:$B$39,"",0),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Payload'!$A$10:$A$39,'SI - Payload'!$B$10:$B$39,"",0),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Payload'!$A$10:$A$39,'SI - Payload'!$B$10:$B$39,"",0),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Payload'!$A$10:$A$39,'SI - Payload'!$B$10:$B$39,"",0),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Payload'!$A$10:$A$39,'SI - Payload'!$B$10:$B$39,"",0),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Payload'!$A$10:$A$39,'SI - Payload'!$B$10:$B$39,"",0),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Payload'!$A$10:$A$39,'SI - Payload'!$B$10:$B$39,"",0),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Payload'!$A$10:$A$39,'SI - Payload'!$B$10:$B$39,"",0),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Payload'!$A$10:$A$39,'SI - Payload'!$B$10:$B$39,"",0),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Payload'!$A$10:$A$39,'SI - Payload'!$B$10:$B$39,"",0),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Payload'!$A$10:$A$39,'SI - Payload'!$B$10:$B$39,"",0),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Payload'!$A$10:$A$39,'SI - Payload'!$B$10:$B$39,"",0),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Payload'!$A$10:$A$39,'SI - Payload'!$B$10:$B$39,"",0),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Payload'!$A$10:$A$39,'SI - Payload'!$B$10:$B$39,"",0),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Payload'!$A$10:$A$39,'SI - Payload'!$B$10:$B$39,"",0),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Payload'!$A$10:$A$39,'SI - Payload'!$B$10:$B$39,"",0),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Payload'!$A$10:$A$39,'SI - Payload'!$B$10:$B$39,"",0),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Payload'!$A$10:$A$39,'SI - Payload'!$B$10:$B$39,"",0),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Payload'!$A$10:$A$39,'SI - Payload'!$B$10:$B$39,"",0),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Payload'!$A$10:$A$39,'SI - Payload'!$B$10:$B$39,"",0),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Payload'!$A$10:$A$39,'SI - Payload'!$B$10:$B$39,"",0),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Payload'!$A$10:$A$39,'SI - Payload'!$B$10:$B$39,"",0),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Payload'!$A$10:$A$39,'SI - Payload'!$B$10:$B$39,"",0),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Payload'!$A$10:$A$39,'SI - Payload'!$B$10:$B$39,"",0),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Payload'!$A$10:$A$39,'SI - Payload'!$B$10:$B$39,"",0),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Payload'!$A$10:$A$39,'SI - Payload'!$B$10:$B$39,"",0),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Payload'!$A$10:$A$39,'SI - Payload'!$B$10:$B$39,"",0),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Payload'!$A$10:$A$39,'SI - Payload'!$B$10:$B$39,"",0),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Payload'!$A$10:$A$39,'SI - Payload'!$B$10:$B$39,"",0),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Payload'!$A$10:$A$39,'SI - Payload'!$B$10:$B$39,"",0),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Payload'!$A$10:$A$39,'SI - Payload'!$B$10:$B$39,"",0),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Payload'!$A$10:$A$39,'SI - Payload'!$B$10:$B$39,"",0),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Payload'!$A$10:$A$39,'SI - Payload'!$B$10:$B$39,"",0),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Payload'!$A$10:$A$39,'SI - Payload'!$B$10:$B$39,"",0),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Payload'!$A$10:$A$39,'SI - Payload'!$B$10:$B$39,"",0),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Payload'!$A$10:$A$39,'SI - Payload'!$B$10:$B$39,"",0),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Payload'!$A$10:$A$39,'SI - Payload'!$B$10:$B$39,"",0),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Payload'!$A$10:$A$39,'SI - Payload'!$B$10:$B$39,"",0),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Payload'!$A$10:$A$39,'SI - Payload'!$B$10:$B$39,"",0),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Payload'!$A$10:$A$39,'SI - Payload'!$B$10:$B$39,"",0),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Payload'!$A$10:$A$39,'SI - Payload'!$B$10:$B$39,"",0),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Payload'!$A$10:$A$39,'SI - Payload'!$B$10:$B$39,"",0),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Payload'!$A$10:$A$39,'SI - Payload'!$B$10:$B$39,"",0),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Payload'!$A$10:$A$39,'SI - Payload'!$B$10:$B$39,"",0),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Payload'!$A$10:$A$39,'SI - Payload'!$B$10:$B$39,"",0),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Payload'!$A$10:$A$39,'SI - Payload'!$B$10:$B$39,"",0),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Payload'!$A$10:$A$39,'SI - Payload'!$B$10:$B$39,"",0),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Payload'!$A$10:$A$39,'SI - Payload'!$B$10:$B$39,"",0),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415BD227-C005-4B97-9673-647E4A65178D}">
      <formula1>0</formula1>
      <formula2>1</formula2>
    </dataValidation>
    <dataValidation type="list" allowBlank="1" showInputMessage="1" showErrorMessage="1" sqref="M6:M100" xr:uid="{93478288-85FE-4C36-981B-2F9DE3B016AE}">
      <formula1>payload_units</formula1>
    </dataValidation>
    <dataValidation type="decimal" operator="greaterThan" allowBlank="1" showInputMessage="1" showErrorMessage="1" error="Please type a positive number." sqref="L6:L100" xr:uid="{B8663569-1803-4FB9-90DD-D99B3A9B89A9}">
      <formula1>0</formula1>
    </dataValidation>
    <dataValidation type="decimal" operator="greaterThan" allowBlank="1" showInputMessage="1" showErrorMessage="1" error="Please type a positive price." sqref="N6:N100" xr:uid="{68323ACD-72B1-4F44-9FF5-A949425608DC}">
      <formula1>0</formula1>
    </dataValidation>
    <dataValidation type="decimal" allowBlank="1" showInputMessage="1" showErrorMessage="1" error="Please type a number between 0 and 1." sqref="G6:G100" xr:uid="{EA3B981F-58B2-42E2-B2FD-9F925C412B88}">
      <formula1>0</formula1>
      <formula2>1</formula2>
    </dataValidation>
    <dataValidation type="custom" allowBlank="1" showInputMessage="1" showErrorMessage="1" sqref="E6:E100" xr:uid="{9AE9E3E5-2AE5-4E7D-B8E6-D820B85EECD8}">
      <formula1>ISNUMBER(E6)</formula1>
    </dataValidation>
    <dataValidation type="list" allowBlank="1" showInputMessage="1" showErrorMessage="1" sqref="C2" xr:uid="{3643E760-8BDA-4358-9034-FFF49A4FEA2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4749DBA-A977-4008-8FF7-58A153EEB57A}">
          <x14:formula1>
            <xm:f>INDIRECT(_xlfn.XLOOKUP($P6,'SI - End Use'!$A$11:$A$17,'SI - End Use'!$B$11:$B$17,"other_end_use",0))</xm:f>
          </x14:formula1>
          <xm:sqref>Q6:R100</xm:sqref>
        </x14:dataValidation>
        <x14:dataValidation type="list" allowBlank="1" showInputMessage="1" xr:uid="{AAC06673-E9CE-4AE8-8373-07F26DF22472}">
          <x14:formula1>
            <xm:f>INDIRECT(_xlfn.XLOOKUP($C6,'SI - End Use'!$A$11:$A$17,'SI - End Use'!$B$11:$B$17,"other_end_use",0))</xm:f>
          </x14:formula1>
          <xm:sqref>D6:D100</xm:sqref>
        </x14:dataValidation>
        <x14:dataValidation type="list" allowBlank="1" showInputMessage="1" showErrorMessage="1" xr:uid="{906B5A8B-2042-4154-BE99-F0C41C44C8C5}">
          <x14:formula1>
            <xm:f>INDIRECT(_xlfn.XLOOKUP($B6, 'SI - Resources'!$R$1:$R$10,'SI - Resources'!$S$1:$S$10, "placeholder_resource", 0))</xm:f>
          </x14:formula1>
          <xm:sqref>P6:P100 C6:C100</xm:sqref>
        </x14:dataValidation>
        <x14:dataValidation type="list" allowBlank="1" showInputMessage="1" showErrorMessage="1" xr:uid="{A9220C84-9A72-4914-86D3-D615230FEC00}">
          <x14:formula1>
            <xm:f>'SI - Co-products'!$B$2:$B$6</xm:f>
          </x14:formula1>
          <xm:sqref>A6:A100</xm:sqref>
        </x14:dataValidation>
        <x14:dataValidation type="list" allowBlank="1" showInputMessage="1" showErrorMessage="1" xr:uid="{630C4EA9-8E7F-4AFE-8598-6B2DF2394DB9}">
          <x14:formula1>
            <xm:f>'SI - Resources'!$A$1:$J$1</xm:f>
          </x14:formula1>
          <xm:sqref>B6:B100</xm:sqref>
        </x14:dataValidation>
        <x14:dataValidation type="list" allowBlank="1" showInputMessage="1" showErrorMessage="1" xr:uid="{6E6FC6B9-DFA0-497A-AC2C-0951FDC5481C}">
          <x14:formula1>
            <xm:f>'SI - Co-products'!$C$2:$C$4</xm:f>
          </x14:formula1>
          <xm:sqref>I6:I100</xm:sqref>
        </x14:dataValidation>
        <x14:dataValidation type="list" allowBlank="1" showInputMessage="1" showErrorMessage="1" xr:uid="{ECBDF4AE-2810-477C-A37C-BB4F73616B6C}">
          <x14:formula1>
            <xm:f>'SI - Co-products'!$A$2:$A$5</xm:f>
          </x14:formula1>
          <xm:sqref>K6:K100</xm:sqref>
        </x14:dataValidation>
        <x14:dataValidation type="list" allowBlank="1" showInputMessage="1" showErrorMessage="1" xr:uid="{ED4737AF-2A0B-41C8-827E-57D5BAD6DEA7}">
          <x14:formula1>
            <xm:f>'SI - Co-products'!$D$2:$D$8</xm:f>
          </x14:formula1>
          <xm:sqref>C1</xm:sqref>
        </x14:dataValidation>
        <x14:dataValidation type="list" allowBlank="1" showInputMessage="1" showErrorMessage="1" xr:uid="{47D1A0EF-42D4-4586-85C7-7720B7BBFFFB}">
          <x14:formula1>
            <xm:f>IF($B6="Transportation",  transport_units, INDIRECT(_xlfn.XLOOKUP($C6, 'SI - Units'!$F$26:$F$37,'SI - Units'!$G$26:$G$37,"mass",0)))</xm:f>
          </x14:formula1>
          <xm:sqref>F6:F100</xm:sqref>
        </x14:dataValidation>
        <x14:dataValidation type="list" allowBlank="1" showInputMessage="1" showErrorMessage="1" xr:uid="{5AEBA37A-530C-4FBF-BF0D-E77ED4BB325B}">
          <x14:formula1>
            <xm:f>INDIRECT("p_"&amp;_xlfn.XLOOKUP($C6,'SI - Units'!$F$26:$F$37,'SI - Units'!$G$26:$G$37,"mass",0))</xm:f>
          </x14:formula1>
          <xm:sqref>O6:O100</xm:sqref>
        </x14:dataValidation>
        <x14:dataValidation type="list" allowBlank="1" showInputMessage="1" showErrorMessage="1" xr:uid="{0C6BE257-E280-4CBE-B40D-DC54DF14602D}">
          <x14:formula1>
            <xm:f>_xlfn.XLOOKUP(_xlfn.XLOOKUP(#REF!,'SI - Units'!$B$24:$B$109,'SI - Units'!$C$24:$C$109),'SI - Units'!$A$2:$A$8,'SI - Units'!$B$2:$R$8)</xm:f>
          </x14:formula1>
          <xm:sqref>F5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E355E-B35B-41B9-A4AB-4B18E28F57AA}">
  <sheetPr codeName="Sheet15"/>
  <dimension ref="A1:T100"/>
  <sheetViews>
    <sheetView tabSelected="1" workbookViewId="0">
      <pane ySplit="5" topLeftCell="A6" activePane="bottomLeft" state="frozen"/>
      <selection activeCell="C19" sqref="C19"/>
      <selection pane="bottomLeft" activeCell="C2" sqref="C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168</v>
      </c>
      <c r="D6" s="6" t="str">
        <f>IF(_xlfn.XLOOKUP($C6,'SI - End Use'!$B$2:$B$6,'SI - End Use'!$C$2:$C$6, "")="", "", _xlfn.XLOOKUP($C6,'SI - End Use'!$B$2:$B$6,'SI - End Use'!$C$2:$C$6, ""))</f>
        <v/>
      </c>
      <c r="E6" s="62">
        <v>1</v>
      </c>
      <c r="F6" s="6" t="s">
        <v>11</v>
      </c>
      <c r="G6" s="25"/>
      <c r="H6" s="25" t="s">
        <v>348</v>
      </c>
      <c r="I6" s="26" t="str">
        <f>IF(Table113[[#This Row],[Type]]="Co-product", "No", "")</f>
        <v/>
      </c>
      <c r="J6" s="25"/>
      <c r="K6" s="6"/>
      <c r="L6" s="6" t="str">
        <f>IF(Table113[[#This Row],[Category]]="Transportation", _xlfn.XLOOKUP(Table113[[#This Row],[Resource]], 'SI - Payload'!$A$10:$A$39,'SI - Payload'!$B$10:$B$39,"",0),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12">
        <v>427710</v>
      </c>
      <c r="F7" s="6" t="s">
        <v>69</v>
      </c>
      <c r="G7" s="25"/>
      <c r="H7" s="25"/>
      <c r="I7" s="26" t="str">
        <f>IF(Table113[[#This Row],[Type]]="Co-product", "No", "")</f>
        <v/>
      </c>
      <c r="J7" s="25"/>
      <c r="K7" s="6"/>
      <c r="L7" s="6" t="str">
        <f>IF(Table113[[#This Row],[Category]]="Transportation", _xlfn.XLOOKUP(Table113[[#This Row],[Resource]], 'SI - Payload'!$A$10:$A$39,'SI - Payload'!$B$10:$B$39,"",0),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24</v>
      </c>
      <c r="D8" s="6" t="s">
        <v>9</v>
      </c>
      <c r="E8" s="12">
        <v>1218920</v>
      </c>
      <c r="F8" s="6" t="s">
        <v>69</v>
      </c>
      <c r="G8" s="25"/>
      <c r="H8" s="25"/>
      <c r="I8" s="26" t="str">
        <f>IF(Table113[[#This Row],[Type]]="Co-product", "No", "")</f>
        <v/>
      </c>
      <c r="J8" s="25"/>
      <c r="K8" s="6"/>
      <c r="L8" s="6" t="str">
        <f>IF(Table113[[#This Row],[Category]]="Transportation", _xlfn.XLOOKUP(Table113[[#This Row],[Resource]], 'SI - Payload'!$A$10:$A$39,'SI - Payload'!$B$10:$B$39,"",0),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113</v>
      </c>
      <c r="B9" s="6" t="s">
        <v>38</v>
      </c>
      <c r="C9" s="6" t="s">
        <v>168</v>
      </c>
      <c r="D9" s="6" t="str">
        <f>IF(_xlfn.XLOOKUP($C9,'SI - End Use'!$B$2:$B$6,'SI - End Use'!$C$2:$C$6, "")="", "", _xlfn.XLOOKUP($C9,'SI - End Use'!$B$2:$B$6,'SI - End Use'!$C$2:$C$6, ""))</f>
        <v/>
      </c>
      <c r="E9" s="61">
        <v>0.9</v>
      </c>
      <c r="F9" s="6" t="s">
        <v>11</v>
      </c>
      <c r="G9" s="25"/>
      <c r="H9" s="25"/>
      <c r="I9" s="26" t="str">
        <f>IF(Table113[[#This Row],[Type]]="Co-product", "No", "")</f>
        <v/>
      </c>
      <c r="J9" s="25"/>
      <c r="K9" s="6"/>
      <c r="L9" s="6" t="str">
        <f>IF(Table113[[#This Row],[Category]]="Transportation", _xlfn.XLOOKUP(Table113[[#This Row],[Resource]], 'SI - Payload'!$A$10:$A$39,'SI - Payload'!$B$10:$B$39,"",0), "")</f>
        <v/>
      </c>
      <c r="M9" s="6" t="str">
        <f>IF(Table113[[#This Row],[Category]]="Transportation", "ton", "")</f>
        <v/>
      </c>
      <c r="N9" s="6"/>
      <c r="O9" s="6"/>
      <c r="P9" s="6" t="str">
        <f>IF(OR(Table113[[#This Row],[Type]]="Main Product", Table113[[#This Row],[Type]]="Co-Product"), Table113[[#This Row],[Resource]], "")</f>
        <v>Forest Residue</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IF(Table113[[#This Row],[Type]]="Co-product", "No", "")</f>
        <v/>
      </c>
      <c r="J10" s="25"/>
      <c r="K10" s="6"/>
      <c r="L10" s="6" t="str">
        <f>IF(Table113[[#This Row],[Category]]="Transportation", _xlfn.XLOOKUP(Table113[[#This Row],[Resource]], 'SI - Payload'!$A$10:$A$39,'SI - Payload'!$B$10:$B$39,"",0), "")</f>
        <v/>
      </c>
      <c r="M10" s="6" t="str">
        <f>IF(Table113[[#This Row],[Category]]="Transportation", "ton", "")</f>
        <v/>
      </c>
      <c r="N10" s="6"/>
      <c r="O10" s="6"/>
      <c r="P10" s="6" t="str">
        <f>IF(OR(Table113[[#This Row],[Type]]="Main Product", Table113[[#This Row],[Type]]="Co-Product"), Table113[[#This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Payload'!$A$10:$A$39,'SI - Payload'!$B$10:$B$39,"",0),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Payload'!$A$10:$A$39,'SI - Payload'!$B$10:$B$39,"",0),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Payload'!$A$10:$A$39,'SI - Payload'!$B$10:$B$39,"",0),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Payload'!$A$10:$A$39,'SI - Payload'!$B$10:$B$39,"",0),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Payload'!$A$10:$A$39,'SI - Payload'!$B$10:$B$39,"",0),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Payload'!$A$10:$A$39,'SI - Payload'!$B$10:$B$39,"",0),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Payload'!$A$10:$A$39,'SI - Payload'!$B$10:$B$39,"",0),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Payload'!$A$10:$A$39,'SI - Payload'!$B$10:$B$39,"",0),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Payload'!$A$10:$A$39,'SI - Payload'!$B$10:$B$39,"",0),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Payload'!$A$10:$A$39,'SI - Payload'!$B$10:$B$39,"",0),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Payload'!$A$10:$A$39,'SI - Payload'!$B$10:$B$39,"",0),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Payload'!$A$10:$A$39,'SI - Payload'!$B$10:$B$39,"",0),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Payload'!$A$10:$A$39,'SI - Payload'!$B$10:$B$39,"",0),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Payload'!$A$10:$A$39,'SI - Payload'!$B$10:$B$39,"",0),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Payload'!$A$10:$A$39,'SI - Payload'!$B$10:$B$39,"",0),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Payload'!$A$10:$A$39,'SI - Payload'!$B$10:$B$39,"",0),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Payload'!$A$10:$A$39,'SI - Payload'!$B$10:$B$39,"",0),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Payload'!$A$10:$A$39,'SI - Payload'!$B$10:$B$39,"",0),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Payload'!$A$10:$A$39,'SI - Payload'!$B$10:$B$39,"",0),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Payload'!$A$10:$A$39,'SI - Payload'!$B$10:$B$39,"",0),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Payload'!$A$10:$A$39,'SI - Payload'!$B$10:$B$39,"",0),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Payload'!$A$10:$A$39,'SI - Payload'!$B$10:$B$39,"",0),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Payload'!$A$10:$A$39,'SI - Payload'!$B$10:$B$39,"",0),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Payload'!$A$10:$A$39,'SI - Payload'!$B$10:$B$39,"",0),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Payload'!$A$10:$A$39,'SI - Payload'!$B$10:$B$39,"",0),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Payload'!$A$10:$A$39,'SI - Payload'!$B$10:$B$39,"",0),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Payload'!$A$10:$A$39,'SI - Payload'!$B$10:$B$39,"",0),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Payload'!$A$10:$A$39,'SI - Payload'!$B$10:$B$39,"",0),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Payload'!$A$10:$A$39,'SI - Payload'!$B$10:$B$39,"",0),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Payload'!$A$10:$A$39,'SI - Payload'!$B$10:$B$39,"",0),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Payload'!$A$10:$A$39,'SI - Payload'!$B$10:$B$39,"",0),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Payload'!$A$10:$A$39,'SI - Payload'!$B$10:$B$39,"",0),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Payload'!$A$10:$A$39,'SI - Payload'!$B$10:$B$39,"",0),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Payload'!$A$10:$A$39,'SI - Payload'!$B$10:$B$39,"",0),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Payload'!$A$10:$A$39,'SI - Payload'!$B$10:$B$39,"",0),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Payload'!$A$10:$A$39,'SI - Payload'!$B$10:$B$39,"",0),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Payload'!$A$10:$A$39,'SI - Payload'!$B$10:$B$39,"",0),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Payload'!$A$10:$A$39,'SI - Payload'!$B$10:$B$39,"",0),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Payload'!$A$10:$A$39,'SI - Payload'!$B$10:$B$39,"",0),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Payload'!$A$10:$A$39,'SI - Payload'!$B$10:$B$39,"",0),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Payload'!$A$10:$A$39,'SI - Payload'!$B$10:$B$39,"",0),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Payload'!$A$10:$A$39,'SI - Payload'!$B$10:$B$39,"",0),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Payload'!$A$10:$A$39,'SI - Payload'!$B$10:$B$39,"",0),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Payload'!$A$10:$A$39,'SI - Payload'!$B$10:$B$39,"",0),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Payload'!$A$10:$A$39,'SI - Payload'!$B$10:$B$39,"",0),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Payload'!$A$10:$A$39,'SI - Payload'!$B$10:$B$39,"",0),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Payload'!$A$10:$A$39,'SI - Payload'!$B$10:$B$39,"",0),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Payload'!$A$10:$A$39,'SI - Payload'!$B$10:$B$39,"",0),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Payload'!$A$10:$A$39,'SI - Payload'!$B$10:$B$39,"",0),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Payload'!$A$10:$A$39,'SI - Payload'!$B$10:$B$39,"",0),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Payload'!$A$10:$A$39,'SI - Payload'!$B$10:$B$39,"",0),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Payload'!$A$10:$A$39,'SI - Payload'!$B$10:$B$39,"",0),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Payload'!$A$10:$A$39,'SI - Payload'!$B$10:$B$39,"",0),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Payload'!$A$10:$A$39,'SI - Payload'!$B$10:$B$39,"",0),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Payload'!$A$10:$A$39,'SI - Payload'!$B$10:$B$39,"",0),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Payload'!$A$10:$A$39,'SI - Payload'!$B$10:$B$39,"",0),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Payload'!$A$10:$A$39,'SI - Payload'!$B$10:$B$39,"",0),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Payload'!$A$10:$A$39,'SI - Payload'!$B$10:$B$39,"",0),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Payload'!$A$10:$A$39,'SI - Payload'!$B$10:$B$39,"",0),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Payload'!$A$10:$A$39,'SI - Payload'!$B$10:$B$39,"",0),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Payload'!$A$10:$A$39,'SI - Payload'!$B$10:$B$39,"",0),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Payload'!$A$10:$A$39,'SI - Payload'!$B$10:$B$39,"",0),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Payload'!$A$10:$A$39,'SI - Payload'!$B$10:$B$39,"",0),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Payload'!$A$10:$A$39,'SI - Payload'!$B$10:$B$39,"",0),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Payload'!$A$10:$A$39,'SI - Payload'!$B$10:$B$39,"",0),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Payload'!$A$10:$A$39,'SI - Payload'!$B$10:$B$39,"",0),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Payload'!$A$10:$A$39,'SI - Payload'!$B$10:$B$39,"",0),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Payload'!$A$10:$A$39,'SI - Payload'!$B$10:$B$39,"",0),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Payload'!$A$10:$A$39,'SI - Payload'!$B$10:$B$39,"",0),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Payload'!$A$10:$A$39,'SI - Payload'!$B$10:$B$39,"",0),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Payload'!$A$10:$A$39,'SI - Payload'!$B$10:$B$39,"",0),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Payload'!$A$10:$A$39,'SI - Payload'!$B$10:$B$39,"",0),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Payload'!$A$10:$A$39,'SI - Payload'!$B$10:$B$39,"",0),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Payload'!$A$10:$A$39,'SI - Payload'!$B$10:$B$39,"",0),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Payload'!$A$10:$A$39,'SI - Payload'!$B$10:$B$39,"",0),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Payload'!$A$10:$A$39,'SI - Payload'!$B$10:$B$39,"",0),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Payload'!$A$10:$A$39,'SI - Payload'!$B$10:$B$39,"",0),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Payload'!$A$10:$A$39,'SI - Payload'!$B$10:$B$39,"",0),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Payload'!$A$10:$A$39,'SI - Payload'!$B$10:$B$39,"",0),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Payload'!$A$10:$A$39,'SI - Payload'!$B$10:$B$39,"",0),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Payload'!$A$10:$A$39,'SI - Payload'!$B$10:$B$39,"",0),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Payload'!$A$10:$A$39,'SI - Payload'!$B$10:$B$39,"",0),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Payload'!$A$10:$A$39,'SI - Payload'!$B$10:$B$39,"",0),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Payload'!$A$10:$A$39,'SI - Payload'!$B$10:$B$39,"",0),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Payload'!$A$10:$A$39,'SI - Payload'!$B$10:$B$39,"",0),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Payload'!$A$10:$A$39,'SI - Payload'!$B$10:$B$39,"",0),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Payload'!$A$10:$A$39,'SI - Payload'!$B$10:$B$39,"",0),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Payload'!$A$10:$A$39,'SI - Payload'!$B$10:$B$39,"",0),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Payload'!$A$10:$A$39,'SI - Payload'!$B$10:$B$39,"",0),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Payload'!$A$10:$A$39,'SI - Payload'!$B$10:$B$39,"",0),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75FC28F-82D4-425B-95F7-F2F103AC890F}">
      <formula1>0</formula1>
      <formula2>1</formula2>
    </dataValidation>
    <dataValidation type="list" allowBlank="1" showInputMessage="1" showErrorMessage="1" sqref="M6:M100" xr:uid="{48369B01-354E-4423-8BB2-6295C0155FBB}">
      <formula1>payload_units</formula1>
    </dataValidation>
    <dataValidation type="decimal" operator="greaterThan" allowBlank="1" showInputMessage="1" showErrorMessage="1" error="Please type a positive number." sqref="L6:L100" xr:uid="{91D0DAA2-D1EE-49E7-8BF5-95786338471C}">
      <formula1>0</formula1>
    </dataValidation>
    <dataValidation type="decimal" operator="greaterThan" allowBlank="1" showInputMessage="1" showErrorMessage="1" error="Please type a positive price." sqref="N6:N100" xr:uid="{584E2BD4-C904-47C7-B043-3B9D5DEC29D1}">
      <formula1>0</formula1>
    </dataValidation>
    <dataValidation type="decimal" allowBlank="1" showInputMessage="1" showErrorMessage="1" error="Please type a number between 0 and 1." sqref="G6:G100" xr:uid="{56170A89-391B-404B-A36D-6E1DB569C3E7}">
      <formula1>0</formula1>
      <formula2>1</formula2>
    </dataValidation>
    <dataValidation type="custom" allowBlank="1" showInputMessage="1" showErrorMessage="1" sqref="E6:E100" xr:uid="{12037675-4852-465F-82D6-185315F2AEC9}">
      <formula1>ISNUMBER(E6)</formula1>
    </dataValidation>
    <dataValidation type="list" allowBlank="1" showInputMessage="1" showErrorMessage="1" sqref="C2" xr:uid="{34C00648-7BFB-4D75-B4B4-84BB0FC1A5F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8389FFC-07A7-4CF5-A65A-B6ACAB2B64B6}">
          <x14:formula1>
            <xm:f>IF($B6="Transportation",  transport_units, INDIRECT(_xlfn.XLOOKUP($C6, 'SI - Units'!$F$26:$F$37,'SI - Units'!$G$26:$G$37,"mass",0)))</xm:f>
          </x14:formula1>
          <xm:sqref>F6:F100</xm:sqref>
        </x14:dataValidation>
        <x14:dataValidation type="list" allowBlank="1" showInputMessage="1" showErrorMessage="1" xr:uid="{B880DA9F-C177-4056-BB0F-8E51DEF876A7}">
          <x14:formula1>
            <xm:f>INDIRECT("p_"&amp;_xlfn.XLOOKUP($C6,'SI - Units'!$F$26:$F$37,'SI - Units'!$G$26:$G$37,"mass",0))</xm:f>
          </x14:formula1>
          <xm:sqref>O6:O100</xm:sqref>
        </x14:dataValidation>
        <x14:dataValidation type="list" allowBlank="1" showInputMessage="1" showErrorMessage="1" xr:uid="{AAC04232-5183-4FD0-8D9F-757C131D559D}">
          <x14:formula1>
            <xm:f>_xlfn.XLOOKUP(_xlfn.XLOOKUP(#REF!,'SI - Units'!$B$24:$B$109,'SI - Units'!$C$24:$C$109),'SI - Units'!$A$2:$A$8,'SI - Units'!$B$2:$R$8)</xm:f>
          </x14:formula1>
          <xm:sqref>F5</xm:sqref>
        </x14:dataValidation>
        <x14:dataValidation type="list" allowBlank="1" showInputMessage="1" showErrorMessage="1" xr:uid="{56B25993-A448-4B13-9C14-FD5EB5CA266A}">
          <x14:formula1>
            <xm:f>INDIRECT(_xlfn.XLOOKUP($P6,'SI - End Use'!$A$11:$A$17,'SI - End Use'!$B$11:$B$17,"other_end_use",0))</xm:f>
          </x14:formula1>
          <xm:sqref>Q6:R100</xm:sqref>
        </x14:dataValidation>
        <x14:dataValidation type="list" allowBlank="1" showInputMessage="1" xr:uid="{7C8C363D-C276-4A96-8C38-D5F6FBE3FE5D}">
          <x14:formula1>
            <xm:f>INDIRECT(_xlfn.XLOOKUP($C6,'SI - End Use'!$A$11:$A$17,'SI - End Use'!$B$11:$B$17,"other_end_use",0))</xm:f>
          </x14:formula1>
          <xm:sqref>D6:D100</xm:sqref>
        </x14:dataValidation>
        <x14:dataValidation type="list" allowBlank="1" showInputMessage="1" showErrorMessage="1" xr:uid="{A9EDCAD3-5E0A-409A-8217-A05F8769E87C}">
          <x14:formula1>
            <xm:f>INDIRECT(_xlfn.XLOOKUP($B6, 'SI - Resources'!$R$1:$R$10,'SI - Resources'!$S$1:$S$10, "placeholder_resource", 0))</xm:f>
          </x14:formula1>
          <xm:sqref>P6:P100 C6:C100</xm:sqref>
        </x14:dataValidation>
        <x14:dataValidation type="list" allowBlank="1" showInputMessage="1" showErrorMessage="1" xr:uid="{381E563A-B0B0-4E6F-B80D-5DB2BE35C630}">
          <x14:formula1>
            <xm:f>'SI - Co-products'!$B$2:$B$6</xm:f>
          </x14:formula1>
          <xm:sqref>A6:A100</xm:sqref>
        </x14:dataValidation>
        <x14:dataValidation type="list" allowBlank="1" showInputMessage="1" showErrorMessage="1" xr:uid="{310862AE-882E-4043-B24E-FEE573AD0E86}">
          <x14:formula1>
            <xm:f>'SI - Resources'!$A$1:$J$1</xm:f>
          </x14:formula1>
          <xm:sqref>B6:B100</xm:sqref>
        </x14:dataValidation>
        <x14:dataValidation type="list" allowBlank="1" showInputMessage="1" showErrorMessage="1" xr:uid="{AE97A3C7-CA1D-47D1-900E-DF8097D2AD23}">
          <x14:formula1>
            <xm:f>'SI - Co-products'!$C$2:$C$4</xm:f>
          </x14:formula1>
          <xm:sqref>I6:I100</xm:sqref>
        </x14:dataValidation>
        <x14:dataValidation type="list" allowBlank="1" showInputMessage="1" showErrorMessage="1" xr:uid="{9DF4E270-AA57-4136-B231-AE087E9C2438}">
          <x14:formula1>
            <xm:f>'SI - Co-products'!$A$2:$A$5</xm:f>
          </x14:formula1>
          <xm:sqref>K6:K100</xm:sqref>
        </x14:dataValidation>
        <x14:dataValidation type="list" allowBlank="1" showInputMessage="1" showErrorMessage="1" xr:uid="{11FBD33A-F8C5-4580-89D2-12D1FD7E4104}">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32</vt:i4>
      </vt:variant>
    </vt:vector>
  </HeadingPairs>
  <TitlesOfParts>
    <vt:vector size="45" baseType="lpstr">
      <vt:lpstr>Introduction</vt:lpstr>
      <vt:lpstr>Template</vt:lpstr>
      <vt:lpstr>SI - Payload</vt:lpstr>
      <vt:lpstr>SI - Resources</vt:lpstr>
      <vt:lpstr>SI - End Use</vt:lpstr>
      <vt:lpstr>SI - Units</vt:lpstr>
      <vt:lpstr>SI - Co-products</vt:lpstr>
      <vt:lpstr>Algae growth</vt:lpstr>
      <vt:lpstr>Fuel production</vt:lpstr>
      <vt:lpstr>Forest residue processing</vt:lpstr>
      <vt:lpstr>Forest residue transportation</vt:lpstr>
      <vt:lpstr>Receiving handling and storage</vt:lpstr>
      <vt:lpstr>Forest residue preprocessing</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2022-12-26T03:08:26Z</dcterms:modified>
</cp:coreProperties>
</file>