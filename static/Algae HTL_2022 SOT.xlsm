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FE8D1471-7EFD-4392-938B-8C3264B70E5C}" xr6:coauthVersionLast="47" xr6:coauthVersionMax="47" xr10:uidLastSave="{00000000-0000-0000-0000-000000000000}"/>
  <bookViews>
    <workbookView xWindow="-110" yWindow="-110" windowWidth="22780" windowHeight="14660" tabRatio="685" firstSheet="6"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Fuel production" sheetId="29" r:id="rId8"/>
    <sheet name="CO2 delivery" sheetId="34" r:id="rId9"/>
    <sheet name="Algae growth" sheetId="25" r:id="rId10"/>
    <sheet name="Forest residue processing" sheetId="30" r:id="rId11"/>
    <sheet name="Forest residue transportation" sheetId="31" r:id="rId12"/>
    <sheet name="Receiving handling and storage" sheetId="32" r:id="rId13"/>
    <sheet name="Forest residue preprocessing" sheetId="33" r:id="rId14"/>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 i="29" l="1"/>
  <c r="I17" i="29"/>
  <c r="L17" i="29"/>
  <c r="M17" i="29"/>
  <c r="P17" i="29"/>
  <c r="Q17" i="29" s="1"/>
  <c r="D13" i="29"/>
  <c r="I13" i="29"/>
  <c r="L13" i="29"/>
  <c r="M13" i="29"/>
  <c r="P13" i="29"/>
  <c r="Q13" i="29" s="1"/>
  <c r="D12" i="29"/>
  <c r="I12" i="29"/>
  <c r="L12" i="29"/>
  <c r="M12" i="29"/>
  <c r="P12" i="29"/>
  <c r="Q12" i="29" s="1"/>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2" i="29" l="1"/>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P82" i="29"/>
  <c r="Q82" i="29" s="1"/>
  <c r="M82" i="29"/>
  <c r="L82" i="29"/>
  <c r="I82" i="29"/>
  <c r="C82" i="29"/>
  <c r="F82" i="29" s="1" a="1"/>
  <c r="F82" i="29" s="1"/>
  <c r="P81" i="29"/>
  <c r="Q81" i="29" s="1"/>
  <c r="M81" i="29"/>
  <c r="L81" i="29"/>
  <c r="I81" i="29"/>
  <c r="C81" i="29"/>
  <c r="D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F71" i="29" s="1" a="1"/>
  <c r="F71" i="29" s="1"/>
  <c r="P70" i="29"/>
  <c r="Q70" i="29" s="1"/>
  <c r="M70" i="29"/>
  <c r="L70" i="29"/>
  <c r="I70" i="29"/>
  <c r="C70" i="29"/>
  <c r="F70" i="29" s="1" a="1"/>
  <c r="F70" i="29" s="1"/>
  <c r="P69" i="29"/>
  <c r="Q69" i="29" s="1"/>
  <c r="M69" i="29"/>
  <c r="L69" i="29"/>
  <c r="I69" i="29"/>
  <c r="C69" i="29"/>
  <c r="D69" i="29" s="1"/>
  <c r="P68" i="29"/>
  <c r="Q68" i="29" s="1"/>
  <c r="M68" i="29"/>
  <c r="L68" i="29"/>
  <c r="I68" i="29"/>
  <c r="C68" i="29"/>
  <c r="F68" i="29" s="1" a="1"/>
  <c r="F68" i="29" s="1"/>
  <c r="P67" i="29"/>
  <c r="Q67" i="29" s="1"/>
  <c r="M67" i="29"/>
  <c r="L67" i="29"/>
  <c r="I67" i="29"/>
  <c r="C67" i="29"/>
  <c r="F67" i="29" s="1" a="1"/>
  <c r="F67" i="29" s="1"/>
  <c r="P66" i="29"/>
  <c r="Q66" i="29" s="1"/>
  <c r="M66" i="29"/>
  <c r="L66" i="29"/>
  <c r="I66" i="29"/>
  <c r="C66" i="29"/>
  <c r="F66" i="29" s="1" a="1"/>
  <c r="F66" i="29" s="1"/>
  <c r="P65" i="29"/>
  <c r="Q65" i="29" s="1"/>
  <c r="M65" i="29"/>
  <c r="L65" i="29"/>
  <c r="I65" i="29"/>
  <c r="C65" i="29"/>
  <c r="D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F55" i="29" s="1" a="1"/>
  <c r="F55" i="29" s="1"/>
  <c r="P54" i="29"/>
  <c r="Q54" i="29" s="1"/>
  <c r="M54" i="29"/>
  <c r="L54" i="29"/>
  <c r="I54" i="29"/>
  <c r="C54" i="29"/>
  <c r="F54" i="29" s="1" a="1"/>
  <c r="F54" i="29" s="1"/>
  <c r="P53" i="29"/>
  <c r="Q53" i="29" s="1"/>
  <c r="M53" i="29"/>
  <c r="L53" i="29"/>
  <c r="I53" i="29"/>
  <c r="C53" i="29"/>
  <c r="D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F40" i="29" s="1" a="1"/>
  <c r="F40" i="29" s="1"/>
  <c r="P39" i="29"/>
  <c r="Q39" i="29" s="1"/>
  <c r="M39" i="29"/>
  <c r="L39" i="29"/>
  <c r="I39" i="29"/>
  <c r="C39" i="29"/>
  <c r="F39" i="29" s="1" a="1"/>
  <c r="F39" i="29" s="1"/>
  <c r="P38" i="29"/>
  <c r="Q38" i="29" s="1"/>
  <c r="M38" i="29"/>
  <c r="L38" i="29"/>
  <c r="I38" i="29"/>
  <c r="C38" i="29"/>
  <c r="D38" i="29" s="1"/>
  <c r="P37" i="29"/>
  <c r="Q37" i="29" s="1"/>
  <c r="M37" i="29"/>
  <c r="L37" i="29"/>
  <c r="I37" i="29"/>
  <c r="C37" i="29"/>
  <c r="F37" i="29" s="1" a="1"/>
  <c r="F37" i="29" s="1"/>
  <c r="P36" i="29"/>
  <c r="Q36" i="29" s="1"/>
  <c r="M36" i="29"/>
  <c r="L36" i="29"/>
  <c r="I36" i="29"/>
  <c r="C36" i="29"/>
  <c r="F36" i="29" s="1" a="1"/>
  <c r="F36" i="29" s="1"/>
  <c r="P35" i="29"/>
  <c r="Q35" i="29" s="1"/>
  <c r="M35" i="29"/>
  <c r="L35" i="29"/>
  <c r="I35" i="29"/>
  <c r="C35" i="29"/>
  <c r="F35" i="29" s="1" a="1"/>
  <c r="F35" i="29" s="1"/>
  <c r="P34" i="29"/>
  <c r="Q34" i="29" s="1"/>
  <c r="M34" i="29"/>
  <c r="L34" i="29"/>
  <c r="I34" i="29"/>
  <c r="C34" i="29"/>
  <c r="D34" i="29" s="1"/>
  <c r="P33" i="29"/>
  <c r="Q33" i="29" s="1"/>
  <c r="M33" i="29"/>
  <c r="L33" i="29"/>
  <c r="I33" i="29"/>
  <c r="C33" i="29"/>
  <c r="F33" i="29" s="1" a="1"/>
  <c r="F33" i="29" s="1"/>
  <c r="P32" i="29"/>
  <c r="Q32" i="29" s="1"/>
  <c r="M32" i="29"/>
  <c r="L32" i="29"/>
  <c r="I32" i="29"/>
  <c r="C32" i="29"/>
  <c r="F32" i="29" s="1" a="1"/>
  <c r="F32" i="29" s="1"/>
  <c r="P31" i="29"/>
  <c r="Q31" i="29" s="1"/>
  <c r="M31" i="29"/>
  <c r="L31" i="29"/>
  <c r="I31" i="29"/>
  <c r="C31" i="29"/>
  <c r="F31" i="29" s="1" a="1"/>
  <c r="F31" i="29" s="1"/>
  <c r="P30" i="29"/>
  <c r="Q30" i="29" s="1"/>
  <c r="M30" i="29"/>
  <c r="L30" i="29"/>
  <c r="I30" i="29"/>
  <c r="C30" i="29"/>
  <c r="D30" i="29" s="1"/>
  <c r="P29" i="29"/>
  <c r="Q29" i="29" s="1"/>
  <c r="M29" i="29"/>
  <c r="L29" i="29"/>
  <c r="I29" i="29"/>
  <c r="C29" i="29"/>
  <c r="D29" i="29" s="1"/>
  <c r="P28" i="29"/>
  <c r="Q28" i="29" s="1"/>
  <c r="M28" i="29"/>
  <c r="L28" i="29"/>
  <c r="I28" i="29"/>
  <c r="C28" i="29"/>
  <c r="F28" i="29" s="1" a="1"/>
  <c r="F28" i="29" s="1"/>
  <c r="P27" i="29"/>
  <c r="Q27" i="29" s="1"/>
  <c r="M27" i="29"/>
  <c r="L27" i="29"/>
  <c r="I27" i="29"/>
  <c r="C27" i="29"/>
  <c r="F27" i="29" s="1" a="1"/>
  <c r="F27" i="29" s="1"/>
  <c r="P26" i="29"/>
  <c r="Q26" i="29" s="1"/>
  <c r="M26" i="29"/>
  <c r="L26" i="29"/>
  <c r="I26" i="29"/>
  <c r="C26" i="29"/>
  <c r="D26" i="29" s="1"/>
  <c r="P25" i="29"/>
  <c r="Q25" i="29" s="1"/>
  <c r="M25" i="29"/>
  <c r="L25" i="29"/>
  <c r="I25" i="29"/>
  <c r="C25" i="29"/>
  <c r="D25" i="29" s="1"/>
  <c r="P24" i="29"/>
  <c r="Q24" i="29" s="1"/>
  <c r="M24" i="29"/>
  <c r="L24" i="29"/>
  <c r="I24" i="29"/>
  <c r="C24" i="29"/>
  <c r="F24" i="29" s="1" a="1"/>
  <c r="F24" i="29" s="1"/>
  <c r="P23" i="29"/>
  <c r="Q23" i="29" s="1"/>
  <c r="M23" i="29"/>
  <c r="L23" i="29"/>
  <c r="I23" i="29"/>
  <c r="C23" i="29"/>
  <c r="F23" i="29" s="1" a="1"/>
  <c r="F23" i="29" s="1"/>
  <c r="P22" i="29"/>
  <c r="Q22" i="29" s="1"/>
  <c r="M22" i="29"/>
  <c r="L22" i="29"/>
  <c r="I22" i="29"/>
  <c r="C22" i="29"/>
  <c r="D22" i="29" s="1"/>
  <c r="P21" i="29"/>
  <c r="Q21" i="29" s="1"/>
  <c r="M21" i="29"/>
  <c r="L21" i="29"/>
  <c r="I21" i="29"/>
  <c r="C21" i="29"/>
  <c r="F21" i="29" s="1" a="1"/>
  <c r="F21" i="29" s="1"/>
  <c r="P20" i="29"/>
  <c r="Q20" i="29" s="1"/>
  <c r="M20" i="29"/>
  <c r="L20" i="29"/>
  <c r="I20" i="29"/>
  <c r="C20" i="29"/>
  <c r="F20" i="29" s="1" a="1"/>
  <c r="F20" i="29" s="1"/>
  <c r="P19" i="29"/>
  <c r="Q19" i="29" s="1"/>
  <c r="M19" i="29"/>
  <c r="L19" i="29"/>
  <c r="I19" i="29"/>
  <c r="C19" i="29"/>
  <c r="F19" i="29" s="1" a="1"/>
  <c r="F19" i="29" s="1"/>
  <c r="M18" i="29"/>
  <c r="L18" i="29"/>
  <c r="P16" i="29"/>
  <c r="Q16" i="29" s="1"/>
  <c r="M16" i="29"/>
  <c r="L16" i="29"/>
  <c r="P15" i="29"/>
  <c r="Q15" i="29" s="1"/>
  <c r="M15" i="29"/>
  <c r="L15" i="29"/>
  <c r="P14" i="29"/>
  <c r="Q14" i="29" s="1"/>
  <c r="M14" i="29"/>
  <c r="L14" i="29"/>
  <c r="P11" i="29"/>
  <c r="Q11" i="29" s="1"/>
  <c r="M11" i="29"/>
  <c r="L11" i="29"/>
  <c r="P8" i="29"/>
  <c r="Q8" i="29" s="1"/>
  <c r="M8" i="29"/>
  <c r="L8" i="29"/>
  <c r="P6" i="29"/>
  <c r="Q6" i="29" s="1"/>
  <c r="M6" i="29"/>
  <c r="L6" i="29"/>
  <c r="D35" i="29" l="1"/>
  <c r="F53" i="29" a="1"/>
  <c r="F53" i="29" s="1"/>
  <c r="F69" i="29" a="1"/>
  <c r="F69" i="29" s="1"/>
  <c r="F26" i="29" a="1"/>
  <c r="F26" i="29" s="1"/>
  <c r="D85" i="29"/>
  <c r="D21" i="29"/>
  <c r="D89" i="29"/>
  <c r="D19" i="29"/>
  <c r="D37" i="29"/>
  <c r="D93" i="29"/>
  <c r="F65" i="29" a="1"/>
  <c r="F65" i="29" s="1"/>
  <c r="F81" i="29" a="1"/>
  <c r="F81" i="29" s="1"/>
  <c r="D84" i="29"/>
  <c r="D97" i="29"/>
  <c r="F34" i="29" a="1"/>
  <c r="F34" i="29" s="1"/>
  <c r="D61" i="29"/>
  <c r="F29" i="29" a="1"/>
  <c r="F29" i="29" s="1"/>
  <c r="D33" i="29"/>
  <c r="F38" i="29" a="1"/>
  <c r="F38" i="29" s="1"/>
  <c r="D57" i="29"/>
  <c r="D77" i="29"/>
  <c r="D41" i="29"/>
  <c r="D45" i="29"/>
  <c r="D49" i="29"/>
  <c r="D73" i="29"/>
  <c r="F25" i="29" a="1"/>
  <c r="F25" i="29" s="1"/>
  <c r="D27" i="29"/>
  <c r="F30" i="29" a="1"/>
  <c r="F30" i="29" s="1"/>
  <c r="D39" i="29"/>
  <c r="D43" i="29"/>
  <c r="D47" i="29"/>
  <c r="D23" i="29"/>
  <c r="F22" i="29" a="1"/>
  <c r="F22" i="29" s="1"/>
  <c r="D31" i="29"/>
  <c r="D101" i="29"/>
  <c r="D20" i="29"/>
  <c r="D44" i="29"/>
  <c r="D60" i="29"/>
  <c r="D68" i="29"/>
  <c r="D51" i="29"/>
  <c r="D55" i="29"/>
  <c r="D59" i="29"/>
  <c r="D63" i="29"/>
  <c r="D67" i="29"/>
  <c r="D71" i="29"/>
  <c r="D75" i="29"/>
  <c r="D79" i="29"/>
  <c r="D83" i="29"/>
  <c r="D87" i="29"/>
  <c r="D91" i="29"/>
  <c r="D95" i="29"/>
  <c r="D99" i="29"/>
  <c r="D32" i="29"/>
  <c r="D48" i="29"/>
  <c r="D24" i="29"/>
  <c r="D28" i="29"/>
  <c r="D36" i="29"/>
  <c r="D40" i="29"/>
  <c r="D52" i="29"/>
  <c r="D72" i="29"/>
  <c r="D42" i="29"/>
  <c r="D46" i="29"/>
  <c r="D50" i="29"/>
  <c r="D54" i="29"/>
  <c r="D58" i="29"/>
  <c r="D62" i="29"/>
  <c r="D66" i="29"/>
  <c r="D70" i="29"/>
  <c r="D74" i="29"/>
  <c r="D78" i="29"/>
  <c r="D82" i="29"/>
  <c r="D86" i="29"/>
  <c r="D90" i="29"/>
  <c r="D94" i="29"/>
  <c r="D98" i="29"/>
  <c r="D102" i="29"/>
  <c r="D56" i="29"/>
  <c r="D64" i="29"/>
  <c r="D76" i="29"/>
  <c r="D80" i="29"/>
  <c r="D88" i="29"/>
  <c r="D92" i="29"/>
  <c r="D96" i="29"/>
  <c r="D100"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<sst xmlns="http://schemas.openxmlformats.org/spreadsheetml/2006/main" count="1120" uniqueCount="350">
  <si>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</si>
  <si>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</si>
  <si>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</si>
  <si>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</si>
  <si>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</si>
  <si>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</si>
  <si>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</si>
  <si>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</si>
  <si>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</si>
  <si>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</si>
  <si>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</si>
  <si>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</si>
  <si>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</si>
  <si>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</si>
  <si>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</si>
  <si>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</si>
  <si>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</si>
  <si>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</si>
  <si>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</si>
  <si>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</si>
  <si>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</si>
  <si>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</si>
  <si>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</si>
  <si>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</si>
  <si>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</si>
  <si>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</si>
  <si>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</si>
  <si>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</si>
  <si>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</si>
  <si>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</si>
  <si>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</si>
  <si>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</si>
  <si>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</si>
  <si>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</si>
  <si>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</si>
  <si>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</si>
  <si>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</si>
  <si>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</si>
  <si>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</si>
  <si>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</si>
  <si>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</si>
  <si>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</si>
  <si>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</si>
  <si>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</si>
  <si>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</si>
  <si>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</si>
  <si>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</si>
  <si>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</si>
  <si>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</si>
  <si>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</si>
  <si>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</si>
  <si>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</si>
  <si>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</si>
  <si>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</si>
  <si>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</si>
  <si>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</si>
  <si>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</si>
  <si>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</si>
  <si>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</si>
  <si>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</si>
  <si>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</si>
  <si>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</si>
  <si>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</si>
  <si>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</si>
  <si>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</si>
  <si>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</si>
  <si>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</si>
  <si>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</si>
  <si>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</si>
  <si>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</si>
  <si>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</si>
  <si>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</si>
  <si>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</si>
  <si>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</si>
  <si>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</si>
  <si>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</si>
  <si>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</si>
  <si>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</si>
  <si>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</si>
  <si>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</si>
  <si>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</si>
  <si>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</si>
  <si>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</si>
  <si>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</si>
  <si>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</si>
  <si>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</si>
  <si>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</si>
  <si>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</si>
  <si>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</si>
  <si>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</si>
  <si>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</si>
  <si>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</si>
  <si>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</si>
  <si>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</si>
  <si>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</si>
  <si>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</si>
  <si>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</si>
  <si>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</si>
  <si>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</si>
  <si>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</si>
  <si>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</si>
  <si>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</si>
  <si>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</si>
  <si>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</si>
  <si>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</si>
  <si>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</si>
  <si>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</si>
  <si>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</si>
  <si>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</si>
  <si>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</si>
  <si>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</si>
  <si>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</si>
  <si>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</si>
  <si>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</si>
  <si>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</si>
  <si>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</si>
  <si>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</si>
  <si>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</si>
  <si>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</si>
  <si>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</si>
  <si>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</si>
  <si>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</si>
  <si>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</si>
  <si>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</si>
  <si>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</si>
  <si>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</si>
  <si>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</si>
  <si>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</si>
  <si>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</si>
  <si>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</si>
  <si>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</si>
  <si>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</si>
  <si>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</si>
  <si>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</si>
  <si>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</si>
  <si>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</si>
  <si>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</si>
  <si>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</si>
  <si>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</si>
  <si>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</si>
  <si>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</si>
  <si>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</si>
  <si>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</si>
  <si>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</si>
  <si>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</si>
  <si>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</si>
  <si>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</si>
  <si>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</si>
  <si>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</si>
  <si>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</si>
  <si>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</si>
  <si>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</si>
  <si>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</si>
  <si>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</si>
  <si>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</si>
  <si>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</si>
  <si>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</si>
  <si>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</si>
  <si>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</si>
  <si>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</si>
  <si>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</si>
  <si>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</si>
  <si>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</si>
  <si>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</si>
  <si>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</si>
  <si>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</si>
  <si>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</si>
  <si>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</si>
  <si>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</si>
  <si>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</si>
  <si>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</si>
  <si>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</si>
  <si>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</si>
  <si>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</si>
  <si>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</si>
  <si>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</si>
  <si>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</si>
  <si>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</si>
  <si>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</si>
  <si>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</si>
  <si>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</si>
  <si>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</si>
  <si>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</si>
  <si>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</si>
  <si>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</si>
  <si>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</si>
  <si>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</si>
  <si>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</si>
  <si>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</si>
  <si>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</si>
  <si>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</si>
  <si>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</si>
  <si>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</si>
  <si>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</si>
  <si>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</si>
  <si>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</si>
  <si>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</si>
  <si>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</si>
  <si>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</si>
  <si>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</si>
  <si>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</si>
  <si>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</si>
  <si>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</si>
  <si>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</si>
  <si>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</si>
  <si>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</si>
  <si>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</si>
  <si>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</si>
  <si>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</si>
  <si>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</si>
  <si>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</si>
  <si>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</si>
  <si>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</si>
  <si>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</si>
  <si>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</si>
  <si>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</si>
  <si>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</si>
  <si>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</si>
  <si>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</si>
  <si>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</si>
  <si>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</si>
  <si>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</si>
  <si>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</si>
  <si>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</si>
  <si>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</si>
  <si>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</si>
  <si>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</si>
  <si>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</si>
  <si>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</si>
  <si>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</si>
  <si>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</si>
  <si>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</si>
  <si>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</si>
  <si>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</si>
  <si>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</si>
  <si>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</si>
  <si>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</si>
  <si>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</si>
  <si>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</si>
  <si>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</si>
  <si>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</si>
  <si>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</si>
  <si>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</si>
  <si>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</si>
  <si>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</si>
  <si>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</si>
  <si>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</si>
  <si>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</si>
  <si>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</si>
  <si>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</si>
  <si>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</si>
  <si>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</si>
  <si>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</si>
  <si>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</si>
  <si>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</si>
  <si>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</si>
  <si>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</si>
  <si>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</si>
  <si>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</si>
  <si>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</si>
  <si>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</si>
  <si>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</si>
  <si>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</si>
  <si>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</si>
  <si>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</si>
  <si>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</si>
  <si>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</si>
  <si>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</si>
  <si>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</si>
  <si>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</si>
  <si>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</si>
  <si>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</si>
  <si>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</si>
  <si>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</si>
  <si>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</si>
  <si>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</si>
  <si>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</si>
  <si>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</si>
  <si>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</si>
  <si>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</si>
  <si>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</si>
  <si>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</si>
  <si>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</si>
  <si>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</si>
  <si>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</si>
  <si>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</si>
  <si>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</si>
  <si>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</si>
  <si>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</si>
  <si>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</si>
  <si>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</si>
  <si>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</si>
  <si>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</si>
  <si>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</si>
  <si>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</si>
  <si>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</si>
  <si>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</si>
  <si>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</si>
  <si>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</si>
  <si>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</si>
  <si>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</si>
  <si>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</si>
  <si>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</si>
  <si>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</si>
  <si>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</si>
  <si>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</si>
  <si>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</si>
  <si>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</si>
  <si>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</si>
  <si>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</si>
  <si>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</si>
  <si>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</si>
  <si>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</si>
  <si>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</si>
  <si>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</si>
  <si>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</si>
  <si>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</si>
  <si>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</si>
  <si>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</si>
  <si>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</si>
  <si>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</si>
  <si>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</si>
  <si>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</si>
  <si>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</si>
  <si>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</si>
  <si>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</si>
  <si>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</si>
  <si>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</si>
  <si>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</si>
  <si>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</si>
  <si>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</si>
  <si>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</si>
  <si>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</si>
  <si>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</si>
  <si>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</si>
  <si>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</si>
  <si>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</si>
  <si>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</si>
  <si>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</si>
  <si>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</si>
  <si>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</si>
  <si>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</si>
  <si>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</si>
  <si>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</si>
  <si>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</si>
  <si>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</si>
  <si>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</si>
  <si>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</si>
  <si>
    <t>Hydrodenitrogenation (HDN) catalyst</t>
  </si>
  <si>
    <t>Hydrocracking catalyst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</si>
</sst>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2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20" dataDxfId="219" tableBorderDxfId="218" dataCellStyle="Percent">
  <autoFilter ref="A5:T100" xr:uid="{1644AED8-49DE-4A1D-989C-1566C9A522B9}"/>
  <tableColumns count="20">
    <tableColumn id="1" xr3:uid="{3C4E83C1-4DAF-4B93-AE9A-B658DBA43631}" name="Type" dataDxfId="217"/>
    <tableColumn id="2" xr3:uid="{7AC9B54E-C457-49EC-A7D6-0ED656B6CFE9}" name="Category" dataDxfId="216"/>
    <tableColumn id="3" xr3:uid="{350F9A14-F368-49FE-AF21-19555EB999FB}" name="Resource" dataDxfId="215">
      <calculatedColumnFormula>_xlfn.XLOOKUP($B6,'SI - Resources'!$A$1:$J$1,'SI - Resources'!$A$2:$J$2, "")</calculatedColumnFormula>
    </tableColumn>
    <tableColumn id="4" xr3:uid="{A0B55D89-6640-4C29-88AC-93188C5097C5}" name="End Use" dataDxfId="214">
      <calculatedColumnFormula>IF(_xlfn.XLOOKUP($C6,'SI - End Use'!$B$2:$B$6,'SI - End Use'!$C$2:$C$6, "")="", "", _xlfn.XLOOKUP($C6,'SI - End Use'!$B$2:$B$6,'SI - End Use'!$C$2:$C$6, ""))</calculatedColumnFormula>
    </tableColumn>
    <tableColumn id="5" xr3:uid="{5ADDDF1D-4510-4428-A882-8D5C8F52BE8C}" name="Amount" dataDxfId="213" dataCellStyle="Comma"/>
    <tableColumn id="6" xr3:uid="{341D427F-5F42-4F22-98AD-9D6883E4330B}" name="Unit" dataDxfId="212">
      <calculatedColumnFormula array="1">IF($B6="Transportation",  'SI - Units'!$B$9:$B$9, _xlfn.XLOOKUP(_xlfn.XLOOKUP($C6,'SI - Units'!$B$24:$B$109,'SI - Units'!$C$24:$C$109, ""),'SI - Units'!$A$2:$A$8,'SI - Units'!$B$2:$B$8, ""))</calculatedColumnFormula>
    </tableColumn>
    <tableColumn id="7" xr3:uid="{515C4DB0-B187-40B1-8F47-45FF3483AEC1}" name="Moisture" dataDxfId="211" dataCellStyle="Percent"/>
    <tableColumn id="8" xr3:uid="{294BC856-42BB-4049-BD49-6A865E88E771}" name="Previous Stage" dataDxfId="210" dataCellStyle="Percent"/>
    <tableColumn id="9" xr3:uid="{CDA23678-EB57-4035-9101-F29AA45C63EE}" name="Always Use Displacement Method for Co-Product?" dataDxfId="209" dataCellStyle="Percent">
      <calculatedColumnFormula>IF(Table1[[#This Row],[Type]]="Co-product", "No", "")</calculatedColumnFormula>
    </tableColumn>
    <tableColumn id="19" xr3:uid="{9ACBBA67-4B7F-43A7-9CF8-0FBB7B61A832}" name="Urban Share" dataDxfId="208" dataCellStyle="Percent"/>
    <tableColumn id="10" xr3:uid="{0E5BF4B8-8667-40EE-B9EF-BC9E06D72AAB}" name="Product Train" dataDxfId="207"/>
    <tableColumn id="14" xr3:uid="{D99A9C54-A8C3-4803-A70D-4659D5193A9A}" name="Payload" dataDxfId="206">
      <calculatedColumnFormula>IF(Table1[[#This Row],[Category]]="Transportation", _xlfn.XLOOKUP(Table1[[#This Row],[Resource]], 'SI - Payload'!$A$10:$A$39,'SI - Payload'!$B$10:$B$39,"",0), "")</calculatedColumnFormula>
    </tableColumn>
    <tableColumn id="15" xr3:uid="{3BF278AE-6D04-4ABA-AACE-E651957B5676}" name="Payload Unit" dataDxfId="205">
      <calculatedColumnFormula>IF(Table1[[#This Row],[Category]]="Transportation", "ton", "")</calculatedColumnFormula>
    </tableColumn>
    <tableColumn id="16" xr3:uid="{B4587E16-116C-48C2-B897-34EA45D2B5E2}" name="Market Price" dataDxfId="204"/>
    <tableColumn id="17" xr3:uid="{CFF030DD-8740-4448-85CE-69419CA7344D}" name="Market Price Unit" dataDxfId="203"/>
    <tableColumn id="12" xr3:uid="{0A5A1CE9-5C17-482C-ACCA-BB3BA789761E}" name="Incumbent Product" dataDxfId="202">
      <calculatedColumnFormula>IF(OR(Table1[[#This Row],[Type]]="Main Product", Table1[[#This Row],[Type]]="Co-Product"), Table1[[#This Row],[Resource]], "")</calculatedColumnFormula>
    </tableColumn>
    <tableColumn id="13" xr3:uid="{A8C514D4-4EE9-4BFC-A5D9-1A3B1C61CAF3}" name="End Use of Incumbent Product" dataDxfId="201">
      <calculatedColumnFormula>IF(_xlfn.XLOOKUP($P6,'SI - End Use'!$B$2:$B$6,'SI - End Use'!$C$2:$C$6, "")="", "", _xlfn.XLOOKUP($C6,'SI - End Use'!$B$2:$B$6,'SI - End Use'!$C$2:$C$6, ""))</calculatedColumnFormula>
    </tableColumn>
    <tableColumn id="20" xr3:uid="{3D510D5D-99B7-4EB4-8590-3620FE598E5C}" name="Surrogate For" dataDxfId="200"/>
    <tableColumn id="18" xr3:uid="{1AFBF91D-E45D-442D-BA06-D58B0AE7953E}" name="Process" dataDxfId="199"/>
    <tableColumn id="11" xr3:uid="{34D8D993-53F9-46B7-8FE9-32F1A6F2DFD2}" name="Note" dataDxfId="1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97" dataDxfId="196">
  <autoFilter ref="A1:K53" xr:uid="{BF352F56-F627-4A8D-9B22-DA497E2644FC}"/>
  <tableColumns count="11">
    <tableColumn id="1" xr3:uid="{B4C1BEA4-EC08-4542-9BC0-5CAC3303F1DE}" name="Biomass" dataDxfId="195"/>
    <tableColumn id="8" xr3:uid="{CA09F49F-4D37-4D57-9F64-66042BBFCAF3}" name="Waste" dataDxfId="194"/>
    <tableColumn id="2" xr3:uid="{16936180-7E0F-4E08-BEC7-75346859C647}" name="Process fuel" dataDxfId="193"/>
    <tableColumn id="6" xr3:uid="{8ABA29FD-C6B0-4B51-8840-E17193E077EC}" name="Electricity" dataDxfId="192"/>
    <tableColumn id="3" xr3:uid="{C1A34163-30E4-47F2-BE75-A919CC80E9BF}" name="Chemicals and catalysts" dataDxfId="191"/>
    <tableColumn id="4" xr3:uid="{CA7E12F4-CA42-4C30-8167-75EC0AE0646A}" name="Water" dataDxfId="190"/>
    <tableColumn id="9" xr3:uid="{6ADE4401-0F6C-4911-9721-036C8287FC6F}" name="Infrastructure" dataDxfId="189"/>
    <tableColumn id="7" xr3:uid="{C235CCC4-A94E-464B-AE35-96309F90FA7A}" name="Transportation" dataDxfId="188"/>
    <tableColumn id="10" xr3:uid="{C8DE9AE9-442D-497B-B981-79FAEF638C23}" name="Other" dataDxfId="187"/>
    <tableColumn id="5" xr3:uid="{FBD24046-BCD6-418A-8FDF-2918685E10CE}" name="Emissions and sequestration" dataDxfId="186"/>
    <tableColumn id="11" xr3:uid="{B559EE47-EDB5-47AD-9A10-77802A08495D}" name="Placeholder" dataDxfId="1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84"/>
    <tableColumn id="4" xr3:uid="{066E5028-FE97-46DD-94DD-3F5362889CC8}" name="Column4" dataDxfId="183"/>
    <tableColumn id="5" xr3:uid="{518CF11D-9FC1-41DC-A48E-08F72F35ADAA}" name="Column5" dataDxfId="18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81">
  <autoFilter ref="A1:R10" xr:uid="{A38095DD-9874-4EE7-A8C2-2706165CCEBD}"/>
  <tableColumns count="18">
    <tableColumn id="1" xr3:uid="{65B7BBF3-4BCE-43A4-9B03-83AE412598EC}" name="Column1"/>
    <tableColumn id="2" xr3:uid="{FFDF068B-D532-4DC4-904E-48D00A60A52E}" name="Column2" dataDxfId="180"/>
    <tableColumn id="3" xr3:uid="{22885E79-E7D2-4EEE-B0A6-74B1C5779681}" name="Column3" dataDxfId="179"/>
    <tableColumn id="4" xr3:uid="{C1DEFD79-EA05-47FD-8251-B29B3BCC06B2}" name="Column4" dataDxfId="178"/>
    <tableColumn id="5" xr3:uid="{29AEEBB1-E43B-4691-B73C-A8FA6D80443C}" name="Column5" dataDxfId="177"/>
    <tableColumn id="6" xr3:uid="{CC08C1F9-C485-4200-A0F9-C8E59BA65B97}" name="Column6" dataDxfId="176"/>
    <tableColumn id="7" xr3:uid="{6C28381F-6253-4E2E-A800-FF075582292A}" name="Column7" dataDxfId="175"/>
    <tableColumn id="8" xr3:uid="{CA3D0B6B-B24F-4751-A1CE-28D7D0B98174}" name="Column8" dataDxfId="174"/>
    <tableColumn id="9" xr3:uid="{7057E753-ED12-407E-950F-CC59E808A2BF}" name="Column9" dataDxfId="17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72">
  <autoFilter ref="B23:C109" xr:uid="{09147A22-E822-45D3-B3C2-ABDDF48EE5E6}"/>
  <tableColumns count="2">
    <tableColumn id="1" xr3:uid="{CDC0A0AC-3BED-4650-82CE-403A1BF28367}" name="Column1" dataDxfId="171"/>
    <tableColumn id="2" xr3:uid="{B6F8A3B9-3868-4A35-8F6E-BA3E60A1529E}" name="Column2"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69">
  <autoFilter ref="A12:R20" xr:uid="{B01EA81C-1645-4ED3-BEC5-6C5396237E43}"/>
  <tableColumns count="18">
    <tableColumn id="1" xr3:uid="{821EE498-6278-4E39-82EF-1F47FBA85A36}" name="Column1"/>
    <tableColumn id="2" xr3:uid="{E81954FF-60B7-4ABD-BC14-40676F73AA3E}" name="Column2" dataDxfId="168">
      <calculatedColumnFormula>IF(B2&lt;&gt;"","$/"&amp;B2, "")</calculatedColumnFormula>
    </tableColumn>
    <tableColumn id="3" xr3:uid="{A15329FC-BC0D-46AE-9A0E-F4CFE0FF184A}" name="Column3" dataDxfId="167">
      <calculatedColumnFormula>IF(C2&lt;&gt;"","$/"&amp;C2, "")</calculatedColumnFormula>
    </tableColumn>
    <tableColumn id="4" xr3:uid="{2197BCF8-40A1-4D22-B05E-D0E1CBFBA215}" name="Column4" dataDxfId="166">
      <calculatedColumnFormula>IF(D2&lt;&gt;"","$/"&amp;D2, "")</calculatedColumnFormula>
    </tableColumn>
    <tableColumn id="5" xr3:uid="{3DAF72F2-745A-4FCF-BD44-BDC825984018}" name="Column5" dataDxfId="165">
      <calculatedColumnFormula>IF(E2&lt;&gt;"","$/"&amp;E2, "")</calculatedColumnFormula>
    </tableColumn>
    <tableColumn id="6" xr3:uid="{820E7353-19C6-4D63-B444-F7CAC7BF01AA}" name="Column6" dataDxfId="164">
      <calculatedColumnFormula>IF(F2&lt;&gt;"","$/"&amp;F2, "")</calculatedColumnFormula>
    </tableColumn>
    <tableColumn id="7" xr3:uid="{91F510E8-B638-43EB-BA78-D4632DA66CD4}" name="Column7" dataDxfId="163">
      <calculatedColumnFormula>IF(G2&lt;&gt;"","$/"&amp;G2, "")</calculatedColumnFormula>
    </tableColumn>
    <tableColumn id="8" xr3:uid="{9CD4EFF6-953E-4257-A2B2-041DCDDBD0BB}" name="Column8" dataDxfId="162">
      <calculatedColumnFormula>IF(H2&lt;&gt;"","$/"&amp;H2, "")</calculatedColumnFormula>
    </tableColumn>
    <tableColumn id="9" xr3:uid="{E1D1E2ED-A567-4428-8C9E-5EE867B5D225}" name="Column9" dataDxfId="16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2" totalsRowShown="0" headerRowDxfId="114" dataDxfId="113" tableBorderDxfId="112" dataCellStyle="Percent">
  <autoFilter ref="A5:T102" xr:uid="{1644AED8-49DE-4A1D-989C-1566C9A522B9}"/>
  <tableColumns count="20">
    <tableColumn id="1" xr3:uid="{4963602F-EE9D-4275-BB06-94275FA0ADC9}" name="Type" dataDxfId="111"/>
    <tableColumn id="2" xr3:uid="{A2EC3194-B813-4DCE-AE01-1C673B9568DE}" name="Category" dataDxfId="110"/>
    <tableColumn id="3" xr3:uid="{35734D3D-B786-40BB-B133-3A0C99319B95}" name="Resource" dataDxfId="109">
      <calculatedColumnFormula>_xlfn.XLOOKUP($B6,'SI - Resources'!$A$1:$J$1,'SI - Resources'!$A$2:$J$2, "")</calculatedColumnFormula>
    </tableColumn>
    <tableColumn id="4" xr3:uid="{1FA39DD6-DF4B-47C8-BE66-FCFED64BAE56}" name="End Use" dataDxfId="108">
      <calculatedColumnFormula>IF(_xlfn.XLOOKUP($C6,'SI - End Use'!$B$2:$B$6,'SI - End Use'!$C$2:$C$6, "")="", "", _xlfn.XLOOKUP($C6,'SI - End Use'!$B$2:$B$6,'SI - End Use'!$C$2:$C$6, ""))</calculatedColumnFormula>
    </tableColumn>
    <tableColumn id="5" xr3:uid="{095C2C61-1536-4D98-864A-5D7D6EC876DE}" name="Amount" dataDxfId="107" dataCellStyle="Comma"/>
    <tableColumn id="6" xr3:uid="{CE6564ED-CD6C-456D-B652-43635DFD9834}" name="Unit" dataDxfId="106">
      <calculatedColumnFormula array="1">IF($B6="Transportation",  'SI - Units'!$B$9:$B$9, _xlfn.XLOOKUP(_xlfn.XLOOKUP($C6,'SI - Units'!$B$24:$B$109,'SI - Units'!$C$24:$C$109, ""),'SI - Units'!$A$2:$A$8,'SI - Units'!$B$2:$B$8, ""))</calculatedColumnFormula>
    </tableColumn>
    <tableColumn id="7" xr3:uid="{93B7310A-05ED-418A-820F-1D6A823213F6}" name="Moisture" dataDxfId="105" dataCellStyle="Percent"/>
    <tableColumn id="8" xr3:uid="{44A8F169-15F2-430B-8821-744C929984E0}" name="Previous Stage" dataDxfId="104" dataCellStyle="Percent"/>
    <tableColumn id="9" xr3:uid="{E71A0842-E5CE-48E8-A252-18C8F430EFAD}" name="Always Use Displacement Method for Co-Product?" dataDxfId="103" dataCellStyle="Percent">
      <calculatedColumnFormula>IF(Table111[[#This Row],[Type]]="Co-product", "No", "")</calculatedColumnFormula>
    </tableColumn>
    <tableColumn id="19" xr3:uid="{2D0F5DB1-12CA-4619-99FB-232F373338EF}" name="Urban Share" dataDxfId="102" dataCellStyle="Percent"/>
    <tableColumn id="10" xr3:uid="{097318D1-F1F3-4567-B18E-213E054F7B08}" name="Product Train" dataDxfId="101"/>
    <tableColumn id="14" xr3:uid="{1D13D1F2-E088-44EC-9D2B-22F8FEA8B4EB}" name="Payload" dataDxfId="100">
      <calculatedColumnFormula>IF(Table111[[#This Row],[Category]]="Transportation", _xlfn.XLOOKUP(Table111[[#This Row],[Resource]], 'SI - Payload'!$A$10:$A$39,'SI - Payload'!$B$10:$B$39,"",0), "")</calculatedColumnFormula>
    </tableColumn>
    <tableColumn id="15" xr3:uid="{89012612-FBFF-4D1A-8D93-A61A932877E9}" name="Payload Unit" dataDxfId="99">
      <calculatedColumnFormula>IF(Table111[[#This Row],[Category]]="Transportation", "ton", "")</calculatedColumnFormula>
    </tableColumn>
    <tableColumn id="16" xr3:uid="{B5098648-5BCC-4ACE-905E-4B4F86D78E95}" name="Market Price" dataDxfId="98"/>
    <tableColumn id="17" xr3:uid="{920B4711-E01C-4180-BC6D-98BF6D2D6376}" name="Market Price Unit" dataDxfId="97"/>
    <tableColumn id="12" xr3:uid="{8073611B-E408-40C3-B6EA-623AEE738E4C}" name="Incumbent Product" dataDxfId="96">
      <calculatedColumnFormula>IF(OR(Table111[[#This Row],[Type]]="Main Product", Table111[[#This Row],[Type]]="Co-Product"), Table111[[#This Row],[Resource]], "")</calculatedColumnFormula>
    </tableColumn>
    <tableColumn id="13" xr3:uid="{6C1DF92A-6FE0-4C7C-9FD0-A294FE8A10AA}" name="End Use of Incumbent Product" dataDxfId="95">
      <calculatedColumnFormula>IF(_xlfn.XLOOKUP($P6,'SI - End Use'!$B$2:$B$6,'SI - End Use'!$C$2:$C$6, "")="", "", _xlfn.XLOOKUP($C6,'SI - End Use'!$B$2:$B$6,'SI - End Use'!$C$2:$C$6, ""))</calculatedColumnFormula>
    </tableColumn>
    <tableColumn id="20" xr3:uid="{12597A7D-90BC-4319-9721-FDDEAC190034}" name="Surrogate For" dataDxfId="94"/>
    <tableColumn id="18" xr3:uid="{CAC8F60F-8ACC-43F8-87C3-5C04CBE58CD8}" name="Process" dataDxfId="93"/>
    <tableColumn id="11" xr3:uid="{F73475E7-AF8D-404A-9124-BC75A281D1BA}" name="Note" dataDxfId="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160" dataDxfId="159" tableBorderDxfId="158" dataCellStyle="Percent">
  <autoFilter ref="A5:T100" xr:uid="{1644AED8-49DE-4A1D-989C-1566C9A522B9}"/>
  <tableColumns count="20">
    <tableColumn id="1" xr3:uid="{14E51DC9-E67C-4D6A-8C40-125CC92A9182}" name="Type" dataDxfId="157"/>
    <tableColumn id="2" xr3:uid="{7EB902CB-0417-4912-89C5-60D281CFCDFA}" name="Category" dataDxfId="156"/>
    <tableColumn id="3" xr3:uid="{1F419FE6-B229-47DB-BBE3-75B9C1900AE0}" name="Resource" dataDxfId="155">
      <calculatedColumnFormula>_xlfn.XLOOKUP($B6,'SI - Resources'!$A$1:$J$1,'SI - Resources'!$A$2:$J$2, "")</calculatedColumnFormula>
    </tableColumn>
    <tableColumn id="4" xr3:uid="{B607BAAC-09F1-4961-A5FD-B898874FE30E}" name="End Use" dataDxfId="154">
      <calculatedColumnFormula>IF(_xlfn.XLOOKUP($C6,'SI - End Use'!$B$2:$B$6,'SI - End Use'!$C$2:$C$6, "")="", "", _xlfn.XLOOKUP($C6,'SI - End Use'!$B$2:$B$6,'SI - End Use'!$C$2:$C$6, ""))</calculatedColumnFormula>
    </tableColumn>
    <tableColumn id="5" xr3:uid="{BD3B0E0E-947E-4FCA-8E3C-268CA3997AE4}" name="Amount" dataDxfId="153" dataCellStyle="Comma"/>
    <tableColumn id="6" xr3:uid="{C0E7A7DF-A873-41AD-8A2F-72075AF3050E}" name="Unit" dataDxfId="152">
      <calculatedColumnFormula array="1">IF($B6="Transportation",  'SI - Units'!$B$9:$B$9, _xlfn.XLOOKUP(_xlfn.XLOOKUP($C6,'SI - Units'!$B$24:$B$109,'SI - Units'!$C$24:$C$109, ""),'SI - Units'!$A$2:$A$8,'SI - Units'!$B$2:$B$8, ""))</calculatedColumnFormula>
    </tableColumn>
    <tableColumn id="7" xr3:uid="{DCD68788-0CBB-4371-940A-DF3D1905D6C5}" name="Moisture" dataDxfId="151" dataCellStyle="Percent"/>
    <tableColumn id="8" xr3:uid="{155EF82C-1266-4BFC-A528-2CC998F5003F}" name="Previous Stage" dataDxfId="150" dataCellStyle="Percent"/>
    <tableColumn id="9" xr3:uid="{B65023A7-2797-4639-9A18-91AC2C5F0EAE}" name="Always Use Displacement Method for Co-Product?" dataDxfId="149" dataCellStyle="Percent">
      <calculatedColumnFormula>IF(Table114[[#This Row],[Type]]="Co-product", "No", "")</calculatedColumnFormula>
    </tableColumn>
    <tableColumn id="19" xr3:uid="{1F4574B4-B4E2-4999-8C17-0FA69ED94393}" name="Urban Share" dataDxfId="148" dataCellStyle="Percent"/>
    <tableColumn id="10" xr3:uid="{5E0E539D-9F8F-4A06-90A4-13A3D5F9FBED}" name="Product Train" dataDxfId="147"/>
    <tableColumn id="14" xr3:uid="{BED3CE34-AC9F-4048-997F-629679403729}" name="Payload" dataDxfId="146">
      <calculatedColumnFormula>IF(Table114[[#This Row],[Category]]="Transportation", _xlfn.XLOOKUP(Table114[[#This Row],[Resource]], 'SI - Payload'!$A$10:$A$39,'SI - Payload'!$B$10:$B$39,"",0), "")</calculatedColumnFormula>
    </tableColumn>
    <tableColumn id="15" xr3:uid="{4CDA036F-4D67-41D7-8AB4-2B5BC49A587C}" name="Payload Unit" dataDxfId="145">
      <calculatedColumnFormula>IF(Table114[[#This Row],[Category]]="Transportation", "ton", "")</calculatedColumnFormula>
    </tableColumn>
    <tableColumn id="16" xr3:uid="{9BE2DB9B-C240-49C8-B7D0-16126E948289}" name="Market Price" dataDxfId="144"/>
    <tableColumn id="17" xr3:uid="{2AA6E6CF-1CD9-4C6C-86CE-BBFFBEB7AEAC}" name="Market Price Unit" dataDxfId="143"/>
    <tableColumn id="12" xr3:uid="{4CD672E7-3C68-415C-BC09-5A178F711A2B}" name="Incumbent Product" dataDxfId="142">
      <calculatedColumnFormula>IF(OR(Table114[[#This Row],[Type]]="Main Product", Table114[[#This Row],[Type]]="Co-Product"), Table114[[#This Row],[Resource]], "")</calculatedColumnFormula>
    </tableColumn>
    <tableColumn id="13" xr3:uid="{52237F9A-45AA-4687-9B90-CF006E0658C9}" name="End Use of Incumbent Product" dataDxfId="141">
      <calculatedColumnFormula>IF(_xlfn.XLOOKUP($P6,'SI - End Use'!$B$2:$B$6,'SI - End Use'!$C$2:$C$6, "")="", "", _xlfn.XLOOKUP($C6,'SI - End Use'!$B$2:$B$6,'SI - End Use'!$C$2:$C$6, ""))</calculatedColumnFormula>
    </tableColumn>
    <tableColumn id="20" xr3:uid="{30D90B00-8E22-4592-BE11-0A6B2FD5344C}" name="Surrogate For" dataDxfId="140"/>
    <tableColumn id="18" xr3:uid="{638D278F-90AE-4CC4-883C-CE4B400722A3}" name="Process" dataDxfId="139"/>
    <tableColumn id="11" xr3:uid="{C31E3620-1E42-4C92-8609-2B6D250CB8AB}" name="Note"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37" dataDxfId="136" tableBorderDxfId="135" dataCellStyle="Percent">
  <autoFilter ref="A5:T100" xr:uid="{1644AED8-49DE-4A1D-989C-1566C9A522B9}"/>
  <tableColumns count="20">
    <tableColumn id="1" xr3:uid="{8540DF43-2806-481E-B486-7485B3433A50}" name="Type" dataDxfId="134"/>
    <tableColumn id="2" xr3:uid="{5DB32785-08CD-46C6-B810-4AE79A5BEE54}" name="Category" dataDxfId="133"/>
    <tableColumn id="3" xr3:uid="{24EADEC7-262D-4287-878E-D7ECCA4D6D6F}" name="Resource" dataDxfId="132">
      <calculatedColumnFormula>_xlfn.XLOOKUP($B6,'SI - Resources'!$A$1:$J$1,'SI - Resources'!$A$2:$J$2, "")</calculatedColumnFormula>
    </tableColumn>
    <tableColumn id="4" xr3:uid="{7EFF1B5D-86EF-4AB3-A15E-CFF5737F74D0}" name="End Use" dataDxfId="131">
      <calculatedColumnFormula>IF(_xlfn.XLOOKUP($C6,'SI - End Use'!$B$2:$B$6,'SI - End Use'!$C$2:$C$6, "")="", "", _xlfn.XLOOKUP($C6,'SI - End Use'!$B$2:$B$6,'SI - End Use'!$C$2:$C$6, ""))</calculatedColumnFormula>
    </tableColumn>
    <tableColumn id="5" xr3:uid="{93944664-1BAD-4D56-8826-B7D3D1A218C7}" name="Amount" dataDxfId="130" dataCellStyle="Comma"/>
    <tableColumn id="6" xr3:uid="{FD97E02B-B21D-46C8-94A1-DD7BB3D51B49}" name="Unit" dataDxfId="129">
      <calculatedColumnFormula array="1">IF($B6="Transportation",  'SI - Units'!$B$9:$B$9, _xlfn.XLOOKUP(_xlfn.XLOOKUP($C6,'SI - Units'!$B$24:$B$109,'SI - Units'!$C$24:$C$109, ""),'SI - Units'!$A$2:$A$8,'SI - Units'!$B$2:$B$8, ""))</calculatedColumnFormula>
    </tableColumn>
    <tableColumn id="7" xr3:uid="{29CAC8F0-275B-46F1-88C9-6479D28E7B7D}" name="Moisture" dataDxfId="128" dataCellStyle="Percent"/>
    <tableColumn id="8" xr3:uid="{7B421903-0BF6-4756-840A-5FAF357635E4}" name="Previous Stage" dataDxfId="127" dataCellStyle="Percent"/>
    <tableColumn id="9" xr3:uid="{E254A280-B169-466B-9A62-3DBDB7DD86BA}" name="Always Use Displacement Method for Co-Product?" dataDxfId="126" dataCellStyle="Percent">
      <calculatedColumnFormula>IF(Table13[[#This Row],[Type]]="Co-product", "No", "")</calculatedColumnFormula>
    </tableColumn>
    <tableColumn id="19" xr3:uid="{E27BC804-56F1-4640-96B2-43FCC0447C90}" name="Urban Share" dataDxfId="125" dataCellStyle="Percent"/>
    <tableColumn id="10" xr3:uid="{DF64873B-FE0D-4C8D-AFDB-D86C3E425CB5}" name="Product Train" dataDxfId="124"/>
    <tableColumn id="14" xr3:uid="{4AC77A6B-00E0-4097-8F6B-E44D6FD33A60}" name="Payload" dataDxfId="123">
      <calculatedColumnFormula>IF(Table13[[#This Row],[Category]]="Transportation", _xlfn.XLOOKUP(Table13[[#This Row],[Resource]], 'SI - Payload'!$A$10:$A$39,'SI - Payload'!$B$10:$B$39,"",0), "")</calculatedColumnFormula>
    </tableColumn>
    <tableColumn id="15" xr3:uid="{12266DA7-2860-4902-A860-F7A8C967B8AC}" name="Payload Unit" dataDxfId="122">
      <calculatedColumnFormula>IF(Table13[[#This Row],[Category]]="Transportation", "ton", "")</calculatedColumnFormula>
    </tableColumn>
    <tableColumn id="16" xr3:uid="{D6525627-CDFF-4A10-A93C-AF0010F1065E}" name="Market Price" dataDxfId="121"/>
    <tableColumn id="17" xr3:uid="{1E3EA3C9-0C10-407B-B7C3-5BE85A872B4C}" name="Market Price Unit" dataDxfId="120"/>
    <tableColumn id="12" xr3:uid="{CD73860D-9B70-4890-8CD2-E59A65DCFC66}" name="Incumbent Product" dataDxfId="119">
      <calculatedColumnFormula>IF(OR(Table13[[#This Row],[Type]]="Main Product", Table13[[#This Row],[Type]]="Co-Product"), Table13[[#This Row],[Resource]], "")</calculatedColumnFormula>
    </tableColumn>
    <tableColumn id="13" xr3:uid="{30F6CFBB-2166-40C4-AE0E-1D647850EE2E}" name="End Use of Incumbent Product" dataDxfId="118">
      <calculatedColumnFormula>IF(_xlfn.XLOOKUP($P6,'SI - End Use'!$B$2:$B$6,'SI - End Use'!$C$2:$C$6, "")="", "", _xlfn.XLOOKUP($C6,'SI - End Use'!$B$2:$B$6,'SI - End Use'!$C$2:$C$6, ""))</calculatedColumnFormula>
    </tableColumn>
    <tableColumn id="20" xr3:uid="{20CCDE22-7242-4E74-BE65-590DE755856E}" name="Surrogate For" dataDxfId="117"/>
    <tableColumn id="18" xr3:uid="{FC7A5781-CD67-4A58-82D3-8FE69D1A977B}" name="Process" dataDxfId="116"/>
    <tableColumn id="11" xr3:uid="{70E9ED22-A1DB-4D0C-BD30-E431BDC78730}" name="Note" dataDxfId="1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91" dataDxfId="90" tableBorderDxfId="89" dataCellStyle="Percent">
  <autoFilter ref="A5:T100" xr:uid="{1644AED8-49DE-4A1D-989C-1566C9A522B9}"/>
  <tableColumns count="20">
    <tableColumn id="1" xr3:uid="{4DE4F306-3300-44EB-B5BE-476B296920FE}" name="Type" dataDxfId="88"/>
    <tableColumn id="2" xr3:uid="{8924AF68-5919-4384-9AC3-3BFBC216A663}" name="Category" dataDxfId="87"/>
    <tableColumn id="3" xr3:uid="{B7002DB0-EE94-424E-8B5B-4E0236FB8491}" name="Resource" dataDxfId="86">
      <calculatedColumnFormula>_xlfn.XLOOKUP($B6,'SI - Resources'!$A$1:$J$1,'SI - Resources'!$A$2:$J$2, "")</calculatedColumnFormula>
    </tableColumn>
    <tableColumn id="4" xr3:uid="{9F84E59A-E518-428D-8E2F-6FF4058E754B}" name="End Use" dataDxfId="85">
      <calculatedColumnFormula>IF(_xlfn.XLOOKUP($C6,'SI - End Use'!$B$2:$B$6,'SI - End Use'!$C$2:$C$6, "")="", "", _xlfn.XLOOKUP($C6,'SI - End Use'!$B$2:$B$6,'SI - End Use'!$C$2:$C$6, ""))</calculatedColumnFormula>
    </tableColumn>
    <tableColumn id="5" xr3:uid="{7256AC60-9844-405A-A921-61E8C8FD3AA7}" name="Amount" dataDxfId="84" dataCellStyle="Comma"/>
    <tableColumn id="6" xr3:uid="{44BE0D75-FAE9-4832-B6D6-D8CF06B71D0C}" name="Unit" dataDxfId="83">
      <calculatedColumnFormula array="1">IF($B6="Transportation",  'SI - Units'!$B$9:$B$9, _xlfn.XLOOKUP(_xlfn.XLOOKUP($C6,'SI - Units'!$B$24:$B$109,'SI - Units'!$C$24:$C$109, ""),'SI - Units'!$A$2:$A$8,'SI - Units'!$B$2:$B$8, ""))</calculatedColumnFormula>
    </tableColumn>
    <tableColumn id="7" xr3:uid="{43D5A240-8AB8-4961-B551-66B594CD0D62}" name="Moisture" dataDxfId="82" dataCellStyle="Percent"/>
    <tableColumn id="8" xr3:uid="{625625FF-7AC8-489E-BEC1-FF26AEDC5726}" name="Previous Stage" dataDxfId="81" dataCellStyle="Percent"/>
    <tableColumn id="9" xr3:uid="{687A2E2A-BBA4-4CE3-BA8D-96A3BA5E0FBB}" name="Always Use Displacement Method for Co-Product?" dataDxfId="80" dataCellStyle="Percent">
      <calculatedColumnFormula>IF(Table16[[#This Row],[Type]]="Co-product", "No", "")</calculatedColumnFormula>
    </tableColumn>
    <tableColumn id="19" xr3:uid="{AFAE3135-776B-4172-B5D1-9D0477D6BFF4}" name="Urban Share" dataDxfId="79" dataCellStyle="Percent"/>
    <tableColumn id="10" xr3:uid="{82EF3DFB-6C96-4FA1-BA8F-810301136673}" name="Product Train" dataDxfId="78"/>
    <tableColumn id="14" xr3:uid="{CCEF1C10-3BF7-45DF-B1B3-1E1D16FCAB66}" name="Payload" dataDxfId="77">
      <calculatedColumnFormula>IF(Table16[[#This Row],[Category]]="Transportation", _xlfn.XLOOKUP(Table16[[#This Row],[Resource]], 'SI - Payload'!$A$10:$A$39,'SI - Payload'!$B$10:$B$39,"",0), "")</calculatedColumnFormula>
    </tableColumn>
    <tableColumn id="15" xr3:uid="{68170548-B8D8-452A-9BDF-57DE514A5A59}" name="Payload Unit" dataDxfId="76">
      <calculatedColumnFormula>IF(Table16[[#This Row],[Category]]="Transportation", "ton", "")</calculatedColumnFormula>
    </tableColumn>
    <tableColumn id="16" xr3:uid="{F5E0D2B0-9C80-4B2A-9BDC-DA79777EBD93}" name="Market Price" dataDxfId="75"/>
    <tableColumn id="17" xr3:uid="{C86C9923-2805-4906-9A19-EB41F6FA61C0}" name="Market Price Unit" dataDxfId="74"/>
    <tableColumn id="12" xr3:uid="{EAB5714C-2FB4-4C92-A2E3-EED8D19B69E9}" name="Incumbent Product" dataDxfId="73">
      <calculatedColumnFormula>IF(OR(Table16[[#This Row],[Type]]="Main Product", Table16[[#This Row],[Type]]="Co-Product"), Table16[[#This Row],[Resource]], "")</calculatedColumnFormula>
    </tableColumn>
    <tableColumn id="13" xr3:uid="{04B19DE7-96C0-432D-BCDB-9AFB92069E79}" name="End Use of Incumbent Product" dataDxfId="72">
      <calculatedColumnFormula>IF(_xlfn.XLOOKUP($P6,'SI - End Use'!$B$2:$B$6,'SI - End Use'!$C$2:$C$6, "")="", "", _xlfn.XLOOKUP($C6,'SI - End Use'!$B$2:$B$6,'SI - End Use'!$C$2:$C$6, ""))</calculatedColumnFormula>
    </tableColumn>
    <tableColumn id="20" xr3:uid="{D42C39ED-A6B2-4FB7-BD47-767E08826531}" name="Surrogate For" dataDxfId="71"/>
    <tableColumn id="18" xr3:uid="{78C3B200-3712-4A9B-B0B0-F43C3FC85978}" name="Process" dataDxfId="70"/>
    <tableColumn id="11" xr3:uid="{52DC74A1-C8D8-4428-9C8D-6B94E271C7DB}" name="Note" dataDxfId="6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68" dataDxfId="67" tableBorderDxfId="66" dataCellStyle="Percent">
  <autoFilter ref="A5:T100" xr:uid="{1644AED8-49DE-4A1D-989C-1566C9A522B9}"/>
  <tableColumns count="20">
    <tableColumn id="1" xr3:uid="{2CB032B9-D44E-4982-9B52-71CACFAA31B7}" name="Type" dataDxfId="65"/>
    <tableColumn id="2" xr3:uid="{68863F2A-5ED2-4D2D-9321-0694E0002A4D}" name="Category" dataDxfId="64"/>
    <tableColumn id="3" xr3:uid="{6F6A00AA-2114-4E89-ACA6-F79D0CCB10FE}" name="Resource" dataDxfId="63">
      <calculatedColumnFormula>_xlfn.XLOOKUP($B6,'SI - Resources'!$A$1:$J$1,'SI - Resources'!$A$2:$J$2, "")</calculatedColumnFormula>
    </tableColumn>
    <tableColumn id="4" xr3:uid="{9EA4BC64-2518-49EB-96FE-47C6D7D0A619}" name="End Use" dataDxfId="62">
      <calculatedColumnFormula>IF(_xlfn.XLOOKUP($C6,'SI - End Use'!$B$2:$B$6,'SI - End Use'!$C$2:$C$6, "")="", "", _xlfn.XLOOKUP($C6,'SI - End Use'!$B$2:$B$6,'SI - End Use'!$C$2:$C$6, ""))</calculatedColumnFormula>
    </tableColumn>
    <tableColumn id="5" xr3:uid="{FEEC8BBE-142D-470F-B857-356BF2881BE2}" name="Amount" dataDxfId="61" dataCellStyle="Comma"/>
    <tableColumn id="6" xr3:uid="{4C75A85A-690F-4C1C-B366-37885C4C05E9}" name="Unit" dataDxfId="60">
      <calculatedColumnFormula array="1">IF($B6="Transportation",  'SI - Units'!$B$9:$B$9, _xlfn.XLOOKUP(_xlfn.XLOOKUP($C6,'SI - Units'!$B$24:$B$109,'SI - Units'!$C$24:$C$109, ""),'SI - Units'!$A$2:$A$8,'SI - Units'!$B$2:$B$8, ""))</calculatedColumnFormula>
    </tableColumn>
    <tableColumn id="7" xr3:uid="{04EB82E7-0D31-4373-9323-8FE7ABD0453D}" name="Moisture" dataDxfId="59" dataCellStyle="Percent"/>
    <tableColumn id="8" xr3:uid="{EA1D1281-616C-4C33-BC33-15137860670A}" name="Previous Stage" dataDxfId="58" dataCellStyle="Percent"/>
    <tableColumn id="9" xr3:uid="{032753C9-1EF2-495C-A94D-E887DC18620F}" name="Always Use Displacement Method for Co-Product?" dataDxfId="57" dataCellStyle="Percent">
      <calculatedColumnFormula>IF(Table18[[#This Row],[Type]]="Co-product", "No", "")</calculatedColumnFormula>
    </tableColumn>
    <tableColumn id="19" xr3:uid="{393ED02F-81F2-4156-A237-869BECD41DC7}" name="Urban Share" dataDxfId="56" dataCellStyle="Percent"/>
    <tableColumn id="10" xr3:uid="{53E3C02C-2DC7-41CB-89C1-6D5F8A6A5EB5}" name="Product Train" dataDxfId="55"/>
    <tableColumn id="14" xr3:uid="{E23EC0B8-FBC1-42BE-A92D-8C31AA437B4C}" name="Payload" dataDxfId="54">
      <calculatedColumnFormula>IF(Table18[[#This Row],[Category]]="Transportation", _xlfn.XLOOKUP(Table18[[#This Row],[Resource]], 'SI - Payload'!$A$10:$A$39,'SI - Payload'!$B$10:$B$39,"",0), "")</calculatedColumnFormula>
    </tableColumn>
    <tableColumn id="15" xr3:uid="{42AC4B14-4042-4A75-910F-5580454B0995}" name="Payload Unit" dataDxfId="53">
      <calculatedColumnFormula>IF(Table18[[#This Row],[Category]]="Transportation", "ton", "")</calculatedColumnFormula>
    </tableColumn>
    <tableColumn id="16" xr3:uid="{A7DD5412-C938-4375-9218-792E0CDCB11F}" name="Market Price" dataDxfId="52"/>
    <tableColumn id="17" xr3:uid="{24218AD5-48BA-45D0-93FA-04007D428029}" name="Market Price Unit" dataDxfId="51"/>
    <tableColumn id="12" xr3:uid="{F8D31996-38CD-420E-9185-024F9E10DC79}" name="Incumbent Product" dataDxfId="50">
      <calculatedColumnFormula>IF(OR(Table18[[#This Row],[Type]]="Main Product", Table18[[#This Row],[Type]]="Co-Product"), Table18[[#This Row],[Resource]], "")</calculatedColumnFormula>
    </tableColumn>
    <tableColumn id="13" xr3:uid="{65220A8F-B5EF-4B30-9EF4-3898FB323CE9}" name="End Use of Incumbent Product" dataDxfId="49">
      <calculatedColumnFormula>IF(_xlfn.XLOOKUP($P6,'SI - End Use'!$B$2:$B$6,'SI - End Use'!$C$2:$C$6, "")="", "", _xlfn.XLOOKUP($C6,'SI - End Use'!$B$2:$B$6,'SI - End Use'!$C$2:$C$6, ""))</calculatedColumnFormula>
    </tableColumn>
    <tableColumn id="20" xr3:uid="{160C4CBB-B69B-4789-AFA3-70BBC8C4D452}" name="Surrogate For" dataDxfId="48"/>
    <tableColumn id="18" xr3:uid="{B7B7DFEF-9AA7-4C9A-BCCA-30B907F85428}" name="Process" dataDxfId="47"/>
    <tableColumn id="11" xr3:uid="{B3275D68-769D-493E-BE61-29C8645E2901}" name="Note" dataDxfId="4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45" dataDxfId="44" tableBorderDxfId="43" dataCellStyle="Percent">
  <autoFilter ref="A5:T100" xr:uid="{1644AED8-49DE-4A1D-989C-1566C9A522B9}"/>
  <tableColumns count="20">
    <tableColumn id="1" xr3:uid="{F9268571-DF00-4FFB-9A83-7682AEBC5180}" name="Type" dataDxfId="42"/>
    <tableColumn id="2" xr3:uid="{8CEA012C-141E-43D7-9FB1-3A233DF5B0D9}" name="Category" dataDxfId="41"/>
    <tableColumn id="3" xr3:uid="{071183EA-B158-4630-8453-44BFE1F93BFA}" name="Resource" dataDxfId="40">
      <calculatedColumnFormula>_xlfn.XLOOKUP($B6,'SI - Resources'!$A$1:$J$1,'SI - Resources'!$A$2:$J$2, "")</calculatedColumnFormula>
    </tableColumn>
    <tableColumn id="4" xr3:uid="{8538D180-C57D-4272-A2C2-25F9B92E8F44}" name="End Use" dataDxfId="39">
      <calculatedColumnFormula>IF(_xlfn.XLOOKUP($C6,'SI - End Use'!$B$2:$B$6,'SI - End Use'!$C$2:$C$6, "")="", "", _xlfn.XLOOKUP($C6,'SI - End Use'!$B$2:$B$6,'SI - End Use'!$C$2:$C$6, ""))</calculatedColumnFormula>
    </tableColumn>
    <tableColumn id="5" xr3:uid="{7EE740BC-C484-4543-87EF-F7BE2F712141}" name="Amount" dataDxfId="38" dataCellStyle="Comma"/>
    <tableColumn id="6" xr3:uid="{3D4210C9-4B39-4FD7-8451-0C8A9446B267}" name="Unit" dataDxfId="37">
      <calculatedColumnFormula array="1">IF($B6="Transportation",  'SI - Units'!$B$9:$B$9, _xlfn.XLOOKUP(_xlfn.XLOOKUP($C6,'SI - Units'!$B$24:$B$109,'SI - Units'!$C$24:$C$109, ""),'SI - Units'!$A$2:$A$8,'SI - Units'!$B$2:$B$8, ""))</calculatedColumnFormula>
    </tableColumn>
    <tableColumn id="7" xr3:uid="{5EA55020-1C05-432C-B854-5E615D3C5BAB}" name="Moisture" dataDxfId="36" dataCellStyle="Percent"/>
    <tableColumn id="8" xr3:uid="{DD7861DE-DF22-4FAE-B0C3-778E13FE1B6A}" name="Previous Stage" dataDxfId="35" dataCellStyle="Percent"/>
    <tableColumn id="9" xr3:uid="{2E9C44F5-492F-4BFD-A22E-077E6EA854F0}" name="Always Use Displacement Method for Co-Product?" dataDxfId="34" dataCellStyle="Percent">
      <calculatedColumnFormula>IF(Table112[[#This Row],[Type]]="Co-product", "No", "")</calculatedColumnFormula>
    </tableColumn>
    <tableColumn id="19" xr3:uid="{7EF4FF93-AD32-4BA9-84B7-380D3C8B3BAA}" name="Urban Share" dataDxfId="33" dataCellStyle="Percent"/>
    <tableColumn id="10" xr3:uid="{834831EB-0FE7-4150-A095-4C38C6C96EBB}" name="Product Train" dataDxfId="32"/>
    <tableColumn id="14" xr3:uid="{92196EBB-3FF1-483D-A0E6-4184C9C7F441}" name="Payload" dataDxfId="31">
      <calculatedColumnFormula>IF(Table112[[#This Row],[Category]]="Transportation", _xlfn.XLOOKUP(Table112[[#This Row],[Resource]], 'SI - Payload'!$A$10:$A$39,'SI - Payload'!$B$10:$B$39,"",0), "")</calculatedColumnFormula>
    </tableColumn>
    <tableColumn id="15" xr3:uid="{766842DD-2003-44A7-BF0D-2160522E75B5}" name="Payload Unit" dataDxfId="30">
      <calculatedColumnFormula>IF(Table112[[#This Row],[Category]]="Transportation", "ton", "")</calculatedColumnFormula>
    </tableColumn>
    <tableColumn id="16" xr3:uid="{047CF82A-DBA2-4E6B-BB30-3676F27FBCF6}" name="Market Price" dataDxfId="29"/>
    <tableColumn id="17" xr3:uid="{A0392FFC-E5EF-4E3D-86D1-40AAE36E4A98}" name="Market Price Unit" dataDxfId="28"/>
    <tableColumn id="12" xr3:uid="{96F477C6-DF4B-445F-8ADE-886D864B9D7C}" name="Incumbent Product" dataDxfId="27">
      <calculatedColumnFormula>IF(OR(Table112[[#This Row],[Type]]="Main Product", Table112[[#This Row],[Type]]="Co-Product"), Table112[[#This Row],[Resource]], "")</calculatedColumnFormula>
    </tableColumn>
    <tableColumn id="13" xr3:uid="{B92420EF-B58D-42DF-97E0-DE4FD9E773D2}" name="End Use of Incumbent Product" dataDxfId="26">
      <calculatedColumnFormula>IF(_xlfn.XLOOKUP($P6,'SI - End Use'!$B$2:$B$6,'SI - End Use'!$C$2:$C$6, "")="", "", _xlfn.XLOOKUP($C6,'SI - End Use'!$B$2:$B$6,'SI - End Use'!$C$2:$C$6, ""))</calculatedColumnFormula>
    </tableColumn>
    <tableColumn id="20" xr3:uid="{2EBB5AC0-853B-46D0-A0CA-EEE613506D2C}" name="Surrogate For" dataDxfId="25"/>
    <tableColumn id="18" xr3:uid="{50E2788C-325B-4941-B41B-BEEC6F58A31B}" name="Process" dataDxfId="24"/>
    <tableColumn id="11" xr3:uid="{4387B92E-E28A-49DF-A217-66DD1969DCD3}" name="Note" dataDxfId="2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22" dataDxfId="21" tableBorderDxfId="20" dataCellStyle="Percent">
  <autoFilter ref="A5:T100" xr:uid="{1644AED8-49DE-4A1D-989C-1566C9A522B9}"/>
  <tableColumns count="20">
    <tableColumn id="1" xr3:uid="{B3CEA4CB-FBE2-4452-B090-D9E08EBB2473}" name="Type" dataDxfId="19"/>
    <tableColumn id="2" xr3:uid="{45559C56-C563-4D9E-B960-59C2C2F18959}" name="Category" dataDxfId="18"/>
    <tableColumn id="3" xr3:uid="{7B4FBFCD-F58B-4B56-B139-3A59FBC43CAD}" name="Resource" dataDxfId="17">
      <calculatedColumnFormula>_xlfn.XLOOKUP($B6,'SI - Resources'!$A$1:$J$1,'SI - Resources'!$A$2:$J$2, "")</calculatedColumnFormula>
    </tableColumn>
    <tableColumn id="4" xr3:uid="{525A2627-4460-4824-9E3F-281886F29CC9}" name="End Use" dataDxfId="16">
      <calculatedColumnFormula>IF(_xlfn.XLOOKUP($C6,'SI - End Use'!$B$2:$B$6,'SI - End Use'!$C$2:$C$6, "")="", "", _xlfn.XLOOKUP($C6,'SI - End Use'!$B$2:$B$6,'SI - End Use'!$C$2:$C$6, ""))</calculatedColumnFormula>
    </tableColumn>
    <tableColumn id="5" xr3:uid="{B3C6A26A-3CB0-4E2B-AFCA-67CD6B76D916}" name="Amount" dataDxfId="15" dataCellStyle="Comma"/>
    <tableColumn id="6" xr3:uid="{8FD22B6B-8AA1-4DBB-9F76-CBB79FA09A06}" name="Unit" dataDxfId="14">
      <calculatedColumnFormula array="1">IF($B6="Transportation",  'SI - Units'!$B$9:$B$9, _xlfn.XLOOKUP(_xlfn.XLOOKUP($C6,'SI - Units'!$B$24:$B$109,'SI - Units'!$C$24:$C$109, ""),'SI - Units'!$A$2:$A$8,'SI - Units'!$B$2:$B$8, ""))</calculatedColumnFormula>
    </tableColumn>
    <tableColumn id="7" xr3:uid="{6DD41B9C-0A14-41AE-96A2-29DEB981099B}" name="Moisture" dataDxfId="13" dataCellStyle="Percent"/>
    <tableColumn id="8" xr3:uid="{B0A1A10D-3735-4890-B84B-F8D3D675E318}" name="Previous Stage" dataDxfId="12" dataCellStyle="Percent"/>
    <tableColumn id="9" xr3:uid="{EDC3F019-DE4D-4042-AE8E-00D5436A51E3}" name="Always Use Displacement Method for Co-Product?" dataDxfId="11" dataCellStyle="Percent">
      <calculatedColumnFormula>IF(Table113[[#This Row],[Type]]="Co-product", "No", "")</calculatedColumnFormula>
    </tableColumn>
    <tableColumn id="19" xr3:uid="{3A563F43-D647-40C7-9E96-488CC44C996C}" name="Urban Share" dataDxfId="10" dataCellStyle="Percent"/>
    <tableColumn id="10" xr3:uid="{EA570375-6059-4EED-8557-BFD832A8E540}" name="Product Train" dataDxfId="9"/>
    <tableColumn id="14" xr3:uid="{E6BD6136-7D68-4093-A430-C21A38704D87}" name="Payload" dataDxfId="8">
      <calculatedColumnFormula>IF(Table113[[#This Row],[Category]]="Transportation", _xlfn.XLOOKUP(Table113[[#This Row],[Resource]], 'SI - Payload'!$A$10:$A$39,'SI - Payload'!$B$10:$B$39,"",0), "")</calculatedColumnFormula>
    </tableColumn>
    <tableColumn id="15" xr3:uid="{DBA86F02-3775-4CAA-BB53-A444AC9F92AE}" name="Payload Unit" dataDxfId="7">
      <calculatedColumnFormula>IF(Table113[[#This Row],[Category]]="Transportation", "ton", "")</calculatedColumnFormula>
    </tableColumn>
    <tableColumn id="16" xr3:uid="{46C5E33E-E5D3-4CE0-9EB8-22B1E275F577}" name="Market Price" dataDxfId="6"/>
    <tableColumn id="17" xr3:uid="{ADF82CAB-0594-49FA-8B95-8FBF3B048294}" name="Market Price Unit" dataDxfId="5"/>
    <tableColumn id="12" xr3:uid="{28C78F97-3922-4FC5-97A8-2A973E0AC108}" name="Incumbent Product" dataDxfId="4">
      <calculatedColumnFormula>IF(OR(Table113[[#This Row],[Type]]="Main Product", Table113[[#This Row],[Type]]="Co-Product"), Table113[[#This Row],[Resource]], "")</calculatedColumnFormula>
    </tableColumn>
    <tableColumn id="13" xr3:uid="{1699A0FF-DDBB-45EC-BAA2-491F1834CBA7}" name="End Use of Incumbent Product" dataDxfId="3">
      <calculatedColumnFormula>IF(_xlfn.XLOOKUP($P6,'SI - End Use'!$B$2:$B$6,'SI - End Use'!$C$2:$C$6, "")="", "", _xlfn.XLOOKUP($C6,'SI - End Use'!$B$2:$B$6,'SI - End Use'!$C$2:$C$6, ""))</calculatedColumnFormula>
    </tableColumn>
    <tableColumn id="20" xr3:uid="{C7AD867E-640B-4EA6-8359-ADFC9A5A6354}" name="Surrogate For" dataDxfId="2"/>
    <tableColumn id="18" xr3:uid="{CC8A460B-D074-4A36-9D2A-CBEB86D375E0}" name="Process" dataDxfId="1"/>
    <tableColumn id="11" xr3:uid="{E4454EBC-EADB-4606-BBBC-5B9E129F8C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4" t="s">
        <v>261</v>
      </c>
      <c r="B2" s="64"/>
    </row>
    <row r="3" spans="1:3" ht="29.15" customHeight="1" x14ac:dyDescent="0.35">
      <c r="A3" s="66" t="s">
        <v>274</v>
      </c>
      <c r="B3" s="66"/>
    </row>
    <row r="4" spans="1:3" ht="28" customHeight="1" x14ac:dyDescent="0.35">
      <c r="A4" s="19"/>
      <c r="B4" s="19"/>
    </row>
    <row r="5" spans="1:3" ht="28" customHeight="1" x14ac:dyDescent="0.35">
      <c r="A5" s="65" t="s">
        <v>260</v>
      </c>
      <c r="B5" s="65"/>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B12" sqref="B1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28" sqref="N28"/>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F31" sqref="F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2"/>
  <sheetViews>
    <sheetView tabSelected="1" workbookViewId="0">
      <pane ySplit="5" topLeftCell="A6" activePane="bottomLeft" state="frozen"/>
      <selection activeCell="C19" sqref="C19"/>
      <selection pane="bottomLeft" activeCell="E18" sqref="E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1796875"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257</v>
      </c>
      <c r="B7" s="6" t="s">
        <v>38</v>
      </c>
      <c r="C7" s="6" t="s">
        <v>168</v>
      </c>
      <c r="D7" s="6" t="str">
        <f>IF(_xlfn.XLOOKUP($C7,'SI - End Use'!$B$2:$B$6,'SI - End Use'!$C$2:$C$6, "")="", "", _xlfn.XLOOKUP($C7,'SI - End Use'!$B$2:$B$6,'SI - End Use'!$C$2:$C$6, ""))</f>
        <v/>
      </c>
      <c r="E7" s="12">
        <v>9053.430454488107</v>
      </c>
      <c r="F7" s="6" t="s">
        <v>58</v>
      </c>
      <c r="G7" s="25"/>
      <c r="H7" s="25" t="s">
        <v>347</v>
      </c>
      <c r="I7" s="26" t="str">
        <f>IF(Table111[[#This Row],[Type]]="Co-product", "No", "")</f>
        <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35">
      <c r="A9" s="6" t="s">
        <v>0</v>
      </c>
      <c r="B9" s="6" t="s">
        <v>244</v>
      </c>
      <c r="C9" s="6" t="s">
        <v>24</v>
      </c>
      <c r="D9" s="6" t="s">
        <v>31</v>
      </c>
      <c r="E9" s="12">
        <f>924.654617807505/2</f>
        <v>462.32730890375251</v>
      </c>
      <c r="F9" s="6" t="s">
        <v>58</v>
      </c>
      <c r="G9" s="25"/>
      <c r="H9" s="25"/>
      <c r="I9" s="26" t="str">
        <f>IF(Table111[[#This Row],[Type]]="Co-product", "No", "")</f>
        <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0</v>
      </c>
      <c r="B10" s="6" t="s">
        <v>244</v>
      </c>
      <c r="C10" s="6" t="s">
        <v>24</v>
      </c>
      <c r="D10" s="6" t="s">
        <v>42</v>
      </c>
      <c r="E10" s="12">
        <f>924.654617807505/2</f>
        <v>462.32730890375251</v>
      </c>
      <c r="F10" s="6" t="s">
        <v>58</v>
      </c>
      <c r="G10" s="25"/>
      <c r="H10" s="25"/>
      <c r="I10" s="26" t="str">
        <f>IF(Table111[[#This Row],[Type]]="Co-product", "No", "")</f>
        <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35">
      <c r="A11" s="6" t="s">
        <v>0</v>
      </c>
      <c r="B11" s="6" t="s">
        <v>37</v>
      </c>
      <c r="C11" s="6" t="s">
        <v>291</v>
      </c>
      <c r="D11" s="6" t="s">
        <v>337</v>
      </c>
      <c r="E11" s="60">
        <v>3.36320161231267</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35">
      <c r="A12" s="6" t="s">
        <v>0</v>
      </c>
      <c r="B12" s="6" t="s">
        <v>37</v>
      </c>
      <c r="C12" s="6" t="s">
        <v>236</v>
      </c>
      <c r="D12" s="6" t="str">
        <f>IF(_xlfn.XLOOKUP($C12,'SI - End Use'!$B$2:$B$6,'SI - End Use'!$C$2:$C$6, "")="", "", _xlfn.XLOOKUP($C12,'SI - End Use'!$B$2:$B$6,'SI - End Use'!$C$2:$C$6, ""))</f>
        <v/>
      </c>
      <c r="E12" s="60">
        <v>0.22371876085979001</v>
      </c>
      <c r="F12" s="6" t="s">
        <v>58</v>
      </c>
      <c r="G12" s="25"/>
      <c r="H12" s="25"/>
      <c r="I12" s="26" t="str">
        <f>IF(Table111[[#This Row],[Type]]="Co-product", "No", "")</f>
        <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348</v>
      </c>
    </row>
    <row r="13" spans="1:20" x14ac:dyDescent="0.35">
      <c r="A13" s="6" t="s">
        <v>0</v>
      </c>
      <c r="B13" s="6" t="s">
        <v>37</v>
      </c>
      <c r="C13" s="6" t="s">
        <v>237</v>
      </c>
      <c r="D13" s="6" t="str">
        <f>IF(_xlfn.XLOOKUP($C13,'SI - End Use'!$B$2:$B$6,'SI - End Use'!$C$2:$C$6, "")="", "", _xlfn.XLOOKUP($C13,'SI - End Use'!$B$2:$B$6,'SI - End Use'!$C$2:$C$6, ""))</f>
        <v/>
      </c>
      <c r="E13" s="63">
        <v>2.7125655113014287E-2</v>
      </c>
      <c r="F13" s="6" t="s">
        <v>58</v>
      </c>
      <c r="G13" s="25"/>
      <c r="H13" s="25"/>
      <c r="I13" s="26" t="str">
        <f>IF(Table111[[#This Row],[Type]]="Co-product", "No", "")</f>
        <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349</v>
      </c>
    </row>
    <row r="14" spans="1:20" x14ac:dyDescent="0.35">
      <c r="A14" s="6" t="s">
        <v>0</v>
      </c>
      <c r="B14" s="6" t="s">
        <v>244</v>
      </c>
      <c r="C14" s="6" t="s">
        <v>24</v>
      </c>
      <c r="D14" s="6" t="s">
        <v>232</v>
      </c>
      <c r="E14" s="12">
        <v>1330.6005475766542</v>
      </c>
      <c r="F14" s="6" t="s">
        <v>58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t="s">
        <v>0</v>
      </c>
      <c r="B15" s="6" t="s">
        <v>29</v>
      </c>
      <c r="C15" s="6" t="s">
        <v>29</v>
      </c>
      <c r="D15" s="6" t="s">
        <v>337</v>
      </c>
      <c r="E15" s="12">
        <v>14716.304737446302</v>
      </c>
      <c r="F15" s="6" t="s">
        <v>58</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t="s">
        <v>0</v>
      </c>
      <c r="B16" s="6" t="s">
        <v>3</v>
      </c>
      <c r="C16" s="6" t="s">
        <v>3</v>
      </c>
      <c r="D16" s="6" t="s">
        <v>10</v>
      </c>
      <c r="E16" s="12">
        <v>1854.0966533937553</v>
      </c>
      <c r="F16" s="6" t="s">
        <v>68</v>
      </c>
      <c r="G16" s="25"/>
      <c r="H16" s="25"/>
      <c r="I16" s="26" t="s">
        <v>337</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7" t="s">
        <v>257</v>
      </c>
      <c r="B17" s="67" t="s">
        <v>245</v>
      </c>
      <c r="C17" s="67" t="s">
        <v>228</v>
      </c>
      <c r="D17" s="68" t="str">
        <f>IF(_xlfn.XLOOKUP($C17,'SI - End Use'!$B$2:$B$6,'SI - End Use'!$C$2:$C$6, "")="", "", _xlfn.XLOOKUP($C17,'SI - End Use'!$B$2:$B$6,'SI - End Use'!$C$2:$C$6, ""))</f>
        <v/>
      </c>
      <c r="E17" s="12">
        <v>0</v>
      </c>
      <c r="F17" s="68" t="s">
        <v>58</v>
      </c>
      <c r="G17" s="69"/>
      <c r="H17" s="69" t="s">
        <v>345</v>
      </c>
      <c r="I17" s="26" t="str">
        <f>IF(Table111[[#This Row],[Type]]="Co-product", "No", "")</f>
        <v/>
      </c>
      <c r="J17" s="25"/>
      <c r="K17" s="67"/>
      <c r="L17" s="68" t="str">
        <f>IF(Table111[[#This Row],[Category]]="Transportation", _xlfn.XLOOKUP(Table111[[#This Row],[Resource]], 'SI - Payload'!$A$10:$A$39,'SI - Payload'!$B$10:$B$39,"",0), "")</f>
        <v/>
      </c>
      <c r="M17" s="68" t="str">
        <f>IF(Table111[[#This Row],[Category]]="Transportation", "ton", "")</f>
        <v/>
      </c>
      <c r="N17" s="67"/>
      <c r="O17" s="67"/>
      <c r="P17" s="68" t="str">
        <f>IF(OR(Table111[[#This Row],[Type]]="Main Product", Table111[[#This Row],[Type]]="Co-Product"), Table111[[#This Row],[Resource]], "")</f>
        <v/>
      </c>
      <c r="Q17" s="68" t="str">
        <f>IF(_xlfn.XLOOKUP($P17,'SI - End Use'!$B$2:$B$6,'SI - End Use'!$C$2:$C$6, "")="", "", _xlfn.XLOOKUP($C17,'SI - End Use'!$B$2:$B$6,'SI - End Use'!$C$2:$C$6, ""))</f>
        <v/>
      </c>
      <c r="R17" s="6"/>
      <c r="S17" s="67"/>
      <c r="T17" s="67"/>
    </row>
    <row r="18" spans="1:20" x14ac:dyDescent="0.35">
      <c r="A18" s="6" t="s">
        <v>113</v>
      </c>
      <c r="B18" s="6" t="s">
        <v>244</v>
      </c>
      <c r="C18" s="6" t="s">
        <v>71</v>
      </c>
      <c r="D18" s="6" t="s">
        <v>241</v>
      </c>
      <c r="E18" s="12">
        <v>258.99556486052029</v>
      </c>
      <c r="F18" s="6" t="s">
        <v>70</v>
      </c>
      <c r="G18" s="25"/>
      <c r="H18" s="25"/>
      <c r="I18" s="26" t="s">
        <v>337</v>
      </c>
      <c r="J18" s="25"/>
      <c r="K18" s="6"/>
      <c r="L18" s="6" t="str">
        <f>IF(Table111[[#This Row],[Category]]="Transportation", _xlfn.XLOOKUP(Table111[[#This Row],[Resource]], 'SI - Payload'!$A$10:$A$39,'SI - Payload'!$B$10:$B$39,"",0), "")</f>
        <v/>
      </c>
      <c r="M18" s="6" t="str">
        <f>IF(Table111[[#This Row],[Category]]="Transportation", "ton", "")</f>
        <v/>
      </c>
      <c r="N18" s="6"/>
      <c r="O18" s="6"/>
      <c r="P18" s="6" t="s">
        <v>2</v>
      </c>
      <c r="Q18" s="6" t="s">
        <v>83</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Payload'!$A$10:$A$39,'SI - Payload'!$B$10:$B$39,"",0),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Payload'!$A$10:$A$39,'SI - Payload'!$B$10:$B$39,"",0),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3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Payload'!$A$10:$A$39,'SI - Payload'!$B$10:$B$39,"",0),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2" xr:uid="{7AC4A125-06FB-4EE4-A8ED-1DDCCB8983CC}">
      <formula1>0</formula1>
      <formula2>1</formula2>
    </dataValidation>
    <dataValidation type="list" allowBlank="1" showInputMessage="1" showErrorMessage="1" sqref="M6:M102" xr:uid="{B6D86606-454E-489B-9733-450BBF4EC7F8}">
      <formula1>payload_units</formula1>
    </dataValidation>
    <dataValidation type="decimal" operator="greaterThan" allowBlank="1" showInputMessage="1" showErrorMessage="1" error="Please type a positive number." sqref="L6:L102" xr:uid="{4F4AE5BD-162A-4FCB-8A5D-BD59B62EB608}">
      <formula1>0</formula1>
    </dataValidation>
    <dataValidation type="decimal" operator="greaterThan" allowBlank="1" showInputMessage="1" showErrorMessage="1" error="Please type a positive price." sqref="N6:N102" xr:uid="{2A1F0029-7E5C-4CA2-96BB-DE342D588BB6}">
      <formula1>0</formula1>
    </dataValidation>
    <dataValidation type="decimal" allowBlank="1" showInputMessage="1" showErrorMessage="1" error="Please type a number between 0 and 1." sqref="G6:G102" xr:uid="{50A699E5-F124-434F-AC28-73C6D7453FB4}">
      <formula1>0</formula1>
      <formula2>1</formula2>
    </dataValidation>
    <dataValidation type="custom" allowBlank="1" showInputMessage="1" showErrorMessage="1" sqref="E6:E102"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Q6:R102</xm:sqref>
        </x14:dataValidation>
        <x14:dataValidation type="list" allowBlank="1" showInputMessage="1" xr:uid="{7262E1AE-A4EE-404E-8237-729EF3FF4837}">
          <x14:formula1>
            <xm:f>INDIRECT(_xlfn.XLOOKUP($C6,'SI - End Use'!$A$11:$A$17,'SI - End Use'!$B$11:$B$17,"other_end_use",0))</xm:f>
          </x14:formula1>
          <xm:sqref>D6:D102</xm:sqref>
        </x14:dataValidation>
        <x14:dataValidation type="list" allowBlank="1" showInputMessage="1" showErrorMessage="1" xr:uid="{0CF0B2DB-15D6-4062-BD41-A339EB96F07F}">
          <x14:formula1>
            <xm:f>INDIRECT(_xlfn.XLOOKUP($B6, 'SI - Resources'!$R$1:$R$10,'SI - Resources'!$S$1:$S$10, "placeholder_resource", 0))</xm:f>
          </x14:formula1>
          <xm:sqref>C6:C102 P6:P102</xm:sqref>
        </x14:dataValidation>
        <x14:dataValidation type="list" allowBlank="1" showInputMessage="1" showErrorMessage="1" xr:uid="{861DF244-E6EE-421F-9E3B-A34C4424A86C}">
          <x14:formula1>
            <xm:f>'SI - Co-products'!$B$2:$B$6</xm:f>
          </x14:formula1>
          <xm:sqref>A6:A102</xm:sqref>
        </x14:dataValidation>
        <x14:dataValidation type="list" allowBlank="1" showInputMessage="1" showErrorMessage="1" xr:uid="{593470B6-805F-4780-B4A9-64C1F1569C15}">
          <x14:formula1>
            <xm:f>'SI - Resources'!$A$1:$J$1</xm:f>
          </x14:formula1>
          <xm:sqref>B6:B102</xm:sqref>
        </x14:dataValidation>
        <x14:dataValidation type="list" allowBlank="1" showInputMessage="1" showErrorMessage="1" xr:uid="{C7A6CA72-7C05-4AB2-9F76-FE153FF1F9F4}">
          <x14:formula1>
            <xm:f>'SI - Co-products'!$C$2:$C$4</xm:f>
          </x14:formula1>
          <xm:sqref>I6:I102</xm:sqref>
        </x14:dataValidation>
        <x14:dataValidation type="list" allowBlank="1" showInputMessage="1" showErrorMessage="1" xr:uid="{04C1A633-F6FD-4C48-86CB-D8A205568AA4}">
          <x14:formula1>
            <xm:f>'SI - Co-products'!$A$2:$A$5</xm:f>
          </x14:formula1>
          <xm:sqref>K6:K102</xm:sqref>
        </x14:dataValidation>
        <x14:dataValidation type="list" allowBlank="1" showInputMessage="1" showErrorMessage="1" xr:uid="{1396706C-4A17-4B38-90A3-3F1CA570A00D}">
          <x14:formula1>
            <xm:f>IF($B6="Transportation",  transport_units, INDIRECT(_xlfn.XLOOKUP($C6, 'SI - Units'!$F$26:$F$37,'SI - Units'!$G$26:$G$37,"mass",0)))</xm:f>
          </x14:formula1>
          <xm:sqref>F6:F102</xm:sqref>
        </x14:dataValidation>
        <x14:dataValidation type="list" allowBlank="1" showInputMessage="1" showErrorMessage="1" xr:uid="{6C547276-0E01-472D-9F22-EF808CB9A061}">
          <x14:formula1>
            <xm:f>INDIRECT("p_"&amp;_xlfn.XLOOKUP($C6,'SI - Units'!$F$26:$F$37,'SI - Units'!$G$26:$G$37,"mass",0))</xm:f>
          </x14:formula1>
          <xm:sqref>O6:O102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3">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35">
      <c r="A7" s="6" t="s">
        <v>0</v>
      </c>
      <c r="B7" s="6" t="s">
        <v>3</v>
      </c>
      <c r="C7" s="6" t="s">
        <v>3</v>
      </c>
      <c r="D7" s="6" t="s">
        <v>10</v>
      </c>
      <c r="E7" s="63">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63">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2.906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63281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Introduction</vt:lpstr>
      <vt:lpstr>Template</vt:lpstr>
      <vt:lpstr>SI - Payload</vt:lpstr>
      <vt:lpstr>SI - Resources</vt:lpstr>
      <vt:lpstr>SI - End Use</vt:lpstr>
      <vt:lpstr>SI - Units</vt:lpstr>
      <vt:lpstr>SI - Co-products</vt:lpstr>
      <vt:lpstr>Fuel production</vt:lpstr>
      <vt:lpstr>CO2 delivery</vt:lpstr>
      <vt:lpstr>Algae growth</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2022-12-28T01:52:37Z</dcterms:modified>
</cp:coreProperties>
</file>