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D8E83DE3-59B1-4911-924E-726A067F884F}" xr6:coauthVersionLast="47" xr6:coauthVersionMax="47" xr10:uidLastSave="{00000000-0000-0000-0000-000000000000}"/>
  <bookViews>
    <workbookView xWindow="33720" yWindow="2610" windowWidth="29040" windowHeight="15840" tabRatio="685"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6" i="27" l="1"/>
  <c r="E42" i="27"/>
  <c r="E40" i="27"/>
  <c r="E35" i="27"/>
  <c r="E34" i="27"/>
  <c r="E33" i="27"/>
  <c r="E32" i="27"/>
  <c r="E31" i="27"/>
  <c r="E30" i="27"/>
  <c r="E7"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P38" i="27"/>
  <c r="P37" i="27"/>
  <c r="Q37" i="27" s="1"/>
  <c r="P36" i="27"/>
  <c r="Q36" i="27" s="1"/>
  <c r="P35" i="27"/>
  <c r="Q35" i="27" s="1"/>
  <c r="Q34" i="27"/>
  <c r="P34" i="27"/>
  <c r="Q33" i="27"/>
  <c r="P33" i="27"/>
  <c r="Q32" i="27"/>
  <c r="P32" i="27"/>
  <c r="P31" i="27"/>
  <c r="Q31" i="27" s="1"/>
  <c r="P30" i="27"/>
  <c r="Q30" i="27" s="1"/>
  <c r="P29" i="27"/>
  <c r="Q29" i="27" s="1"/>
  <c r="Q28" i="27"/>
  <c r="P28" i="27"/>
  <c r="Q27" i="27"/>
  <c r="P27" i="27"/>
  <c r="Q26" i="27"/>
  <c r="P26" i="27"/>
  <c r="P25" i="27"/>
  <c r="Q25" i="27" s="1"/>
  <c r="P24" i="27"/>
  <c r="Q24" i="27" s="1"/>
  <c r="P23" i="27"/>
  <c r="Q23" i="27" s="1"/>
  <c r="Q22" i="27"/>
  <c r="P22" i="27"/>
  <c r="Q21" i="27"/>
  <c r="P21" i="27"/>
  <c r="Q20" i="27"/>
  <c r="P20" i="27"/>
  <c r="P19" i="27"/>
  <c r="Q19" i="27" s="1"/>
  <c r="P18" i="27"/>
  <c r="Q18" i="27" s="1"/>
  <c r="P17" i="27"/>
  <c r="Q17" i="27" s="1"/>
  <c r="Q16" i="27"/>
  <c r="P16" i="27"/>
  <c r="Q15" i="27"/>
  <c r="P15" i="27"/>
  <c r="Q14" i="27"/>
  <c r="P14" i="27"/>
  <c r="P13" i="27"/>
  <c r="Q13" i="27" s="1"/>
  <c r="P12" i="27"/>
  <c r="Q12" i="27" s="1"/>
  <c r="P11" i="27"/>
  <c r="Q11" i="27" s="1"/>
  <c r="Q10" i="27"/>
  <c r="P10" i="27"/>
  <c r="Q9" i="27"/>
  <c r="P9" i="27"/>
  <c r="Q8" i="27"/>
  <c r="P8" i="27"/>
  <c r="P7" i="27"/>
  <c r="Q7" i="27" s="1"/>
  <c r="P6" i="27"/>
  <c r="Q6" i="27" s="1"/>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<sst xmlns="http://schemas.openxmlformats.org/spreadsheetml/2006/main" count="1220" uniqueCount="349">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</sst>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opLeftCell="E1" workbookViewId="0">
      <pane ySplit="5" topLeftCell="A6" activePane="bottomLeft" state="frozen"/>
      <selection activeCell="C19" sqref="C19"/>
      <selection pane="bottomLeft" activeCell="I16" sqref="I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35">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topLeftCell="G1" workbookViewId="0">
      <pane ySplit="5" topLeftCell="A23" activePane="bottomLeft" state="frozen"/>
      <selection activeCell="C19" sqref="C19"/>
      <selection pane="bottomLeft" activeCell="M45" sqref="M4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14727</v>
      </c>
      <c r="F6" s="6" t="s">
        <v>58</v>
      </c>
      <c r="G6" s="25"/>
      <c r="H6" s="25" t="s">
        <v>340</v>
      </c>
      <c r="I6" s="26" t="s">
        <v>337</v>
      </c>
      <c r="J6" s="25"/>
      <c r="K6" s="25" t="s">
        <v>86</v>
      </c>
      <c r="L6" s="6" t="s">
        <v>337</v>
      </c>
      <c r="M6" s="6"/>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37</v>
      </c>
      <c r="C7" s="6" t="s">
        <v>106</v>
      </c>
      <c r="D7" s="6" t="s">
        <v>337</v>
      </c>
      <c r="E7" s="12">
        <f>1304*0.93</f>
        <v>1212.72</v>
      </c>
      <c r="F7" s="6" t="s">
        <v>58</v>
      </c>
      <c r="G7" s="25"/>
      <c r="H7" s="25"/>
      <c r="I7" s="26" t="s">
        <v>337</v>
      </c>
      <c r="J7" s="25"/>
      <c r="K7" s="25" t="s">
        <v>86</v>
      </c>
      <c r="L7" s="6" t="s">
        <v>337</v>
      </c>
      <c r="M7" s="6"/>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37</v>
      </c>
      <c r="C8" s="6" t="s">
        <v>14</v>
      </c>
      <c r="D8" s="6" t="s">
        <v>337</v>
      </c>
      <c r="E8" s="12">
        <v>421</v>
      </c>
      <c r="F8" s="6" t="s">
        <v>58</v>
      </c>
      <c r="G8" s="25"/>
      <c r="H8" s="25"/>
      <c r="I8" s="26" t="s">
        <v>337</v>
      </c>
      <c r="J8" s="25"/>
      <c r="K8" s="25" t="s">
        <v>86</v>
      </c>
      <c r="L8" s="6" t="s">
        <v>337</v>
      </c>
      <c r="M8" s="6"/>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37</v>
      </c>
      <c r="C9" s="6" t="s">
        <v>289</v>
      </c>
      <c r="D9" s="6" t="s">
        <v>337</v>
      </c>
      <c r="E9" s="12">
        <v>77</v>
      </c>
      <c r="F9" s="6" t="s">
        <v>58</v>
      </c>
      <c r="G9" s="25"/>
      <c r="H9" s="25"/>
      <c r="I9" s="26" t="s">
        <v>337</v>
      </c>
      <c r="J9" s="25"/>
      <c r="K9" s="25" t="s">
        <v>86</v>
      </c>
      <c r="L9" s="6" t="s">
        <v>337</v>
      </c>
      <c r="M9" s="6"/>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0</v>
      </c>
      <c r="B10" s="6" t="s">
        <v>37</v>
      </c>
      <c r="C10" s="6" t="s">
        <v>87</v>
      </c>
      <c r="D10" s="6" t="s">
        <v>337</v>
      </c>
      <c r="E10" s="12">
        <v>31</v>
      </c>
      <c r="F10" s="6" t="s">
        <v>58</v>
      </c>
      <c r="G10" s="25"/>
      <c r="H10" s="25"/>
      <c r="I10" s="26" t="s">
        <v>337</v>
      </c>
      <c r="J10" s="25"/>
      <c r="K10" s="25" t="s">
        <v>86</v>
      </c>
      <c r="L10" s="6" t="s">
        <v>337</v>
      </c>
      <c r="M10" s="6"/>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t="s">
        <v>0</v>
      </c>
      <c r="B11" s="6" t="s">
        <v>37</v>
      </c>
      <c r="C11" s="6" t="s">
        <v>290</v>
      </c>
      <c r="D11" s="6" t="s">
        <v>337</v>
      </c>
      <c r="E11" s="12">
        <v>42</v>
      </c>
      <c r="F11" s="6" t="s">
        <v>58</v>
      </c>
      <c r="G11" s="25"/>
      <c r="H11" s="25"/>
      <c r="I11" s="26" t="s">
        <v>337</v>
      </c>
      <c r="J11" s="25"/>
      <c r="K11" s="25" t="s">
        <v>86</v>
      </c>
      <c r="L11" s="6" t="s">
        <v>337</v>
      </c>
      <c r="M11" s="6"/>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t="s">
        <v>0</v>
      </c>
      <c r="B12" s="6" t="s">
        <v>37</v>
      </c>
      <c r="C12" s="6" t="s">
        <v>293</v>
      </c>
      <c r="D12" s="6"/>
      <c r="E12" s="12">
        <v>4</v>
      </c>
      <c r="F12" s="6" t="s">
        <v>58</v>
      </c>
      <c r="G12" s="25"/>
      <c r="H12" s="25"/>
      <c r="I12" s="26" t="s">
        <v>337</v>
      </c>
      <c r="J12" s="25"/>
      <c r="K12" s="25" t="s">
        <v>86</v>
      </c>
      <c r="L12" s="6" t="s">
        <v>337</v>
      </c>
      <c r="M12" s="6"/>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t="s">
        <v>0</v>
      </c>
      <c r="B13" s="6" t="s">
        <v>37</v>
      </c>
      <c r="C13" s="6" t="s">
        <v>294</v>
      </c>
      <c r="D13" s="6"/>
      <c r="E13" s="12">
        <v>8</v>
      </c>
      <c r="F13" s="6" t="s">
        <v>58</v>
      </c>
      <c r="G13" s="25"/>
      <c r="H13" s="25"/>
      <c r="I13" s="26" t="s">
        <v>337</v>
      </c>
      <c r="J13" s="25"/>
      <c r="K13" s="25" t="s">
        <v>86</v>
      </c>
      <c r="L13" s="6" t="s">
        <v>337</v>
      </c>
      <c r="M13" s="6"/>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t="s">
        <v>0</v>
      </c>
      <c r="B14" s="6" t="s">
        <v>37</v>
      </c>
      <c r="C14" s="6" t="s">
        <v>15</v>
      </c>
      <c r="D14" s="6"/>
      <c r="E14" s="12">
        <v>669</v>
      </c>
      <c r="F14" s="6" t="s">
        <v>58</v>
      </c>
      <c r="G14" s="25"/>
      <c r="H14" s="25"/>
      <c r="I14" s="26" t="s">
        <v>337</v>
      </c>
      <c r="J14" s="25"/>
      <c r="K14" s="25" t="s">
        <v>113</v>
      </c>
      <c r="L14" s="6" t="s">
        <v>337</v>
      </c>
      <c r="M14" s="6"/>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t="s">
        <v>0</v>
      </c>
      <c r="B15" s="6" t="s">
        <v>37</v>
      </c>
      <c r="C15" s="6" t="s">
        <v>287</v>
      </c>
      <c r="D15" s="6" t="s">
        <v>337</v>
      </c>
      <c r="E15" s="12">
        <v>70</v>
      </c>
      <c r="F15" s="6" t="s">
        <v>58</v>
      </c>
      <c r="G15" s="25"/>
      <c r="H15" s="25"/>
      <c r="I15" s="26" t="s">
        <v>337</v>
      </c>
      <c r="J15" s="25"/>
      <c r="K15" s="25" t="s">
        <v>113</v>
      </c>
      <c r="L15" s="6" t="s">
        <v>337</v>
      </c>
      <c r="M15" s="6"/>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t="s">
        <v>0</v>
      </c>
      <c r="B16" s="6" t="s">
        <v>37</v>
      </c>
      <c r="C16" s="6" t="s">
        <v>298</v>
      </c>
      <c r="D16" s="6" t="s">
        <v>337</v>
      </c>
      <c r="E16" s="12">
        <v>1</v>
      </c>
      <c r="F16" s="6" t="s">
        <v>58</v>
      </c>
      <c r="G16" s="25"/>
      <c r="H16" s="25"/>
      <c r="I16" s="26" t="s">
        <v>337</v>
      </c>
      <c r="J16" s="25"/>
      <c r="K16" s="25" t="s">
        <v>113</v>
      </c>
      <c r="L16" s="6" t="s">
        <v>337</v>
      </c>
      <c r="M16" s="6"/>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t="s">
        <v>0</v>
      </c>
      <c r="B17" s="6" t="s">
        <v>37</v>
      </c>
      <c r="C17" s="6" t="s">
        <v>18</v>
      </c>
      <c r="D17" s="6" t="s">
        <v>337</v>
      </c>
      <c r="E17" s="12">
        <v>59</v>
      </c>
      <c r="F17" s="6" t="s">
        <v>58</v>
      </c>
      <c r="G17" s="25"/>
      <c r="H17" s="25"/>
      <c r="I17" s="26" t="s">
        <v>337</v>
      </c>
      <c r="J17" s="25"/>
      <c r="K17" s="25" t="s">
        <v>113</v>
      </c>
      <c r="L17" s="6" t="s">
        <v>337</v>
      </c>
      <c r="M17" s="6"/>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t="s">
        <v>0</v>
      </c>
      <c r="B18" s="6" t="s">
        <v>37</v>
      </c>
      <c r="C18" s="6" t="s">
        <v>289</v>
      </c>
      <c r="D18" s="6" t="s">
        <v>337</v>
      </c>
      <c r="E18" s="12">
        <v>1</v>
      </c>
      <c r="F18" s="6" t="s">
        <v>58</v>
      </c>
      <c r="G18" s="25"/>
      <c r="H18" s="25"/>
      <c r="I18" s="26" t="s">
        <v>337</v>
      </c>
      <c r="J18" s="25"/>
      <c r="K18" s="25" t="s">
        <v>113</v>
      </c>
      <c r="L18" s="6" t="s">
        <v>337</v>
      </c>
      <c r="M18" s="6"/>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t="s">
        <v>0</v>
      </c>
      <c r="B19" s="6" t="s">
        <v>37</v>
      </c>
      <c r="C19" s="6" t="s">
        <v>299</v>
      </c>
      <c r="D19" s="6" t="s">
        <v>337</v>
      </c>
      <c r="E19" s="12">
        <v>0</v>
      </c>
      <c r="F19" s="6" t="s">
        <v>58</v>
      </c>
      <c r="G19" s="25"/>
      <c r="H19" s="25"/>
      <c r="I19" s="26" t="s">
        <v>337</v>
      </c>
      <c r="J19" s="25"/>
      <c r="K19" s="25" t="s">
        <v>113</v>
      </c>
      <c r="L19" s="6" t="s">
        <v>337</v>
      </c>
      <c r="M19" s="6"/>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t="s">
        <v>0</v>
      </c>
      <c r="B20" s="6" t="s">
        <v>37</v>
      </c>
      <c r="C20" s="6" t="s">
        <v>300</v>
      </c>
      <c r="D20" s="6" t="s">
        <v>337</v>
      </c>
      <c r="E20" s="12">
        <v>0</v>
      </c>
      <c r="F20" s="6" t="s">
        <v>58</v>
      </c>
      <c r="G20" s="25"/>
      <c r="H20" s="25"/>
      <c r="I20" s="26" t="s">
        <v>337</v>
      </c>
      <c r="J20" s="25"/>
      <c r="K20" s="25" t="s">
        <v>113</v>
      </c>
      <c r="L20" s="6" t="s">
        <v>337</v>
      </c>
      <c r="M20" s="6"/>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t="s">
        <v>0</v>
      </c>
      <c r="B21" s="6" t="s">
        <v>244</v>
      </c>
      <c r="C21" s="6" t="s">
        <v>309</v>
      </c>
      <c r="D21" s="6"/>
      <c r="E21" s="12">
        <v>97</v>
      </c>
      <c r="F21" s="6" t="s">
        <v>58</v>
      </c>
      <c r="G21" s="25"/>
      <c r="H21" s="25"/>
      <c r="I21" s="26" t="s">
        <v>337</v>
      </c>
      <c r="J21" s="25"/>
      <c r="K21" s="25" t="s">
        <v>113</v>
      </c>
      <c r="L21" s="6" t="s">
        <v>337</v>
      </c>
      <c r="M21" s="6"/>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t="s">
        <v>0</v>
      </c>
      <c r="B22" s="6" t="s">
        <v>37</v>
      </c>
      <c r="C22" s="6" t="s">
        <v>297</v>
      </c>
      <c r="D22" s="6"/>
      <c r="E22" s="12">
        <v>0.21</v>
      </c>
      <c r="F22" s="6" t="s">
        <v>58</v>
      </c>
      <c r="G22" s="25"/>
      <c r="H22" s="25"/>
      <c r="I22" s="26" t="s">
        <v>337</v>
      </c>
      <c r="J22" s="25"/>
      <c r="K22" s="25" t="s">
        <v>113</v>
      </c>
      <c r="L22" s="6" t="s">
        <v>337</v>
      </c>
      <c r="M22" s="6"/>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t="s">
        <v>0</v>
      </c>
      <c r="B23" s="6" t="s">
        <v>37</v>
      </c>
      <c r="C23" s="6" t="s">
        <v>301</v>
      </c>
      <c r="D23" s="6"/>
      <c r="E23" s="12">
        <v>320</v>
      </c>
      <c r="F23" s="6" t="s">
        <v>58</v>
      </c>
      <c r="G23" s="25"/>
      <c r="H23" s="25"/>
      <c r="I23" s="26" t="s">
        <v>337</v>
      </c>
      <c r="J23" s="25"/>
      <c r="K23" s="25" t="s">
        <v>85</v>
      </c>
      <c r="L23" s="6" t="s">
        <v>337</v>
      </c>
      <c r="M23" s="6"/>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t="s">
        <v>0</v>
      </c>
      <c r="B24" s="6" t="s">
        <v>37</v>
      </c>
      <c r="C24" s="6" t="s">
        <v>302</v>
      </c>
      <c r="D24" s="6" t="s">
        <v>337</v>
      </c>
      <c r="E24" s="12">
        <v>507</v>
      </c>
      <c r="F24" s="6" t="s">
        <v>58</v>
      </c>
      <c r="G24" s="25"/>
      <c r="H24" s="25"/>
      <c r="I24" s="26" t="s">
        <v>337</v>
      </c>
      <c r="J24" s="25"/>
      <c r="K24" s="25" t="s">
        <v>85</v>
      </c>
      <c r="L24" s="6" t="s">
        <v>337</v>
      </c>
      <c r="M24" s="6"/>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t="s">
        <v>0</v>
      </c>
      <c r="B25" s="6" t="s">
        <v>37</v>
      </c>
      <c r="C25" s="6" t="s">
        <v>310</v>
      </c>
      <c r="D25" s="6" t="s">
        <v>337</v>
      </c>
      <c r="E25" s="12">
        <v>48</v>
      </c>
      <c r="F25" s="6" t="s">
        <v>58</v>
      </c>
      <c r="G25" s="25"/>
      <c r="H25" s="25"/>
      <c r="I25" s="26" t="s">
        <v>337</v>
      </c>
      <c r="J25" s="25"/>
      <c r="K25" s="25" t="s">
        <v>85</v>
      </c>
      <c r="L25" s="6" t="s">
        <v>337</v>
      </c>
      <c r="M25" s="6"/>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t="s">
        <v>0</v>
      </c>
      <c r="B26" s="6" t="s">
        <v>37</v>
      </c>
      <c r="C26" s="6" t="s">
        <v>305</v>
      </c>
      <c r="D26" s="6" t="s">
        <v>337</v>
      </c>
      <c r="E26" s="12">
        <v>880</v>
      </c>
      <c r="F26" s="6" t="s">
        <v>58</v>
      </c>
      <c r="G26" s="25"/>
      <c r="H26" s="25"/>
      <c r="I26" s="26" t="s">
        <v>337</v>
      </c>
      <c r="J26" s="25"/>
      <c r="K26" s="25" t="s">
        <v>85</v>
      </c>
      <c r="L26" s="6" t="s">
        <v>337</v>
      </c>
      <c r="M26" s="6"/>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t="s">
        <v>0</v>
      </c>
      <c r="B27" s="6" t="s">
        <v>37</v>
      </c>
      <c r="C27" s="6" t="s">
        <v>306</v>
      </c>
      <c r="D27" s="6" t="s">
        <v>337</v>
      </c>
      <c r="E27" s="12">
        <v>9</v>
      </c>
      <c r="F27" s="6" t="s">
        <v>58</v>
      </c>
      <c r="G27" s="25"/>
      <c r="H27" s="25"/>
      <c r="I27" s="26" t="s">
        <v>337</v>
      </c>
      <c r="J27" s="25"/>
      <c r="K27" s="25" t="s">
        <v>85</v>
      </c>
      <c r="L27" s="6" t="s">
        <v>337</v>
      </c>
      <c r="M27" s="6"/>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t="s">
        <v>0</v>
      </c>
      <c r="B28" s="6" t="s">
        <v>37</v>
      </c>
      <c r="C28" s="6" t="s">
        <v>307</v>
      </c>
      <c r="D28" s="6" t="s">
        <v>337</v>
      </c>
      <c r="E28" s="12">
        <v>16</v>
      </c>
      <c r="F28" s="6" t="s">
        <v>58</v>
      </c>
      <c r="G28" s="25"/>
      <c r="H28" s="25"/>
      <c r="I28" s="26" t="s">
        <v>337</v>
      </c>
      <c r="J28" s="25"/>
      <c r="K28" s="25" t="s">
        <v>85</v>
      </c>
      <c r="L28" s="6" t="s">
        <v>337</v>
      </c>
      <c r="M28" s="6"/>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t="s">
        <v>0</v>
      </c>
      <c r="B29" s="6" t="s">
        <v>37</v>
      </c>
      <c r="C29" s="6" t="s">
        <v>303</v>
      </c>
      <c r="D29" s="6" t="s">
        <v>337</v>
      </c>
      <c r="E29" s="12">
        <v>9</v>
      </c>
      <c r="F29" s="6" t="s">
        <v>58</v>
      </c>
      <c r="G29" s="25"/>
      <c r="H29" s="25"/>
      <c r="I29" s="26" t="s">
        <v>337</v>
      </c>
      <c r="J29" s="25"/>
      <c r="K29" s="25" t="s">
        <v>85</v>
      </c>
      <c r="L29" s="6" t="s">
        <v>337</v>
      </c>
      <c r="M29" s="6"/>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12">
        <f>912*0.5</f>
        <v>456</v>
      </c>
      <c r="F30" s="6" t="s">
        <v>58</v>
      </c>
      <c r="G30" s="25"/>
      <c r="H30" s="25"/>
      <c r="I30" s="26" t="s">
        <v>337</v>
      </c>
      <c r="J30" s="25"/>
      <c r="K30" s="25" t="s">
        <v>86</v>
      </c>
      <c r="L30" s="6" t="s">
        <v>337</v>
      </c>
      <c r="M30" s="6"/>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t="s">
        <v>0</v>
      </c>
      <c r="B31" s="6" t="s">
        <v>244</v>
      </c>
      <c r="C31" s="6" t="s">
        <v>24</v>
      </c>
      <c r="D31" s="6" t="s">
        <v>31</v>
      </c>
      <c r="E31" s="12">
        <f>101*0.5</f>
        <v>50.5</v>
      </c>
      <c r="F31" s="6" t="s">
        <v>58</v>
      </c>
      <c r="G31" s="25"/>
      <c r="H31" s="25"/>
      <c r="I31" s="26" t="s">
        <v>337</v>
      </c>
      <c r="J31" s="25"/>
      <c r="K31" s="25" t="s">
        <v>113</v>
      </c>
      <c r="L31" s="6" t="s">
        <v>337</v>
      </c>
      <c r="M31" s="6"/>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t="s">
        <v>0</v>
      </c>
      <c r="B32" s="6" t="s">
        <v>244</v>
      </c>
      <c r="C32" s="6" t="s">
        <v>24</v>
      </c>
      <c r="D32" s="6" t="s">
        <v>31</v>
      </c>
      <c r="E32" s="12">
        <f>837*0.5</f>
        <v>418.5</v>
      </c>
      <c r="F32" s="6" t="s">
        <v>58</v>
      </c>
      <c r="G32" s="25"/>
      <c r="H32" s="25"/>
      <c r="I32" s="26" t="s">
        <v>337</v>
      </c>
      <c r="J32" s="25"/>
      <c r="K32" s="25" t="s">
        <v>85</v>
      </c>
      <c r="L32" s="6" t="s">
        <v>337</v>
      </c>
      <c r="M32" s="6"/>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t="s">
        <v>0</v>
      </c>
      <c r="B33" s="6" t="s">
        <v>244</v>
      </c>
      <c r="C33" s="6" t="s">
        <v>24</v>
      </c>
      <c r="D33" s="6" t="s">
        <v>42</v>
      </c>
      <c r="E33" s="12">
        <f>912*0.5</f>
        <v>456</v>
      </c>
      <c r="F33" s="6" t="s">
        <v>58</v>
      </c>
      <c r="G33" s="25"/>
      <c r="H33" s="25"/>
      <c r="I33" s="26" t="s">
        <v>337</v>
      </c>
      <c r="J33" s="25"/>
      <c r="K33" s="25" t="s">
        <v>86</v>
      </c>
      <c r="L33" s="6" t="s">
        <v>337</v>
      </c>
      <c r="M33" s="6"/>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t="s">
        <v>0</v>
      </c>
      <c r="B34" s="6" t="s">
        <v>244</v>
      </c>
      <c r="C34" s="6" t="s">
        <v>24</v>
      </c>
      <c r="D34" s="6" t="s">
        <v>42</v>
      </c>
      <c r="E34" s="12">
        <f>101*0.5</f>
        <v>50.5</v>
      </c>
      <c r="F34" s="6" t="s">
        <v>58</v>
      </c>
      <c r="G34" s="25"/>
      <c r="H34" s="25"/>
      <c r="I34" s="26" t="s">
        <v>337</v>
      </c>
      <c r="J34" s="25"/>
      <c r="K34" s="25" t="s">
        <v>113</v>
      </c>
      <c r="L34" s="6" t="s">
        <v>337</v>
      </c>
      <c r="M34" s="6"/>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t="s">
        <v>0</v>
      </c>
      <c r="B35" s="6" t="s">
        <v>244</v>
      </c>
      <c r="C35" s="6" t="s">
        <v>24</v>
      </c>
      <c r="D35" s="6" t="s">
        <v>42</v>
      </c>
      <c r="E35" s="12">
        <f>837*0.5</f>
        <v>418.5</v>
      </c>
      <c r="F35" s="6" t="s">
        <v>58</v>
      </c>
      <c r="G35" s="25"/>
      <c r="H35" s="25"/>
      <c r="I35" s="26" t="s">
        <v>337</v>
      </c>
      <c r="J35" s="25"/>
      <c r="K35" s="25" t="s">
        <v>85</v>
      </c>
      <c r="L35" s="6" t="s">
        <v>337</v>
      </c>
      <c r="M35" s="6"/>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t="s">
        <v>0</v>
      </c>
      <c r="B36" s="6" t="s">
        <v>29</v>
      </c>
      <c r="C36" s="6" t="s">
        <v>29</v>
      </c>
      <c r="D36" s="6" t="s">
        <v>337</v>
      </c>
      <c r="E36" s="12">
        <v>43020</v>
      </c>
      <c r="F36" s="6" t="s">
        <v>58</v>
      </c>
      <c r="G36" s="25"/>
      <c r="H36" s="25"/>
      <c r="I36" s="26" t="s">
        <v>337</v>
      </c>
      <c r="J36" s="25"/>
      <c r="K36" s="25" t="s">
        <v>86</v>
      </c>
      <c r="L36" s="6" t="s">
        <v>337</v>
      </c>
      <c r="M36" s="6"/>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t="s">
        <v>0</v>
      </c>
      <c r="B37" s="6" t="s">
        <v>29</v>
      </c>
      <c r="C37" s="6" t="s">
        <v>29</v>
      </c>
      <c r="D37" s="6" t="s">
        <v>337</v>
      </c>
      <c r="E37" s="12">
        <v>91</v>
      </c>
      <c r="F37" s="6" t="s">
        <v>58</v>
      </c>
      <c r="G37" s="25"/>
      <c r="H37" s="25"/>
      <c r="I37" s="26" t="s">
        <v>337</v>
      </c>
      <c r="J37" s="25"/>
      <c r="K37" s="25" t="s">
        <v>113</v>
      </c>
      <c r="L37" s="6" t="s">
        <v>337</v>
      </c>
      <c r="M37" s="6"/>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t="s">
        <v>0</v>
      </c>
      <c r="B38" s="6" t="s">
        <v>29</v>
      </c>
      <c r="C38" s="6" t="s">
        <v>29</v>
      </c>
      <c r="D38" s="6" t="s">
        <v>337</v>
      </c>
      <c r="E38" s="12">
        <v>16495</v>
      </c>
      <c r="F38" s="6" t="s">
        <v>58</v>
      </c>
      <c r="G38" s="25"/>
      <c r="H38" s="25"/>
      <c r="I38" s="26" t="s">
        <v>337</v>
      </c>
      <c r="J38" s="25"/>
      <c r="K38" s="25" t="s">
        <v>85</v>
      </c>
      <c r="L38" s="6" t="s">
        <v>337</v>
      </c>
      <c r="M38" s="6"/>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t="s">
        <v>113</v>
      </c>
      <c r="B39" s="6" t="s">
        <v>244</v>
      </c>
      <c r="C39" s="6" t="s">
        <v>313</v>
      </c>
      <c r="D39" s="6" t="s">
        <v>241</v>
      </c>
      <c r="E39" s="12">
        <v>119.44875144</v>
      </c>
      <c r="F39" s="6" t="s">
        <v>70</v>
      </c>
      <c r="G39" s="25"/>
      <c r="H39" s="25"/>
      <c r="I39" s="26" t="s">
        <v>337</v>
      </c>
      <c r="J39" s="25"/>
      <c r="K39" s="25"/>
      <c r="L39" s="6" t="s">
        <v>337</v>
      </c>
      <c r="M39" s="6"/>
      <c r="N39" s="6">
        <v>21.535015935911794</v>
      </c>
      <c r="O39" s="6" t="s">
        <v>341</v>
      </c>
      <c r="P39" s="6" t="s">
        <v>2</v>
      </c>
      <c r="Q39" s="6" t="s">
        <v>83</v>
      </c>
      <c r="R39" s="6"/>
      <c r="S39" s="6"/>
      <c r="T39" s="6"/>
    </row>
    <row r="40" spans="1:20" x14ac:dyDescent="0.35">
      <c r="A40" s="6" t="s">
        <v>85</v>
      </c>
      <c r="B40" s="6" t="s">
        <v>3</v>
      </c>
      <c r="C40" s="6" t="s">
        <v>3</v>
      </c>
      <c r="D40" s="6" t="s">
        <v>10</v>
      </c>
      <c r="E40" s="12">
        <f>5580*(1-0.0486379788798401)</f>
        <v>5308.6000778504922</v>
      </c>
      <c r="F40" s="6" t="s">
        <v>68</v>
      </c>
      <c r="G40" s="25"/>
      <c r="H40" s="25"/>
      <c r="I40" s="26" t="s">
        <v>124</v>
      </c>
      <c r="J40" s="25"/>
      <c r="K40" s="25"/>
      <c r="L40" s="6" t="s">
        <v>337</v>
      </c>
      <c r="M40" s="6"/>
      <c r="N40" s="6"/>
      <c r="O40" s="6"/>
      <c r="P40" s="6" t="s">
        <v>3</v>
      </c>
      <c r="Q40" s="6" t="s">
        <v>10</v>
      </c>
      <c r="R40" s="6"/>
      <c r="S40" s="6"/>
      <c r="T40" s="6" t="s">
        <v>343</v>
      </c>
    </row>
    <row r="41" spans="1:20" x14ac:dyDescent="0.35">
      <c r="A41" s="6" t="s">
        <v>85</v>
      </c>
      <c r="B41" s="6" t="s">
        <v>37</v>
      </c>
      <c r="C41" s="6" t="s">
        <v>308</v>
      </c>
      <c r="D41" s="6" t="s">
        <v>337</v>
      </c>
      <c r="E41" s="12">
        <v>3318</v>
      </c>
      <c r="F41" s="6" t="s">
        <v>58</v>
      </c>
      <c r="G41" s="25"/>
      <c r="H41" s="25"/>
      <c r="I41" s="26" t="s">
        <v>114</v>
      </c>
      <c r="J41" s="25"/>
      <c r="K41" s="25" t="s">
        <v>86</v>
      </c>
      <c r="L41" s="6" t="s">
        <v>337</v>
      </c>
      <c r="M41" s="6"/>
      <c r="N41" s="6">
        <v>2.04</v>
      </c>
      <c r="O41" s="6" t="s">
        <v>342</v>
      </c>
      <c r="P41" s="6" t="s">
        <v>308</v>
      </c>
      <c r="Q41" s="6" t="s">
        <v>337</v>
      </c>
      <c r="R41" s="6"/>
      <c r="S41" s="6"/>
      <c r="T41" s="6"/>
    </row>
    <row r="42" spans="1:20" x14ac:dyDescent="0.35">
      <c r="A42" s="6" t="s">
        <v>0</v>
      </c>
      <c r="B42" s="6" t="s">
        <v>245</v>
      </c>
      <c r="C42" s="6" t="s">
        <v>229</v>
      </c>
      <c r="D42" s="6" t="s">
        <v>337</v>
      </c>
      <c r="E42" s="12">
        <f>E41*0.6616*0.732*44/12</f>
        <v>5891.8867391999993</v>
      </c>
      <c r="F42" s="6" t="s">
        <v>58</v>
      </c>
      <c r="G42" s="25"/>
      <c r="H42" s="25"/>
      <c r="I42" s="26" t="s">
        <v>337</v>
      </c>
      <c r="J42" s="25"/>
      <c r="K42" s="25" t="s">
        <v>85</v>
      </c>
      <c r="L42" s="6" t="s">
        <v>337</v>
      </c>
      <c r="M42" s="6"/>
      <c r="N42" s="6"/>
      <c r="O42" s="6"/>
      <c r="P42" s="6" t="s">
        <v>337</v>
      </c>
      <c r="Q42" s="6" t="s">
        <v>337</v>
      </c>
      <c r="R42" s="6"/>
      <c r="S42" s="6"/>
      <c r="T42" s="6" t="s">
        <v>344</v>
      </c>
    </row>
    <row r="43" spans="1:20" x14ac:dyDescent="0.35">
      <c r="A43" s="6" t="s">
        <v>85</v>
      </c>
      <c r="B43" s="6" t="s">
        <v>37</v>
      </c>
      <c r="C43" s="6" t="s">
        <v>311</v>
      </c>
      <c r="D43" s="6" t="s">
        <v>337</v>
      </c>
      <c r="E43" s="12">
        <v>17</v>
      </c>
      <c r="F43" s="6" t="s">
        <v>58</v>
      </c>
      <c r="G43" s="25"/>
      <c r="H43" s="25"/>
      <c r="I43" s="26" t="s">
        <v>124</v>
      </c>
      <c r="J43" s="25"/>
      <c r="K43" s="25" t="s">
        <v>86</v>
      </c>
      <c r="L43" s="6" t="s">
        <v>337</v>
      </c>
      <c r="M43" s="6"/>
      <c r="N43" s="6"/>
      <c r="O43" s="6"/>
      <c r="P43" s="6" t="s">
        <v>311</v>
      </c>
      <c r="Q43" s="6" t="s">
        <v>337</v>
      </c>
      <c r="R43" s="6"/>
      <c r="S43" s="6"/>
      <c r="T43" s="6" t="s">
        <v>345</v>
      </c>
    </row>
    <row r="44" spans="1:20" x14ac:dyDescent="0.35">
      <c r="A44" s="6" t="s">
        <v>85</v>
      </c>
      <c r="B44" s="6" t="s">
        <v>37</v>
      </c>
      <c r="C44" s="6" t="s">
        <v>14</v>
      </c>
      <c r="D44" s="6" t="s">
        <v>337</v>
      </c>
      <c r="E44" s="12">
        <v>210</v>
      </c>
      <c r="F44" s="6" t="s">
        <v>58</v>
      </c>
      <c r="G44" s="25"/>
      <c r="H44" s="25"/>
      <c r="I44" s="26" t="s">
        <v>124</v>
      </c>
      <c r="J44" s="25"/>
      <c r="K44" s="25" t="s">
        <v>86</v>
      </c>
      <c r="L44" s="6" t="s">
        <v>337</v>
      </c>
      <c r="M44" s="6"/>
      <c r="N44" s="6"/>
      <c r="O44" s="6"/>
      <c r="P44" s="6" t="s">
        <v>14</v>
      </c>
      <c r="Q44" s="6" t="s">
        <v>337</v>
      </c>
      <c r="R44" s="6"/>
      <c r="S44" s="6"/>
      <c r="T44" s="6" t="s">
        <v>346</v>
      </c>
    </row>
    <row r="45" spans="1:20" x14ac:dyDescent="0.35">
      <c r="A45" s="6" t="s">
        <v>85</v>
      </c>
      <c r="B45" s="6" t="s">
        <v>37</v>
      </c>
      <c r="C45" s="6" t="s">
        <v>287</v>
      </c>
      <c r="D45" s="6" t="s">
        <v>337</v>
      </c>
      <c r="E45" s="12">
        <v>102</v>
      </c>
      <c r="F45" s="6" t="s">
        <v>58</v>
      </c>
      <c r="G45" s="25"/>
      <c r="H45" s="25"/>
      <c r="I45" s="26" t="s">
        <v>124</v>
      </c>
      <c r="J45" s="25"/>
      <c r="K45" s="25" t="s">
        <v>86</v>
      </c>
      <c r="L45" s="6" t="s">
        <v>337</v>
      </c>
      <c r="M45" s="6"/>
      <c r="N45" s="6"/>
      <c r="O45" s="6"/>
      <c r="P45" s="6" t="s">
        <v>287</v>
      </c>
      <c r="Q45" s="6" t="s">
        <v>337</v>
      </c>
      <c r="R45" s="6"/>
      <c r="S45" s="6"/>
      <c r="T45" s="6" t="s">
        <v>347</v>
      </c>
    </row>
    <row r="46" spans="1:20" x14ac:dyDescent="0.35">
      <c r="A46" s="6" t="s">
        <v>257</v>
      </c>
      <c r="B46" s="6" t="s">
        <v>245</v>
      </c>
      <c r="C46" s="6" t="s">
        <v>228</v>
      </c>
      <c r="D46" s="6" t="s">
        <v>337</v>
      </c>
      <c r="E46" s="12">
        <f>-(8460+5595)</f>
        <v>-14055</v>
      </c>
      <c r="F46" s="6" t="s">
        <v>58</v>
      </c>
      <c r="G46" s="25"/>
      <c r="H46" s="25" t="s">
        <v>339</v>
      </c>
      <c r="I46" s="26" t="s">
        <v>337</v>
      </c>
      <c r="J46" s="25"/>
      <c r="K46" s="25" t="s">
        <v>86</v>
      </c>
      <c r="L46" s="6" t="s">
        <v>337</v>
      </c>
      <c r="M46" s="6"/>
      <c r="N46" s="6"/>
      <c r="O46" s="6"/>
      <c r="P46" s="6" t="s">
        <v>337</v>
      </c>
      <c r="Q46" s="6" t="s">
        <v>337</v>
      </c>
      <c r="R46" s="6"/>
      <c r="S46" s="6"/>
      <c r="T46" s="6" t="s">
        <v>348</v>
      </c>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K6:K46" xr:uid="{0CC65BCB-78AF-43E8-8E48-76A554008A0F}">
      <formula1>0</formula1>
      <formula2>1</formula2>
    </dataValidation>
    <dataValidation type="list" allowBlank="1" showInputMessage="1" showErrorMessage="1" sqref="M6:M100 N39:N41"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8 N42:N100 O39:O41"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6:E100"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O6:O38 O42:O100</xm:sqref>
        </x14:dataValidation>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K47:K100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2022-10-30T21:18:21Z</dcterms:modified>
</cp:coreProperties>
</file>