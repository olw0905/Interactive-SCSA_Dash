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5D1140AF-73E8-4A9D-9823-D01B59F162B4}" xr6:coauthVersionLast="47" xr6:coauthVersionMax="47" xr10:uidLastSave="{00000000-0000-0000-0000-000000000000}"/>
  <bookViews>
    <workbookView xWindow="-120" yWindow="-120" windowWidth="29040" windowHeight="15840" tabRatio="685"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6" i="27" l="1"/>
  <c r="E42" i="27"/>
  <c r="E40" i="27"/>
  <c r="E35" i="27"/>
  <c r="E34" i="27"/>
  <c r="E33" i="27"/>
  <c r="E32" i="27"/>
  <c r="E31" i="27"/>
  <c r="E30" i="27"/>
  <c r="E7" i="27"/>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8" i="27"/>
  <c r="P38" i="27"/>
  <c r="P37" i="27"/>
  <c r="Q37" i="27" s="1"/>
  <c r="P36" i="27"/>
  <c r="Q36" i="27" s="1"/>
  <c r="P35" i="27"/>
  <c r="Q35" i="27" s="1"/>
  <c r="Q34" i="27"/>
  <c r="P34" i="27"/>
  <c r="Q33" i="27"/>
  <c r="P33" i="27"/>
  <c r="Q32" i="27"/>
  <c r="P32" i="27"/>
  <c r="P31" i="27"/>
  <c r="Q31" i="27" s="1"/>
  <c r="P30" i="27"/>
  <c r="Q30" i="27" s="1"/>
  <c r="P29" i="27"/>
  <c r="Q29" i="27" s="1"/>
  <c r="Q28" i="27"/>
  <c r="P28" i="27"/>
  <c r="Q27" i="27"/>
  <c r="P27" i="27"/>
  <c r="Q26" i="27"/>
  <c r="P26" i="27"/>
  <c r="P25" i="27"/>
  <c r="Q25" i="27" s="1"/>
  <c r="P24" i="27"/>
  <c r="Q24" i="27" s="1"/>
  <c r="P23" i="27"/>
  <c r="Q23" i="27" s="1"/>
  <c r="Q22" i="27"/>
  <c r="P22" i="27"/>
  <c r="Q21" i="27"/>
  <c r="P21" i="27"/>
  <c r="Q20" i="27"/>
  <c r="P20" i="27"/>
  <c r="P19" i="27"/>
  <c r="Q19" i="27" s="1"/>
  <c r="P18" i="27"/>
  <c r="Q18" i="27" s="1"/>
  <c r="P17" i="27"/>
  <c r="Q17" i="27" s="1"/>
  <c r="Q16" i="27"/>
  <c r="P16" i="27"/>
  <c r="Q15" i="27"/>
  <c r="P15" i="27"/>
  <c r="Q14" i="27"/>
  <c r="P14" i="27"/>
  <c r="P13" i="27"/>
  <c r="Q13" i="27" s="1"/>
  <c r="P12" i="27"/>
  <c r="Q12" i="27" s="1"/>
  <c r="P11" i="27"/>
  <c r="Q11" i="27" s="1"/>
  <c r="Q10" i="27"/>
  <c r="P10" i="27"/>
  <c r="Q9" i="27"/>
  <c r="P9" i="27"/>
  <c r="Q8" i="27"/>
  <c r="P8" i="27"/>
  <c r="P7" i="27"/>
  <c r="Q7" i="27" s="1"/>
  <c r="P6" i="27"/>
  <c r="Q6" i="27" s="1"/>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<sst xmlns="http://schemas.openxmlformats.org/spreadsheetml/2006/main" count="1261" uniqueCount="349">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</sst>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0" fillId="0" borderId="0" xfId="0" applyFill="1"/>
    <xf numFmtId="0" fontId="0" fillId="0" borderId="0" xfId="0" applyFill="1" applyAlignment="1">
      <alignment horizontal="left"/>
    </xf>
    <xf numFmtId="3" fontId="0" fillId="0" borderId="0" xfId="0" applyNumberFormat="1" applyFill="1"/>
    <xf numFmtId="164" fontId="0" fillId="0" borderId="0" xfId="0" applyNumberFormat="1" applyFill="1"/>
    <xf numFmtId="0" fontId="0" fillId="0" borderId="0" xfId="0" applyFill="1" applyBorder="1"/>
    <xf numFmtId="164" fontId="0" fillId="0" borderId="0" xfId="0" applyNumberFormat="1" applyFill="1" applyBorder="1"/>
    <xf numFmtId="0" fontId="0" fillId="0" borderId="0" xfId="0" applyFill="1" applyBorder="1" applyAlignment="1">
      <alignment horizontal="left"/>
    </xf>
    <xf numFmtId="0" fontId="4" fillId="0" borderId="0" xfId="0" applyFont="1" applyFill="1" applyAlignment="1">
      <alignment horizontal="left"/>
    </xf>
    <xf numFmtId="0" fontId="4" fillId="0" borderId="4" xfId="0" applyFont="1" applyFill="1" applyBorder="1"/>
    <xf numFmtId="0" fontId="0" fillId="0" borderId="4" xfId="0" applyFill="1" applyBorder="1"/>
    <xf numFmtId="0" fontId="3" fillId="0" borderId="0" xfId="0" applyFont="1" applyFill="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68" dataDxfId="67" tableBorderDxfId="66" dataCellStyle="Percent">
  <autoFilter ref="A5:T100" xr:uid="{1644AED8-49DE-4A1D-989C-1566C9A522B9}"/>
  <tableColumns count="20">
    <tableColumn id="1" xr3:uid="{5C14494A-D5A7-4384-9BE6-EDADB9A49DA1}" name="Type" dataDxfId="65"/>
    <tableColumn id="2" xr3:uid="{F94EBBB0-529F-4367-99F4-F6B804F6F878}" name="Category" dataDxfId="64"/>
    <tableColumn id="3" xr3:uid="{6C3E8C27-720F-41E8-BDA3-20546064E67C}" name="Resource" dataDxfId="63">
      <calculatedColumnFormula>_xlfn.XLOOKUP($B6,'SI - Resources'!$A$1:$J$1,'SI - Resources'!$A$2:$J$2, "")</calculatedColumnFormula>
    </tableColumn>
    <tableColumn id="4" xr3:uid="{80894DA5-C440-42BB-97D8-9AEF3AA250DD}" name="End Use" dataDxfId="62">
      <calculatedColumnFormula>IF(_xlfn.XLOOKUP($C6,'SI - End Use'!$B$2:$B$6,'SI - End Use'!$C$2:$C$6, "")="", "", _xlfn.XLOOKUP($C6,'SI - End Use'!$B$2:$B$6,'SI - End Use'!$C$2:$C$6, ""))</calculatedColumnFormula>
    </tableColumn>
    <tableColumn id="5" xr3:uid="{50BB472B-3F35-4DC8-ACAB-87021B22A300}" name="Amount" dataDxfId="61" dataCellStyle="Comma"/>
    <tableColumn id="6" xr3:uid="{3BDD631E-6A2A-477E-913A-FC12253EBDD8}" name="Unit" dataDxfId="60">
      <calculatedColumnFormula array="1">IF($B6="Transportation",  'SI - Units'!$B$9:$B$9, _xlfn.XLOOKUP(_xlfn.XLOOKUP($C6,'SI - Units'!$B$24:$B$109,'SI - Units'!$C$24:$C$109, ""),'SI - Units'!$A$2:$A$8,'SI - Units'!$B$2:$B$8, ""))</calculatedColumnFormula>
    </tableColumn>
    <tableColumn id="7" xr3:uid="{4EE01B06-D222-4508-9931-902C581EFD90}" name="Moisture" dataDxfId="59" dataCellStyle="Percent"/>
    <tableColumn id="8" xr3:uid="{879CDC5A-148F-41D3-B45D-581A8E16F835}" name="Previous Stage" dataDxfId="58" dataCellStyle="Percent"/>
    <tableColumn id="9" xr3:uid="{2FD75FD6-A83C-4987-8E58-16B844248EE9}" name="Always Use Displacement Method for Co-Product?" dataDxfId="57" dataCellStyle="Percent">
      <calculatedColumnFormula>IF(Table13[[#This Row],[Type]]="Co-product", "No", "")</calculatedColumnFormula>
    </tableColumn>
    <tableColumn id="19" xr3:uid="{BD732883-5BF3-4D37-BB10-6CB6B03919F0}" name="Urban Share" dataDxfId="56" dataCellStyle="Percent"/>
    <tableColumn id="10" xr3:uid="{3AA89217-79AB-4F5A-B091-69D6E899927A}" name="Product Train" dataDxfId="55"/>
    <tableColumn id="14" xr3:uid="{F774A1BE-A8A8-4EF3-905C-D88A0E72F164}" name="Payload" dataDxfId="54">
      <calculatedColumnFormula>IF(Table13[[#This Row],[Category]]="Transportation", _xlfn.XLOOKUP(Table13[[#This Row],[Resource]], 'SI - Payload'!$A$10:$A$38,'SI - Payload'!$B$10:$B$38,"",0), "")</calculatedColumnFormula>
    </tableColumn>
    <tableColumn id="15" xr3:uid="{C77A7084-E87F-4DC1-A74F-23CB22D0AE8F}" name="Payload Unit" dataDxfId="53">
      <calculatedColumnFormula>IF(Table13[[#This Row],[Category]]="Transportation", "ton", "")</calculatedColumnFormula>
    </tableColumn>
    <tableColumn id="16" xr3:uid="{08EFBD21-F842-4EF6-A0D1-BD7F8826982F}" name="Market Price" dataDxfId="52"/>
    <tableColumn id="17" xr3:uid="{596024E1-87A9-47FC-90C3-A3DAE4E4656A}" name="Market Price Unit" dataDxfId="51"/>
    <tableColumn id="12" xr3:uid="{BF096D49-8C78-41C5-9009-134C663215AA}" name="Incumbent Product" dataDxfId="50">
      <calculatedColumnFormula>IF(OR(Table13[[#This Row],[Type]]="Main Product", Table13[[#This Row],[Type]]="Co-Product"), Table13[[#This Row],[Resource]], "")</calculatedColumnFormula>
    </tableColumn>
    <tableColumn id="13" xr3:uid="{D157D649-42B4-4A10-8A48-6B5B954B9033}" name="End Use of Incumbent Product" dataDxfId="49">
      <calculatedColumnFormula>IF(_xlfn.XLOOKUP($P6,'SI - End Use'!$B$2:$B$6,'SI - End Use'!$C$2:$C$6, "")="", "", _xlfn.XLOOKUP($C6,'SI - End Use'!$B$2:$B$6,'SI - End Use'!$C$2:$C$6, ""))</calculatedColumnFormula>
    </tableColumn>
    <tableColumn id="20" xr3:uid="{9A0C68B5-2C00-453B-BD44-6EB353C48AAA}" name="Surrogate For" dataDxfId="48"/>
    <tableColumn id="18" xr3:uid="{D6CB4ECB-3E2A-49E9-8839-1D66505226AC}" name="Process" dataDxfId="47"/>
    <tableColumn id="11" xr3:uid="{FC977AEA-8815-4A56-875B-A0E729B5481B}"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45" dataDxfId="44" tableBorderDxfId="43" dataCellStyle="Percent">
  <autoFilter ref="A5:T100" xr:uid="{1644AED8-49DE-4A1D-989C-1566C9A522B9}"/>
  <tableColumns count="20">
    <tableColumn id="1" xr3:uid="{B1E1B899-7802-451D-B0BD-A67CF42B043E}" name="Type" dataDxfId="42"/>
    <tableColumn id="2" xr3:uid="{A3FEACC3-FE0C-4E49-8BAE-FFF8C11C1D14}" name="Category" dataDxfId="41"/>
    <tableColumn id="3" xr3:uid="{D451C217-D78B-4598-8C0F-6C0C609A5FC5}" name="Resource" dataDxfId="40">
      <calculatedColumnFormula>_xlfn.XLOOKUP($B6,'SI - Resources'!$A$1:$J$1,'SI - Resources'!$A$2:$J$2, "")</calculatedColumnFormula>
    </tableColumn>
    <tableColumn id="4" xr3:uid="{8B094D5C-54AF-40FA-8AE8-7B0CC956B140}" name="End Use" dataDxfId="39">
      <calculatedColumnFormula>IF(_xlfn.XLOOKUP($C6,'SI - End Use'!$B$2:$B$6,'SI - End Use'!$C$2:$C$6, "")="", "", _xlfn.XLOOKUP($C6,'SI - End Use'!$B$2:$B$6,'SI - End Use'!$C$2:$C$6, ""))</calculatedColumnFormula>
    </tableColumn>
    <tableColumn id="5" xr3:uid="{F975F8E8-419C-4756-848A-8A0809237B5D}" name="Amount" dataDxfId="38" dataCellStyle="Comma"/>
    <tableColumn id="6" xr3:uid="{E9851DFF-EDF1-4386-8A51-02564BC99C5E}" name="Unit" dataDxfId="37">
      <calculatedColumnFormula array="1">IF($B6="Transportation",  'SI - Units'!$B$9:$B$9, _xlfn.XLOOKUP(_xlfn.XLOOKUP($C6,'SI - Units'!$B$24:$B$109,'SI - Units'!$C$24:$C$109, ""),'SI - Units'!$A$2:$A$8,'SI - Units'!$B$2:$B$8, ""))</calculatedColumnFormula>
    </tableColumn>
    <tableColumn id="7" xr3:uid="{84BCCC58-E141-4607-B0A1-1D384CAED6C1}" name="Moisture" dataDxfId="36" dataCellStyle="Percent"/>
    <tableColumn id="8" xr3:uid="{0DF5961B-A6FC-499F-8D53-FC3E0E60EABE}" name="Previous Stage" dataDxfId="35" dataCellStyle="Percent"/>
    <tableColumn id="9" xr3:uid="{6470BAD5-A74B-4AA4-AFDA-3219877865CC}" name="Always Use Displacement Method for Co-Product?" dataDxfId="34" dataCellStyle="Percent">
      <calculatedColumnFormula>IF(Table16[[#This Row],[Type]]="Co-product", "No", "")</calculatedColumnFormula>
    </tableColumn>
    <tableColumn id="19" xr3:uid="{C496D3CD-1497-40E5-80D5-0E172FA0BA77}" name="Urban Share" dataDxfId="33" dataCellStyle="Percent"/>
    <tableColumn id="10" xr3:uid="{2F8F8D32-BD83-45FE-8E8A-14A62AA4B315}" name="Product Train" dataDxfId="32"/>
    <tableColumn id="14" xr3:uid="{A458546C-B2B9-4366-B1F2-73D7EB6494B6}" name="Payload" dataDxfId="31">
      <calculatedColumnFormula>IF(Table16[[#This Row],[Category]]="Transportation", _xlfn.XLOOKUP(Table16[[#This Row],[Resource]], 'SI - Payload'!$A$10:$A$38,'SI - Payload'!$B$10:$B$38,"",0), "")</calculatedColumnFormula>
    </tableColumn>
    <tableColumn id="15" xr3:uid="{E2DBB816-FE1C-4500-9B1A-3516CFD6290D}" name="Payload Unit" dataDxfId="30">
      <calculatedColumnFormula>IF(Table16[[#This Row],[Category]]="Transportation", "ton", "")</calculatedColumnFormula>
    </tableColumn>
    <tableColumn id="16" xr3:uid="{FBBBA95E-D41A-444E-83E9-EEE504DB1F2D}" name="Market Price" dataDxfId="29"/>
    <tableColumn id="17" xr3:uid="{369ADA6E-B476-40AF-A3C1-5AE5E5D65121}" name="Market Price Unit" dataDxfId="28"/>
    <tableColumn id="12" xr3:uid="{BEC45118-CA98-421F-BDDA-E5A856A7032A}" name="Incumbent Product" dataDxfId="27">
      <calculatedColumnFormula>IF(OR(Table16[[#This Row],[Type]]="Main Product", Table16[[#This Row],[Type]]="Co-Product"), Table16[[#This Row],[Resource]], "")</calculatedColumnFormula>
    </tableColumn>
    <tableColumn id="13" xr3:uid="{BD99A87C-6C98-4C77-B3F1-3A9B7B1CCA69}" name="End Use of Incumbent Product" dataDxfId="26">
      <calculatedColumnFormula>IF(_xlfn.XLOOKUP($P6,'SI - End Use'!$B$2:$B$6,'SI - End Use'!$C$2:$C$6, "")="", "", _xlfn.XLOOKUP($C6,'SI - End Use'!$B$2:$B$6,'SI - End Use'!$C$2:$C$6, ""))</calculatedColumnFormula>
    </tableColumn>
    <tableColumn id="20" xr3:uid="{F4B88114-3F6B-4BB1-8DF2-98CAD3DCF8A1}" name="Surrogate For" dataDxfId="25"/>
    <tableColumn id="18" xr3:uid="{1B350A15-5218-4FED-8933-C6C3C59C7344}" name="Process" dataDxfId="24"/>
    <tableColumn id="11" xr3:uid="{9FC10FF8-5B7F-4AC1-9BE2-D5A083E424B6}"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22" dataDxfId="21" tableBorderDxfId="20" dataCellStyle="Percent">
  <autoFilter ref="A5:T100" xr:uid="{1644AED8-49DE-4A1D-989C-1566C9A522B9}"/>
  <tableColumns count="20">
    <tableColumn id="1" xr3:uid="{7EC87DCF-6251-4240-8F5B-613BAEF8BA4B}" name="Type" dataDxfId="19"/>
    <tableColumn id="2" xr3:uid="{7AC0C941-5EB1-4638-9442-07880AFAF357}" name="Category" dataDxfId="18"/>
    <tableColumn id="3" xr3:uid="{1B45774A-C5D3-4D10-B2DA-216965E9899D}" name="Resource" dataDxfId="17">
      <calculatedColumnFormula>_xlfn.XLOOKUP($B6,'SI - Resources'!$A$1:$J$1,'SI - Resources'!$A$2:$J$2, "")</calculatedColumnFormula>
    </tableColumn>
    <tableColumn id="4" xr3:uid="{35598BF0-9968-441A-ABE9-F58557295222}" name="End Use" dataDxfId="16">
      <calculatedColumnFormula>IF(_xlfn.XLOOKUP($C6,'SI - End Use'!$B$2:$B$6,'SI - End Use'!$C$2:$C$6, "")="", "", _xlfn.XLOOKUP($C6,'SI - End Use'!$B$2:$B$6,'SI - End Use'!$C$2:$C$6, ""))</calculatedColumnFormula>
    </tableColumn>
    <tableColumn id="5" xr3:uid="{8035282C-79EC-4419-940C-3B6F900FFA3E}" name="Amount" dataDxfId="15" dataCellStyle="Comma"/>
    <tableColumn id="6" xr3:uid="{7C2A0CDC-E90A-4876-A5C7-2266AF76E97C}" name="Unit" dataDxfId="14">
      <calculatedColumnFormula array="1">IF($B6="Transportation",  'SI - Units'!$B$9:$B$9, _xlfn.XLOOKUP(_xlfn.XLOOKUP($C6,'SI - Units'!$B$24:$B$109,'SI - Units'!$C$24:$C$109, ""),'SI - Units'!$A$2:$A$8,'SI - Units'!$B$2:$B$8, ""))</calculatedColumnFormula>
    </tableColumn>
    <tableColumn id="7" xr3:uid="{EC75E85E-569B-43DF-8ED0-E379204277B4}" name="Moisture" dataDxfId="13" dataCellStyle="Percent"/>
    <tableColumn id="8" xr3:uid="{258DAE84-6B7A-4825-A31A-5FAF2A05FEA9}" name="Previous Stage" dataDxfId="12" dataCellStyle="Percent"/>
    <tableColumn id="9" xr3:uid="{E940E76D-BC8A-427B-B344-DF1CA98194F2}" name="Always Use Displacement Method for Co-Product?" dataDxfId="11" dataCellStyle="Percent">
      <calculatedColumnFormula>IF(Table18[[#This Row],[Type]]="Co-product", "No", "")</calculatedColumnFormula>
    </tableColumn>
    <tableColumn id="19" xr3:uid="{65188A55-96A3-4170-9979-895D73E06177}" name="Urban Share" dataDxfId="10" dataCellStyle="Percent"/>
    <tableColumn id="10" xr3:uid="{C5725508-0FEE-4E75-9FC8-0A5432055E95}" name="Product Train" dataDxfId="9"/>
    <tableColumn id="14" xr3:uid="{ED6BF890-118D-4EA1-8C69-9E40D89D5BEB}" name="Payload" dataDxfId="8">
      <calculatedColumnFormula>IF(Table18[[#This Row],[Category]]="Transportation", _xlfn.XLOOKUP(Table18[[#This Row],[Resource]], 'SI - Payload'!$A$10:$A$38,'SI - Payload'!$B$10:$B$38,"",0), "")</calculatedColumnFormula>
    </tableColumn>
    <tableColumn id="15" xr3:uid="{D8B65983-31C2-4034-99F3-E8D2D54315EE}" name="Payload Unit" dataDxfId="7">
      <calculatedColumnFormula>IF(Table18[[#This Row],[Category]]="Transportation", "ton", "")</calculatedColumnFormula>
    </tableColumn>
    <tableColumn id="16" xr3:uid="{4F619B10-A0F1-4F2D-9FB1-BEE7A0D75C77}" name="Market Price" dataDxfId="6"/>
    <tableColumn id="17" xr3:uid="{207A3310-A728-4407-8642-5DB0B22BA967}" name="Market Price Unit" dataDxfId="5"/>
    <tableColumn id="12" xr3:uid="{7AAF70B5-6A10-48A8-AE77-DB21B9A4EE34}" name="Incumbent Product" dataDxfId="4">
      <calculatedColumnFormula>IF(OR(Table18[[#This Row],[Type]]="Main Product", Table18[[#This Row],[Type]]="Co-Product"), Table18[[#This Row],[Resource]], "")</calculatedColumnFormula>
    </tableColumn>
    <tableColumn id="13" xr3:uid="{529148C2-24C4-4201-8E6F-6B9D17834397}" name="End Use of Incumbent Product" dataDxfId="3">
      <calculatedColumnFormula>IF(_xlfn.XLOOKUP($P6,'SI - End Use'!$B$2:$B$6,'SI - End Use'!$C$2:$C$6, "")="", "", _xlfn.XLOOKUP($C6,'SI - End Use'!$B$2:$B$6,'SI - End Use'!$C$2:$C$6, ""))</calculatedColumnFormula>
    </tableColumn>
    <tableColumn id="20" xr3:uid="{64C311FB-4D25-4B48-8EDA-06F9BDFE5349}" name="Surrogate For" dataDxfId="2"/>
    <tableColumn id="18" xr3:uid="{3B4B9B49-1686-4899-8730-B1D785FEB379}" name="Process" dataDxfId="1"/>
    <tableColumn id="11" xr3:uid="{8CF0C64D-66C0-4CFD-95B3-9813C6B6127C}"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2" t="s">
        <v>261</v>
      </c>
      <c r="B2" s="72"/>
    </row>
    <row r="3" spans="1:3" ht="29.1" customHeight="1" x14ac:dyDescent="0.25">
      <c r="A3" s="74" t="s">
        <v>274</v>
      </c>
      <c r="B3" s="74"/>
    </row>
    <row r="4" spans="1:3" ht="27.95" customHeight="1" x14ac:dyDescent="0.25">
      <c r="A4" s="19"/>
      <c r="B4" s="19"/>
    </row>
    <row r="5" spans="1:3" ht="27.95" customHeight="1" x14ac:dyDescent="0.25">
      <c r="A5" s="73" t="s">
        <v>260</v>
      </c>
      <c r="B5" s="73"/>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s="58" t="s">
        <v>288</v>
      </c>
      <c r="B11" s="6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7" x14ac:dyDescent="0.25">
      <c r="A17" t="s">
        <v>13</v>
      </c>
      <c r="B17" s="50">
        <f>$Y$4</f>
        <v>22.5</v>
      </c>
    </row>
    <row r="18" spans="1:7" x14ac:dyDescent="0.25">
      <c r="A18" t="s">
        <v>14</v>
      </c>
      <c r="B18" s="50">
        <f t="shared" ref="B18:B38" si="0">$Y$4</f>
        <v>22.5</v>
      </c>
    </row>
    <row r="19" spans="1:7" x14ac:dyDescent="0.25">
      <c r="A19" t="s">
        <v>15</v>
      </c>
      <c r="B19" s="50">
        <f t="shared" si="0"/>
        <v>22.5</v>
      </c>
    </row>
    <row r="20" spans="1:7" x14ac:dyDescent="0.25">
      <c r="A20" t="s">
        <v>16</v>
      </c>
      <c r="B20" s="50">
        <f t="shared" si="0"/>
        <v>22.5</v>
      </c>
    </row>
    <row r="21" spans="1:7" x14ac:dyDescent="0.25">
      <c r="A21" t="s">
        <v>17</v>
      </c>
      <c r="B21" s="50">
        <f t="shared" si="0"/>
        <v>22.5</v>
      </c>
    </row>
    <row r="22" spans="1:7" x14ac:dyDescent="0.25">
      <c r="A22" t="s">
        <v>18</v>
      </c>
      <c r="B22" s="50">
        <f t="shared" si="0"/>
        <v>22.5</v>
      </c>
    </row>
    <row r="23" spans="1:7" x14ac:dyDescent="0.25">
      <c r="A23" t="s">
        <v>19</v>
      </c>
      <c r="B23" s="50">
        <f t="shared" si="0"/>
        <v>22.5</v>
      </c>
    </row>
    <row r="24" spans="1:7" x14ac:dyDescent="0.25">
      <c r="A24" t="s">
        <v>107</v>
      </c>
      <c r="B24" s="50">
        <f t="shared" si="0"/>
        <v>22.5</v>
      </c>
    </row>
    <row r="25" spans="1:7" x14ac:dyDescent="0.25">
      <c r="A25" t="s">
        <v>106</v>
      </c>
      <c r="B25" s="60">
        <f t="shared" si="0"/>
        <v>22.5</v>
      </c>
      <c r="C25" s="58"/>
    </row>
    <row r="26" spans="1:7" x14ac:dyDescent="0.25">
      <c r="A26" t="s">
        <v>21</v>
      </c>
      <c r="B26" s="50">
        <f t="shared" si="0"/>
        <v>22.5</v>
      </c>
      <c r="F26" s="62"/>
      <c r="G26" s="62"/>
    </row>
    <row r="27" spans="1:7" x14ac:dyDescent="0.25">
      <c r="A27" t="s">
        <v>36</v>
      </c>
      <c r="B27" s="50">
        <f t="shared" si="0"/>
        <v>22.5</v>
      </c>
      <c r="F27" s="62"/>
      <c r="G27" s="62"/>
    </row>
    <row r="28" spans="1:7" x14ac:dyDescent="0.25">
      <c r="A28" t="s">
        <v>23</v>
      </c>
      <c r="B28" s="50">
        <f t="shared" si="0"/>
        <v>22.5</v>
      </c>
      <c r="F28" s="62"/>
      <c r="G28" s="62"/>
    </row>
    <row r="29" spans="1:7" x14ac:dyDescent="0.25">
      <c r="A29" t="s">
        <v>25</v>
      </c>
      <c r="B29" s="50">
        <f t="shared" si="0"/>
        <v>22.5</v>
      </c>
      <c r="F29" s="62"/>
      <c r="G29" s="62"/>
    </row>
    <row r="30" spans="1:7" x14ac:dyDescent="0.25">
      <c r="A30" t="s">
        <v>26</v>
      </c>
      <c r="B30" s="50">
        <f t="shared" si="0"/>
        <v>22.5</v>
      </c>
      <c r="F30" s="62"/>
      <c r="G30" s="62"/>
    </row>
    <row r="31" spans="1:7" x14ac:dyDescent="0.25">
      <c r="A31" t="s">
        <v>30</v>
      </c>
      <c r="B31" s="60">
        <f t="shared" si="0"/>
        <v>22.5</v>
      </c>
      <c r="C31" s="58"/>
      <c r="F31" s="62"/>
      <c r="G31" s="62"/>
    </row>
    <row r="32" spans="1:7" x14ac:dyDescent="0.25">
      <c r="A32" t="s">
        <v>21</v>
      </c>
      <c r="B32" s="50">
        <f t="shared" si="0"/>
        <v>22.5</v>
      </c>
      <c r="F32" s="62"/>
      <c r="G32" s="62"/>
    </row>
    <row r="33" spans="1:7" x14ac:dyDescent="0.25">
      <c r="A33" t="s">
        <v>20</v>
      </c>
      <c r="B33" s="50">
        <f t="shared" si="0"/>
        <v>22.5</v>
      </c>
      <c r="F33" s="62"/>
      <c r="G33" s="62"/>
    </row>
    <row r="34" spans="1:7" x14ac:dyDescent="0.25">
      <c r="A34" t="s">
        <v>36</v>
      </c>
      <c r="B34" s="50">
        <f t="shared" si="0"/>
        <v>22.5</v>
      </c>
      <c r="F34" s="62"/>
      <c r="G34" s="62"/>
    </row>
    <row r="35" spans="1:7" x14ac:dyDescent="0.25">
      <c r="A35" t="s">
        <v>25</v>
      </c>
      <c r="B35" s="60">
        <f t="shared" si="0"/>
        <v>22.5</v>
      </c>
      <c r="C35" s="58"/>
      <c r="F35" s="62"/>
      <c r="G35" s="62"/>
    </row>
    <row r="36" spans="1:7" x14ac:dyDescent="0.25">
      <c r="A36" t="s">
        <v>239</v>
      </c>
      <c r="B36" s="60">
        <v>23</v>
      </c>
      <c r="C36" s="58"/>
      <c r="F36" s="62"/>
      <c r="G36" s="62"/>
    </row>
    <row r="37" spans="1:7" x14ac:dyDescent="0.25">
      <c r="A37" t="s">
        <v>243</v>
      </c>
      <c r="B37" s="50">
        <v>23</v>
      </c>
    </row>
    <row r="38" spans="1:7" x14ac:dyDescent="0.2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style="58" bestFit="1" customWidth="1"/>
    <col min="10" max="10" width="15.85546875" bestFit="1" customWidth="1"/>
  </cols>
  <sheetData>
    <row r="1" spans="1:19" x14ac:dyDescent="0.25">
      <c r="A1" s="2" t="s">
        <v>38</v>
      </c>
      <c r="B1" s="2" t="s">
        <v>230</v>
      </c>
      <c r="C1" s="2" t="s">
        <v>244</v>
      </c>
      <c r="D1" s="2" t="s">
        <v>3</v>
      </c>
      <c r="E1" s="2" t="s">
        <v>37</v>
      </c>
      <c r="F1" s="2" t="s">
        <v>29</v>
      </c>
      <c r="G1" s="68" t="s">
        <v>282</v>
      </c>
      <c r="H1" s="2" t="s">
        <v>33</v>
      </c>
      <c r="I1" s="2" t="s">
        <v>217</v>
      </c>
      <c r="J1" s="2" t="s">
        <v>245</v>
      </c>
      <c r="K1" s="2" t="s">
        <v>330</v>
      </c>
      <c r="R1" t="s">
        <v>38</v>
      </c>
      <c r="S1" t="s">
        <v>321</v>
      </c>
    </row>
    <row r="2" spans="1:19" x14ac:dyDescent="0.25">
      <c r="A2" s="58" t="s">
        <v>32</v>
      </c>
      <c r="B2" s="58" t="s">
        <v>231</v>
      </c>
      <c r="C2" s="58" t="s">
        <v>2</v>
      </c>
      <c r="D2" s="58" t="s">
        <v>3</v>
      </c>
      <c r="E2" s="58" t="s">
        <v>278</v>
      </c>
      <c r="F2" s="58" t="s">
        <v>29</v>
      </c>
      <c r="G2" s="58" t="s">
        <v>283</v>
      </c>
      <c r="H2" s="58" t="s">
        <v>32</v>
      </c>
      <c r="I2" s="58" t="s">
        <v>239</v>
      </c>
      <c r="J2" s="58" t="s">
        <v>218</v>
      </c>
      <c r="K2" s="58"/>
      <c r="R2" t="s">
        <v>230</v>
      </c>
      <c r="S2" t="s">
        <v>322</v>
      </c>
    </row>
    <row r="3" spans="1:19" x14ac:dyDescent="0.25">
      <c r="A3" s="58" t="s">
        <v>288</v>
      </c>
      <c r="B3" s="58"/>
      <c r="C3" s="61" t="s">
        <v>24</v>
      </c>
      <c r="D3" s="58"/>
      <c r="E3" s="61" t="s">
        <v>14</v>
      </c>
      <c r="F3" s="58"/>
      <c r="G3" s="58" t="s">
        <v>284</v>
      </c>
      <c r="H3" s="58" t="s">
        <v>239</v>
      </c>
      <c r="I3" s="58" t="s">
        <v>243</v>
      </c>
      <c r="J3" s="58" t="s">
        <v>219</v>
      </c>
      <c r="K3" s="58"/>
      <c r="R3" t="s">
        <v>244</v>
      </c>
      <c r="S3" t="s">
        <v>326</v>
      </c>
    </row>
    <row r="4" spans="1:19" x14ac:dyDescent="0.25">
      <c r="A4" s="58"/>
      <c r="B4" s="58"/>
      <c r="C4" s="61" t="s">
        <v>22</v>
      </c>
      <c r="D4" s="61"/>
      <c r="E4" s="61" t="s">
        <v>51</v>
      </c>
      <c r="F4" s="58"/>
      <c r="G4" s="58" t="s">
        <v>285</v>
      </c>
      <c r="H4" s="58" t="s">
        <v>243</v>
      </c>
      <c r="I4" s="58"/>
      <c r="J4" s="58" t="s">
        <v>220</v>
      </c>
      <c r="K4" s="58"/>
      <c r="R4" t="s">
        <v>3</v>
      </c>
      <c r="S4" t="s">
        <v>323</v>
      </c>
    </row>
    <row r="5" spans="1:19" x14ac:dyDescent="0.25">
      <c r="A5" s="58"/>
      <c r="B5" s="58"/>
      <c r="C5" s="61" t="s">
        <v>309</v>
      </c>
      <c r="D5" s="61"/>
      <c r="E5" s="61" t="s">
        <v>36</v>
      </c>
      <c r="F5" s="58"/>
      <c r="G5" s="58" t="s">
        <v>286</v>
      </c>
      <c r="H5" s="58" t="s">
        <v>288</v>
      </c>
      <c r="I5" s="58"/>
      <c r="J5" s="58" t="s">
        <v>221</v>
      </c>
      <c r="K5" s="58"/>
      <c r="R5" t="s">
        <v>37</v>
      </c>
      <c r="S5" t="s">
        <v>327</v>
      </c>
    </row>
    <row r="6" spans="1:19" x14ac:dyDescent="0.25">
      <c r="A6" s="58"/>
      <c r="B6" s="58"/>
      <c r="C6" s="58" t="s">
        <v>71</v>
      </c>
      <c r="D6" s="58"/>
      <c r="E6" s="61" t="s">
        <v>13</v>
      </c>
      <c r="F6" s="58"/>
      <c r="H6" s="58"/>
      <c r="I6" s="58"/>
      <c r="J6" s="58" t="s">
        <v>222</v>
      </c>
      <c r="K6" s="58"/>
      <c r="R6" t="s">
        <v>29</v>
      </c>
      <c r="S6" t="s">
        <v>324</v>
      </c>
    </row>
    <row r="7" spans="1:19" x14ac:dyDescent="0.25">
      <c r="A7" s="58"/>
      <c r="B7" s="58"/>
      <c r="C7" s="58" t="s">
        <v>276</v>
      </c>
      <c r="D7" s="58"/>
      <c r="E7" s="61" t="s">
        <v>235</v>
      </c>
      <c r="F7" s="58"/>
      <c r="H7" s="58"/>
      <c r="I7" s="58"/>
      <c r="J7" s="58" t="s">
        <v>223</v>
      </c>
      <c r="K7" s="58"/>
      <c r="R7" t="s">
        <v>282</v>
      </c>
      <c r="S7" t="s">
        <v>328</v>
      </c>
    </row>
    <row r="8" spans="1:19" x14ac:dyDescent="0.25">
      <c r="A8" s="58"/>
      <c r="B8" s="58"/>
      <c r="C8" s="58" t="s">
        <v>277</v>
      </c>
      <c r="D8" s="58"/>
      <c r="E8" s="61" t="s">
        <v>25</v>
      </c>
      <c r="F8" s="58"/>
      <c r="H8" s="58"/>
      <c r="I8" s="58"/>
      <c r="J8" s="58" t="s">
        <v>224</v>
      </c>
      <c r="K8" s="58"/>
      <c r="R8" t="s">
        <v>33</v>
      </c>
      <c r="S8" t="s">
        <v>333</v>
      </c>
    </row>
    <row r="9" spans="1:19" x14ac:dyDescent="0.25">
      <c r="A9" s="58"/>
      <c r="B9" s="58"/>
      <c r="C9" s="58" t="s">
        <v>312</v>
      </c>
      <c r="D9" s="58"/>
      <c r="E9" s="61" t="s">
        <v>279</v>
      </c>
      <c r="F9" s="58"/>
      <c r="H9" s="58"/>
      <c r="I9" s="58"/>
      <c r="J9" s="58" t="s">
        <v>225</v>
      </c>
      <c r="K9" s="58"/>
      <c r="R9" t="s">
        <v>217</v>
      </c>
      <c r="S9" t="s">
        <v>325</v>
      </c>
    </row>
    <row r="10" spans="1:19" x14ac:dyDescent="0.25">
      <c r="A10" s="58"/>
      <c r="B10" s="58"/>
      <c r="C10" s="58" t="s">
        <v>313</v>
      </c>
      <c r="D10" s="58"/>
      <c r="E10" s="61" t="s">
        <v>15</v>
      </c>
      <c r="F10" s="58"/>
      <c r="H10" s="58"/>
      <c r="I10" s="58"/>
      <c r="J10" s="58" t="s">
        <v>226</v>
      </c>
      <c r="K10" s="58"/>
      <c r="R10" t="s">
        <v>245</v>
      </c>
      <c r="S10" t="s">
        <v>329</v>
      </c>
    </row>
    <row r="11" spans="1:19" x14ac:dyDescent="0.25">
      <c r="A11" s="58"/>
      <c r="B11" s="58"/>
      <c r="C11" s="58"/>
      <c r="D11" s="58"/>
      <c r="E11" s="61" t="s">
        <v>16</v>
      </c>
      <c r="F11" s="58"/>
      <c r="H11" s="58"/>
      <c r="I11" s="58"/>
      <c r="J11" s="58" t="s">
        <v>227</v>
      </c>
      <c r="K11" s="58"/>
    </row>
    <row r="12" spans="1:19" x14ac:dyDescent="0.25">
      <c r="A12" s="58"/>
      <c r="B12" s="58"/>
      <c r="C12" s="58"/>
      <c r="D12" s="58"/>
      <c r="E12" s="61" t="s">
        <v>23</v>
      </c>
      <c r="F12" s="58"/>
      <c r="H12" s="58"/>
      <c r="I12" s="58"/>
      <c r="J12" s="58" t="s">
        <v>228</v>
      </c>
      <c r="K12" s="58"/>
      <c r="P12" s="34"/>
    </row>
    <row r="13" spans="1:19" x14ac:dyDescent="0.25">
      <c r="A13" s="58"/>
      <c r="B13" s="58"/>
      <c r="C13" s="58"/>
      <c r="D13" s="58"/>
      <c r="E13" s="58" t="s">
        <v>18</v>
      </c>
      <c r="F13" s="58"/>
      <c r="H13" s="58"/>
      <c r="I13" s="58"/>
      <c r="J13" s="58" t="s">
        <v>229</v>
      </c>
      <c r="K13" s="58"/>
      <c r="P13" s="34"/>
    </row>
    <row r="14" spans="1:19" x14ac:dyDescent="0.25">
      <c r="A14" s="58"/>
      <c r="B14" s="58"/>
      <c r="C14" s="58"/>
      <c r="D14" s="58"/>
      <c r="E14" s="58" t="s">
        <v>19</v>
      </c>
      <c r="F14" s="58"/>
      <c r="H14" s="58"/>
      <c r="I14" s="58"/>
      <c r="J14" s="58"/>
      <c r="K14" s="58"/>
      <c r="P14" s="34"/>
    </row>
    <row r="15" spans="1:19" x14ac:dyDescent="0.25">
      <c r="A15" s="58"/>
      <c r="B15" s="58"/>
      <c r="C15" s="58"/>
      <c r="D15" s="58"/>
      <c r="E15" s="61" t="s">
        <v>107</v>
      </c>
      <c r="F15" s="58"/>
      <c r="H15" s="58"/>
      <c r="I15" s="58"/>
      <c r="J15" s="58"/>
      <c r="K15" s="58"/>
    </row>
    <row r="16" spans="1:19" x14ac:dyDescent="0.25">
      <c r="A16" s="58"/>
      <c r="B16" s="58"/>
      <c r="C16" s="58"/>
      <c r="D16" s="58"/>
      <c r="E16" s="61" t="s">
        <v>234</v>
      </c>
      <c r="F16" s="58"/>
      <c r="H16" s="58"/>
      <c r="I16" s="58"/>
      <c r="J16" s="58"/>
      <c r="K16" s="58"/>
    </row>
    <row r="17" spans="1:11" x14ac:dyDescent="0.25">
      <c r="A17" s="58"/>
      <c r="B17" s="58"/>
      <c r="C17" s="58"/>
      <c r="D17" s="58"/>
      <c r="E17" s="61" t="s">
        <v>238</v>
      </c>
      <c r="F17" s="58"/>
      <c r="H17" s="58"/>
      <c r="I17" s="58"/>
      <c r="J17" s="58"/>
      <c r="K17" s="58"/>
    </row>
    <row r="18" spans="1:11" x14ac:dyDescent="0.25">
      <c r="A18" s="58"/>
      <c r="B18" s="58"/>
      <c r="C18" s="58"/>
      <c r="D18" s="58"/>
      <c r="E18" s="61" t="s">
        <v>236</v>
      </c>
      <c r="F18" s="58"/>
      <c r="H18" s="58"/>
      <c r="I18" s="58"/>
      <c r="J18" s="58"/>
      <c r="K18" s="58"/>
    </row>
    <row r="19" spans="1:11" x14ac:dyDescent="0.25">
      <c r="A19" s="58"/>
      <c r="B19" s="58"/>
      <c r="C19" s="58"/>
      <c r="D19" s="58"/>
      <c r="E19" s="61" t="s">
        <v>233</v>
      </c>
      <c r="F19" s="58"/>
      <c r="H19" s="58"/>
      <c r="I19" s="58"/>
      <c r="J19" s="58"/>
      <c r="K19" s="58"/>
    </row>
    <row r="20" spans="1:11" x14ac:dyDescent="0.25">
      <c r="A20" s="58"/>
      <c r="B20" s="58"/>
      <c r="C20" s="58"/>
      <c r="D20" s="58"/>
      <c r="E20" s="61" t="s">
        <v>237</v>
      </c>
      <c r="F20" s="58"/>
      <c r="H20" s="58"/>
      <c r="I20" s="58"/>
      <c r="J20" s="58"/>
      <c r="K20" s="58"/>
    </row>
    <row r="21" spans="1:11" x14ac:dyDescent="0.25">
      <c r="A21" s="58"/>
      <c r="B21" s="58"/>
      <c r="C21" s="58"/>
      <c r="D21" s="58"/>
      <c r="E21" s="61" t="s">
        <v>49</v>
      </c>
      <c r="F21" s="58"/>
      <c r="H21" s="58"/>
      <c r="I21" s="58"/>
      <c r="J21" s="58"/>
      <c r="K21" s="58"/>
    </row>
    <row r="22" spans="1:11" x14ac:dyDescent="0.25">
      <c r="A22" s="58"/>
      <c r="B22" s="58"/>
      <c r="C22" s="58"/>
      <c r="D22" s="58"/>
      <c r="E22" s="61" t="s">
        <v>280</v>
      </c>
      <c r="F22" s="58"/>
      <c r="H22" s="58"/>
      <c r="I22" s="58"/>
      <c r="J22" s="58"/>
      <c r="K22" s="58"/>
    </row>
    <row r="23" spans="1:11" x14ac:dyDescent="0.25">
      <c r="A23" s="58"/>
      <c r="B23" s="58"/>
      <c r="C23" s="58"/>
      <c r="D23" s="58"/>
      <c r="E23" s="61" t="s">
        <v>21</v>
      </c>
      <c r="F23" s="58"/>
      <c r="H23" s="58"/>
      <c r="I23" s="58"/>
      <c r="J23" s="58"/>
      <c r="K23" s="58"/>
    </row>
    <row r="24" spans="1:11" x14ac:dyDescent="0.25">
      <c r="A24" s="58"/>
      <c r="B24" s="58"/>
      <c r="C24" s="58"/>
      <c r="D24" s="58"/>
      <c r="E24" s="61" t="s">
        <v>106</v>
      </c>
      <c r="F24" s="58"/>
      <c r="H24" s="58"/>
      <c r="I24" s="58"/>
      <c r="J24" s="58"/>
      <c r="K24" s="58"/>
    </row>
    <row r="25" spans="1:11" x14ac:dyDescent="0.25">
      <c r="A25" s="58"/>
      <c r="B25" s="58"/>
      <c r="C25" s="58"/>
      <c r="D25" s="58"/>
      <c r="E25" s="58" t="s">
        <v>287</v>
      </c>
      <c r="F25" s="58"/>
      <c r="H25" s="58"/>
      <c r="I25" s="58"/>
      <c r="J25" s="58"/>
      <c r="K25" s="58"/>
    </row>
    <row r="26" spans="1:11" x14ac:dyDescent="0.25">
      <c r="A26" s="58"/>
      <c r="B26" s="58"/>
      <c r="C26" s="58"/>
      <c r="D26" s="58"/>
      <c r="E26" s="61" t="s">
        <v>289</v>
      </c>
      <c r="F26" s="62"/>
      <c r="G26" s="62"/>
      <c r="H26" s="58"/>
      <c r="I26" s="58"/>
      <c r="J26" s="58"/>
      <c r="K26" s="58"/>
    </row>
    <row r="27" spans="1:11" x14ac:dyDescent="0.25">
      <c r="A27" s="58"/>
      <c r="B27" s="58"/>
      <c r="C27" s="58"/>
      <c r="D27" s="58"/>
      <c r="E27" s="61" t="s">
        <v>87</v>
      </c>
      <c r="F27" s="62"/>
      <c r="G27" s="62"/>
      <c r="H27" s="58"/>
      <c r="I27" s="58"/>
      <c r="J27" s="58"/>
      <c r="K27" s="58"/>
    </row>
    <row r="28" spans="1:11" x14ac:dyDescent="0.25">
      <c r="A28" s="58"/>
      <c r="B28" s="58"/>
      <c r="C28" s="58"/>
      <c r="D28" s="58"/>
      <c r="E28" s="61" t="s">
        <v>15</v>
      </c>
      <c r="F28" s="62"/>
      <c r="G28" s="62"/>
      <c r="H28" s="58"/>
      <c r="I28" s="58"/>
      <c r="J28" s="58"/>
      <c r="K28" s="58"/>
    </row>
    <row r="29" spans="1:11" x14ac:dyDescent="0.25">
      <c r="A29" s="58"/>
      <c r="B29" s="58"/>
      <c r="C29" s="58"/>
      <c r="D29" s="58"/>
      <c r="E29" s="61" t="s">
        <v>290</v>
      </c>
      <c r="F29" s="62"/>
      <c r="G29" s="62"/>
      <c r="H29" s="58"/>
      <c r="I29" s="58"/>
      <c r="J29" s="58"/>
      <c r="K29" s="58"/>
    </row>
    <row r="30" spans="1:11" x14ac:dyDescent="0.25">
      <c r="A30" s="58"/>
      <c r="B30" s="58"/>
      <c r="C30" s="58"/>
      <c r="D30" s="58"/>
      <c r="E30" s="66" t="s">
        <v>291</v>
      </c>
      <c r="F30" s="62"/>
      <c r="G30" s="62"/>
      <c r="H30" s="58"/>
      <c r="I30" s="58"/>
      <c r="J30" s="58"/>
      <c r="K30" s="58"/>
    </row>
    <row r="31" spans="1:11" x14ac:dyDescent="0.25">
      <c r="A31" s="58"/>
      <c r="B31" s="58"/>
      <c r="C31" s="58"/>
      <c r="D31" s="58"/>
      <c r="E31" s="66" t="s">
        <v>292</v>
      </c>
      <c r="F31" s="62"/>
      <c r="G31" s="62"/>
      <c r="H31" s="58"/>
      <c r="I31" s="58"/>
      <c r="J31" s="58"/>
      <c r="K31" s="58"/>
    </row>
    <row r="32" spans="1:11" x14ac:dyDescent="0.25">
      <c r="A32" s="58"/>
      <c r="B32" s="58"/>
      <c r="C32" s="58"/>
      <c r="D32" s="58"/>
      <c r="E32" s="67" t="s">
        <v>293</v>
      </c>
      <c r="F32" s="62"/>
      <c r="G32" s="62"/>
      <c r="H32" s="58"/>
      <c r="I32" s="58"/>
      <c r="J32" s="58"/>
      <c r="K32" s="58"/>
    </row>
    <row r="33" spans="1:11" x14ac:dyDescent="0.25">
      <c r="A33" s="58"/>
      <c r="B33" s="58"/>
      <c r="C33" s="58"/>
      <c r="D33" s="58"/>
      <c r="E33" s="67" t="s">
        <v>294</v>
      </c>
      <c r="F33" s="62"/>
      <c r="G33" s="62"/>
      <c r="H33" s="58"/>
      <c r="I33" s="58"/>
      <c r="J33" s="58"/>
      <c r="K33" s="58"/>
    </row>
    <row r="34" spans="1:11" x14ac:dyDescent="0.25">
      <c r="A34" s="58"/>
      <c r="B34" s="58"/>
      <c r="C34" s="58"/>
      <c r="D34" s="58"/>
      <c r="E34" s="67" t="s">
        <v>295</v>
      </c>
      <c r="F34" s="62"/>
      <c r="G34" s="62"/>
      <c r="H34" s="58"/>
      <c r="I34" s="58"/>
      <c r="J34" s="58"/>
      <c r="K34" s="58"/>
    </row>
    <row r="35" spans="1:11" x14ac:dyDescent="0.25">
      <c r="A35" s="58"/>
      <c r="B35" s="58"/>
      <c r="C35" s="58"/>
      <c r="D35" s="58"/>
      <c r="E35" s="67" t="s">
        <v>296</v>
      </c>
      <c r="F35" s="62"/>
      <c r="G35" s="62"/>
      <c r="H35" s="58"/>
      <c r="I35" s="58"/>
      <c r="J35" s="58"/>
      <c r="K35" s="58"/>
    </row>
    <row r="36" spans="1:11" x14ac:dyDescent="0.25">
      <c r="A36" s="58"/>
      <c r="B36" s="58"/>
      <c r="C36" s="58"/>
      <c r="D36" s="58"/>
      <c r="E36" s="67" t="s">
        <v>297</v>
      </c>
      <c r="F36" s="62"/>
      <c r="G36" s="62"/>
      <c r="H36" s="58"/>
      <c r="I36" s="58"/>
      <c r="J36" s="58"/>
      <c r="K36" s="58"/>
    </row>
    <row r="37" spans="1:11" x14ac:dyDescent="0.25">
      <c r="A37" s="58"/>
      <c r="B37" s="58"/>
      <c r="C37" s="58"/>
      <c r="D37" s="58"/>
      <c r="E37" s="67" t="s">
        <v>298</v>
      </c>
      <c r="F37" s="58"/>
      <c r="H37" s="58"/>
      <c r="I37" s="58"/>
      <c r="J37" s="58"/>
      <c r="K37" s="58"/>
    </row>
    <row r="38" spans="1:11" x14ac:dyDescent="0.25">
      <c r="A38" s="58"/>
      <c r="B38" s="58"/>
      <c r="C38" s="58"/>
      <c r="D38" s="58"/>
      <c r="E38" s="67" t="s">
        <v>299</v>
      </c>
      <c r="F38" s="58"/>
      <c r="H38" s="58"/>
      <c r="I38" s="58"/>
      <c r="J38" s="58"/>
      <c r="K38" s="58"/>
    </row>
    <row r="39" spans="1:11" x14ac:dyDescent="0.25">
      <c r="A39" s="58"/>
      <c r="B39" s="58"/>
      <c r="C39" s="58"/>
      <c r="D39" s="58"/>
      <c r="E39" s="67" t="s">
        <v>300</v>
      </c>
      <c r="F39" s="58"/>
      <c r="H39" s="58"/>
      <c r="I39" s="58"/>
      <c r="J39" s="58"/>
      <c r="K39" s="58"/>
    </row>
    <row r="40" spans="1:11" x14ac:dyDescent="0.25">
      <c r="A40" s="58"/>
      <c r="B40" s="58"/>
      <c r="C40" s="58"/>
      <c r="D40" s="58"/>
      <c r="E40" s="67" t="s">
        <v>301</v>
      </c>
      <c r="F40" s="58"/>
      <c r="H40" s="58"/>
      <c r="I40" s="58"/>
      <c r="J40" s="58"/>
      <c r="K40" s="58"/>
    </row>
    <row r="41" spans="1:11" x14ac:dyDescent="0.25">
      <c r="A41" s="58"/>
      <c r="B41" s="58"/>
      <c r="C41" s="58"/>
      <c r="D41" s="58"/>
      <c r="E41" s="67" t="s">
        <v>302</v>
      </c>
      <c r="F41" s="58"/>
      <c r="H41" s="58"/>
      <c r="I41" s="58"/>
      <c r="J41" s="58"/>
      <c r="K41" s="58"/>
    </row>
    <row r="42" spans="1:11" x14ac:dyDescent="0.25">
      <c r="A42" s="58"/>
      <c r="B42" s="58"/>
      <c r="C42" s="58"/>
      <c r="D42" s="58"/>
      <c r="E42" s="67" t="s">
        <v>303</v>
      </c>
      <c r="F42" s="58"/>
      <c r="H42" s="58"/>
      <c r="I42" s="58"/>
      <c r="J42" s="58"/>
      <c r="K42" s="58"/>
    </row>
    <row r="43" spans="1:11" x14ac:dyDescent="0.25">
      <c r="A43" s="58"/>
      <c r="B43" s="58"/>
      <c r="C43" s="58"/>
      <c r="D43" s="58"/>
      <c r="E43" s="67" t="s">
        <v>304</v>
      </c>
      <c r="F43" s="58"/>
      <c r="H43" s="58"/>
      <c r="I43" s="58"/>
      <c r="J43" s="58"/>
      <c r="K43" s="58"/>
    </row>
    <row r="44" spans="1:11" x14ac:dyDescent="0.25">
      <c r="A44" s="58"/>
      <c r="B44" s="58"/>
      <c r="C44" s="58"/>
      <c r="D44" s="58"/>
      <c r="E44" s="67" t="s">
        <v>305</v>
      </c>
      <c r="F44" s="58"/>
      <c r="H44" s="58"/>
      <c r="I44" s="58"/>
      <c r="J44" s="58"/>
      <c r="K44" s="58"/>
    </row>
    <row r="45" spans="1:11" x14ac:dyDescent="0.25">
      <c r="A45" s="58"/>
      <c r="B45" s="58"/>
      <c r="C45" s="58"/>
      <c r="D45" s="58"/>
      <c r="E45" s="67" t="s">
        <v>306</v>
      </c>
      <c r="F45" s="58"/>
      <c r="H45" s="58"/>
      <c r="I45" s="58"/>
      <c r="J45" s="58"/>
      <c r="K45" s="58"/>
    </row>
    <row r="46" spans="1:11" x14ac:dyDescent="0.25">
      <c r="A46" s="58"/>
      <c r="B46" s="58"/>
      <c r="C46" s="58"/>
      <c r="D46" s="58"/>
      <c r="E46" s="67" t="s">
        <v>307</v>
      </c>
      <c r="F46" s="58"/>
      <c r="H46" s="58"/>
      <c r="I46" s="58"/>
      <c r="J46" s="58"/>
      <c r="K46" s="58"/>
    </row>
    <row r="47" spans="1:11" x14ac:dyDescent="0.25">
      <c r="A47" s="58"/>
      <c r="B47" s="58"/>
      <c r="C47" s="58"/>
      <c r="D47" s="58"/>
      <c r="E47" s="67" t="s">
        <v>308</v>
      </c>
      <c r="F47" s="58"/>
      <c r="H47" s="58"/>
      <c r="I47" s="58"/>
      <c r="J47" s="58"/>
      <c r="K47" s="58"/>
    </row>
    <row r="48" spans="1:11" x14ac:dyDescent="0.25">
      <c r="A48" s="58"/>
      <c r="B48" s="58"/>
      <c r="C48" s="58"/>
      <c r="D48" s="58"/>
      <c r="E48" s="67" t="s">
        <v>310</v>
      </c>
      <c r="F48" s="58"/>
      <c r="H48" s="58"/>
      <c r="I48" s="58"/>
      <c r="J48" s="58"/>
      <c r="K48" s="58"/>
    </row>
    <row r="49" spans="1:11" x14ac:dyDescent="0.25">
      <c r="A49" s="58"/>
      <c r="B49" s="58"/>
      <c r="C49" s="58"/>
      <c r="D49" s="58"/>
      <c r="E49" s="67" t="s">
        <v>311</v>
      </c>
      <c r="F49" s="58"/>
      <c r="H49" s="58"/>
      <c r="I49" s="58"/>
      <c r="J49" s="58"/>
      <c r="K49" s="58"/>
    </row>
    <row r="50" spans="1:11" x14ac:dyDescent="0.25">
      <c r="A50" s="58"/>
      <c r="B50" s="58"/>
      <c r="C50" s="58"/>
      <c r="D50" s="58"/>
      <c r="E50" s="61" t="s">
        <v>314</v>
      </c>
      <c r="F50" s="58"/>
      <c r="H50" s="58"/>
      <c r="I50" s="58"/>
      <c r="J50" s="58"/>
      <c r="K50" s="58"/>
    </row>
    <row r="51" spans="1:11" x14ac:dyDescent="0.25">
      <c r="A51" s="58"/>
      <c r="B51" s="58"/>
      <c r="C51" s="58"/>
      <c r="D51" s="58"/>
      <c r="E51" s="61" t="s">
        <v>315</v>
      </c>
      <c r="F51" s="58"/>
      <c r="H51" s="58"/>
      <c r="I51" s="58"/>
      <c r="J51" s="58"/>
      <c r="K51" s="58"/>
    </row>
    <row r="52" spans="1:11" x14ac:dyDescent="0.25">
      <c r="A52" s="58"/>
      <c r="B52" s="58"/>
      <c r="C52" s="58"/>
      <c r="D52" s="58"/>
      <c r="E52" s="61" t="s">
        <v>316</v>
      </c>
      <c r="F52" s="58"/>
      <c r="H52" s="58"/>
      <c r="I52" s="58"/>
      <c r="J52" s="58"/>
      <c r="K52" s="58"/>
    </row>
    <row r="53" spans="1:11" x14ac:dyDescent="0.25">
      <c r="A53" s="58"/>
      <c r="B53" s="58"/>
      <c r="C53" s="58"/>
      <c r="D53" s="58"/>
      <c r="E53" s="61" t="s">
        <v>50</v>
      </c>
      <c r="F53" s="58"/>
      <c r="H53" s="58"/>
      <c r="I53" s="58"/>
      <c r="J53" s="58"/>
      <c r="K53" s="58"/>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36"/>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s="58" customFormat="1" x14ac:dyDescent="0.25">
      <c r="A5" s="58" t="s">
        <v>3</v>
      </c>
      <c r="B5" s="59" t="s">
        <v>3</v>
      </c>
      <c r="C5" s="65" t="s">
        <v>10</v>
      </c>
      <c r="D5" s="65" t="s">
        <v>177</v>
      </c>
      <c r="E5" s="65" t="s">
        <v>72</v>
      </c>
      <c r="F5" s="65" t="s">
        <v>73</v>
      </c>
      <c r="G5" s="65" t="s">
        <v>74</v>
      </c>
      <c r="H5" s="65" t="s">
        <v>75</v>
      </c>
      <c r="I5" s="65" t="s">
        <v>76</v>
      </c>
      <c r="J5" s="65" t="s">
        <v>77</v>
      </c>
      <c r="K5" s="65" t="s">
        <v>78</v>
      </c>
      <c r="L5" s="65" t="s">
        <v>79</v>
      </c>
      <c r="M5" s="59" t="s">
        <v>80</v>
      </c>
      <c r="N5" s="59" t="s">
        <v>81</v>
      </c>
      <c r="O5" s="59"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7" x14ac:dyDescent="0.25">
      <c r="A17" s="3" t="s">
        <v>3</v>
      </c>
      <c r="B17" s="3" t="s">
        <v>320</v>
      </c>
    </row>
    <row r="25" spans="1:7" x14ac:dyDescent="0.25">
      <c r="B25" s="59"/>
      <c r="C25" s="59"/>
    </row>
    <row r="26" spans="1:7" x14ac:dyDescent="0.25">
      <c r="F26" s="62"/>
      <c r="G26" s="62"/>
    </row>
    <row r="27" spans="1:7" x14ac:dyDescent="0.25">
      <c r="F27" s="62"/>
      <c r="G27" s="62"/>
    </row>
    <row r="28" spans="1:7" x14ac:dyDescent="0.25">
      <c r="F28" s="62"/>
      <c r="G28" s="62"/>
    </row>
    <row r="29" spans="1:7" x14ac:dyDescent="0.25">
      <c r="F29" s="62"/>
      <c r="G29" s="62"/>
    </row>
    <row r="30" spans="1:7" x14ac:dyDescent="0.25">
      <c r="F30" s="62"/>
      <c r="G30" s="62"/>
    </row>
    <row r="31" spans="1:7" x14ac:dyDescent="0.25">
      <c r="B31" s="59"/>
      <c r="C31" s="59"/>
      <c r="F31" s="62"/>
      <c r="G31" s="62"/>
    </row>
    <row r="32" spans="1:7" x14ac:dyDescent="0.25">
      <c r="F32" s="62"/>
      <c r="G32" s="62"/>
    </row>
    <row r="33" spans="2:7" x14ac:dyDescent="0.25">
      <c r="F33" s="62"/>
      <c r="G33" s="62"/>
    </row>
    <row r="34" spans="2:7" x14ac:dyDescent="0.25">
      <c r="F34" s="62"/>
      <c r="G34" s="62"/>
    </row>
    <row r="35" spans="2:7" x14ac:dyDescent="0.25">
      <c r="B35" s="59"/>
      <c r="C35" s="59"/>
      <c r="F35" s="62"/>
      <c r="G35" s="62"/>
    </row>
    <row r="36" spans="2:7" x14ac:dyDescent="0.25">
      <c r="B36" s="59"/>
      <c r="C36" s="59"/>
      <c r="F36" s="62"/>
      <c r="G36" s="62"/>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s="58" t="s">
        <v>288</v>
      </c>
      <c r="C25" s="59" t="s">
        <v>56</v>
      </c>
      <c r="G25" s="3"/>
      <c r="H25" s="3"/>
      <c r="I25" s="3"/>
      <c r="J25" s="3"/>
    </row>
    <row r="26" spans="1:23" x14ac:dyDescent="0.25">
      <c r="A26" s="2" t="s">
        <v>230</v>
      </c>
      <c r="B26" t="s">
        <v>231</v>
      </c>
      <c r="C26" s="3" t="s">
        <v>56</v>
      </c>
      <c r="F26" s="62" t="s">
        <v>2</v>
      </c>
      <c r="G26" s="64" t="s">
        <v>331</v>
      </c>
      <c r="H26" s="3"/>
      <c r="I26" s="3"/>
      <c r="J26" s="3"/>
    </row>
    <row r="27" spans="1:23" x14ac:dyDescent="0.25">
      <c r="A27" s="2" t="s">
        <v>244</v>
      </c>
      <c r="B27" t="s">
        <v>2</v>
      </c>
      <c r="C27" t="s">
        <v>52</v>
      </c>
      <c r="F27" s="63" t="s">
        <v>24</v>
      </c>
      <c r="G27" s="64" t="s">
        <v>331</v>
      </c>
    </row>
    <row r="28" spans="1:23" x14ac:dyDescent="0.25">
      <c r="A28" s="2"/>
      <c r="B28" t="s">
        <v>3</v>
      </c>
      <c r="C28" t="s">
        <v>3</v>
      </c>
      <c r="F28" s="63" t="s">
        <v>22</v>
      </c>
      <c r="G28" s="64" t="s">
        <v>331</v>
      </c>
    </row>
    <row r="29" spans="1:23" x14ac:dyDescent="0.25">
      <c r="A29" s="2"/>
      <c r="B29" s="1" t="s">
        <v>24</v>
      </c>
      <c r="C29" t="s">
        <v>52</v>
      </c>
      <c r="F29" s="63" t="s">
        <v>309</v>
      </c>
      <c r="G29" s="64" t="s">
        <v>331</v>
      </c>
      <c r="H29" s="3"/>
      <c r="I29" s="3"/>
      <c r="J29" s="3"/>
      <c r="K29" s="3"/>
      <c r="L29" s="3"/>
    </row>
    <row r="30" spans="1:23" x14ac:dyDescent="0.25">
      <c r="A30" s="2"/>
      <c r="B30" s="1" t="s">
        <v>22</v>
      </c>
      <c r="C30" t="s">
        <v>52</v>
      </c>
      <c r="F30" s="63" t="s">
        <v>71</v>
      </c>
      <c r="G30" s="64" t="s">
        <v>331</v>
      </c>
      <c r="H30" s="3"/>
      <c r="I30" s="3"/>
      <c r="J30" s="3"/>
      <c r="K30" s="3"/>
      <c r="L30" s="3"/>
    </row>
    <row r="31" spans="1:23" x14ac:dyDescent="0.25">
      <c r="A31" s="2"/>
      <c r="B31" s="61" t="s">
        <v>309</v>
      </c>
      <c r="C31" s="58" t="s">
        <v>52</v>
      </c>
      <c r="F31" s="63" t="s">
        <v>276</v>
      </c>
      <c r="G31" s="64" t="s">
        <v>331</v>
      </c>
      <c r="H31" s="3"/>
      <c r="I31" s="3"/>
      <c r="J31" s="3"/>
      <c r="K31" s="3"/>
      <c r="L31" s="3"/>
    </row>
    <row r="32" spans="1:23" x14ac:dyDescent="0.25">
      <c r="A32" s="2"/>
      <c r="B32" s="1" t="s">
        <v>71</v>
      </c>
      <c r="C32" t="s">
        <v>52</v>
      </c>
      <c r="F32" s="63" t="s">
        <v>277</v>
      </c>
      <c r="G32" s="64" t="s">
        <v>331</v>
      </c>
      <c r="H32" s="3"/>
      <c r="I32" s="3"/>
      <c r="J32" s="3"/>
      <c r="K32" s="3"/>
      <c r="L32" s="3"/>
    </row>
    <row r="33" spans="1:7" x14ac:dyDescent="0.25">
      <c r="A33" s="2"/>
      <c r="B33" s="1" t="s">
        <v>276</v>
      </c>
      <c r="C33" t="s">
        <v>52</v>
      </c>
      <c r="F33" s="62" t="s">
        <v>312</v>
      </c>
      <c r="G33" s="64" t="s">
        <v>331</v>
      </c>
    </row>
    <row r="34" spans="1:7" x14ac:dyDescent="0.25">
      <c r="A34" s="2"/>
      <c r="B34" s="1" t="s">
        <v>277</v>
      </c>
      <c r="C34" t="s">
        <v>52</v>
      </c>
      <c r="F34" s="62" t="s">
        <v>313</v>
      </c>
      <c r="G34" s="64" t="s">
        <v>331</v>
      </c>
    </row>
    <row r="35" spans="1:7" x14ac:dyDescent="0.25">
      <c r="A35" s="2"/>
      <c r="B35" s="58" t="s">
        <v>312</v>
      </c>
      <c r="C35" s="58" t="s">
        <v>52</v>
      </c>
      <c r="F35" s="63" t="s">
        <v>87</v>
      </c>
      <c r="G35" s="64" t="s">
        <v>331</v>
      </c>
    </row>
    <row r="36" spans="1:7" x14ac:dyDescent="0.25">
      <c r="A36" s="2"/>
      <c r="B36" s="58" t="s">
        <v>313</v>
      </c>
      <c r="C36" s="58" t="s">
        <v>52</v>
      </c>
      <c r="F36" s="62" t="s">
        <v>29</v>
      </c>
      <c r="G36" s="64"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topLeftCell="E1" workbookViewId="0">
      <pane ySplit="5" topLeftCell="A6" activePane="bottomLeft" state="frozen"/>
      <selection activeCell="C19" sqref="C19"/>
      <selection pane="bottomLeft" activeCell="I16" sqref="I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v>
      </c>
      <c r="C6" s="6" t="s">
        <v>3</v>
      </c>
      <c r="D6" s="6" t="s">
        <v>177</v>
      </c>
      <c r="E6" s="70">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25">
      <c r="A7" s="6" t="s">
        <v>0</v>
      </c>
      <c r="B7" s="6" t="s">
        <v>3</v>
      </c>
      <c r="C7" s="6" t="s">
        <v>3</v>
      </c>
      <c r="D7" s="6" t="s">
        <v>10</v>
      </c>
      <c r="E7" s="70">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282</v>
      </c>
      <c r="C6" s="6" t="s">
        <v>283</v>
      </c>
      <c r="D6" s="6" t="s">
        <v>337</v>
      </c>
      <c r="E6" s="69">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25">
      <c r="A7" s="6" t="s">
        <v>0</v>
      </c>
      <c r="B7" s="6" t="s">
        <v>282</v>
      </c>
      <c r="C7" s="6" t="s">
        <v>284</v>
      </c>
      <c r="D7" s="6" t="s">
        <v>337</v>
      </c>
      <c r="E7" s="69">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25">
      <c r="A8" s="6" t="s">
        <v>0</v>
      </c>
      <c r="B8" s="6" t="s">
        <v>282</v>
      </c>
      <c r="C8" s="6" t="s">
        <v>285</v>
      </c>
      <c r="D8" s="6" t="s">
        <v>337</v>
      </c>
      <c r="E8" s="69">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25">
      <c r="A9" s="6" t="s">
        <v>0</v>
      </c>
      <c r="B9" s="6" t="s">
        <v>282</v>
      </c>
      <c r="C9" s="6" t="s">
        <v>286</v>
      </c>
      <c r="D9" s="6" t="s">
        <v>337</v>
      </c>
      <c r="E9" s="69">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25">
      <c r="A10" s="6" t="s">
        <v>0</v>
      </c>
      <c r="B10" s="6" t="s">
        <v>3</v>
      </c>
      <c r="C10" s="6" t="s">
        <v>3</v>
      </c>
      <c r="D10" s="6" t="s">
        <v>10</v>
      </c>
      <c r="E10" s="71">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25">
      <c r="A11" s="6" t="s">
        <v>257</v>
      </c>
      <c r="B11" s="6" t="s">
        <v>245</v>
      </c>
      <c r="C11" s="6" t="s">
        <v>228</v>
      </c>
      <c r="D11" s="6" t="s">
        <v>337</v>
      </c>
      <c r="E11" s="71">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25">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x14ac:dyDescent="0.25">
      <c r="A13" s="6" t="s">
        <v>0</v>
      </c>
      <c r="B13" s="6" t="s">
        <v>37</v>
      </c>
      <c r="C13" s="6" t="s">
        <v>14</v>
      </c>
      <c r="D13" s="6" t="s">
        <v>337</v>
      </c>
      <c r="E13" s="69">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25">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tabSelected="1" workbookViewId="0">
      <pane ySplit="5" topLeftCell="A31" activePane="bottomLeft" state="frozen"/>
      <selection activeCell="C19" sqref="C19"/>
      <selection pane="bottomLeft" activeCell="E6" sqref="E6:E4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288</v>
      </c>
      <c r="D6" s="6" t="s">
        <v>337</v>
      </c>
      <c r="E6" s="12">
        <v>14727</v>
      </c>
      <c r="F6" s="6" t="s">
        <v>58</v>
      </c>
      <c r="G6" s="25"/>
      <c r="H6" s="25" t="s">
        <v>340</v>
      </c>
      <c r="I6" s="26" t="s">
        <v>337</v>
      </c>
      <c r="J6" s="25" t="s">
        <v>86</v>
      </c>
      <c r="K6" s="6" t="s">
        <v>337</v>
      </c>
      <c r="L6" s="6" t="s">
        <v>337</v>
      </c>
      <c r="M6" s="6"/>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37</v>
      </c>
      <c r="C7" s="6" t="s">
        <v>106</v>
      </c>
      <c r="D7" s="6" t="s">
        <v>337</v>
      </c>
      <c r="E7" s="12">
        <f>1304*0.93</f>
        <v>1212.72</v>
      </c>
      <c r="F7" s="6" t="s">
        <v>58</v>
      </c>
      <c r="G7" s="25"/>
      <c r="H7" s="25"/>
      <c r="I7" s="26" t="s">
        <v>337</v>
      </c>
      <c r="J7" s="25" t="s">
        <v>86</v>
      </c>
      <c r="K7" s="6" t="s">
        <v>337</v>
      </c>
      <c r="L7" s="6" t="s">
        <v>337</v>
      </c>
      <c r="M7" s="6"/>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0</v>
      </c>
      <c r="B8" s="6" t="s">
        <v>37</v>
      </c>
      <c r="C8" s="6" t="s">
        <v>14</v>
      </c>
      <c r="D8" s="6" t="s">
        <v>337</v>
      </c>
      <c r="E8" s="12">
        <v>421</v>
      </c>
      <c r="F8" s="6" t="s">
        <v>58</v>
      </c>
      <c r="G8" s="25"/>
      <c r="H8" s="25"/>
      <c r="I8" s="26" t="s">
        <v>337</v>
      </c>
      <c r="J8" s="25" t="s">
        <v>86</v>
      </c>
      <c r="K8" s="6" t="s">
        <v>337</v>
      </c>
      <c r="L8" s="6" t="s">
        <v>337</v>
      </c>
      <c r="M8" s="6"/>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25">
      <c r="A9" s="6" t="s">
        <v>0</v>
      </c>
      <c r="B9" s="6" t="s">
        <v>37</v>
      </c>
      <c r="C9" s="6" t="s">
        <v>289</v>
      </c>
      <c r="D9" s="6" t="s">
        <v>337</v>
      </c>
      <c r="E9" s="12">
        <v>77</v>
      </c>
      <c r="F9" s="6" t="s">
        <v>58</v>
      </c>
      <c r="G9" s="25"/>
      <c r="H9" s="25"/>
      <c r="I9" s="26" t="s">
        <v>337</v>
      </c>
      <c r="J9" s="25" t="s">
        <v>86</v>
      </c>
      <c r="K9" s="6" t="s">
        <v>337</v>
      </c>
      <c r="L9" s="6" t="s">
        <v>337</v>
      </c>
      <c r="M9" s="6"/>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t="s">
        <v>0</v>
      </c>
      <c r="B10" s="6" t="s">
        <v>37</v>
      </c>
      <c r="C10" s="6" t="s">
        <v>87</v>
      </c>
      <c r="D10" s="6" t="s">
        <v>337</v>
      </c>
      <c r="E10" s="12">
        <v>31</v>
      </c>
      <c r="F10" s="6" t="s">
        <v>58</v>
      </c>
      <c r="G10" s="25"/>
      <c r="H10" s="25"/>
      <c r="I10" s="26" t="s">
        <v>337</v>
      </c>
      <c r="J10" s="25" t="s">
        <v>86</v>
      </c>
      <c r="K10" s="6" t="s">
        <v>337</v>
      </c>
      <c r="L10" s="6" t="s">
        <v>337</v>
      </c>
      <c r="M10" s="6"/>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25">
      <c r="A11" s="6" t="s">
        <v>0</v>
      </c>
      <c r="B11" s="6" t="s">
        <v>37</v>
      </c>
      <c r="C11" s="6" t="s">
        <v>290</v>
      </c>
      <c r="D11" s="6" t="s">
        <v>337</v>
      </c>
      <c r="E11" s="12">
        <v>42</v>
      </c>
      <c r="F11" s="6" t="s">
        <v>58</v>
      </c>
      <c r="G11" s="25"/>
      <c r="H11" s="25"/>
      <c r="I11" s="26" t="s">
        <v>337</v>
      </c>
      <c r="J11" s="25" t="s">
        <v>86</v>
      </c>
      <c r="K11" s="6" t="s">
        <v>337</v>
      </c>
      <c r="L11" s="6" t="s">
        <v>337</v>
      </c>
      <c r="M11" s="6"/>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t="s">
        <v>0</v>
      </c>
      <c r="B12" s="6" t="s">
        <v>37</v>
      </c>
      <c r="C12" s="6" t="s">
        <v>293</v>
      </c>
      <c r="D12" s="6"/>
      <c r="E12" s="12">
        <v>4</v>
      </c>
      <c r="F12" s="6" t="s">
        <v>58</v>
      </c>
      <c r="G12" s="25"/>
      <c r="H12" s="25"/>
      <c r="I12" s="26" t="s">
        <v>337</v>
      </c>
      <c r="J12" s="25" t="s">
        <v>86</v>
      </c>
      <c r="K12" s="6" t="s">
        <v>337</v>
      </c>
      <c r="L12" s="6" t="s">
        <v>337</v>
      </c>
      <c r="M12" s="6"/>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t="s">
        <v>0</v>
      </c>
      <c r="B13" s="6" t="s">
        <v>37</v>
      </c>
      <c r="C13" s="6" t="s">
        <v>294</v>
      </c>
      <c r="D13" s="6"/>
      <c r="E13" s="12">
        <v>8</v>
      </c>
      <c r="F13" s="6" t="s">
        <v>58</v>
      </c>
      <c r="G13" s="25"/>
      <c r="H13" s="25"/>
      <c r="I13" s="26" t="s">
        <v>337</v>
      </c>
      <c r="J13" s="25" t="s">
        <v>86</v>
      </c>
      <c r="K13" s="6" t="s">
        <v>337</v>
      </c>
      <c r="L13" s="6" t="s">
        <v>337</v>
      </c>
      <c r="M13" s="6"/>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t="s">
        <v>0</v>
      </c>
      <c r="B14" s="6" t="s">
        <v>37</v>
      </c>
      <c r="C14" s="6" t="s">
        <v>15</v>
      </c>
      <c r="D14" s="6"/>
      <c r="E14" s="12">
        <v>669</v>
      </c>
      <c r="F14" s="6" t="s">
        <v>58</v>
      </c>
      <c r="G14" s="25"/>
      <c r="H14" s="25"/>
      <c r="I14" s="26" t="s">
        <v>337</v>
      </c>
      <c r="J14" s="25" t="s">
        <v>113</v>
      </c>
      <c r="K14" s="6" t="s">
        <v>337</v>
      </c>
      <c r="L14" s="6" t="s">
        <v>337</v>
      </c>
      <c r="M14" s="6"/>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t="s">
        <v>0</v>
      </c>
      <c r="B15" s="6" t="s">
        <v>37</v>
      </c>
      <c r="C15" s="6" t="s">
        <v>287</v>
      </c>
      <c r="D15" s="6" t="s">
        <v>337</v>
      </c>
      <c r="E15" s="12">
        <v>70</v>
      </c>
      <c r="F15" s="6" t="s">
        <v>58</v>
      </c>
      <c r="G15" s="25"/>
      <c r="H15" s="25"/>
      <c r="I15" s="26" t="s">
        <v>337</v>
      </c>
      <c r="J15" s="25" t="s">
        <v>113</v>
      </c>
      <c r="K15" s="6" t="s">
        <v>337</v>
      </c>
      <c r="L15" s="6" t="s">
        <v>337</v>
      </c>
      <c r="M15" s="6"/>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t="s">
        <v>0</v>
      </c>
      <c r="B16" s="6" t="s">
        <v>37</v>
      </c>
      <c r="C16" s="6" t="s">
        <v>298</v>
      </c>
      <c r="D16" s="6" t="s">
        <v>337</v>
      </c>
      <c r="E16" s="12">
        <v>1</v>
      </c>
      <c r="F16" s="6" t="s">
        <v>58</v>
      </c>
      <c r="G16" s="25"/>
      <c r="H16" s="25"/>
      <c r="I16" s="26" t="s">
        <v>337</v>
      </c>
      <c r="J16" s="25" t="s">
        <v>113</v>
      </c>
      <c r="K16" s="6" t="s">
        <v>337</v>
      </c>
      <c r="L16" s="6" t="s">
        <v>337</v>
      </c>
      <c r="M16" s="6"/>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t="s">
        <v>0</v>
      </c>
      <c r="B17" s="6" t="s">
        <v>37</v>
      </c>
      <c r="C17" s="6" t="s">
        <v>18</v>
      </c>
      <c r="D17" s="6" t="s">
        <v>337</v>
      </c>
      <c r="E17" s="12">
        <v>59</v>
      </c>
      <c r="F17" s="6" t="s">
        <v>58</v>
      </c>
      <c r="G17" s="25"/>
      <c r="H17" s="25"/>
      <c r="I17" s="26" t="s">
        <v>337</v>
      </c>
      <c r="J17" s="25" t="s">
        <v>113</v>
      </c>
      <c r="K17" s="6" t="s">
        <v>337</v>
      </c>
      <c r="L17" s="6" t="s">
        <v>337</v>
      </c>
      <c r="M17" s="6"/>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t="s">
        <v>0</v>
      </c>
      <c r="B18" s="6" t="s">
        <v>37</v>
      </c>
      <c r="C18" s="6" t="s">
        <v>289</v>
      </c>
      <c r="D18" s="6" t="s">
        <v>337</v>
      </c>
      <c r="E18" s="12">
        <v>1</v>
      </c>
      <c r="F18" s="6" t="s">
        <v>58</v>
      </c>
      <c r="G18" s="25"/>
      <c r="H18" s="25"/>
      <c r="I18" s="26" t="s">
        <v>337</v>
      </c>
      <c r="J18" s="25" t="s">
        <v>113</v>
      </c>
      <c r="K18" s="6" t="s">
        <v>337</v>
      </c>
      <c r="L18" s="6" t="s">
        <v>337</v>
      </c>
      <c r="M18" s="6"/>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t="s">
        <v>0</v>
      </c>
      <c r="B19" s="6" t="s">
        <v>37</v>
      </c>
      <c r="C19" s="6" t="s">
        <v>299</v>
      </c>
      <c r="D19" s="6" t="s">
        <v>337</v>
      </c>
      <c r="E19" s="12">
        <v>0</v>
      </c>
      <c r="F19" s="6" t="s">
        <v>58</v>
      </c>
      <c r="G19" s="25"/>
      <c r="H19" s="25"/>
      <c r="I19" s="26" t="s">
        <v>337</v>
      </c>
      <c r="J19" s="25" t="s">
        <v>113</v>
      </c>
      <c r="K19" s="6" t="s">
        <v>337</v>
      </c>
      <c r="L19" s="6" t="s">
        <v>337</v>
      </c>
      <c r="M19" s="6"/>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t="s">
        <v>0</v>
      </c>
      <c r="B20" s="6" t="s">
        <v>37</v>
      </c>
      <c r="C20" s="6" t="s">
        <v>300</v>
      </c>
      <c r="D20" s="6" t="s">
        <v>337</v>
      </c>
      <c r="E20" s="12">
        <v>0</v>
      </c>
      <c r="F20" s="6" t="s">
        <v>58</v>
      </c>
      <c r="G20" s="25"/>
      <c r="H20" s="25"/>
      <c r="I20" s="26" t="s">
        <v>337</v>
      </c>
      <c r="J20" s="25" t="s">
        <v>113</v>
      </c>
      <c r="K20" s="6" t="s">
        <v>337</v>
      </c>
      <c r="L20" s="6" t="s">
        <v>337</v>
      </c>
      <c r="M20" s="6"/>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t="s">
        <v>0</v>
      </c>
      <c r="B21" s="6" t="s">
        <v>244</v>
      </c>
      <c r="C21" s="6" t="s">
        <v>309</v>
      </c>
      <c r="D21" s="6"/>
      <c r="E21" s="12">
        <v>97</v>
      </c>
      <c r="F21" s="6" t="s">
        <v>58</v>
      </c>
      <c r="G21" s="25"/>
      <c r="H21" s="25"/>
      <c r="I21" s="26" t="s">
        <v>337</v>
      </c>
      <c r="J21" s="25" t="s">
        <v>113</v>
      </c>
      <c r="K21" s="6" t="s">
        <v>337</v>
      </c>
      <c r="L21" s="6" t="s">
        <v>337</v>
      </c>
      <c r="M21" s="6"/>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t="s">
        <v>0</v>
      </c>
      <c r="B22" s="6" t="s">
        <v>37</v>
      </c>
      <c r="C22" s="6" t="s">
        <v>297</v>
      </c>
      <c r="D22" s="6"/>
      <c r="E22" s="12">
        <v>0.21</v>
      </c>
      <c r="F22" s="6" t="s">
        <v>58</v>
      </c>
      <c r="G22" s="25"/>
      <c r="H22" s="25"/>
      <c r="I22" s="26" t="s">
        <v>337</v>
      </c>
      <c r="J22" s="25" t="s">
        <v>113</v>
      </c>
      <c r="K22" s="6" t="s">
        <v>337</v>
      </c>
      <c r="L22" s="6" t="s">
        <v>337</v>
      </c>
      <c r="M22" s="6"/>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t="s">
        <v>0</v>
      </c>
      <c r="B23" s="6" t="s">
        <v>37</v>
      </c>
      <c r="C23" s="6" t="s">
        <v>301</v>
      </c>
      <c r="D23" s="6"/>
      <c r="E23" s="12">
        <v>320</v>
      </c>
      <c r="F23" s="6" t="s">
        <v>58</v>
      </c>
      <c r="G23" s="25"/>
      <c r="H23" s="25"/>
      <c r="I23" s="26" t="s">
        <v>337</v>
      </c>
      <c r="J23" s="25" t="s">
        <v>85</v>
      </c>
      <c r="K23" s="6" t="s">
        <v>337</v>
      </c>
      <c r="L23" s="6" t="s">
        <v>337</v>
      </c>
      <c r="M23" s="6"/>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t="s">
        <v>0</v>
      </c>
      <c r="B24" s="6" t="s">
        <v>37</v>
      </c>
      <c r="C24" s="6" t="s">
        <v>302</v>
      </c>
      <c r="D24" s="6" t="s">
        <v>337</v>
      </c>
      <c r="E24" s="12">
        <v>507</v>
      </c>
      <c r="F24" s="6" t="s">
        <v>58</v>
      </c>
      <c r="G24" s="25"/>
      <c r="H24" s="25"/>
      <c r="I24" s="26" t="s">
        <v>337</v>
      </c>
      <c r="J24" s="25" t="s">
        <v>85</v>
      </c>
      <c r="K24" s="6" t="s">
        <v>337</v>
      </c>
      <c r="L24" s="6" t="s">
        <v>337</v>
      </c>
      <c r="M24" s="6"/>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t="s">
        <v>0</v>
      </c>
      <c r="B25" s="6" t="s">
        <v>37</v>
      </c>
      <c r="C25" s="6" t="s">
        <v>310</v>
      </c>
      <c r="D25" s="6" t="s">
        <v>337</v>
      </c>
      <c r="E25" s="12">
        <v>48</v>
      </c>
      <c r="F25" s="6" t="s">
        <v>58</v>
      </c>
      <c r="G25" s="25"/>
      <c r="H25" s="25"/>
      <c r="I25" s="26" t="s">
        <v>337</v>
      </c>
      <c r="J25" s="25" t="s">
        <v>85</v>
      </c>
      <c r="K25" s="6" t="s">
        <v>337</v>
      </c>
      <c r="L25" s="6" t="s">
        <v>337</v>
      </c>
      <c r="M25" s="6"/>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t="s">
        <v>0</v>
      </c>
      <c r="B26" s="6" t="s">
        <v>37</v>
      </c>
      <c r="C26" s="6" t="s">
        <v>305</v>
      </c>
      <c r="D26" s="6" t="s">
        <v>337</v>
      </c>
      <c r="E26" s="12">
        <v>880</v>
      </c>
      <c r="F26" s="6" t="s">
        <v>58</v>
      </c>
      <c r="G26" s="25"/>
      <c r="H26" s="25"/>
      <c r="I26" s="26" t="s">
        <v>337</v>
      </c>
      <c r="J26" s="25" t="s">
        <v>85</v>
      </c>
      <c r="K26" s="6" t="s">
        <v>337</v>
      </c>
      <c r="L26" s="6" t="s">
        <v>337</v>
      </c>
      <c r="M26" s="6"/>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t="s">
        <v>0</v>
      </c>
      <c r="B27" s="6" t="s">
        <v>37</v>
      </c>
      <c r="C27" s="6" t="s">
        <v>306</v>
      </c>
      <c r="D27" s="6" t="s">
        <v>337</v>
      </c>
      <c r="E27" s="12">
        <v>9</v>
      </c>
      <c r="F27" s="6" t="s">
        <v>58</v>
      </c>
      <c r="G27" s="25"/>
      <c r="H27" s="25"/>
      <c r="I27" s="26" t="s">
        <v>337</v>
      </c>
      <c r="J27" s="25" t="s">
        <v>85</v>
      </c>
      <c r="K27" s="6" t="s">
        <v>337</v>
      </c>
      <c r="L27" s="6" t="s">
        <v>337</v>
      </c>
      <c r="M27" s="6"/>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t="s">
        <v>0</v>
      </c>
      <c r="B28" s="6" t="s">
        <v>37</v>
      </c>
      <c r="C28" s="6" t="s">
        <v>307</v>
      </c>
      <c r="D28" s="6" t="s">
        <v>337</v>
      </c>
      <c r="E28" s="12">
        <v>16</v>
      </c>
      <c r="F28" s="6" t="s">
        <v>58</v>
      </c>
      <c r="G28" s="25"/>
      <c r="H28" s="25"/>
      <c r="I28" s="26" t="s">
        <v>337</v>
      </c>
      <c r="J28" s="25" t="s">
        <v>85</v>
      </c>
      <c r="K28" s="6" t="s">
        <v>337</v>
      </c>
      <c r="L28" s="6" t="s">
        <v>337</v>
      </c>
      <c r="M28" s="6"/>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t="s">
        <v>0</v>
      </c>
      <c r="B29" s="6" t="s">
        <v>37</v>
      </c>
      <c r="C29" s="6" t="s">
        <v>303</v>
      </c>
      <c r="D29" s="6" t="s">
        <v>337</v>
      </c>
      <c r="E29" s="12">
        <v>9</v>
      </c>
      <c r="F29" s="6" t="s">
        <v>58</v>
      </c>
      <c r="G29" s="25"/>
      <c r="H29" s="25"/>
      <c r="I29" s="26" t="s">
        <v>337</v>
      </c>
      <c r="J29" s="25" t="s">
        <v>85</v>
      </c>
      <c r="K29" s="6" t="s">
        <v>337</v>
      </c>
      <c r="L29" s="6" t="s">
        <v>337</v>
      </c>
      <c r="M29" s="6"/>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t="s">
        <v>0</v>
      </c>
      <c r="B30" s="6" t="s">
        <v>244</v>
      </c>
      <c r="C30" s="6" t="s">
        <v>24</v>
      </c>
      <c r="D30" s="6" t="s">
        <v>31</v>
      </c>
      <c r="E30" s="12">
        <f>912*0.5</f>
        <v>456</v>
      </c>
      <c r="F30" s="6" t="s">
        <v>58</v>
      </c>
      <c r="G30" s="25"/>
      <c r="H30" s="25"/>
      <c r="I30" s="26" t="s">
        <v>337</v>
      </c>
      <c r="J30" s="25" t="s">
        <v>86</v>
      </c>
      <c r="K30" s="6" t="s">
        <v>337</v>
      </c>
      <c r="L30" s="6" t="s">
        <v>337</v>
      </c>
      <c r="M30" s="6"/>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t="s">
        <v>0</v>
      </c>
      <c r="B31" s="6" t="s">
        <v>244</v>
      </c>
      <c r="C31" s="6" t="s">
        <v>24</v>
      </c>
      <c r="D31" s="6" t="s">
        <v>31</v>
      </c>
      <c r="E31" s="12">
        <f>101*0.5</f>
        <v>50.5</v>
      </c>
      <c r="F31" s="6" t="s">
        <v>58</v>
      </c>
      <c r="G31" s="25"/>
      <c r="H31" s="25"/>
      <c r="I31" s="26" t="s">
        <v>337</v>
      </c>
      <c r="J31" s="25" t="s">
        <v>113</v>
      </c>
      <c r="K31" s="6" t="s">
        <v>337</v>
      </c>
      <c r="L31" s="6" t="s">
        <v>337</v>
      </c>
      <c r="M31" s="6"/>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t="s">
        <v>0</v>
      </c>
      <c r="B32" s="6" t="s">
        <v>244</v>
      </c>
      <c r="C32" s="6" t="s">
        <v>24</v>
      </c>
      <c r="D32" s="6" t="s">
        <v>31</v>
      </c>
      <c r="E32" s="12">
        <f>837*0.5</f>
        <v>418.5</v>
      </c>
      <c r="F32" s="6" t="s">
        <v>58</v>
      </c>
      <c r="G32" s="25"/>
      <c r="H32" s="25"/>
      <c r="I32" s="26" t="s">
        <v>337</v>
      </c>
      <c r="J32" s="25" t="s">
        <v>85</v>
      </c>
      <c r="K32" s="6" t="s">
        <v>337</v>
      </c>
      <c r="L32" s="6" t="s">
        <v>337</v>
      </c>
      <c r="M32" s="6"/>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t="s">
        <v>0</v>
      </c>
      <c r="B33" s="6" t="s">
        <v>244</v>
      </c>
      <c r="C33" s="6" t="s">
        <v>24</v>
      </c>
      <c r="D33" s="6" t="s">
        <v>42</v>
      </c>
      <c r="E33" s="12">
        <f>912*0.5</f>
        <v>456</v>
      </c>
      <c r="F33" s="6" t="s">
        <v>58</v>
      </c>
      <c r="G33" s="25"/>
      <c r="H33" s="25"/>
      <c r="I33" s="26" t="s">
        <v>337</v>
      </c>
      <c r="J33" s="25" t="s">
        <v>86</v>
      </c>
      <c r="K33" s="6" t="s">
        <v>337</v>
      </c>
      <c r="L33" s="6" t="s">
        <v>337</v>
      </c>
      <c r="M33" s="6"/>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t="s">
        <v>0</v>
      </c>
      <c r="B34" s="6" t="s">
        <v>244</v>
      </c>
      <c r="C34" s="6" t="s">
        <v>24</v>
      </c>
      <c r="D34" s="6" t="s">
        <v>42</v>
      </c>
      <c r="E34" s="12">
        <f>101*0.5</f>
        <v>50.5</v>
      </c>
      <c r="F34" s="6" t="s">
        <v>58</v>
      </c>
      <c r="G34" s="25"/>
      <c r="H34" s="25"/>
      <c r="I34" s="26" t="s">
        <v>337</v>
      </c>
      <c r="J34" s="25" t="s">
        <v>113</v>
      </c>
      <c r="K34" s="6" t="s">
        <v>337</v>
      </c>
      <c r="L34" s="6" t="s">
        <v>337</v>
      </c>
      <c r="M34" s="6"/>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t="s">
        <v>0</v>
      </c>
      <c r="B35" s="6" t="s">
        <v>244</v>
      </c>
      <c r="C35" s="6" t="s">
        <v>24</v>
      </c>
      <c r="D35" s="6" t="s">
        <v>42</v>
      </c>
      <c r="E35" s="12">
        <f>837*0.5</f>
        <v>418.5</v>
      </c>
      <c r="F35" s="6" t="s">
        <v>58</v>
      </c>
      <c r="G35" s="25"/>
      <c r="H35" s="25"/>
      <c r="I35" s="26" t="s">
        <v>337</v>
      </c>
      <c r="J35" s="25" t="s">
        <v>85</v>
      </c>
      <c r="K35" s="6" t="s">
        <v>337</v>
      </c>
      <c r="L35" s="6" t="s">
        <v>337</v>
      </c>
      <c r="M35" s="6"/>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t="s">
        <v>0</v>
      </c>
      <c r="B36" s="6" t="s">
        <v>29</v>
      </c>
      <c r="C36" s="6" t="s">
        <v>29</v>
      </c>
      <c r="D36" s="6" t="s">
        <v>337</v>
      </c>
      <c r="E36" s="12">
        <v>43020</v>
      </c>
      <c r="F36" s="6" t="s">
        <v>58</v>
      </c>
      <c r="G36" s="25"/>
      <c r="H36" s="25"/>
      <c r="I36" s="26" t="s">
        <v>337</v>
      </c>
      <c r="J36" s="25" t="s">
        <v>86</v>
      </c>
      <c r="K36" s="6" t="s">
        <v>337</v>
      </c>
      <c r="L36" s="6" t="s">
        <v>337</v>
      </c>
      <c r="M36" s="6"/>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t="s">
        <v>0</v>
      </c>
      <c r="B37" s="6" t="s">
        <v>29</v>
      </c>
      <c r="C37" s="6" t="s">
        <v>29</v>
      </c>
      <c r="D37" s="6" t="s">
        <v>337</v>
      </c>
      <c r="E37" s="12">
        <v>91</v>
      </c>
      <c r="F37" s="6" t="s">
        <v>58</v>
      </c>
      <c r="G37" s="25"/>
      <c r="H37" s="25"/>
      <c r="I37" s="26" t="s">
        <v>337</v>
      </c>
      <c r="J37" s="25" t="s">
        <v>113</v>
      </c>
      <c r="K37" s="6" t="s">
        <v>337</v>
      </c>
      <c r="L37" s="6" t="s">
        <v>337</v>
      </c>
      <c r="M37" s="6"/>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t="s">
        <v>0</v>
      </c>
      <c r="B38" s="6" t="s">
        <v>29</v>
      </c>
      <c r="C38" s="6" t="s">
        <v>29</v>
      </c>
      <c r="D38" s="6" t="s">
        <v>337</v>
      </c>
      <c r="E38" s="12">
        <v>16495</v>
      </c>
      <c r="F38" s="6" t="s">
        <v>58</v>
      </c>
      <c r="G38" s="25"/>
      <c r="H38" s="25"/>
      <c r="I38" s="26" t="s">
        <v>337</v>
      </c>
      <c r="J38" s="25" t="s">
        <v>85</v>
      </c>
      <c r="K38" s="6" t="s">
        <v>337</v>
      </c>
      <c r="L38" s="6" t="s">
        <v>337</v>
      </c>
      <c r="M38" s="6"/>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t="s">
        <v>113</v>
      </c>
      <c r="B39" s="6" t="s">
        <v>244</v>
      </c>
      <c r="C39" s="6" t="s">
        <v>313</v>
      </c>
      <c r="D39" s="6" t="s">
        <v>241</v>
      </c>
      <c r="E39" s="12">
        <v>119.44875144</v>
      </c>
      <c r="F39" s="6" t="s">
        <v>70</v>
      </c>
      <c r="G39" s="25"/>
      <c r="H39" s="25"/>
      <c r="I39" s="26" t="s">
        <v>337</v>
      </c>
      <c r="J39" s="25"/>
      <c r="K39" s="6" t="s">
        <v>337</v>
      </c>
      <c r="L39" s="6" t="s">
        <v>337</v>
      </c>
      <c r="M39" s="6">
        <v>21.535015935911794</v>
      </c>
      <c r="N39" s="6" t="s">
        <v>341</v>
      </c>
      <c r="O39" s="6"/>
      <c r="P39" s="6" t="s">
        <v>2</v>
      </c>
      <c r="Q39" s="6" t="s">
        <v>83</v>
      </c>
      <c r="R39" s="6"/>
      <c r="S39" s="6"/>
      <c r="T39" s="6"/>
    </row>
    <row r="40" spans="1:20" x14ac:dyDescent="0.25">
      <c r="A40" s="6" t="s">
        <v>85</v>
      </c>
      <c r="B40" s="6" t="s">
        <v>3</v>
      </c>
      <c r="C40" s="6" t="s">
        <v>3</v>
      </c>
      <c r="D40" s="6" t="s">
        <v>10</v>
      </c>
      <c r="E40" s="12">
        <f>5580*(1-0.0486379788798401)</f>
        <v>5308.6000778504922</v>
      </c>
      <c r="F40" s="6" t="s">
        <v>68</v>
      </c>
      <c r="G40" s="25"/>
      <c r="H40" s="25"/>
      <c r="I40" s="26" t="s">
        <v>124</v>
      </c>
      <c r="J40" s="25"/>
      <c r="K40" s="6" t="s">
        <v>337</v>
      </c>
      <c r="L40" s="6" t="s">
        <v>337</v>
      </c>
      <c r="M40" s="6"/>
      <c r="N40" s="6"/>
      <c r="O40" s="6"/>
      <c r="P40" s="6" t="s">
        <v>3</v>
      </c>
      <c r="Q40" s="6" t="s">
        <v>10</v>
      </c>
      <c r="R40" s="6"/>
      <c r="S40" s="6"/>
      <c r="T40" s="6" t="s">
        <v>343</v>
      </c>
    </row>
    <row r="41" spans="1:20" x14ac:dyDescent="0.25">
      <c r="A41" s="6" t="s">
        <v>85</v>
      </c>
      <c r="B41" s="6" t="s">
        <v>37</v>
      </c>
      <c r="C41" s="6" t="s">
        <v>308</v>
      </c>
      <c r="D41" s="6" t="s">
        <v>337</v>
      </c>
      <c r="E41" s="12">
        <v>3318</v>
      </c>
      <c r="F41" s="6" t="s">
        <v>58</v>
      </c>
      <c r="G41" s="25"/>
      <c r="H41" s="25"/>
      <c r="I41" s="26" t="s">
        <v>114</v>
      </c>
      <c r="J41" s="25" t="s">
        <v>86</v>
      </c>
      <c r="K41" s="6" t="s">
        <v>337</v>
      </c>
      <c r="L41" s="6" t="s">
        <v>337</v>
      </c>
      <c r="M41" s="6">
        <v>2.04</v>
      </c>
      <c r="N41" s="6" t="s">
        <v>342</v>
      </c>
      <c r="O41" s="6"/>
      <c r="P41" s="6" t="s">
        <v>308</v>
      </c>
      <c r="Q41" s="6" t="s">
        <v>337</v>
      </c>
      <c r="R41" s="6"/>
      <c r="S41" s="6"/>
      <c r="T41" s="6"/>
    </row>
    <row r="42" spans="1:20" x14ac:dyDescent="0.25">
      <c r="A42" s="6" t="s">
        <v>0</v>
      </c>
      <c r="B42" s="6" t="s">
        <v>245</v>
      </c>
      <c r="C42" s="6" t="s">
        <v>229</v>
      </c>
      <c r="D42" s="6" t="s">
        <v>337</v>
      </c>
      <c r="E42" s="12">
        <f>E41*0.6616*0.732*44/12</f>
        <v>5891.8867391999993</v>
      </c>
      <c r="F42" s="6" t="s">
        <v>58</v>
      </c>
      <c r="G42" s="25"/>
      <c r="H42" s="25"/>
      <c r="I42" s="26" t="s">
        <v>337</v>
      </c>
      <c r="J42" s="25" t="s">
        <v>85</v>
      </c>
      <c r="K42" s="6" t="s">
        <v>337</v>
      </c>
      <c r="L42" s="6" t="s">
        <v>337</v>
      </c>
      <c r="M42" s="6"/>
      <c r="N42" s="6"/>
      <c r="O42" s="6"/>
      <c r="P42" s="6" t="s">
        <v>337</v>
      </c>
      <c r="Q42" s="6" t="s">
        <v>337</v>
      </c>
      <c r="R42" s="6"/>
      <c r="S42" s="6"/>
      <c r="T42" s="6" t="s">
        <v>344</v>
      </c>
    </row>
    <row r="43" spans="1:20" x14ac:dyDescent="0.25">
      <c r="A43" s="6" t="s">
        <v>85</v>
      </c>
      <c r="B43" s="6" t="s">
        <v>37</v>
      </c>
      <c r="C43" s="6" t="s">
        <v>311</v>
      </c>
      <c r="D43" s="6" t="s">
        <v>337</v>
      </c>
      <c r="E43" s="12">
        <v>17</v>
      </c>
      <c r="F43" s="6" t="s">
        <v>58</v>
      </c>
      <c r="G43" s="25"/>
      <c r="H43" s="25"/>
      <c r="I43" s="26" t="s">
        <v>124</v>
      </c>
      <c r="J43" s="25" t="s">
        <v>86</v>
      </c>
      <c r="K43" s="6" t="s">
        <v>337</v>
      </c>
      <c r="L43" s="6" t="s">
        <v>337</v>
      </c>
      <c r="M43" s="6"/>
      <c r="N43" s="6"/>
      <c r="O43" s="6"/>
      <c r="P43" s="6" t="s">
        <v>311</v>
      </c>
      <c r="Q43" s="6" t="s">
        <v>337</v>
      </c>
      <c r="R43" s="6"/>
      <c r="S43" s="6"/>
      <c r="T43" s="6" t="s">
        <v>345</v>
      </c>
    </row>
    <row r="44" spans="1:20" x14ac:dyDescent="0.25">
      <c r="A44" s="6" t="s">
        <v>85</v>
      </c>
      <c r="B44" s="6" t="s">
        <v>37</v>
      </c>
      <c r="C44" s="6" t="s">
        <v>14</v>
      </c>
      <c r="D44" s="6" t="s">
        <v>337</v>
      </c>
      <c r="E44" s="12">
        <v>210</v>
      </c>
      <c r="F44" s="6" t="s">
        <v>58</v>
      </c>
      <c r="G44" s="25"/>
      <c r="H44" s="25"/>
      <c r="I44" s="26" t="s">
        <v>124</v>
      </c>
      <c r="J44" s="25" t="s">
        <v>86</v>
      </c>
      <c r="K44" s="6" t="s">
        <v>337</v>
      </c>
      <c r="L44" s="6" t="s">
        <v>337</v>
      </c>
      <c r="M44" s="6"/>
      <c r="N44" s="6"/>
      <c r="O44" s="6"/>
      <c r="P44" s="6" t="s">
        <v>14</v>
      </c>
      <c r="Q44" s="6" t="s">
        <v>337</v>
      </c>
      <c r="R44" s="6"/>
      <c r="S44" s="6"/>
      <c r="T44" s="6" t="s">
        <v>346</v>
      </c>
    </row>
    <row r="45" spans="1:20" x14ac:dyDescent="0.25">
      <c r="A45" s="6" t="s">
        <v>85</v>
      </c>
      <c r="B45" s="6" t="s">
        <v>37</v>
      </c>
      <c r="C45" s="6" t="s">
        <v>287</v>
      </c>
      <c r="D45" s="6" t="s">
        <v>337</v>
      </c>
      <c r="E45" s="12">
        <v>102</v>
      </c>
      <c r="F45" s="6" t="s">
        <v>58</v>
      </c>
      <c r="G45" s="25"/>
      <c r="H45" s="25"/>
      <c r="I45" s="26" t="s">
        <v>124</v>
      </c>
      <c r="J45" s="25" t="s">
        <v>86</v>
      </c>
      <c r="K45" s="6" t="s">
        <v>337</v>
      </c>
      <c r="L45" s="6" t="s">
        <v>337</v>
      </c>
      <c r="M45" s="6"/>
      <c r="N45" s="6"/>
      <c r="O45" s="6"/>
      <c r="P45" s="6" t="s">
        <v>287</v>
      </c>
      <c r="Q45" s="6" t="s">
        <v>337</v>
      </c>
      <c r="R45" s="6"/>
      <c r="S45" s="6"/>
      <c r="T45" s="6" t="s">
        <v>347</v>
      </c>
    </row>
    <row r="46" spans="1:20" x14ac:dyDescent="0.25">
      <c r="A46" s="6" t="s">
        <v>257</v>
      </c>
      <c r="B46" s="6" t="s">
        <v>245</v>
      </c>
      <c r="C46" s="6" t="s">
        <v>228</v>
      </c>
      <c r="D46" s="6" t="s">
        <v>337</v>
      </c>
      <c r="E46" s="12">
        <f>-(8460+5595)</f>
        <v>-14055</v>
      </c>
      <c r="F46" s="6" t="s">
        <v>58</v>
      </c>
      <c r="G46" s="25"/>
      <c r="H46" s="25" t="s">
        <v>339</v>
      </c>
      <c r="I46" s="26" t="s">
        <v>337</v>
      </c>
      <c r="J46" s="25" t="s">
        <v>86</v>
      </c>
      <c r="K46" s="6" t="s">
        <v>337</v>
      </c>
      <c r="L46" s="6" t="s">
        <v>337</v>
      </c>
      <c r="M46" s="6"/>
      <c r="N46" s="6"/>
      <c r="O46" s="6"/>
      <c r="P46" s="6" t="s">
        <v>337</v>
      </c>
      <c r="Q46" s="6" t="s">
        <v>337</v>
      </c>
      <c r="R46" s="6"/>
      <c r="S46" s="6"/>
      <c r="T46" s="6" t="s">
        <v>348</v>
      </c>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100"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6:E100"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O6:O100</xm:sqref>
        </x14:dataValidation>
        <x14:dataValidation type="list" allowBlank="1" showInputMessage="1" showErrorMessage="1" xr:uid="{F073EC27-B1D3-40FC-99D9-2C91F459BF75}">
          <x14:formula1>
            <xm:f>INDIRECT(_xlfn.XLOOKUP($P6,'SI - End Use'!$A$11:$A$17,'SI - End Use'!$B$11:$B$17,"other_end_use",0))</xm:f>
          </x14:formula1>
          <xm:sqref>Q6:R100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P6:P100 C6:C100</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2022-10-28T21:30:25Z</dcterms:modified>
</cp:coreProperties>
</file>