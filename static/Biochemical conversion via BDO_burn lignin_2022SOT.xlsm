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E6B4AB64-B247-422B-9D33-9C6F41DED6E4}" xr6:coauthVersionLast="47" xr6:coauthVersionMax="47" xr10:uidLastSave="{00000000-0000-0000-0000-000000000000}"/>
  <bookViews>
    <workbookView xWindow="-110" yWindow="-110" windowWidth="22780" windowHeight="14660" tabRatio="685" firstSheet="9"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 r:id="rId20"/>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2" i="37" l="1"/>
  <c r="I22" i="37"/>
  <c r="L22" i="37"/>
  <c r="M22" i="37"/>
  <c r="P22" i="37"/>
  <c r="Q22" i="37" s="1"/>
  <c r="E10" i="37"/>
  <c r="D10" i="37"/>
  <c r="I10" i="37"/>
  <c r="L10" i="37"/>
  <c r="M10" i="37"/>
  <c r="P10" i="37"/>
  <c r="Q10" i="37" s="1"/>
  <c r="I6" i="38"/>
  <c r="I7" i="38"/>
  <c r="I8" i="38"/>
  <c r="I9" i="38"/>
  <c r="I10" i="38"/>
  <c r="I11" i="38"/>
  <c r="I12" i="38"/>
  <c r="I13" i="38"/>
  <c r="I14" i="38"/>
  <c r="I15" i="38"/>
  <c r="I16" i="38"/>
  <c r="I17" i="38"/>
  <c r="I18" i="38"/>
  <c r="I19" i="38"/>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I55" i="38"/>
  <c r="I56" i="38"/>
  <c r="I57" i="38"/>
  <c r="I58" i="38"/>
  <c r="I59" i="38"/>
  <c r="I60" i="38"/>
  <c r="I61" i="38"/>
  <c r="I62" i="38"/>
  <c r="I63" i="38"/>
  <c r="I64" i="38"/>
  <c r="I65" i="38"/>
  <c r="I66" i="38"/>
  <c r="I67" i="38"/>
  <c r="I68" i="38"/>
  <c r="I69" i="38"/>
  <c r="I70" i="38"/>
  <c r="I71" i="38"/>
  <c r="I72" i="38"/>
  <c r="I73" i="38"/>
  <c r="I74" i="38"/>
  <c r="I75" i="38"/>
  <c r="I76" i="38"/>
  <c r="I77" i="38"/>
  <c r="I78" i="38"/>
  <c r="I79" i="38"/>
  <c r="I80" i="38"/>
  <c r="I81" i="38"/>
  <c r="I82" i="38"/>
  <c r="I83" i="38"/>
  <c r="I84" i="38"/>
  <c r="I85" i="38"/>
  <c r="I86" i="38"/>
  <c r="I87" i="38"/>
  <c r="I88" i="38"/>
  <c r="I89" i="38"/>
  <c r="I90" i="38"/>
  <c r="I91" i="38"/>
  <c r="I92" i="38"/>
  <c r="I93" i="38"/>
  <c r="I94" i="38"/>
  <c r="I95" i="38"/>
  <c r="I96" i="38"/>
  <c r="I97" i="38"/>
  <c r="I98" i="38"/>
  <c r="I99" i="38"/>
  <c r="I100" i="38"/>
  <c r="L6" i="38"/>
  <c r="L7" i="38"/>
  <c r="L8" i="38"/>
  <c r="L9" i="38"/>
  <c r="L10" i="38"/>
  <c r="L11" i="38"/>
  <c r="L12" i="38"/>
  <c r="L13" i="38"/>
  <c r="L14" i="38"/>
  <c r="L15" i="38"/>
  <c r="L16" i="38"/>
  <c r="L17" i="38"/>
  <c r="L18" i="38"/>
  <c r="L19" i="38"/>
  <c r="L20" i="38"/>
  <c r="L21" i="38"/>
  <c r="L22" i="38"/>
  <c r="L23" i="38"/>
  <c r="L24" i="38"/>
  <c r="L25" i="38"/>
  <c r="L26" i="38"/>
  <c r="L27" i="38"/>
  <c r="L28" i="38"/>
  <c r="L29" i="38"/>
  <c r="L30" i="38"/>
  <c r="L31" i="38"/>
  <c r="L32" i="38"/>
  <c r="L33" i="38"/>
  <c r="L34" i="38"/>
  <c r="L35" i="38"/>
  <c r="L36" i="38"/>
  <c r="L37" i="38"/>
  <c r="L38" i="38"/>
  <c r="L39" i="38"/>
  <c r="L40" i="38"/>
  <c r="L41" i="38"/>
  <c r="L42" i="38"/>
  <c r="L43" i="38"/>
  <c r="L44" i="38"/>
  <c r="L45" i="38"/>
  <c r="L46" i="38"/>
  <c r="L47" i="38"/>
  <c r="L48" i="38"/>
  <c r="L49" i="38"/>
  <c r="L50" i="38"/>
  <c r="L51" i="38"/>
  <c r="L52" i="38"/>
  <c r="L53" i="38"/>
  <c r="L54" i="38"/>
  <c r="L55" i="38"/>
  <c r="L56" i="38"/>
  <c r="L57" i="38"/>
  <c r="L58" i="38"/>
  <c r="L59" i="38"/>
  <c r="L60" i="38"/>
  <c r="L61" i="38"/>
  <c r="L62" i="38"/>
  <c r="L63" i="38"/>
  <c r="L64" i="38"/>
  <c r="L65" i="38"/>
  <c r="L66" i="38"/>
  <c r="L67" i="38"/>
  <c r="L68" i="38"/>
  <c r="L69" i="38"/>
  <c r="L70" i="38"/>
  <c r="L71" i="38"/>
  <c r="L72" i="38"/>
  <c r="L73" i="38"/>
  <c r="L74" i="38"/>
  <c r="L75" i="38"/>
  <c r="L76" i="38"/>
  <c r="L77" i="38"/>
  <c r="L78" i="38"/>
  <c r="L79" i="38"/>
  <c r="L80" i="38"/>
  <c r="L81" i="38"/>
  <c r="L82" i="38"/>
  <c r="L83" i="38"/>
  <c r="L84" i="38"/>
  <c r="L85" i="38"/>
  <c r="L86" i="38"/>
  <c r="L87" i="38"/>
  <c r="L88" i="38"/>
  <c r="L89" i="38"/>
  <c r="L90" i="38"/>
  <c r="L91" i="38"/>
  <c r="L92" i="38"/>
  <c r="L93" i="38"/>
  <c r="L94" i="38"/>
  <c r="L95" i="38"/>
  <c r="L96" i="38"/>
  <c r="L97" i="38"/>
  <c r="L98" i="38"/>
  <c r="L99" i="38"/>
  <c r="L100" i="38"/>
  <c r="M6" i="38"/>
  <c r="M7" i="38"/>
  <c r="M8" i="38"/>
  <c r="M9" i="38"/>
  <c r="M10" i="38"/>
  <c r="M11" i="38"/>
  <c r="M12" i="38"/>
  <c r="M13" i="38"/>
  <c r="M14" i="38"/>
  <c r="M15" i="38"/>
  <c r="M16" i="38"/>
  <c r="M17" i="38"/>
  <c r="M18" i="38"/>
  <c r="M19" i="38"/>
  <c r="M20" i="38"/>
  <c r="M21" i="38"/>
  <c r="M22" i="38"/>
  <c r="M23" i="38"/>
  <c r="M24" i="38"/>
  <c r="M25" i="38"/>
  <c r="M26" i="38"/>
  <c r="M27" i="38"/>
  <c r="M28" i="38"/>
  <c r="M29" i="38"/>
  <c r="M30" i="38"/>
  <c r="M31" i="38"/>
  <c r="M32" i="38"/>
  <c r="M33" i="38"/>
  <c r="M34" i="38"/>
  <c r="M35" i="38"/>
  <c r="M36" i="38"/>
  <c r="M37" i="38"/>
  <c r="M38" i="38"/>
  <c r="M39" i="38"/>
  <c r="M40" i="38"/>
  <c r="M41" i="38"/>
  <c r="M42" i="38"/>
  <c r="M43" i="38"/>
  <c r="M44" i="38"/>
  <c r="M45" i="38"/>
  <c r="M46" i="38"/>
  <c r="M47" i="38"/>
  <c r="M48" i="38"/>
  <c r="M49" i="38"/>
  <c r="M50" i="38"/>
  <c r="M51" i="38"/>
  <c r="M52" i="38"/>
  <c r="M53" i="38"/>
  <c r="M54" i="38"/>
  <c r="M55" i="38"/>
  <c r="M56" i="38"/>
  <c r="M57" i="38"/>
  <c r="M58" i="38"/>
  <c r="M59" i="38"/>
  <c r="M60" i="38"/>
  <c r="M61" i="38"/>
  <c r="M62" i="38"/>
  <c r="M63" i="38"/>
  <c r="M64" i="38"/>
  <c r="M65" i="38"/>
  <c r="M66" i="38"/>
  <c r="M67" i="38"/>
  <c r="M68" i="38"/>
  <c r="M69" i="38"/>
  <c r="M70" i="38"/>
  <c r="M71" i="38"/>
  <c r="M72" i="38"/>
  <c r="M73" i="38"/>
  <c r="M74" i="38"/>
  <c r="M75" i="38"/>
  <c r="M76" i="38"/>
  <c r="M77" i="38"/>
  <c r="M78" i="38"/>
  <c r="M79" i="38"/>
  <c r="M80" i="38"/>
  <c r="M81" i="38"/>
  <c r="M82" i="38"/>
  <c r="M83" i="38"/>
  <c r="M84" i="38"/>
  <c r="M85" i="38"/>
  <c r="M86" i="38"/>
  <c r="M87" i="38"/>
  <c r="M88" i="38"/>
  <c r="M89" i="38"/>
  <c r="M90" i="38"/>
  <c r="M91" i="38"/>
  <c r="M92" i="38"/>
  <c r="M93" i="38"/>
  <c r="M94" i="38"/>
  <c r="M95" i="38"/>
  <c r="M96" i="38"/>
  <c r="M97" i="38"/>
  <c r="M98" i="38"/>
  <c r="M99" i="38"/>
  <c r="M100" i="38"/>
  <c r="P7" i="38"/>
  <c r="Q7" i="38" s="1"/>
  <c r="D7" i="38"/>
  <c r="P6" i="38"/>
  <c r="Q6" i="38" s="1"/>
  <c r="D6" i="38"/>
  <c r="P100" i="38"/>
  <c r="Q100" i="38" s="1"/>
  <c r="D100" i="38"/>
  <c r="C100" i="38"/>
  <c r="F100" i="38" s="1" a="1"/>
  <c r="F100" i="38" s="1"/>
  <c r="P99" i="38"/>
  <c r="Q99" i="38" s="1"/>
  <c r="F99" i="38" a="1"/>
  <c r="F99" i="38" s="1"/>
  <c r="C99" i="38"/>
  <c r="D99" i="38" s="1"/>
  <c r="P98" i="38"/>
  <c r="Q98" i="38" s="1"/>
  <c r="D98" i="38"/>
  <c r="C98" i="38"/>
  <c r="F98" i="38" s="1" a="1"/>
  <c r="F98" i="38" s="1"/>
  <c r="P97" i="38"/>
  <c r="Q97" i="38" s="1"/>
  <c r="F97" i="38" a="1"/>
  <c r="F97" i="38" s="1"/>
  <c r="D97" i="38"/>
  <c r="C97" i="38"/>
  <c r="P96" i="38"/>
  <c r="Q96" i="38" s="1"/>
  <c r="F96" i="38"/>
  <c r="F96" i="38" a="1"/>
  <c r="C96" i="38"/>
  <c r="D96" i="38" s="1"/>
  <c r="P95" i="38"/>
  <c r="Q95" i="38" s="1"/>
  <c r="C95" i="38"/>
  <c r="F95" i="38" s="1" a="1"/>
  <c r="F95" i="38" s="1"/>
  <c r="P94" i="38"/>
  <c r="Q94" i="38" s="1"/>
  <c r="F94" i="38" a="1"/>
  <c r="F94" i="38" s="1"/>
  <c r="D94" i="38"/>
  <c r="C94" i="38"/>
  <c r="Q93" i="38"/>
  <c r="P93" i="38"/>
  <c r="C93" i="38"/>
  <c r="F93" i="38" s="1" a="1"/>
  <c r="F93" i="38" s="1"/>
  <c r="P92" i="38"/>
  <c r="Q92" i="38" s="1"/>
  <c r="D92" i="38"/>
  <c r="C92" i="38"/>
  <c r="F92" i="38" s="1" a="1"/>
  <c r="F92" i="38" s="1"/>
  <c r="Q91" i="38"/>
  <c r="P91" i="38"/>
  <c r="F91" i="38" a="1"/>
  <c r="F91" i="38" s="1"/>
  <c r="C91" i="38"/>
  <c r="D91" i="38" s="1"/>
  <c r="Q90" i="38"/>
  <c r="P90" i="38"/>
  <c r="D90" i="38"/>
  <c r="C90" i="38"/>
  <c r="F90" i="38" s="1" a="1"/>
  <c r="F90" i="38" s="1"/>
  <c r="P89" i="38"/>
  <c r="Q89" i="38" s="1"/>
  <c r="F89" i="38" a="1"/>
  <c r="F89" i="38" s="1"/>
  <c r="D89" i="38"/>
  <c r="C89" i="38"/>
  <c r="P88" i="38"/>
  <c r="Q88" i="38" s="1"/>
  <c r="F88" i="38"/>
  <c r="F88" i="38" a="1"/>
  <c r="C88" i="38"/>
  <c r="D88" i="38" s="1"/>
  <c r="Q87" i="38"/>
  <c r="P87" i="38"/>
  <c r="C87" i="38"/>
  <c r="F87" i="38" s="1" a="1"/>
  <c r="F87" i="38" s="1"/>
  <c r="P86" i="38"/>
  <c r="Q86" i="38" s="1"/>
  <c r="F86" i="38" a="1"/>
  <c r="F86" i="38" s="1"/>
  <c r="D86" i="38"/>
  <c r="C86" i="38"/>
  <c r="P85" i="38"/>
  <c r="Q85" i="38" s="1"/>
  <c r="C85" i="38"/>
  <c r="F85" i="38" s="1" a="1"/>
  <c r="F85" i="38" s="1"/>
  <c r="P84" i="38"/>
  <c r="Q84" i="38" s="1"/>
  <c r="D84" i="38"/>
  <c r="C84" i="38"/>
  <c r="F84" i="38" s="1" a="1"/>
  <c r="F84" i="38" s="1"/>
  <c r="P83" i="38"/>
  <c r="Q83" i="38" s="1"/>
  <c r="F83" i="38" a="1"/>
  <c r="F83" i="38" s="1"/>
  <c r="C83" i="38"/>
  <c r="D83" i="38" s="1"/>
  <c r="Q82" i="38"/>
  <c r="P82" i="38"/>
  <c r="D82" i="38"/>
  <c r="C82" i="38"/>
  <c r="F82" i="38" s="1" a="1"/>
  <c r="F82" i="38" s="1"/>
  <c r="P81" i="38"/>
  <c r="Q81" i="38" s="1"/>
  <c r="F81" i="38" a="1"/>
  <c r="F81" i="38" s="1"/>
  <c r="D81" i="38"/>
  <c r="C81" i="38"/>
  <c r="P80" i="38"/>
  <c r="Q80" i="38" s="1"/>
  <c r="F80" i="38"/>
  <c r="F80" i="38" a="1"/>
  <c r="C80" i="38"/>
  <c r="D80" i="38" s="1"/>
  <c r="P79" i="38"/>
  <c r="Q79" i="38" s="1"/>
  <c r="C79" i="38"/>
  <c r="F79" i="38" s="1" a="1"/>
  <c r="F79" i="38" s="1"/>
  <c r="P78" i="38"/>
  <c r="Q78" i="38" s="1"/>
  <c r="F78" i="38" a="1"/>
  <c r="F78" i="38" s="1"/>
  <c r="D78" i="38"/>
  <c r="C78" i="38"/>
  <c r="Q77" i="38"/>
  <c r="P77" i="38"/>
  <c r="C77" i="38"/>
  <c r="F77" i="38" s="1" a="1"/>
  <c r="F77" i="38" s="1"/>
  <c r="P76" i="38"/>
  <c r="Q76" i="38" s="1"/>
  <c r="D76" i="38"/>
  <c r="C76" i="38"/>
  <c r="F76" i="38" s="1" a="1"/>
  <c r="F76" i="38" s="1"/>
  <c r="Q75" i="38"/>
  <c r="P75" i="38"/>
  <c r="F75" i="38" a="1"/>
  <c r="F75" i="38" s="1"/>
  <c r="C75" i="38"/>
  <c r="D75" i="38" s="1"/>
  <c r="P74" i="38"/>
  <c r="Q74" i="38" s="1"/>
  <c r="D74" i="38"/>
  <c r="C74" i="38"/>
  <c r="F74" i="38" s="1" a="1"/>
  <c r="F74" i="38" s="1"/>
  <c r="P73" i="38"/>
  <c r="Q73" i="38" s="1"/>
  <c r="F73" i="38" a="1"/>
  <c r="F73" i="38" s="1"/>
  <c r="D73" i="38"/>
  <c r="C73" i="38"/>
  <c r="P72" i="38"/>
  <c r="Q72" i="38" s="1"/>
  <c r="F72" i="38"/>
  <c r="F72" i="38" a="1"/>
  <c r="C72" i="38"/>
  <c r="D72" i="38" s="1"/>
  <c r="P71" i="38"/>
  <c r="Q71" i="38" s="1"/>
  <c r="D71" i="38"/>
  <c r="C71" i="38"/>
  <c r="F71" i="38" s="1" a="1"/>
  <c r="F71" i="38" s="1"/>
  <c r="P70" i="38"/>
  <c r="Q70" i="38" s="1"/>
  <c r="F70" i="38" a="1"/>
  <c r="F70" i="38" s="1"/>
  <c r="D70" i="38"/>
  <c r="C70" i="38"/>
  <c r="P69" i="38"/>
  <c r="Q69" i="38" s="1"/>
  <c r="C69" i="38"/>
  <c r="F69" i="38" s="1" a="1"/>
  <c r="F69" i="38" s="1"/>
  <c r="P68" i="38"/>
  <c r="Q68" i="38" s="1"/>
  <c r="D68" i="38"/>
  <c r="C68" i="38"/>
  <c r="F68" i="38" s="1" a="1"/>
  <c r="F68" i="38" s="1"/>
  <c r="Q67" i="38"/>
  <c r="P67" i="38"/>
  <c r="F67" i="38" a="1"/>
  <c r="F67" i="38" s="1"/>
  <c r="C67" i="38"/>
  <c r="D67" i="38" s="1"/>
  <c r="P66" i="38"/>
  <c r="Q66" i="38" s="1"/>
  <c r="D66" i="38"/>
  <c r="C66" i="38"/>
  <c r="F66" i="38" s="1" a="1"/>
  <c r="F66" i="38" s="1"/>
  <c r="P65" i="38"/>
  <c r="Q65" i="38" s="1"/>
  <c r="F65" i="38" a="1"/>
  <c r="F65" i="38" s="1"/>
  <c r="D65" i="38"/>
  <c r="C65" i="38"/>
  <c r="P64" i="38"/>
  <c r="Q64" i="38" s="1"/>
  <c r="F64" i="38"/>
  <c r="F64" i="38" a="1"/>
  <c r="C64" i="38"/>
  <c r="D64" i="38" s="1"/>
  <c r="Q63" i="38"/>
  <c r="P63" i="38"/>
  <c r="D63" i="38"/>
  <c r="C63" i="38"/>
  <c r="F63" i="38" s="1" a="1"/>
  <c r="F63" i="38" s="1"/>
  <c r="P62" i="38"/>
  <c r="Q62" i="38" s="1"/>
  <c r="F62" i="38" a="1"/>
  <c r="F62" i="38" s="1"/>
  <c r="D62" i="38"/>
  <c r="C62" i="38"/>
  <c r="Q61" i="38"/>
  <c r="P61" i="38"/>
  <c r="C61" i="38"/>
  <c r="F61" i="38" s="1" a="1"/>
  <c r="F61" i="38" s="1"/>
  <c r="P60" i="38"/>
  <c r="Q60" i="38" s="1"/>
  <c r="D60" i="38"/>
  <c r="C60" i="38"/>
  <c r="F60" i="38" s="1" a="1"/>
  <c r="F60" i="38" s="1"/>
  <c r="Q59" i="38"/>
  <c r="P59" i="38"/>
  <c r="F59" i="38" a="1"/>
  <c r="F59" i="38" s="1"/>
  <c r="C59" i="38"/>
  <c r="D59" i="38" s="1"/>
  <c r="Q58" i="38"/>
  <c r="P58" i="38"/>
  <c r="D58" i="38"/>
  <c r="C58" i="38"/>
  <c r="F58" i="38" s="1" a="1"/>
  <c r="F58" i="38" s="1"/>
  <c r="P57" i="38"/>
  <c r="Q57" i="38" s="1"/>
  <c r="F57" i="38" a="1"/>
  <c r="F57" i="38" s="1"/>
  <c r="D57" i="38"/>
  <c r="C57" i="38"/>
  <c r="Q56" i="38"/>
  <c r="P56" i="38"/>
  <c r="F56" i="38" a="1"/>
  <c r="F56" i="38" s="1"/>
  <c r="C56" i="38"/>
  <c r="D56" i="38" s="1"/>
  <c r="Q55" i="38"/>
  <c r="P55" i="38"/>
  <c r="D55" i="38"/>
  <c r="C55" i="38"/>
  <c r="F55" i="38" s="1" a="1"/>
  <c r="F55" i="38" s="1"/>
  <c r="P54" i="38"/>
  <c r="Q54" i="38" s="1"/>
  <c r="F54" i="38" a="1"/>
  <c r="F54" i="38" s="1"/>
  <c r="D54" i="38"/>
  <c r="C54" i="38"/>
  <c r="Q53" i="38"/>
  <c r="P53" i="38"/>
  <c r="C53" i="38"/>
  <c r="F53" i="38" s="1" a="1"/>
  <c r="F53" i="38" s="1"/>
  <c r="P52" i="38"/>
  <c r="Q52" i="38" s="1"/>
  <c r="D52" i="38"/>
  <c r="C52" i="38"/>
  <c r="F52" i="38" s="1" a="1"/>
  <c r="F52" i="38" s="1"/>
  <c r="P51" i="38"/>
  <c r="Q51" i="38" s="1"/>
  <c r="F51" i="38" a="1"/>
  <c r="F51" i="38" s="1"/>
  <c r="C51" i="38"/>
  <c r="D51" i="38" s="1"/>
  <c r="Q50" i="38"/>
  <c r="P50" i="38"/>
  <c r="C50" i="38"/>
  <c r="F50" i="38" s="1" a="1"/>
  <c r="F50" i="38" s="1"/>
  <c r="P49" i="38"/>
  <c r="Q49" i="38" s="1"/>
  <c r="F49" i="38" a="1"/>
  <c r="F49" i="38" s="1"/>
  <c r="D49" i="38"/>
  <c r="C49" i="38"/>
  <c r="Q48" i="38"/>
  <c r="P48" i="38"/>
  <c r="F48" i="38" a="1"/>
  <c r="F48" i="38" s="1"/>
  <c r="C48" i="38"/>
  <c r="D48" i="38" s="1"/>
  <c r="Q47" i="38"/>
  <c r="P47" i="38"/>
  <c r="D47" i="38"/>
  <c r="C47" i="38"/>
  <c r="F47" i="38" s="1" a="1"/>
  <c r="F47" i="38" s="1"/>
  <c r="P46" i="38"/>
  <c r="Q46" i="38" s="1"/>
  <c r="F46" i="38" a="1"/>
  <c r="F46" i="38" s="1"/>
  <c r="D46" i="38"/>
  <c r="C46" i="38"/>
  <c r="Q45" i="38"/>
  <c r="P45" i="38"/>
  <c r="C45" i="38"/>
  <c r="F45" i="38" s="1" a="1"/>
  <c r="F45" i="38" s="1"/>
  <c r="P44" i="38"/>
  <c r="Q44" i="38" s="1"/>
  <c r="F44" i="38"/>
  <c r="F44" i="38" a="1"/>
  <c r="D44" i="38"/>
  <c r="C44" i="38"/>
  <c r="P43" i="38"/>
  <c r="Q43" i="38" s="1"/>
  <c r="F43" i="38" a="1"/>
  <c r="F43" i="38" s="1"/>
  <c r="C43" i="38"/>
  <c r="D43" i="38" s="1"/>
  <c r="P42" i="38"/>
  <c r="Q42" i="38" s="1"/>
  <c r="C42" i="38"/>
  <c r="F42" i="38" s="1" a="1"/>
  <c r="F42" i="38" s="1"/>
  <c r="P41" i="38"/>
  <c r="Q41" i="38" s="1"/>
  <c r="F41" i="38" a="1"/>
  <c r="F41" i="38" s="1"/>
  <c r="D41" i="38"/>
  <c r="C41" i="38"/>
  <c r="P40" i="38"/>
  <c r="Q40" i="38" s="1"/>
  <c r="F40" i="38" a="1"/>
  <c r="F40" i="38" s="1"/>
  <c r="C40" i="38"/>
  <c r="D40" i="38" s="1"/>
  <c r="Q39" i="38"/>
  <c r="P39" i="38"/>
  <c r="D39" i="38"/>
  <c r="C39" i="38"/>
  <c r="F39" i="38" s="1" a="1"/>
  <c r="F39" i="38" s="1"/>
  <c r="P38" i="38"/>
  <c r="Q38" i="38" s="1"/>
  <c r="F38" i="38" a="1"/>
  <c r="F38" i="38" s="1"/>
  <c r="D38" i="38"/>
  <c r="C38" i="38"/>
  <c r="Q37" i="38"/>
  <c r="P37" i="38"/>
  <c r="C37" i="38"/>
  <c r="F37" i="38" s="1" a="1"/>
  <c r="F37" i="38" s="1"/>
  <c r="P36" i="38"/>
  <c r="Q36" i="38" s="1"/>
  <c r="F36" i="38"/>
  <c r="F36" i="38" a="1"/>
  <c r="D36" i="38"/>
  <c r="C36" i="38"/>
  <c r="P35" i="38"/>
  <c r="Q35" i="38" s="1"/>
  <c r="F35" i="38" a="1"/>
  <c r="F35" i="38" s="1"/>
  <c r="C35" i="38"/>
  <c r="D35" i="38" s="1"/>
  <c r="P34" i="38"/>
  <c r="Q34" i="38" s="1"/>
  <c r="C34" i="38"/>
  <c r="F34" i="38" s="1" a="1"/>
  <c r="F34" i="38" s="1"/>
  <c r="P33" i="38"/>
  <c r="Q33" i="38" s="1"/>
  <c r="F33" i="38" a="1"/>
  <c r="F33" i="38" s="1"/>
  <c r="D33" i="38"/>
  <c r="C33" i="38"/>
  <c r="Q32" i="38"/>
  <c r="P32" i="38"/>
  <c r="F32" i="38" a="1"/>
  <c r="F32" i="38" s="1"/>
  <c r="C32" i="38"/>
  <c r="D32" i="38" s="1"/>
  <c r="Q31" i="38"/>
  <c r="P31" i="38"/>
  <c r="D31" i="38"/>
  <c r="C31" i="38"/>
  <c r="F31" i="38" s="1" a="1"/>
  <c r="F31" i="38" s="1"/>
  <c r="P30" i="38"/>
  <c r="Q30" i="38" s="1"/>
  <c r="F30" i="38" a="1"/>
  <c r="F30" i="38" s="1"/>
  <c r="D30" i="38"/>
  <c r="C30" i="38"/>
  <c r="Q29" i="38"/>
  <c r="P29" i="38"/>
  <c r="C29" i="38"/>
  <c r="F29" i="38" s="1" a="1"/>
  <c r="F29" i="38" s="1"/>
  <c r="P28" i="38"/>
  <c r="Q28" i="38" s="1"/>
  <c r="F28" i="38"/>
  <c r="F28" i="38" a="1"/>
  <c r="D28" i="38"/>
  <c r="C28" i="38"/>
  <c r="P27" i="38"/>
  <c r="Q27" i="38" s="1"/>
  <c r="F27" i="38" a="1"/>
  <c r="F27" i="38" s="1"/>
  <c r="C27" i="38"/>
  <c r="D27" i="38" s="1"/>
  <c r="P26" i="38"/>
  <c r="Q26" i="38" s="1"/>
  <c r="C26" i="38"/>
  <c r="F26" i="38" s="1" a="1"/>
  <c r="F26" i="38" s="1"/>
  <c r="P25" i="38"/>
  <c r="Q25" i="38" s="1"/>
  <c r="F25" i="38" a="1"/>
  <c r="F25" i="38" s="1"/>
  <c r="D25" i="38"/>
  <c r="C25" i="38"/>
  <c r="Q24" i="38"/>
  <c r="P24" i="38"/>
  <c r="F24" i="38" a="1"/>
  <c r="F24" i="38" s="1"/>
  <c r="C24" i="38"/>
  <c r="D24" i="38" s="1"/>
  <c r="P23" i="38"/>
  <c r="Q23" i="38" s="1"/>
  <c r="D23" i="38"/>
  <c r="C23" i="38"/>
  <c r="F23" i="38" s="1" a="1"/>
  <c r="F23" i="38" s="1"/>
  <c r="P22" i="38"/>
  <c r="Q22" i="38" s="1"/>
  <c r="F22" i="38" a="1"/>
  <c r="F22" i="38" s="1"/>
  <c r="D22" i="38"/>
  <c r="C22" i="38"/>
  <c r="P21" i="38"/>
  <c r="Q21" i="38" s="1"/>
  <c r="C21" i="38"/>
  <c r="F21" i="38" s="1" a="1"/>
  <c r="F21" i="38" s="1"/>
  <c r="P20" i="38"/>
  <c r="Q20" i="38" s="1"/>
  <c r="F20" i="38"/>
  <c r="F20" i="38" a="1"/>
  <c r="D20" i="38"/>
  <c r="C20" i="38"/>
  <c r="P19" i="38"/>
  <c r="Q19" i="38" s="1"/>
  <c r="F19" i="38" a="1"/>
  <c r="F19" i="38" s="1"/>
  <c r="C19" i="38"/>
  <c r="D19" i="38" s="1"/>
  <c r="Q18" i="38"/>
  <c r="P18" i="38"/>
  <c r="C18" i="38"/>
  <c r="F18" i="38" s="1" a="1"/>
  <c r="F18" i="38" s="1"/>
  <c r="P17" i="38"/>
  <c r="Q17" i="38" s="1"/>
  <c r="F17" i="38" a="1"/>
  <c r="F17" i="38" s="1"/>
  <c r="D17" i="38"/>
  <c r="C17" i="38"/>
  <c r="Q16" i="38"/>
  <c r="P16" i="38"/>
  <c r="F16" i="38" a="1"/>
  <c r="F16" i="38" s="1"/>
  <c r="C16" i="38"/>
  <c r="D16" i="38" s="1"/>
  <c r="Q15" i="38"/>
  <c r="P15" i="38"/>
  <c r="D15" i="38"/>
  <c r="C15" i="38"/>
  <c r="F15" i="38" s="1" a="1"/>
  <c r="F15" i="38" s="1"/>
  <c r="P14" i="38"/>
  <c r="Q14" i="38" s="1"/>
  <c r="F14" i="38" a="1"/>
  <c r="F14" i="38" s="1"/>
  <c r="D14" i="38"/>
  <c r="C14" i="38"/>
  <c r="Q13" i="38"/>
  <c r="P13" i="38"/>
  <c r="C13" i="38"/>
  <c r="F13" i="38" s="1" a="1"/>
  <c r="F13" i="38" s="1"/>
  <c r="P12" i="38"/>
  <c r="Q12" i="38" s="1"/>
  <c r="F12" i="38"/>
  <c r="F12" i="38" a="1"/>
  <c r="D12" i="38"/>
  <c r="C12" i="38"/>
  <c r="P11" i="38"/>
  <c r="Q11" i="38" s="1"/>
  <c r="F11" i="38" a="1"/>
  <c r="F11" i="38" s="1"/>
  <c r="C11" i="38"/>
  <c r="D11" i="38" s="1"/>
  <c r="P10" i="38"/>
  <c r="Q10" i="38" s="1"/>
  <c r="C10" i="38"/>
  <c r="F10" i="38" s="1" a="1"/>
  <c r="F10" i="38" s="1"/>
  <c r="C28" i="37"/>
  <c r="D28" i="37" s="1"/>
  <c r="C29" i="37"/>
  <c r="D29" i="37" s="1"/>
  <c r="I28" i="37"/>
  <c r="I29" i="37"/>
  <c r="L28" i="37"/>
  <c r="L29" i="37"/>
  <c r="M28" i="37"/>
  <c r="M29" i="37"/>
  <c r="P28" i="37"/>
  <c r="Q28" i="37" s="1"/>
  <c r="P29" i="37"/>
  <c r="Q29" i="37" s="1"/>
  <c r="F22" i="37" l="1" a="1"/>
  <c r="F22" i="37" s="1"/>
  <c r="F10" i="37" a="1"/>
  <c r="F10" i="37" s="1"/>
  <c r="F29" i="37" a="1"/>
  <c r="F29" i="37" s="1"/>
  <c r="D13" i="38"/>
  <c r="D21" i="38"/>
  <c r="D29" i="38"/>
  <c r="D37" i="38"/>
  <c r="D45" i="38"/>
  <c r="D53" i="38"/>
  <c r="D61" i="38"/>
  <c r="D69" i="38"/>
  <c r="D77" i="38"/>
  <c r="D85" i="38"/>
  <c r="D93" i="38"/>
  <c r="D79" i="38"/>
  <c r="D87" i="38"/>
  <c r="D95" i="38"/>
  <c r="D10" i="38"/>
  <c r="D18" i="38"/>
  <c r="D26" i="38"/>
  <c r="D42" i="38"/>
  <c r="D34" i="38"/>
  <c r="D50" i="38"/>
  <c r="F28" i="37" a="1"/>
  <c r="F28" i="37" s="1"/>
  <c r="E10" i="27" l="1"/>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95" i="37"/>
  <c r="Q95" i="37" s="1"/>
  <c r="M95" i="37"/>
  <c r="L95" i="37"/>
  <c r="I95" i="37"/>
  <c r="C95" i="37"/>
  <c r="F95" i="37" s="1" a="1"/>
  <c r="F95" i="37" s="1"/>
  <c r="P94" i="37"/>
  <c r="Q94" i="37" s="1"/>
  <c r="M94" i="37"/>
  <c r="L94" i="37"/>
  <c r="I94" i="37"/>
  <c r="C94" i="37"/>
  <c r="D94" i="37" s="1"/>
  <c r="P93" i="37"/>
  <c r="Q93" i="37" s="1"/>
  <c r="M93" i="37"/>
  <c r="L93" i="37"/>
  <c r="I93" i="37"/>
  <c r="C93" i="37"/>
  <c r="F93" i="37" s="1" a="1"/>
  <c r="F93" i="37" s="1"/>
  <c r="P92" i="37"/>
  <c r="Q92" i="37" s="1"/>
  <c r="M92" i="37"/>
  <c r="L92" i="37"/>
  <c r="I92" i="37"/>
  <c r="F92" i="37" a="1"/>
  <c r="F92" i="37" s="1"/>
  <c r="C92" i="37"/>
  <c r="D92" i="37" s="1"/>
  <c r="P91" i="37"/>
  <c r="Q91" i="37" s="1"/>
  <c r="M91" i="37"/>
  <c r="L91" i="37"/>
  <c r="I91" i="37"/>
  <c r="C91" i="37"/>
  <c r="F91" i="37" s="1" a="1"/>
  <c r="F91" i="37" s="1"/>
  <c r="P90" i="37"/>
  <c r="Q90" i="37" s="1"/>
  <c r="M90" i="37"/>
  <c r="L90" i="37"/>
  <c r="I90" i="37"/>
  <c r="C90" i="37"/>
  <c r="F90" i="37" s="1" a="1"/>
  <c r="F90" i="37" s="1"/>
  <c r="P89" i="37"/>
  <c r="Q89" i="37" s="1"/>
  <c r="M89" i="37"/>
  <c r="L89" i="37"/>
  <c r="I89" i="37"/>
  <c r="C89" i="37"/>
  <c r="F89" i="37" s="1" a="1"/>
  <c r="F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D86" i="37" s="1"/>
  <c r="P85" i="37"/>
  <c r="Q85" i="37" s="1"/>
  <c r="M85" i="37"/>
  <c r="L85" i="37"/>
  <c r="I85" i="37"/>
  <c r="C85" i="37"/>
  <c r="F85" i="37" s="1" a="1"/>
  <c r="F85" i="37" s="1"/>
  <c r="P84" i="37"/>
  <c r="Q84" i="37" s="1"/>
  <c r="M84" i="37"/>
  <c r="L84" i="37"/>
  <c r="I84" i="37"/>
  <c r="C84" i="37"/>
  <c r="D84" i="37" s="1"/>
  <c r="P83" i="37"/>
  <c r="Q83" i="37" s="1"/>
  <c r="M83" i="37"/>
  <c r="L83" i="37"/>
  <c r="I83" i="37"/>
  <c r="C83" i="37"/>
  <c r="F83" i="37" s="1" a="1"/>
  <c r="F83" i="37" s="1"/>
  <c r="P82" i="37"/>
  <c r="Q82" i="37" s="1"/>
  <c r="M82" i="37"/>
  <c r="L82" i="37"/>
  <c r="I82" i="37"/>
  <c r="C82" i="37"/>
  <c r="F82" i="37" s="1" a="1"/>
  <c r="F82" i="37" s="1"/>
  <c r="P81" i="37"/>
  <c r="Q81" i="37" s="1"/>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D78" i="37" s="1"/>
  <c r="P77" i="37"/>
  <c r="Q77" i="37" s="1"/>
  <c r="M77" i="37"/>
  <c r="L77" i="37"/>
  <c r="I77" i="37"/>
  <c r="C77" i="37"/>
  <c r="F77" i="37" s="1" a="1"/>
  <c r="F77" i="37" s="1"/>
  <c r="P76" i="37"/>
  <c r="Q76" i="37" s="1"/>
  <c r="M76" i="37"/>
  <c r="L76" i="37"/>
  <c r="I76" i="37"/>
  <c r="C76" i="37"/>
  <c r="D76" i="37" s="1"/>
  <c r="P75" i="37"/>
  <c r="Q75" i="37" s="1"/>
  <c r="M75" i="37"/>
  <c r="L75" i="37"/>
  <c r="I75" i="37"/>
  <c r="C75" i="37"/>
  <c r="F75" i="37" s="1" a="1"/>
  <c r="F75" i="37" s="1"/>
  <c r="P74" i="37"/>
  <c r="Q74" i="37" s="1"/>
  <c r="M74" i="37"/>
  <c r="L74" i="37"/>
  <c r="I74" i="37"/>
  <c r="C74" i="37"/>
  <c r="F74" i="37" s="1" a="1"/>
  <c r="F74" i="37" s="1"/>
  <c r="P73" i="37"/>
  <c r="Q73" i="37" s="1"/>
  <c r="M73" i="37"/>
  <c r="L73" i="37"/>
  <c r="I73" i="37"/>
  <c r="C73" i="37"/>
  <c r="F73" i="37" s="1" a="1"/>
  <c r="F73" i="37" s="1"/>
  <c r="P72" i="37"/>
  <c r="Q72" i="37" s="1"/>
  <c r="M72" i="37"/>
  <c r="L72" i="37"/>
  <c r="I72" i="37"/>
  <c r="C72" i="37"/>
  <c r="F72" i="37" s="1" a="1"/>
  <c r="F72" i="37" s="1"/>
  <c r="P71" i="37"/>
  <c r="Q71" i="37" s="1"/>
  <c r="M71" i="37"/>
  <c r="L71" i="37"/>
  <c r="I71" i="37"/>
  <c r="C71" i="37"/>
  <c r="F71" i="37" s="1" a="1"/>
  <c r="F71" i="37" s="1"/>
  <c r="P70" i="37"/>
  <c r="Q70" i="37" s="1"/>
  <c r="M70" i="37"/>
  <c r="L70" i="37"/>
  <c r="I70" i="37"/>
  <c r="C70" i="37"/>
  <c r="D70" i="37" s="1"/>
  <c r="P69" i="37"/>
  <c r="Q69" i="37" s="1"/>
  <c r="M69" i="37"/>
  <c r="L69" i="37"/>
  <c r="I69" i="37"/>
  <c r="C69" i="37"/>
  <c r="F69" i="37" s="1" a="1"/>
  <c r="F69" i="37" s="1"/>
  <c r="P68" i="37"/>
  <c r="Q68" i="37" s="1"/>
  <c r="M68" i="37"/>
  <c r="L68" i="37"/>
  <c r="I68" i="37"/>
  <c r="C68" i="37"/>
  <c r="D68" i="37" s="1"/>
  <c r="P67" i="37"/>
  <c r="Q67" i="37" s="1"/>
  <c r="M67" i="37"/>
  <c r="L67" i="37"/>
  <c r="I67" i="37"/>
  <c r="C67" i="37"/>
  <c r="F67" i="37" s="1" a="1"/>
  <c r="F67" i="37" s="1"/>
  <c r="P66" i="37"/>
  <c r="Q66" i="37" s="1"/>
  <c r="M66" i="37"/>
  <c r="L66" i="37"/>
  <c r="I66" i="37"/>
  <c r="C66" i="37"/>
  <c r="F66" i="37" s="1" a="1"/>
  <c r="F66" i="37" s="1"/>
  <c r="P65" i="37"/>
  <c r="Q65" i="37" s="1"/>
  <c r="M65" i="37"/>
  <c r="L65" i="37"/>
  <c r="I65" i="37"/>
  <c r="F65" i="37" a="1"/>
  <c r="F65" i="37" s="1"/>
  <c r="C65" i="37"/>
  <c r="D65" i="37" s="1"/>
  <c r="P64" i="37"/>
  <c r="Q64" i="37" s="1"/>
  <c r="M64" i="37"/>
  <c r="L64" i="37"/>
  <c r="I64" i="37"/>
  <c r="C64" i="37"/>
  <c r="F64" i="37" s="1" a="1"/>
  <c r="F64" i="37" s="1"/>
  <c r="P63" i="37"/>
  <c r="Q63" i="37" s="1"/>
  <c r="M63" i="37"/>
  <c r="L63" i="37"/>
  <c r="I63" i="37"/>
  <c r="C63" i="37"/>
  <c r="F63" i="37" s="1" a="1"/>
  <c r="F63" i="37" s="1"/>
  <c r="P62" i="37"/>
  <c r="Q62" i="37" s="1"/>
  <c r="M62" i="37"/>
  <c r="L62" i="37"/>
  <c r="I62" i="37"/>
  <c r="F62" i="37" a="1"/>
  <c r="F62" i="37" s="1"/>
  <c r="C62" i="37"/>
  <c r="D62" i="37" s="1"/>
  <c r="P61" i="37"/>
  <c r="Q61" i="37" s="1"/>
  <c r="M61" i="37"/>
  <c r="L61" i="37"/>
  <c r="I61" i="37"/>
  <c r="C61" i="37"/>
  <c r="F61" i="37" s="1" a="1"/>
  <c r="F61" i="37" s="1"/>
  <c r="P60" i="37"/>
  <c r="Q60" i="37" s="1"/>
  <c r="M60" i="37"/>
  <c r="L60" i="37"/>
  <c r="I60" i="37"/>
  <c r="C60" i="37"/>
  <c r="D60" i="37" s="1"/>
  <c r="P59" i="37"/>
  <c r="Q59" i="37" s="1"/>
  <c r="M59" i="37"/>
  <c r="L59" i="37"/>
  <c r="I59" i="37"/>
  <c r="C59" i="37"/>
  <c r="F59" i="37" s="1" a="1"/>
  <c r="F59" i="37" s="1"/>
  <c r="P58" i="37"/>
  <c r="Q58" i="37" s="1"/>
  <c r="M58" i="37"/>
  <c r="L58" i="37"/>
  <c r="I58" i="37"/>
  <c r="C58" i="37"/>
  <c r="F58" i="37" s="1" a="1"/>
  <c r="F58" i="37" s="1"/>
  <c r="P57" i="37"/>
  <c r="Q57" i="37" s="1"/>
  <c r="M57" i="37"/>
  <c r="L57" i="37"/>
  <c r="I57" i="37"/>
  <c r="C57" i="37"/>
  <c r="F57" i="37" s="1" a="1"/>
  <c r="F57" i="37" s="1"/>
  <c r="P56" i="37"/>
  <c r="Q56" i="37" s="1"/>
  <c r="M56" i="37"/>
  <c r="L56" i="37"/>
  <c r="I56" i="37"/>
  <c r="C56" i="37"/>
  <c r="F56" i="37" s="1" a="1"/>
  <c r="F56" i="37" s="1"/>
  <c r="P55" i="37"/>
  <c r="Q55" i="37" s="1"/>
  <c r="M55" i="37"/>
  <c r="L55" i="37"/>
  <c r="I55" i="37"/>
  <c r="C55" i="37"/>
  <c r="F55" i="37" s="1" a="1"/>
  <c r="F55" i="37" s="1"/>
  <c r="P54" i="37"/>
  <c r="Q54" i="37" s="1"/>
  <c r="M54" i="37"/>
  <c r="L54" i="37"/>
  <c r="I54" i="37"/>
  <c r="C54" i="37"/>
  <c r="D54" i="37" s="1"/>
  <c r="P53" i="37"/>
  <c r="Q53" i="37" s="1"/>
  <c r="M53" i="37"/>
  <c r="L53" i="37"/>
  <c r="I53" i="37"/>
  <c r="C53" i="37"/>
  <c r="F53" i="37" s="1" a="1"/>
  <c r="F53" i="37" s="1"/>
  <c r="P52" i="37"/>
  <c r="Q52" i="37" s="1"/>
  <c r="M52" i="37"/>
  <c r="L52" i="37"/>
  <c r="I52" i="37"/>
  <c r="C52" i="37"/>
  <c r="D52" i="37" s="1"/>
  <c r="P51" i="37"/>
  <c r="Q51" i="37" s="1"/>
  <c r="M51" i="37"/>
  <c r="L51" i="37"/>
  <c r="I51" i="37"/>
  <c r="C51" i="37"/>
  <c r="F51" i="37" s="1" a="1"/>
  <c r="F51" i="37" s="1"/>
  <c r="P50" i="37"/>
  <c r="Q50" i="37" s="1"/>
  <c r="M50" i="37"/>
  <c r="L50" i="37"/>
  <c r="I50" i="37"/>
  <c r="C50" i="37"/>
  <c r="F50" i="37" s="1" a="1"/>
  <c r="F50" i="37" s="1"/>
  <c r="P49" i="37"/>
  <c r="Q49" i="37" s="1"/>
  <c r="M49" i="37"/>
  <c r="L49" i="37"/>
  <c r="I49" i="37"/>
  <c r="C49" i="37"/>
  <c r="F49" i="37" s="1" a="1"/>
  <c r="F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D46" i="37" s="1"/>
  <c r="P45" i="37"/>
  <c r="Q45" i="37" s="1"/>
  <c r="M45" i="37"/>
  <c r="L45" i="37"/>
  <c r="I45" i="37"/>
  <c r="C45" i="37"/>
  <c r="F45" i="37" s="1" a="1"/>
  <c r="F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F42" i="37" s="1" a="1"/>
  <c r="F42" i="37" s="1"/>
  <c r="P41" i="37"/>
  <c r="Q41" i="37" s="1"/>
  <c r="M41" i="37"/>
  <c r="L41" i="37"/>
  <c r="I41" i="37"/>
  <c r="C41" i="37"/>
  <c r="F41" i="37" s="1" a="1"/>
  <c r="F41" i="37" s="1"/>
  <c r="P40" i="37"/>
  <c r="Q40" i="37" s="1"/>
  <c r="M40" i="37"/>
  <c r="L40" i="37"/>
  <c r="I40" i="37"/>
  <c r="C40" i="37"/>
  <c r="F40" i="37" s="1" a="1"/>
  <c r="F40" i="37" s="1"/>
  <c r="P39" i="37"/>
  <c r="Q39" i="37" s="1"/>
  <c r="M39" i="37"/>
  <c r="L39" i="37"/>
  <c r="I39" i="37"/>
  <c r="C39" i="37"/>
  <c r="F39" i="37" s="1" a="1"/>
  <c r="F39" i="37" s="1"/>
  <c r="P38" i="37"/>
  <c r="Q38" i="37" s="1"/>
  <c r="M38" i="37"/>
  <c r="L38" i="37"/>
  <c r="I38" i="37"/>
  <c r="C38" i="37"/>
  <c r="D38" i="37" s="1"/>
  <c r="P37" i="37"/>
  <c r="Q37" i="37" s="1"/>
  <c r="M37" i="37"/>
  <c r="L37" i="37"/>
  <c r="I37" i="37"/>
  <c r="C37" i="37"/>
  <c r="F37" i="37" s="1" a="1"/>
  <c r="F37" i="37" s="1"/>
  <c r="P36" i="37"/>
  <c r="Q36" i="37" s="1"/>
  <c r="M36" i="37"/>
  <c r="L36" i="37"/>
  <c r="I36" i="37"/>
  <c r="C36" i="37"/>
  <c r="F36" i="37" s="1" a="1"/>
  <c r="F36" i="37" s="1"/>
  <c r="P35" i="37"/>
  <c r="Q35" i="37" s="1"/>
  <c r="M35" i="37"/>
  <c r="L35" i="37"/>
  <c r="I35" i="37"/>
  <c r="C35" i="37"/>
  <c r="F35" i="37" s="1" a="1"/>
  <c r="F35" i="37" s="1"/>
  <c r="P34" i="37"/>
  <c r="Q34" i="37" s="1"/>
  <c r="M34" i="37"/>
  <c r="L34" i="37"/>
  <c r="I34" i="37"/>
  <c r="C34" i="37"/>
  <c r="F34" i="37" s="1" a="1"/>
  <c r="F34" i="37" s="1"/>
  <c r="P33" i="37"/>
  <c r="Q33" i="37" s="1"/>
  <c r="M33" i="37"/>
  <c r="L33" i="37"/>
  <c r="I33" i="37"/>
  <c r="C33" i="37"/>
  <c r="F33" i="37" s="1" a="1"/>
  <c r="F33" i="37" s="1"/>
  <c r="P32" i="37"/>
  <c r="Q32" i="37" s="1"/>
  <c r="M32" i="37"/>
  <c r="L32" i="37"/>
  <c r="I32" i="37"/>
  <c r="C32" i="37"/>
  <c r="F32" i="37" s="1" a="1"/>
  <c r="F32" i="37" s="1"/>
  <c r="P31" i="37"/>
  <c r="Q31" i="37" s="1"/>
  <c r="M31" i="37"/>
  <c r="L31" i="37"/>
  <c r="I31" i="37"/>
  <c r="C31" i="37"/>
  <c r="F31" i="37" s="1" a="1"/>
  <c r="F31" i="37" s="1"/>
  <c r="P30" i="37"/>
  <c r="Q30" i="37" s="1"/>
  <c r="M30" i="37"/>
  <c r="L30" i="37"/>
  <c r="I30" i="37"/>
  <c r="C30" i="37"/>
  <c r="D30" i="37" s="1"/>
  <c r="M27" i="37"/>
  <c r="L27" i="37"/>
  <c r="M26" i="37"/>
  <c r="L26" i="37"/>
  <c r="P25" i="37"/>
  <c r="Q25" i="37" s="1"/>
  <c r="M25" i="37"/>
  <c r="L25" i="37"/>
  <c r="P24" i="37"/>
  <c r="Q24" i="37" s="1"/>
  <c r="M24" i="37"/>
  <c r="L24" i="37"/>
  <c r="P23" i="37"/>
  <c r="Q23" i="37" s="1"/>
  <c r="M23" i="37"/>
  <c r="L23" i="37"/>
  <c r="P21" i="37"/>
  <c r="Q21" i="37" s="1"/>
  <c r="M21" i="37"/>
  <c r="L21" i="37"/>
  <c r="P20" i="37"/>
  <c r="Q20" i="37" s="1"/>
  <c r="M20" i="37"/>
  <c r="L20" i="37"/>
  <c r="P19" i="37"/>
  <c r="Q19" i="37" s="1"/>
  <c r="M19" i="37"/>
  <c r="L19" i="37"/>
  <c r="P18" i="37"/>
  <c r="Q18" i="37" s="1"/>
  <c r="M18" i="37"/>
  <c r="L18" i="37"/>
  <c r="P17" i="37"/>
  <c r="Q17" i="37" s="1"/>
  <c r="M17" i="37"/>
  <c r="L17" i="37"/>
  <c r="P16" i="37"/>
  <c r="Q16" i="37" s="1"/>
  <c r="M16" i="37"/>
  <c r="L16" i="37"/>
  <c r="P15" i="37"/>
  <c r="Q15" i="37" s="1"/>
  <c r="M15" i="37"/>
  <c r="L15" i="37"/>
  <c r="P14" i="37"/>
  <c r="Q14" i="37" s="1"/>
  <c r="M14" i="37"/>
  <c r="L14" i="37"/>
  <c r="P13" i="37"/>
  <c r="Q13" i="37" s="1"/>
  <c r="M13" i="37"/>
  <c r="L13" i="37"/>
  <c r="P12" i="37"/>
  <c r="Q12" i="37" s="1"/>
  <c r="M12" i="37"/>
  <c r="L12" i="37"/>
  <c r="P11" i="37"/>
  <c r="Q11" i="37" s="1"/>
  <c r="M11" i="37"/>
  <c r="L11"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D99" i="36"/>
  <c r="C99" i="36"/>
  <c r="Q98" i="36"/>
  <c r="P98" i="36"/>
  <c r="M98" i="36"/>
  <c r="I98" i="36"/>
  <c r="C98" i="36"/>
  <c r="F98" i="36" s="1" a="1"/>
  <c r="F98" i="36" s="1"/>
  <c r="P97" i="36"/>
  <c r="Q97" i="36" s="1"/>
  <c r="M97" i="36"/>
  <c r="I97" i="36"/>
  <c r="D97" i="36"/>
  <c r="C97" i="36"/>
  <c r="F97" i="36" s="1" a="1"/>
  <c r="F97" i="36" s="1"/>
  <c r="P96" i="36"/>
  <c r="Q96" i="36" s="1"/>
  <c r="M96" i="36"/>
  <c r="I96" i="36"/>
  <c r="C96" i="36"/>
  <c r="F96" i="36" s="1" a="1"/>
  <c r="F96" i="36" s="1"/>
  <c r="Q95" i="36"/>
  <c r="P95" i="36"/>
  <c r="M95" i="36"/>
  <c r="I95" i="36"/>
  <c r="C95" i="36"/>
  <c r="F95" i="36" s="1" a="1"/>
  <c r="F95" i="36" s="1"/>
  <c r="P94" i="36"/>
  <c r="Q94" i="36" s="1"/>
  <c r="M94" i="36"/>
  <c r="I94" i="36"/>
  <c r="D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F91" i="36" a="1"/>
  <c r="F91" i="36" s="1"/>
  <c r="D91" i="36"/>
  <c r="C91" i="36"/>
  <c r="Q90" i="36"/>
  <c r="P90" i="36"/>
  <c r="M90" i="36"/>
  <c r="I90" i="36"/>
  <c r="C90" i="36"/>
  <c r="F90" i="36" s="1" a="1"/>
  <c r="F90" i="36" s="1"/>
  <c r="P89" i="36"/>
  <c r="Q89" i="36" s="1"/>
  <c r="M89" i="36"/>
  <c r="I89" i="36"/>
  <c r="D89" i="36"/>
  <c r="C89" i="36"/>
  <c r="F89" i="36" s="1" a="1"/>
  <c r="F89" i="36" s="1"/>
  <c r="P88" i="36"/>
  <c r="Q88" i="36" s="1"/>
  <c r="M88" i="36"/>
  <c r="I88" i="36"/>
  <c r="C88" i="36"/>
  <c r="F88" i="36" s="1" a="1"/>
  <c r="F88" i="36" s="1"/>
  <c r="Q87" i="36"/>
  <c r="P87" i="36"/>
  <c r="M87" i="36"/>
  <c r="I87" i="36"/>
  <c r="C87" i="36"/>
  <c r="F87" i="36" s="1" a="1"/>
  <c r="F87" i="36" s="1"/>
  <c r="P86" i="36"/>
  <c r="Q86" i="36" s="1"/>
  <c r="M86" i="36"/>
  <c r="I86" i="36"/>
  <c r="D86" i="36"/>
  <c r="C86" i="36"/>
  <c r="F86" i="36" s="1" a="1"/>
  <c r="F86" i="36" s="1"/>
  <c r="Q85" i="36"/>
  <c r="P85" i="36"/>
  <c r="M85" i="36"/>
  <c r="I85" i="36"/>
  <c r="C85" i="36"/>
  <c r="F85" i="36" s="1" a="1"/>
  <c r="F85" i="36" s="1"/>
  <c r="Q84" i="36"/>
  <c r="P84" i="36"/>
  <c r="M84" i="36"/>
  <c r="I84" i="36"/>
  <c r="D84" i="36"/>
  <c r="C84" i="36"/>
  <c r="F84" i="36" s="1" a="1"/>
  <c r="F84" i="36" s="1"/>
  <c r="P83" i="36"/>
  <c r="Q83" i="36" s="1"/>
  <c r="M83" i="36"/>
  <c r="I83" i="36"/>
  <c r="F83" i="36" a="1"/>
  <c r="F83" i="36" s="1"/>
  <c r="D83" i="36"/>
  <c r="C83" i="36"/>
  <c r="Q82" i="36"/>
  <c r="P82" i="36"/>
  <c r="M82" i="36"/>
  <c r="I82" i="36"/>
  <c r="C82" i="36"/>
  <c r="F82" i="36" s="1" a="1"/>
  <c r="F82" i="36" s="1"/>
  <c r="P81" i="36"/>
  <c r="Q81" i="36" s="1"/>
  <c r="M81" i="36"/>
  <c r="I81" i="36"/>
  <c r="D81" i="36"/>
  <c r="C81" i="36"/>
  <c r="F81" i="36" s="1" a="1"/>
  <c r="F81" i="36" s="1"/>
  <c r="P80" i="36"/>
  <c r="Q80" i="36" s="1"/>
  <c r="M80" i="36"/>
  <c r="I80" i="36"/>
  <c r="F80" i="36" a="1"/>
  <c r="F80" i="36" s="1"/>
  <c r="C80" i="36"/>
  <c r="D80" i="36" s="1"/>
  <c r="Q79" i="36"/>
  <c r="P79" i="36"/>
  <c r="M79" i="36"/>
  <c r="I79" i="36"/>
  <c r="C79" i="36"/>
  <c r="F79" i="36" s="1" a="1"/>
  <c r="F79" i="36" s="1"/>
  <c r="P78" i="36"/>
  <c r="Q78" i="36" s="1"/>
  <c r="M78" i="36"/>
  <c r="I78" i="36"/>
  <c r="D78" i="36"/>
  <c r="C78" i="36"/>
  <c r="F78" i="36" s="1" a="1"/>
  <c r="F78" i="36" s="1"/>
  <c r="Q77" i="36"/>
  <c r="P77" i="36"/>
  <c r="M77" i="36"/>
  <c r="I77" i="36"/>
  <c r="C77" i="36"/>
  <c r="F77" i="36" s="1" a="1"/>
  <c r="F77" i="36" s="1"/>
  <c r="Q76" i="36"/>
  <c r="P76" i="36"/>
  <c r="M76" i="36"/>
  <c r="I76" i="36"/>
  <c r="D76" i="36"/>
  <c r="C76" i="36"/>
  <c r="F76" i="36" s="1" a="1"/>
  <c r="F76" i="36" s="1"/>
  <c r="P75" i="36"/>
  <c r="Q75" i="36" s="1"/>
  <c r="M75" i="36"/>
  <c r="I75" i="36"/>
  <c r="F75" i="36" a="1"/>
  <c r="F75" i="36" s="1"/>
  <c r="D75" i="36"/>
  <c r="C75" i="36"/>
  <c r="Q74" i="36"/>
  <c r="P74" i="36"/>
  <c r="M74" i="36"/>
  <c r="I74" i="36"/>
  <c r="C74" i="36"/>
  <c r="F74" i="36" s="1" a="1"/>
  <c r="F74" i="36" s="1"/>
  <c r="P73" i="36"/>
  <c r="Q73" i="36" s="1"/>
  <c r="M73" i="36"/>
  <c r="I73" i="36"/>
  <c r="D73" i="36"/>
  <c r="C73" i="36"/>
  <c r="F73" i="36" s="1" a="1"/>
  <c r="F73" i="36" s="1"/>
  <c r="P72" i="36"/>
  <c r="Q72" i="36" s="1"/>
  <c r="M72" i="36"/>
  <c r="I72" i="36"/>
  <c r="F72" i="36" a="1"/>
  <c r="F72" i="36" s="1"/>
  <c r="C72" i="36"/>
  <c r="D72" i="36" s="1"/>
  <c r="Q71" i="36"/>
  <c r="P71" i="36"/>
  <c r="M71" i="36"/>
  <c r="I71" i="36"/>
  <c r="C71" i="36"/>
  <c r="F71" i="36" s="1" a="1"/>
  <c r="F71" i="36" s="1"/>
  <c r="P70" i="36"/>
  <c r="Q70" i="36" s="1"/>
  <c r="M70" i="36"/>
  <c r="I70" i="36"/>
  <c r="D70" i="36"/>
  <c r="C70" i="36"/>
  <c r="F70" i="36" s="1" a="1"/>
  <c r="F70" i="36" s="1"/>
  <c r="Q69" i="36"/>
  <c r="P69" i="36"/>
  <c r="M69" i="36"/>
  <c r="I69" i="36"/>
  <c r="C69" i="36"/>
  <c r="F69" i="36" s="1" a="1"/>
  <c r="F69" i="36" s="1"/>
  <c r="Q68" i="36"/>
  <c r="P68" i="36"/>
  <c r="M68" i="36"/>
  <c r="I68" i="36"/>
  <c r="D68" i="36"/>
  <c r="C68" i="36"/>
  <c r="F68" i="36" s="1" a="1"/>
  <c r="F68" i="36" s="1"/>
  <c r="P67" i="36"/>
  <c r="Q67" i="36" s="1"/>
  <c r="M67" i="36"/>
  <c r="I67" i="36"/>
  <c r="F67" i="36" a="1"/>
  <c r="F67" i="36" s="1"/>
  <c r="D67" i="36"/>
  <c r="C67" i="36"/>
  <c r="Q66" i="36"/>
  <c r="P66" i="36"/>
  <c r="M66" i="36"/>
  <c r="I66" i="36"/>
  <c r="C66" i="36"/>
  <c r="F66" i="36" s="1" a="1"/>
  <c r="F66" i="36" s="1"/>
  <c r="P65" i="36"/>
  <c r="Q65" i="36" s="1"/>
  <c r="M65" i="36"/>
  <c r="I65" i="36"/>
  <c r="D65" i="36"/>
  <c r="C65" i="36"/>
  <c r="F65" i="36" s="1" a="1"/>
  <c r="F65" i="36" s="1"/>
  <c r="P64" i="36"/>
  <c r="Q64" i="36" s="1"/>
  <c r="M64" i="36"/>
  <c r="I64" i="36"/>
  <c r="F64" i="36" a="1"/>
  <c r="F64" i="36" s="1"/>
  <c r="C64" i="36"/>
  <c r="D64" i="36" s="1"/>
  <c r="Q63" i="36"/>
  <c r="P63" i="36"/>
  <c r="M63" i="36"/>
  <c r="I63" i="36"/>
  <c r="C63" i="36"/>
  <c r="F63" i="36" s="1" a="1"/>
  <c r="F63" i="36" s="1"/>
  <c r="P62" i="36"/>
  <c r="Q62" i="36" s="1"/>
  <c r="M62" i="36"/>
  <c r="I62" i="36"/>
  <c r="D62" i="36"/>
  <c r="C62" i="36"/>
  <c r="F62" i="36" s="1" a="1"/>
  <c r="F62" i="36" s="1"/>
  <c r="Q61" i="36"/>
  <c r="P61" i="36"/>
  <c r="M61" i="36"/>
  <c r="I61" i="36"/>
  <c r="C61" i="36"/>
  <c r="F61" i="36" s="1" a="1"/>
  <c r="F61" i="36" s="1"/>
  <c r="Q60" i="36"/>
  <c r="P60" i="36"/>
  <c r="M60" i="36"/>
  <c r="I60" i="36"/>
  <c r="D60" i="36"/>
  <c r="C60" i="36"/>
  <c r="F60" i="36" s="1" a="1"/>
  <c r="F60" i="36" s="1"/>
  <c r="P59" i="36"/>
  <c r="Q59" i="36" s="1"/>
  <c r="M59" i="36"/>
  <c r="I59" i="36"/>
  <c r="F59" i="36" a="1"/>
  <c r="F59" i="36" s="1"/>
  <c r="D59" i="36"/>
  <c r="C59" i="36"/>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Q55" i="36"/>
  <c r="P55" i="36"/>
  <c r="M55" i="36"/>
  <c r="I55" i="36"/>
  <c r="C55" i="36"/>
  <c r="F55" i="36" s="1" a="1"/>
  <c r="F55" i="36" s="1"/>
  <c r="P54" i="36"/>
  <c r="Q54" i="36" s="1"/>
  <c r="M54" i="36"/>
  <c r="I54" i="36"/>
  <c r="D54" i="36"/>
  <c r="C54" i="36"/>
  <c r="F54" i="36" s="1" a="1"/>
  <c r="F54" i="36" s="1"/>
  <c r="Q53" i="36"/>
  <c r="P53" i="36"/>
  <c r="M53" i="36"/>
  <c r="I53" i="36"/>
  <c r="C53" i="36"/>
  <c r="F53" i="36" s="1" a="1"/>
  <c r="F53" i="36" s="1"/>
  <c r="Q52" i="36"/>
  <c r="P52" i="36"/>
  <c r="M52" i="36"/>
  <c r="I52" i="36"/>
  <c r="D52" i="36"/>
  <c r="C52" i="36"/>
  <c r="F52" i="36" s="1" a="1"/>
  <c r="F52" i="36" s="1"/>
  <c r="P51" i="36"/>
  <c r="Q51" i="36" s="1"/>
  <c r="M51" i="36"/>
  <c r="I51" i="36"/>
  <c r="F51" i="36" a="1"/>
  <c r="F51" i="36" s="1"/>
  <c r="D51" i="36"/>
  <c r="C51" i="36"/>
  <c r="Q50" i="36"/>
  <c r="P50" i="36"/>
  <c r="M50" i="36"/>
  <c r="I50" i="36"/>
  <c r="C50" i="36"/>
  <c r="F50" i="36" s="1" a="1"/>
  <c r="F50" i="36" s="1"/>
  <c r="P49" i="36"/>
  <c r="Q49" i="36" s="1"/>
  <c r="M49" i="36"/>
  <c r="I49" i="36"/>
  <c r="D49" i="36"/>
  <c r="C49" i="36"/>
  <c r="F49" i="36" s="1" a="1"/>
  <c r="F49" i="36" s="1"/>
  <c r="P48" i="36"/>
  <c r="Q48" i="36" s="1"/>
  <c r="M48" i="36"/>
  <c r="I48" i="36"/>
  <c r="F48" i="36" a="1"/>
  <c r="F48" i="36" s="1"/>
  <c r="C48" i="36"/>
  <c r="D48" i="36" s="1"/>
  <c r="Q47" i="36"/>
  <c r="P47" i="36"/>
  <c r="M47" i="36"/>
  <c r="I47" i="36"/>
  <c r="C47" i="36"/>
  <c r="F47" i="36" s="1" a="1"/>
  <c r="F47" i="36" s="1"/>
  <c r="P46" i="36"/>
  <c r="Q46" i="36" s="1"/>
  <c r="M46" i="36"/>
  <c r="I46" i="36"/>
  <c r="D46" i="36"/>
  <c r="C46" i="36"/>
  <c r="F46" i="36" s="1" a="1"/>
  <c r="F46" i="36" s="1"/>
  <c r="Q45" i="36"/>
  <c r="P45" i="36"/>
  <c r="M45" i="36"/>
  <c r="I45" i="36"/>
  <c r="C45" i="36"/>
  <c r="F45" i="36" s="1" a="1"/>
  <c r="F45" i="36" s="1"/>
  <c r="Q44" i="36"/>
  <c r="P44" i="36"/>
  <c r="M44" i="36"/>
  <c r="I44" i="36"/>
  <c r="D44" i="36"/>
  <c r="C44" i="36"/>
  <c r="F44" i="36" s="1" a="1"/>
  <c r="F44" i="36" s="1"/>
  <c r="P43" i="36"/>
  <c r="Q43" i="36" s="1"/>
  <c r="M43" i="36"/>
  <c r="I43" i="36"/>
  <c r="F43" i="36" a="1"/>
  <c r="F43" i="36" s="1"/>
  <c r="D43" i="36"/>
  <c r="C43" i="36"/>
  <c r="Q42" i="36"/>
  <c r="P42" i="36"/>
  <c r="M42" i="36"/>
  <c r="I42" i="36"/>
  <c r="C42" i="36"/>
  <c r="F42" i="36" s="1" a="1"/>
  <c r="F42" i="36" s="1"/>
  <c r="P41" i="36"/>
  <c r="Q41" i="36" s="1"/>
  <c r="M41" i="36"/>
  <c r="I41" i="36"/>
  <c r="D41" i="36"/>
  <c r="C41" i="36"/>
  <c r="F41" i="36" s="1" a="1"/>
  <c r="F41" i="36" s="1"/>
  <c r="P40" i="36"/>
  <c r="Q40" i="36" s="1"/>
  <c r="M40" i="36"/>
  <c r="I40" i="36"/>
  <c r="F40" i="36" a="1"/>
  <c r="F40" i="36" s="1"/>
  <c r="C40" i="36"/>
  <c r="D40" i="36" s="1"/>
  <c r="Q39" i="36"/>
  <c r="P39" i="36"/>
  <c r="M39" i="36"/>
  <c r="I39" i="36"/>
  <c r="C39" i="36"/>
  <c r="F39" i="36" s="1" a="1"/>
  <c r="F39" i="36" s="1"/>
  <c r="P38" i="36"/>
  <c r="Q38" i="36" s="1"/>
  <c r="M38" i="36"/>
  <c r="I38" i="36"/>
  <c r="D38" i="36"/>
  <c r="C38" i="36"/>
  <c r="F38" i="36" s="1" a="1"/>
  <c r="F38" i="36" s="1"/>
  <c r="Q37" i="36"/>
  <c r="P37" i="36"/>
  <c r="M37" i="36"/>
  <c r="I37" i="36"/>
  <c r="C37" i="36"/>
  <c r="F37" i="36" s="1" a="1"/>
  <c r="F37" i="36" s="1"/>
  <c r="Q36" i="36"/>
  <c r="P36" i="36"/>
  <c r="M36" i="36"/>
  <c r="I36" i="36"/>
  <c r="D36" i="36"/>
  <c r="C36" i="36"/>
  <c r="F36" i="36" s="1" a="1"/>
  <c r="F36" i="36" s="1"/>
  <c r="P35" i="36"/>
  <c r="Q35" i="36" s="1"/>
  <c r="M35" i="36"/>
  <c r="I35" i="36"/>
  <c r="F35" i="36" a="1"/>
  <c r="F35" i="36" s="1"/>
  <c r="D35" i="36"/>
  <c r="C35" i="36"/>
  <c r="Q34" i="36"/>
  <c r="P34" i="36"/>
  <c r="M34" i="36"/>
  <c r="I34" i="36"/>
  <c r="C34" i="36"/>
  <c r="F34" i="36" s="1" a="1"/>
  <c r="F34" i="36" s="1"/>
  <c r="P33" i="36"/>
  <c r="Q33" i="36" s="1"/>
  <c r="M33" i="36"/>
  <c r="I33" i="36"/>
  <c r="F33" i="36"/>
  <c r="F33" i="36" a="1"/>
  <c r="D33" i="36"/>
  <c r="C33" i="36"/>
  <c r="P32" i="36"/>
  <c r="Q32" i="36" s="1"/>
  <c r="M32" i="36"/>
  <c r="I32" i="36"/>
  <c r="F32" i="36" a="1"/>
  <c r="F32" i="36" s="1"/>
  <c r="C32" i="36"/>
  <c r="D32" i="36" s="1"/>
  <c r="Q31" i="36"/>
  <c r="P31" i="36"/>
  <c r="M31" i="36"/>
  <c r="I31" i="36"/>
  <c r="C31" i="36"/>
  <c r="F31" i="36" s="1" a="1"/>
  <c r="F31" i="36" s="1"/>
  <c r="P30" i="36"/>
  <c r="Q30" i="36" s="1"/>
  <c r="M30" i="36"/>
  <c r="I30" i="36"/>
  <c r="D30" i="36"/>
  <c r="C30" i="36"/>
  <c r="F30" i="36" s="1" a="1"/>
  <c r="F30" i="36" s="1"/>
  <c r="Q29" i="36"/>
  <c r="P29" i="36"/>
  <c r="M29" i="36"/>
  <c r="I29" i="36"/>
  <c r="C29" i="36"/>
  <c r="F29" i="36" s="1" a="1"/>
  <c r="F29" i="36" s="1"/>
  <c r="Q28" i="36"/>
  <c r="P28" i="36"/>
  <c r="M28" i="36"/>
  <c r="I28" i="36"/>
  <c r="D28" i="36"/>
  <c r="C28" i="36"/>
  <c r="F28" i="36" s="1" a="1"/>
  <c r="F28" i="36" s="1"/>
  <c r="P27" i="36"/>
  <c r="Q27" i="36" s="1"/>
  <c r="M27" i="36"/>
  <c r="I27" i="36"/>
  <c r="F27" i="36" a="1"/>
  <c r="F27" i="36" s="1"/>
  <c r="D27" i="36"/>
  <c r="C27" i="36"/>
  <c r="Q26" i="36"/>
  <c r="P26" i="36"/>
  <c r="M26" i="36"/>
  <c r="I26" i="36"/>
  <c r="C26" i="36"/>
  <c r="F26" i="36" s="1" a="1"/>
  <c r="F26" i="36" s="1"/>
  <c r="P25" i="36"/>
  <c r="Q25" i="36" s="1"/>
  <c r="M25" i="36"/>
  <c r="I25" i="36"/>
  <c r="F25" i="36"/>
  <c r="F25" i="36" a="1"/>
  <c r="D25" i="36"/>
  <c r="C25" i="36"/>
  <c r="P24" i="36"/>
  <c r="Q24" i="36" s="1"/>
  <c r="M24" i="36"/>
  <c r="I24" i="36"/>
  <c r="F24" i="36" a="1"/>
  <c r="F24" i="36" s="1"/>
  <c r="C24" i="36"/>
  <c r="D24" i="36" s="1"/>
  <c r="Q23" i="36"/>
  <c r="P23" i="36"/>
  <c r="M23" i="36"/>
  <c r="I23" i="36"/>
  <c r="C23" i="36"/>
  <c r="F23" i="36" s="1" a="1"/>
  <c r="F23" i="36" s="1"/>
  <c r="P22" i="36"/>
  <c r="Q22" i="36" s="1"/>
  <c r="M22" i="36"/>
  <c r="I22" i="36"/>
  <c r="D22" i="36"/>
  <c r="C22" i="36"/>
  <c r="F22" i="36" s="1" a="1"/>
  <c r="F22" i="36" s="1"/>
  <c r="Q21" i="36"/>
  <c r="P21" i="36"/>
  <c r="M21" i="36"/>
  <c r="I21" i="36"/>
  <c r="C21" i="36"/>
  <c r="F21" i="36" s="1" a="1"/>
  <c r="F21" i="36" s="1"/>
  <c r="Q20" i="36"/>
  <c r="P20" i="36"/>
  <c r="M20" i="36"/>
  <c r="I20" i="36"/>
  <c r="D20" i="36"/>
  <c r="C20" i="36"/>
  <c r="F20" i="36" s="1" a="1"/>
  <c r="F20" i="36" s="1"/>
  <c r="P19" i="36"/>
  <c r="Q19" i="36" s="1"/>
  <c r="M19" i="36"/>
  <c r="I19" i="36"/>
  <c r="F19" i="36" a="1"/>
  <c r="F19" i="36" s="1"/>
  <c r="D19" i="36"/>
  <c r="C19" i="36"/>
  <c r="Q18" i="36"/>
  <c r="P18" i="36"/>
  <c r="M18" i="36"/>
  <c r="I18" i="36"/>
  <c r="C18" i="36"/>
  <c r="F18" i="36" s="1" a="1"/>
  <c r="F18" i="36" s="1"/>
  <c r="P17" i="36"/>
  <c r="Q17" i="36" s="1"/>
  <c r="M17" i="36"/>
  <c r="I17" i="36"/>
  <c r="F17" i="36" a="1"/>
  <c r="F17" i="36" s="1"/>
  <c r="D17" i="36"/>
  <c r="C17" i="36"/>
  <c r="P16" i="36"/>
  <c r="Q16" i="36" s="1"/>
  <c r="M16" i="36"/>
  <c r="I16" i="36"/>
  <c r="F16" i="36" a="1"/>
  <c r="F16" i="36" s="1"/>
  <c r="C16" i="36"/>
  <c r="D16" i="36" s="1"/>
  <c r="Q15" i="36"/>
  <c r="P15" i="36"/>
  <c r="M15" i="36"/>
  <c r="I15" i="36"/>
  <c r="C15" i="36"/>
  <c r="F15" i="36" s="1" a="1"/>
  <c r="F15" i="36" s="1"/>
  <c r="P14" i="36"/>
  <c r="Q14" i="36" s="1"/>
  <c r="M14" i="36"/>
  <c r="I14" i="36"/>
  <c r="D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Q10" i="36"/>
  <c r="P10" i="36"/>
  <c r="M10" i="36"/>
  <c r="I10" i="36"/>
  <c r="C10" i="36"/>
  <c r="F10" i="36" s="1" a="1"/>
  <c r="F10" i="36" s="1"/>
  <c r="P9" i="36"/>
  <c r="Q9" i="36" s="1"/>
  <c r="M9" i="36"/>
  <c r="I9" i="36"/>
  <c r="F9" i="36" a="1"/>
  <c r="F9" i="36" s="1"/>
  <c r="D9" i="36"/>
  <c r="C9" i="36"/>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F99" i="35" a="1"/>
  <c r="F99" i="35" s="1"/>
  <c r="C99" i="35"/>
  <c r="D99" i="35" s="1"/>
  <c r="P98" i="35"/>
  <c r="Q98" i="35" s="1"/>
  <c r="M98" i="35"/>
  <c r="L98" i="35"/>
  <c r="I98" i="35"/>
  <c r="F98" i="35"/>
  <c r="F98" i="35" a="1"/>
  <c r="D98" i="35"/>
  <c r="C98" i="35"/>
  <c r="P97" i="35"/>
  <c r="Q97" i="35" s="1"/>
  <c r="M97" i="35"/>
  <c r="L97" i="35"/>
  <c r="I97" i="35"/>
  <c r="F97" i="35"/>
  <c r="F97" i="35" a="1"/>
  <c r="C97" i="35"/>
  <c r="D97" i="35" s="1"/>
  <c r="Q96" i="35"/>
  <c r="P96" i="35"/>
  <c r="M96" i="35"/>
  <c r="L96" i="35"/>
  <c r="I96" i="35"/>
  <c r="C96" i="35"/>
  <c r="F96" i="35" s="1" a="1"/>
  <c r="F96" i="35" s="1"/>
  <c r="Q95" i="35"/>
  <c r="P95" i="35"/>
  <c r="M95" i="35"/>
  <c r="L95" i="35"/>
  <c r="I95" i="35"/>
  <c r="D95" i="35"/>
  <c r="C95" i="35"/>
  <c r="F95" i="35" s="1" a="1"/>
  <c r="F95" i="35" s="1"/>
  <c r="P94" i="35"/>
  <c r="Q94" i="35" s="1"/>
  <c r="M94" i="35"/>
  <c r="L94" i="35"/>
  <c r="I94" i="35"/>
  <c r="F94" i="35" a="1"/>
  <c r="F94" i="35" s="1"/>
  <c r="D94" i="35"/>
  <c r="C94" i="35"/>
  <c r="Q93" i="35"/>
  <c r="P93" i="35"/>
  <c r="M93" i="35"/>
  <c r="L93" i="35"/>
  <c r="I93" i="35"/>
  <c r="C93" i="35"/>
  <c r="F93" i="35" s="1" a="1"/>
  <c r="F93" i="35" s="1"/>
  <c r="Q92" i="35"/>
  <c r="P92" i="35"/>
  <c r="M92" i="35"/>
  <c r="L92" i="35"/>
  <c r="I92" i="35"/>
  <c r="D92" i="35"/>
  <c r="C92" i="35"/>
  <c r="F92" i="35" s="1" a="1"/>
  <c r="F92" i="35" s="1"/>
  <c r="Q91" i="35"/>
  <c r="P91" i="35"/>
  <c r="M91" i="35"/>
  <c r="L91" i="35"/>
  <c r="I91" i="35"/>
  <c r="F91" i="35" a="1"/>
  <c r="F91" i="35" s="1"/>
  <c r="D91" i="35"/>
  <c r="C91" i="35"/>
  <c r="P90" i="35"/>
  <c r="Q90" i="35" s="1"/>
  <c r="M90" i="35"/>
  <c r="L90" i="35"/>
  <c r="I90" i="35"/>
  <c r="F90" i="35"/>
  <c r="F90" i="35" a="1"/>
  <c r="D90" i="35"/>
  <c r="C90" i="35"/>
  <c r="P89" i="35"/>
  <c r="Q89" i="35" s="1"/>
  <c r="M89" i="35"/>
  <c r="L89" i="35"/>
  <c r="I89" i="35"/>
  <c r="F89" i="35"/>
  <c r="F89" i="35" a="1"/>
  <c r="C89" i="35"/>
  <c r="D89" i="35" s="1"/>
  <c r="Q88" i="35"/>
  <c r="P88" i="35"/>
  <c r="M88" i="35"/>
  <c r="L88" i="35"/>
  <c r="I88" i="35"/>
  <c r="C88" i="35"/>
  <c r="F88" i="35" s="1" a="1"/>
  <c r="F88" i="35" s="1"/>
  <c r="Q87" i="35"/>
  <c r="P87" i="35"/>
  <c r="M87" i="35"/>
  <c r="L87" i="35"/>
  <c r="I87" i="35"/>
  <c r="D87" i="35"/>
  <c r="C87" i="35"/>
  <c r="F87" i="35" s="1" a="1"/>
  <c r="F87" i="35" s="1"/>
  <c r="P86" i="35"/>
  <c r="Q86" i="35" s="1"/>
  <c r="M86" i="35"/>
  <c r="L86" i="35"/>
  <c r="I86" i="35"/>
  <c r="F86" i="35" a="1"/>
  <c r="F86" i="35" s="1"/>
  <c r="D86" i="35"/>
  <c r="C86" i="35"/>
  <c r="Q85" i="35"/>
  <c r="P85" i="35"/>
  <c r="M85" i="35"/>
  <c r="L85" i="35"/>
  <c r="I85" i="35"/>
  <c r="C85" i="35"/>
  <c r="F85" i="35" s="1" a="1"/>
  <c r="F85" i="35" s="1"/>
  <c r="Q84" i="35"/>
  <c r="P84" i="35"/>
  <c r="M84" i="35"/>
  <c r="L84" i="35"/>
  <c r="I84" i="35"/>
  <c r="D84" i="35"/>
  <c r="C84" i="35"/>
  <c r="F84" i="35" s="1" a="1"/>
  <c r="F84" i="35" s="1"/>
  <c r="Q83" i="35"/>
  <c r="P83" i="35"/>
  <c r="M83" i="35"/>
  <c r="L83" i="35"/>
  <c r="I83" i="35"/>
  <c r="F83" i="35" a="1"/>
  <c r="F83" i="35" s="1"/>
  <c r="D83" i="35"/>
  <c r="C83" i="35"/>
  <c r="P82" i="35"/>
  <c r="Q82" i="35" s="1"/>
  <c r="M82" i="35"/>
  <c r="L82" i="35"/>
  <c r="I82" i="35"/>
  <c r="F82" i="35"/>
  <c r="F82" i="35" a="1"/>
  <c r="D82" i="35"/>
  <c r="C82" i="35"/>
  <c r="P81" i="35"/>
  <c r="Q81" i="35" s="1"/>
  <c r="M81" i="35"/>
  <c r="L81" i="35"/>
  <c r="I81" i="35"/>
  <c r="F81" i="35"/>
  <c r="F81" i="35" a="1"/>
  <c r="C81" i="35"/>
  <c r="D81" i="35" s="1"/>
  <c r="Q80" i="35"/>
  <c r="P80" i="35"/>
  <c r="M80" i="35"/>
  <c r="L80" i="35"/>
  <c r="I80" i="35"/>
  <c r="C80" i="35"/>
  <c r="F80" i="35" s="1" a="1"/>
  <c r="F80" i="35" s="1"/>
  <c r="Q79" i="35"/>
  <c r="P79" i="35"/>
  <c r="M79" i="35"/>
  <c r="L79" i="35"/>
  <c r="I79" i="35"/>
  <c r="D79" i="35"/>
  <c r="C79" i="35"/>
  <c r="F79" i="35" s="1" a="1"/>
  <c r="F79" i="35" s="1"/>
  <c r="P78" i="35"/>
  <c r="Q78" i="35" s="1"/>
  <c r="M78" i="35"/>
  <c r="L78" i="35"/>
  <c r="I78" i="35"/>
  <c r="F78" i="35" a="1"/>
  <c r="F78" i="35" s="1"/>
  <c r="D78" i="35"/>
  <c r="C78" i="35"/>
  <c r="Q77" i="35"/>
  <c r="P77" i="35"/>
  <c r="M77" i="35"/>
  <c r="L77" i="35"/>
  <c r="I77" i="35"/>
  <c r="C77" i="35"/>
  <c r="F77" i="35" s="1" a="1"/>
  <c r="F77" i="35" s="1"/>
  <c r="Q76" i="35"/>
  <c r="P76" i="35"/>
  <c r="M76" i="35"/>
  <c r="L76" i="35"/>
  <c r="I76" i="35"/>
  <c r="D76" i="35"/>
  <c r="C76" i="35"/>
  <c r="F76" i="35" s="1" a="1"/>
  <c r="F76" i="35" s="1"/>
  <c r="Q75" i="35"/>
  <c r="P75" i="35"/>
  <c r="M75" i="35"/>
  <c r="L75" i="35"/>
  <c r="I75" i="35"/>
  <c r="F75" i="35" a="1"/>
  <c r="F75" i="35" s="1"/>
  <c r="D75" i="35"/>
  <c r="C75" i="35"/>
  <c r="P74" i="35"/>
  <c r="Q74" i="35" s="1"/>
  <c r="M74" i="35"/>
  <c r="L74" i="35"/>
  <c r="I74" i="35"/>
  <c r="F74" i="35"/>
  <c r="F74" i="35" a="1"/>
  <c r="D74" i="35"/>
  <c r="C74" i="35"/>
  <c r="P73" i="35"/>
  <c r="Q73" i="35" s="1"/>
  <c r="M73" i="35"/>
  <c r="L73" i="35"/>
  <c r="I73" i="35"/>
  <c r="F73" i="35"/>
  <c r="F73" i="35" a="1"/>
  <c r="C73" i="35"/>
  <c r="D73" i="35" s="1"/>
  <c r="Q72" i="35"/>
  <c r="P72" i="35"/>
  <c r="M72" i="35"/>
  <c r="L72" i="35"/>
  <c r="I72" i="35"/>
  <c r="C72" i="35"/>
  <c r="F72" i="35" s="1" a="1"/>
  <c r="F72" i="35" s="1"/>
  <c r="Q71" i="35"/>
  <c r="P71" i="35"/>
  <c r="M71" i="35"/>
  <c r="L71" i="35"/>
  <c r="I71" i="35"/>
  <c r="D71" i="35"/>
  <c r="C71" i="35"/>
  <c r="F71" i="35" s="1" a="1"/>
  <c r="F71" i="35" s="1"/>
  <c r="P70" i="35"/>
  <c r="Q70" i="35" s="1"/>
  <c r="M70" i="35"/>
  <c r="L70" i="35"/>
  <c r="I70" i="35"/>
  <c r="F70" i="35" a="1"/>
  <c r="F70" i="35" s="1"/>
  <c r="D70" i="35"/>
  <c r="C70" i="35"/>
  <c r="Q69" i="35"/>
  <c r="P69" i="35"/>
  <c r="M69" i="35"/>
  <c r="L69" i="35"/>
  <c r="I69" i="35"/>
  <c r="C69" i="35"/>
  <c r="F69" i="35" s="1" a="1"/>
  <c r="F69" i="35" s="1"/>
  <c r="Q68" i="35"/>
  <c r="P68" i="35"/>
  <c r="M68" i="35"/>
  <c r="L68" i="35"/>
  <c r="I68" i="35"/>
  <c r="D68" i="35"/>
  <c r="C68" i="35"/>
  <c r="F68" i="35" s="1" a="1"/>
  <c r="F68" i="35" s="1"/>
  <c r="Q67" i="35"/>
  <c r="P67" i="35"/>
  <c r="M67" i="35"/>
  <c r="L67" i="35"/>
  <c r="I67" i="35"/>
  <c r="F67" i="35" a="1"/>
  <c r="F67" i="35" s="1"/>
  <c r="D67" i="35"/>
  <c r="C67" i="35"/>
  <c r="P66" i="35"/>
  <c r="Q66" i="35" s="1"/>
  <c r="M66" i="35"/>
  <c r="L66" i="35"/>
  <c r="I66" i="35"/>
  <c r="F66" i="35"/>
  <c r="F66" i="35" a="1"/>
  <c r="D66" i="35"/>
  <c r="C66" i="35"/>
  <c r="P65" i="35"/>
  <c r="Q65" i="35" s="1"/>
  <c r="M65" i="35"/>
  <c r="L65" i="35"/>
  <c r="I65" i="35"/>
  <c r="F65" i="35"/>
  <c r="F65" i="35" a="1"/>
  <c r="C65" i="35"/>
  <c r="D65" i="35" s="1"/>
  <c r="Q64" i="35"/>
  <c r="P64" i="35"/>
  <c r="M64" i="35"/>
  <c r="L64" i="35"/>
  <c r="I64" i="35"/>
  <c r="C64" i="35"/>
  <c r="F64" i="35" s="1" a="1"/>
  <c r="F64" i="35" s="1"/>
  <c r="Q63" i="35"/>
  <c r="P63" i="35"/>
  <c r="M63" i="35"/>
  <c r="L63" i="35"/>
  <c r="I63" i="35"/>
  <c r="D63" i="35"/>
  <c r="C63" i="35"/>
  <c r="F63" i="35" s="1" a="1"/>
  <c r="F63" i="35" s="1"/>
  <c r="P62" i="35"/>
  <c r="Q62" i="35" s="1"/>
  <c r="M62" i="35"/>
  <c r="L62" i="35"/>
  <c r="I62" i="35"/>
  <c r="F62" i="35" a="1"/>
  <c r="F62" i="35" s="1"/>
  <c r="D62" i="35"/>
  <c r="C62" i="35"/>
  <c r="Q61" i="35"/>
  <c r="P61" i="35"/>
  <c r="M61" i="35"/>
  <c r="L61" i="35"/>
  <c r="I61" i="35"/>
  <c r="C61" i="35"/>
  <c r="F61" i="35" s="1" a="1"/>
  <c r="F61" i="35" s="1"/>
  <c r="P60" i="35"/>
  <c r="Q60" i="35" s="1"/>
  <c r="M60" i="35"/>
  <c r="L60" i="35"/>
  <c r="I60" i="35"/>
  <c r="D60" i="35"/>
  <c r="C60" i="35"/>
  <c r="F60" i="35" s="1" a="1"/>
  <c r="F60" i="35" s="1"/>
  <c r="Q59" i="35"/>
  <c r="P59" i="35"/>
  <c r="M59" i="35"/>
  <c r="L59" i="35"/>
  <c r="I59" i="35"/>
  <c r="F59" i="35" a="1"/>
  <c r="F59" i="35" s="1"/>
  <c r="C59" i="35"/>
  <c r="D59" i="35" s="1"/>
  <c r="P58" i="35"/>
  <c r="Q58" i="35" s="1"/>
  <c r="M58" i="35"/>
  <c r="L58" i="35"/>
  <c r="I58" i="35"/>
  <c r="F58" i="35"/>
  <c r="F58" i="35" a="1"/>
  <c r="D58" i="35"/>
  <c r="C58" i="35"/>
  <c r="P57" i="35"/>
  <c r="Q57" i="35" s="1"/>
  <c r="M57" i="35"/>
  <c r="L57" i="35"/>
  <c r="I57" i="35"/>
  <c r="F57" i="35" a="1"/>
  <c r="F57" i="35" s="1"/>
  <c r="C57" i="35"/>
  <c r="D57" i="35" s="1"/>
  <c r="Q56" i="35"/>
  <c r="P56" i="35"/>
  <c r="M56" i="35"/>
  <c r="L56" i="35"/>
  <c r="I56" i="35"/>
  <c r="C56" i="35"/>
  <c r="F56" i="35" s="1" a="1"/>
  <c r="F56" i="35" s="1"/>
  <c r="Q55" i="35"/>
  <c r="P55" i="35"/>
  <c r="M55" i="35"/>
  <c r="L55" i="35"/>
  <c r="I55" i="35"/>
  <c r="D55" i="35"/>
  <c r="C55" i="35"/>
  <c r="F55" i="35" s="1" a="1"/>
  <c r="F55" i="35" s="1"/>
  <c r="P54" i="35"/>
  <c r="Q54" i="35" s="1"/>
  <c r="M54" i="35"/>
  <c r="L54" i="35"/>
  <c r="I54" i="35"/>
  <c r="F54" i="35" a="1"/>
  <c r="F54" i="35" s="1"/>
  <c r="D54" i="35"/>
  <c r="C54" i="35"/>
  <c r="Q53" i="35"/>
  <c r="P53" i="35"/>
  <c r="M53" i="35"/>
  <c r="L53" i="35"/>
  <c r="I53" i="35"/>
  <c r="C53" i="35"/>
  <c r="F53" i="35" s="1" a="1"/>
  <c r="F53" i="35" s="1"/>
  <c r="P52" i="35"/>
  <c r="Q52" i="35" s="1"/>
  <c r="M52" i="35"/>
  <c r="L52" i="35"/>
  <c r="I52" i="35"/>
  <c r="D52" i="35"/>
  <c r="C52" i="35"/>
  <c r="F52" i="35" s="1" a="1"/>
  <c r="F52" i="35" s="1"/>
  <c r="Q51" i="35"/>
  <c r="P51" i="35"/>
  <c r="M51" i="35"/>
  <c r="L51" i="35"/>
  <c r="I51" i="35"/>
  <c r="F51" i="35" a="1"/>
  <c r="F51" i="35" s="1"/>
  <c r="C51" i="35"/>
  <c r="D51" i="35" s="1"/>
  <c r="P50" i="35"/>
  <c r="Q50" i="35" s="1"/>
  <c r="M50" i="35"/>
  <c r="L50" i="35"/>
  <c r="I50" i="35"/>
  <c r="F50" i="35"/>
  <c r="F50" i="35" a="1"/>
  <c r="D50" i="35"/>
  <c r="C50" i="35"/>
  <c r="P49" i="35"/>
  <c r="Q49" i="35" s="1"/>
  <c r="M49" i="35"/>
  <c r="L49" i="35"/>
  <c r="I49" i="35"/>
  <c r="F49" i="35" a="1"/>
  <c r="F49" i="35" s="1"/>
  <c r="C49" i="35"/>
  <c r="D49" i="35" s="1"/>
  <c r="Q48" i="35"/>
  <c r="P48" i="35"/>
  <c r="M48" i="35"/>
  <c r="L48" i="35"/>
  <c r="I48" i="35"/>
  <c r="C48" i="35"/>
  <c r="F48" i="35" s="1" a="1"/>
  <c r="F48" i="35" s="1"/>
  <c r="Q47" i="35"/>
  <c r="P47" i="35"/>
  <c r="M47" i="35"/>
  <c r="L47" i="35"/>
  <c r="I47" i="35"/>
  <c r="D47" i="35"/>
  <c r="C47" i="35"/>
  <c r="F47" i="35" s="1" a="1"/>
  <c r="F47" i="35" s="1"/>
  <c r="P46" i="35"/>
  <c r="Q46" i="35" s="1"/>
  <c r="M46" i="35"/>
  <c r="L46" i="35"/>
  <c r="I46" i="35"/>
  <c r="F46" i="35" a="1"/>
  <c r="F46" i="35" s="1"/>
  <c r="D46" i="35"/>
  <c r="C46" i="35"/>
  <c r="Q45" i="35"/>
  <c r="P45" i="35"/>
  <c r="M45" i="35"/>
  <c r="L45" i="35"/>
  <c r="I45" i="35"/>
  <c r="C45" i="35"/>
  <c r="F45" i="35" s="1" a="1"/>
  <c r="F45" i="35" s="1"/>
  <c r="P44" i="35"/>
  <c r="Q44" i="35" s="1"/>
  <c r="M44" i="35"/>
  <c r="L44" i="35"/>
  <c r="I44" i="35"/>
  <c r="D44" i="35"/>
  <c r="C44" i="35"/>
  <c r="F44" i="35" s="1" a="1"/>
  <c r="F44" i="35" s="1"/>
  <c r="Q43" i="35"/>
  <c r="P43" i="35"/>
  <c r="M43" i="35"/>
  <c r="L43" i="35"/>
  <c r="I43" i="35"/>
  <c r="F43" i="35" a="1"/>
  <c r="F43" i="35" s="1"/>
  <c r="C43" i="35"/>
  <c r="D43" i="35" s="1"/>
  <c r="P42" i="35"/>
  <c r="Q42" i="35" s="1"/>
  <c r="M42" i="35"/>
  <c r="L42" i="35"/>
  <c r="I42" i="35"/>
  <c r="F42" i="35"/>
  <c r="F42" i="35" a="1"/>
  <c r="D42" i="35"/>
  <c r="C42" i="35"/>
  <c r="P41" i="35"/>
  <c r="Q41" i="35" s="1"/>
  <c r="M41" i="35"/>
  <c r="L41" i="35"/>
  <c r="I41" i="35"/>
  <c r="F41" i="35" a="1"/>
  <c r="F41" i="35" s="1"/>
  <c r="C41" i="35"/>
  <c r="D41" i="35" s="1"/>
  <c r="Q40" i="35"/>
  <c r="P40" i="35"/>
  <c r="M40" i="35"/>
  <c r="L40" i="35"/>
  <c r="I40" i="35"/>
  <c r="C40" i="35"/>
  <c r="F40" i="35" s="1" a="1"/>
  <c r="F40" i="35" s="1"/>
  <c r="Q39" i="35"/>
  <c r="P39" i="35"/>
  <c r="M39" i="35"/>
  <c r="L39" i="35"/>
  <c r="I39" i="35"/>
  <c r="D39" i="35"/>
  <c r="C39" i="35"/>
  <c r="F39" i="35" s="1" a="1"/>
  <c r="F39" i="35" s="1"/>
  <c r="P38" i="35"/>
  <c r="Q38" i="35" s="1"/>
  <c r="M38" i="35"/>
  <c r="L38" i="35"/>
  <c r="I38" i="35"/>
  <c r="F38" i="35" a="1"/>
  <c r="F38" i="35" s="1"/>
  <c r="D38" i="35"/>
  <c r="C38" i="35"/>
  <c r="Q37" i="35"/>
  <c r="P37" i="35"/>
  <c r="M37" i="35"/>
  <c r="L37" i="35"/>
  <c r="I37" i="35"/>
  <c r="C37" i="35"/>
  <c r="F37" i="35" s="1" a="1"/>
  <c r="F37" i="35" s="1"/>
  <c r="P36" i="35"/>
  <c r="Q36" i="35" s="1"/>
  <c r="M36" i="35"/>
  <c r="L36" i="35"/>
  <c r="I36" i="35"/>
  <c r="D36" i="35"/>
  <c r="C36" i="35"/>
  <c r="F36" i="35" s="1" a="1"/>
  <c r="F36" i="35" s="1"/>
  <c r="Q35" i="35"/>
  <c r="P35" i="35"/>
  <c r="M35" i="35"/>
  <c r="L35" i="35"/>
  <c r="I35" i="35"/>
  <c r="F35" i="35" a="1"/>
  <c r="F35" i="35" s="1"/>
  <c r="C35" i="35"/>
  <c r="D35" i="35" s="1"/>
  <c r="P34" i="35"/>
  <c r="Q34" i="35" s="1"/>
  <c r="M34" i="35"/>
  <c r="L34" i="35"/>
  <c r="I34" i="35"/>
  <c r="F34" i="35"/>
  <c r="F34" i="35" a="1"/>
  <c r="D34" i="35"/>
  <c r="C34" i="35"/>
  <c r="P33" i="35"/>
  <c r="Q33" i="35" s="1"/>
  <c r="M33" i="35"/>
  <c r="L33" i="35"/>
  <c r="I33" i="35"/>
  <c r="F33" i="35" a="1"/>
  <c r="F33" i="35" s="1"/>
  <c r="C33" i="35"/>
  <c r="D33" i="35" s="1"/>
  <c r="Q32" i="35"/>
  <c r="P32" i="35"/>
  <c r="M32" i="35"/>
  <c r="L32" i="35"/>
  <c r="I32" i="35"/>
  <c r="C32" i="35"/>
  <c r="F32" i="35" s="1" a="1"/>
  <c r="F32" i="35" s="1"/>
  <c r="Q31" i="35"/>
  <c r="P31" i="35"/>
  <c r="M31" i="35"/>
  <c r="L31" i="35"/>
  <c r="I31" i="35"/>
  <c r="D31" i="35"/>
  <c r="C31" i="35"/>
  <c r="F31" i="35" s="1" a="1"/>
  <c r="F31" i="35" s="1"/>
  <c r="P30" i="35"/>
  <c r="Q30" i="35" s="1"/>
  <c r="M30" i="35"/>
  <c r="L30" i="35"/>
  <c r="I30" i="35"/>
  <c r="F30" i="35" a="1"/>
  <c r="F30" i="35" s="1"/>
  <c r="D30" i="35"/>
  <c r="C30" i="35"/>
  <c r="Q29" i="35"/>
  <c r="P29" i="35"/>
  <c r="M29" i="35"/>
  <c r="L29" i="35"/>
  <c r="I29" i="35"/>
  <c r="C29" i="35"/>
  <c r="F29" i="35" s="1" a="1"/>
  <c r="F29" i="35" s="1"/>
  <c r="P28" i="35"/>
  <c r="Q28" i="35" s="1"/>
  <c r="M28" i="35"/>
  <c r="L28" i="35"/>
  <c r="I28" i="35"/>
  <c r="D28" i="35"/>
  <c r="C28" i="35"/>
  <c r="F28" i="35" s="1" a="1"/>
  <c r="F28" i="35" s="1"/>
  <c r="Q27" i="35"/>
  <c r="P27" i="35"/>
  <c r="M27" i="35"/>
  <c r="L27" i="35"/>
  <c r="I27" i="35"/>
  <c r="F27" i="35" a="1"/>
  <c r="F27" i="35" s="1"/>
  <c r="C27" i="35"/>
  <c r="D27" i="35" s="1"/>
  <c r="P26" i="35"/>
  <c r="Q26" i="35" s="1"/>
  <c r="M26" i="35"/>
  <c r="L26" i="35"/>
  <c r="I26" i="35"/>
  <c r="F26" i="35"/>
  <c r="F26" i="35" a="1"/>
  <c r="D26" i="35"/>
  <c r="C26" i="35"/>
  <c r="P25" i="35"/>
  <c r="Q25" i="35" s="1"/>
  <c r="M25" i="35"/>
  <c r="L25" i="35"/>
  <c r="I25" i="35"/>
  <c r="F25" i="35" a="1"/>
  <c r="F25" i="35" s="1"/>
  <c r="C25" i="35"/>
  <c r="D25" i="35" s="1"/>
  <c r="Q24" i="35"/>
  <c r="P24" i="35"/>
  <c r="M24" i="35"/>
  <c r="L24" i="35"/>
  <c r="I24" i="35"/>
  <c r="C24" i="35"/>
  <c r="F24" i="35" s="1" a="1"/>
  <c r="F24" i="35" s="1"/>
  <c r="Q23" i="35"/>
  <c r="P23" i="35"/>
  <c r="M23" i="35"/>
  <c r="L23" i="35"/>
  <c r="I23" i="35"/>
  <c r="D23" i="35"/>
  <c r="C23" i="35"/>
  <c r="F23" i="35" s="1" a="1"/>
  <c r="F23" i="35" s="1"/>
  <c r="P22" i="35"/>
  <c r="Q22" i="35" s="1"/>
  <c r="M22" i="35"/>
  <c r="L22" i="35"/>
  <c r="I22" i="35"/>
  <c r="F22" i="35" a="1"/>
  <c r="F22" i="35" s="1"/>
  <c r="D22" i="35"/>
  <c r="C22" i="35"/>
  <c r="Q21" i="35"/>
  <c r="P21" i="35"/>
  <c r="M21" i="35"/>
  <c r="L21" i="35"/>
  <c r="I21" i="35"/>
  <c r="C21" i="35"/>
  <c r="F21" i="35" s="1" a="1"/>
  <c r="F21" i="35" s="1"/>
  <c r="P20" i="35"/>
  <c r="Q20" i="35" s="1"/>
  <c r="M20" i="35"/>
  <c r="L20" i="35"/>
  <c r="I20" i="35"/>
  <c r="D20" i="35"/>
  <c r="C20" i="35"/>
  <c r="F20" i="35" s="1" a="1"/>
  <c r="F20" i="35" s="1"/>
  <c r="Q19" i="35"/>
  <c r="P19" i="35"/>
  <c r="M19" i="35"/>
  <c r="L19" i="35"/>
  <c r="I19" i="35"/>
  <c r="F19" i="35" a="1"/>
  <c r="F19" i="35" s="1"/>
  <c r="C19" i="35"/>
  <c r="D19" i="35" s="1"/>
  <c r="P18" i="35"/>
  <c r="Q18" i="35" s="1"/>
  <c r="M18" i="35"/>
  <c r="L18" i="35"/>
  <c r="I18" i="35"/>
  <c r="F18" i="35"/>
  <c r="F18" i="35" a="1"/>
  <c r="D18" i="35"/>
  <c r="C18" i="35"/>
  <c r="P17" i="35"/>
  <c r="Q17" i="35" s="1"/>
  <c r="M17" i="35"/>
  <c r="L17" i="35"/>
  <c r="I17" i="35"/>
  <c r="F17" i="35" a="1"/>
  <c r="F17" i="35" s="1"/>
  <c r="C17" i="35"/>
  <c r="D17" i="35" s="1"/>
  <c r="Q16" i="35"/>
  <c r="P16" i="35"/>
  <c r="M16" i="35"/>
  <c r="L16" i="35"/>
  <c r="I16" i="35"/>
  <c r="C16" i="35"/>
  <c r="F16" i="35" s="1" a="1"/>
  <c r="F16" i="35" s="1"/>
  <c r="Q15" i="35"/>
  <c r="P15" i="35"/>
  <c r="M15" i="35"/>
  <c r="L15" i="35"/>
  <c r="I15" i="35"/>
  <c r="D15" i="35"/>
  <c r="C15" i="35"/>
  <c r="F15" i="35" s="1" a="1"/>
  <c r="F15" i="35" s="1"/>
  <c r="P14" i="35"/>
  <c r="Q14" i="35" s="1"/>
  <c r="M14" i="35"/>
  <c r="L14" i="35"/>
  <c r="I14" i="35"/>
  <c r="F14" i="35" a="1"/>
  <c r="F14" i="35" s="1"/>
  <c r="D14" i="35"/>
  <c r="C14" i="35"/>
  <c r="Q13" i="35"/>
  <c r="P13" i="35"/>
  <c r="M13" i="35"/>
  <c r="L13" i="35"/>
  <c r="I13" i="35"/>
  <c r="C13" i="35"/>
  <c r="F13" i="35" s="1" a="1"/>
  <c r="F13" i="35" s="1"/>
  <c r="P12" i="35"/>
  <c r="Q12" i="35" s="1"/>
  <c r="M12" i="35"/>
  <c r="L12" i="35"/>
  <c r="I12" i="35"/>
  <c r="D12" i="35"/>
  <c r="C12" i="35"/>
  <c r="F12" i="35" s="1" a="1"/>
  <c r="F12" i="35" s="1"/>
  <c r="Q11" i="35"/>
  <c r="P11" i="35"/>
  <c r="M11" i="35"/>
  <c r="L11" i="35"/>
  <c r="I11" i="35"/>
  <c r="F11" i="35" a="1"/>
  <c r="F11" i="35" s="1"/>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D100" i="34"/>
  <c r="C100" i="34"/>
  <c r="F100" i="34" s="1" a="1"/>
  <c r="F100" i="34" s="1"/>
  <c r="P99" i="34"/>
  <c r="Q99" i="34" s="1"/>
  <c r="M99" i="34"/>
  <c r="L99" i="34"/>
  <c r="I99" i="34"/>
  <c r="F99" i="34" a="1"/>
  <c r="F99" i="34" s="1"/>
  <c r="C99" i="34"/>
  <c r="D99" i="34" s="1"/>
  <c r="P98" i="34"/>
  <c r="Q98" i="34" s="1"/>
  <c r="M98" i="34"/>
  <c r="L98" i="34"/>
  <c r="I98" i="34"/>
  <c r="C98" i="34"/>
  <c r="F98" i="34" s="1" a="1"/>
  <c r="F98" i="34" s="1"/>
  <c r="Q97" i="34"/>
  <c r="P97" i="34"/>
  <c r="M97" i="34"/>
  <c r="L97" i="34"/>
  <c r="I97" i="34"/>
  <c r="C97" i="34"/>
  <c r="F97" i="34" s="1" a="1"/>
  <c r="F97" i="34" s="1"/>
  <c r="Q96" i="34"/>
  <c r="P96" i="34"/>
  <c r="M96" i="34"/>
  <c r="L96" i="34"/>
  <c r="I96" i="34"/>
  <c r="D96" i="34"/>
  <c r="C96" i="34"/>
  <c r="F96" i="34" s="1" a="1"/>
  <c r="F96" i="34" s="1"/>
  <c r="P95" i="34"/>
  <c r="Q95" i="34" s="1"/>
  <c r="M95" i="34"/>
  <c r="L95" i="34"/>
  <c r="I95" i="34"/>
  <c r="F95" i="34" a="1"/>
  <c r="F95" i="34" s="1"/>
  <c r="D95" i="34"/>
  <c r="C95" i="34"/>
  <c r="P94" i="34"/>
  <c r="Q94" i="34" s="1"/>
  <c r="M94" i="34"/>
  <c r="L94" i="34"/>
  <c r="I94" i="34"/>
  <c r="F94" i="34"/>
  <c r="F94" i="34" a="1"/>
  <c r="C94" i="34"/>
  <c r="D94" i="34" s="1"/>
  <c r="Q93" i="34"/>
  <c r="P93" i="34"/>
  <c r="M93" i="34"/>
  <c r="L93" i="34"/>
  <c r="I93" i="34"/>
  <c r="C93" i="34"/>
  <c r="F93" i="34" s="1" a="1"/>
  <c r="F93" i="34" s="1"/>
  <c r="P92" i="34"/>
  <c r="Q92" i="34" s="1"/>
  <c r="M92" i="34"/>
  <c r="L92" i="34"/>
  <c r="I92" i="34"/>
  <c r="D92" i="34"/>
  <c r="C92" i="34"/>
  <c r="F92" i="34" s="1" a="1"/>
  <c r="F92" i="34" s="1"/>
  <c r="P91" i="34"/>
  <c r="Q91" i="34" s="1"/>
  <c r="M91" i="34"/>
  <c r="L91" i="34"/>
  <c r="I91" i="34"/>
  <c r="F91" i="34" a="1"/>
  <c r="F91" i="34" s="1"/>
  <c r="C91" i="34"/>
  <c r="D91" i="34" s="1"/>
  <c r="P90" i="34"/>
  <c r="Q90" i="34" s="1"/>
  <c r="M90" i="34"/>
  <c r="L90" i="34"/>
  <c r="I90" i="34"/>
  <c r="C90" i="34"/>
  <c r="F90" i="34" s="1" a="1"/>
  <c r="F90" i="34" s="1"/>
  <c r="P89" i="34"/>
  <c r="Q89" i="34" s="1"/>
  <c r="M89" i="34"/>
  <c r="L89" i="34"/>
  <c r="I89" i="34"/>
  <c r="C89" i="34"/>
  <c r="F89" i="34" s="1" a="1"/>
  <c r="F89" i="34" s="1"/>
  <c r="Q88" i="34"/>
  <c r="P88" i="34"/>
  <c r="M88" i="34"/>
  <c r="L88" i="34"/>
  <c r="I88" i="34"/>
  <c r="C88" i="34"/>
  <c r="F88" i="34" s="1" a="1"/>
  <c r="F88" i="34" s="1"/>
  <c r="P87" i="34"/>
  <c r="Q87" i="34" s="1"/>
  <c r="M87" i="34"/>
  <c r="L87" i="34"/>
  <c r="I87" i="34"/>
  <c r="F87" i="34" a="1"/>
  <c r="F87" i="34" s="1"/>
  <c r="D87" i="34"/>
  <c r="C87" i="34"/>
  <c r="P86" i="34"/>
  <c r="Q86" i="34" s="1"/>
  <c r="M86" i="34"/>
  <c r="L86" i="34"/>
  <c r="I86" i="34"/>
  <c r="F86" i="34" a="1"/>
  <c r="F86" i="34" s="1"/>
  <c r="C86" i="34"/>
  <c r="D86" i="34" s="1"/>
  <c r="Q85" i="34"/>
  <c r="P85" i="34"/>
  <c r="M85" i="34"/>
  <c r="L85" i="34"/>
  <c r="I85" i="34"/>
  <c r="C85" i="34"/>
  <c r="F85" i="34" s="1" a="1"/>
  <c r="F85" i="34" s="1"/>
  <c r="P84" i="34"/>
  <c r="Q84" i="34" s="1"/>
  <c r="M84" i="34"/>
  <c r="L84" i="34"/>
  <c r="I84" i="34"/>
  <c r="D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F79" i="34" a="1"/>
  <c r="F79" i="34" s="1"/>
  <c r="D79" i="34"/>
  <c r="C79" i="34"/>
  <c r="P78" i="34"/>
  <c r="Q78" i="34" s="1"/>
  <c r="M78" i="34"/>
  <c r="L78" i="34"/>
  <c r="I78" i="34"/>
  <c r="F78" i="34" a="1"/>
  <c r="F78" i="34" s="1"/>
  <c r="C78" i="34"/>
  <c r="D78" i="34" s="1"/>
  <c r="Q77" i="34"/>
  <c r="P77" i="34"/>
  <c r="M77" i="34"/>
  <c r="L77" i="34"/>
  <c r="I77" i="34"/>
  <c r="C77" i="34"/>
  <c r="F77" i="34" s="1" a="1"/>
  <c r="F77" i="34" s="1"/>
  <c r="P76" i="34"/>
  <c r="Q76" i="34" s="1"/>
  <c r="M76" i="34"/>
  <c r="L76" i="34"/>
  <c r="I76" i="34"/>
  <c r="D76" i="34"/>
  <c r="C76" i="34"/>
  <c r="F76" i="34" s="1" a="1"/>
  <c r="F76" i="34" s="1"/>
  <c r="P75" i="34"/>
  <c r="Q75" i="34" s="1"/>
  <c r="M75" i="34"/>
  <c r="L75" i="34"/>
  <c r="I75" i="34"/>
  <c r="F75" i="34" a="1"/>
  <c r="F75" i="34" s="1"/>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F71" i="34" a="1"/>
  <c r="F71" i="34" s="1"/>
  <c r="D71" i="34"/>
  <c r="C71" i="34"/>
  <c r="P70" i="34"/>
  <c r="Q70" i="34" s="1"/>
  <c r="M70" i="34"/>
  <c r="L70" i="34"/>
  <c r="I70" i="34"/>
  <c r="F70" i="34" a="1"/>
  <c r="F70" i="34" s="1"/>
  <c r="C70" i="34"/>
  <c r="D70" i="34" s="1"/>
  <c r="Q69" i="34"/>
  <c r="P69" i="34"/>
  <c r="M69" i="34"/>
  <c r="L69" i="34"/>
  <c r="I69" i="34"/>
  <c r="C69" i="34"/>
  <c r="F69" i="34" s="1" a="1"/>
  <c r="F69" i="34" s="1"/>
  <c r="P68" i="34"/>
  <c r="Q68" i="34" s="1"/>
  <c r="M68" i="34"/>
  <c r="L68" i="34"/>
  <c r="I68" i="34"/>
  <c r="D68" i="34"/>
  <c r="C68" i="34"/>
  <c r="F68" i="34" s="1" a="1"/>
  <c r="F68" i="34" s="1"/>
  <c r="P67" i="34"/>
  <c r="Q67" i="34" s="1"/>
  <c r="M67" i="34"/>
  <c r="L67" i="34"/>
  <c r="I67" i="34"/>
  <c r="F67" i="34" a="1"/>
  <c r="F67" i="34" s="1"/>
  <c r="C67" i="34"/>
  <c r="D67" i="34" s="1"/>
  <c r="P66" i="34"/>
  <c r="Q66" i="34" s="1"/>
  <c r="M66" i="34"/>
  <c r="L66" i="34"/>
  <c r="I66" i="34"/>
  <c r="C66" i="34"/>
  <c r="F66" i="34" s="1" a="1"/>
  <c r="F66" i="34" s="1"/>
  <c r="P65" i="34"/>
  <c r="Q65" i="34" s="1"/>
  <c r="M65" i="34"/>
  <c r="L65" i="34"/>
  <c r="I65" i="34"/>
  <c r="C65" i="34"/>
  <c r="F65" i="34" s="1" a="1"/>
  <c r="F65" i="34" s="1"/>
  <c r="Q64" i="34"/>
  <c r="P64" i="34"/>
  <c r="M64" i="34"/>
  <c r="L64" i="34"/>
  <c r="I64" i="34"/>
  <c r="C64" i="34"/>
  <c r="F64" i="34" s="1" a="1"/>
  <c r="F64" i="34" s="1"/>
  <c r="P63" i="34"/>
  <c r="Q63" i="34" s="1"/>
  <c r="M63" i="34"/>
  <c r="L63" i="34"/>
  <c r="I63" i="34"/>
  <c r="F63" i="34" a="1"/>
  <c r="F63" i="34" s="1"/>
  <c r="D63" i="34"/>
  <c r="C63" i="34"/>
  <c r="P62" i="34"/>
  <c r="Q62" i="34" s="1"/>
  <c r="M62" i="34"/>
  <c r="L62" i="34"/>
  <c r="I62" i="34"/>
  <c r="F62" i="34" a="1"/>
  <c r="F62" i="34" s="1"/>
  <c r="C62" i="34"/>
  <c r="D62" i="34" s="1"/>
  <c r="Q61" i="34"/>
  <c r="P61" i="34"/>
  <c r="M61" i="34"/>
  <c r="L61" i="34"/>
  <c r="I61" i="34"/>
  <c r="C61" i="34"/>
  <c r="F61" i="34" s="1" a="1"/>
  <c r="F61" i="34" s="1"/>
  <c r="P60" i="34"/>
  <c r="Q60" i="34" s="1"/>
  <c r="M60" i="34"/>
  <c r="L60" i="34"/>
  <c r="I60" i="34"/>
  <c r="D60" i="34"/>
  <c r="C60" i="34"/>
  <c r="F60" i="34" s="1" a="1"/>
  <c r="F60" i="34" s="1"/>
  <c r="P59" i="34"/>
  <c r="Q59" i="34" s="1"/>
  <c r="M59" i="34"/>
  <c r="L59" i="34"/>
  <c r="I59" i="34"/>
  <c r="F59" i="34" a="1"/>
  <c r="F59" i="34" s="1"/>
  <c r="C59" i="34"/>
  <c r="D59" i="34" s="1"/>
  <c r="P58" i="34"/>
  <c r="Q58" i="34" s="1"/>
  <c r="M58" i="34"/>
  <c r="L58" i="34"/>
  <c r="I58" i="34"/>
  <c r="C58" i="34"/>
  <c r="F58" i="34" s="1" a="1"/>
  <c r="F58" i="34" s="1"/>
  <c r="P57" i="34"/>
  <c r="Q57" i="34" s="1"/>
  <c r="M57" i="34"/>
  <c r="L57" i="34"/>
  <c r="I57" i="34"/>
  <c r="C57" i="34"/>
  <c r="F57" i="34" s="1" a="1"/>
  <c r="F57" i="34" s="1"/>
  <c r="Q56" i="34"/>
  <c r="P56" i="34"/>
  <c r="M56" i="34"/>
  <c r="L56" i="34"/>
  <c r="I56" i="34"/>
  <c r="C56" i="34"/>
  <c r="F56" i="34" s="1" a="1"/>
  <c r="F56" i="34" s="1"/>
  <c r="P55" i="34"/>
  <c r="Q55" i="34" s="1"/>
  <c r="M55" i="34"/>
  <c r="L55" i="34"/>
  <c r="I55" i="34"/>
  <c r="F55" i="34" a="1"/>
  <c r="F55" i="34" s="1"/>
  <c r="D55" i="34"/>
  <c r="C55" i="34"/>
  <c r="P54" i="34"/>
  <c r="Q54" i="34" s="1"/>
  <c r="M54" i="34"/>
  <c r="L54" i="34"/>
  <c r="I54" i="34"/>
  <c r="F54" i="34" a="1"/>
  <c r="F54" i="34" s="1"/>
  <c r="C54" i="34"/>
  <c r="D54" i="34" s="1"/>
  <c r="Q53" i="34"/>
  <c r="P53" i="34"/>
  <c r="M53" i="34"/>
  <c r="L53" i="34"/>
  <c r="I53" i="34"/>
  <c r="C53" i="34"/>
  <c r="F53" i="34" s="1" a="1"/>
  <c r="F53" i="34" s="1"/>
  <c r="P52" i="34"/>
  <c r="Q52" i="34" s="1"/>
  <c r="M52" i="34"/>
  <c r="L52" i="34"/>
  <c r="I52" i="34"/>
  <c r="D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F47" i="34" a="1"/>
  <c r="F47" i="34" s="1"/>
  <c r="D47" i="34"/>
  <c r="C47" i="34"/>
  <c r="P46" i="34"/>
  <c r="Q46" i="34" s="1"/>
  <c r="M46" i="34"/>
  <c r="L46" i="34"/>
  <c r="I46" i="34"/>
  <c r="F46" i="34" a="1"/>
  <c r="F46" i="34" s="1"/>
  <c r="C46" i="34"/>
  <c r="D46" i="34" s="1"/>
  <c r="Q45" i="34"/>
  <c r="P45" i="34"/>
  <c r="M45" i="34"/>
  <c r="L45" i="34"/>
  <c r="I45" i="34"/>
  <c r="C45" i="34"/>
  <c r="F45" i="34" s="1" a="1"/>
  <c r="F45" i="34" s="1"/>
  <c r="P44" i="34"/>
  <c r="Q44" i="34" s="1"/>
  <c r="M44" i="34"/>
  <c r="L44" i="34"/>
  <c r="I44" i="34"/>
  <c r="D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F39" i="34" a="1"/>
  <c r="F39" i="34" s="1"/>
  <c r="D39" i="34"/>
  <c r="C39" i="34"/>
  <c r="P38" i="34"/>
  <c r="Q38" i="34" s="1"/>
  <c r="M38" i="34"/>
  <c r="L38" i="34"/>
  <c r="I38" i="34"/>
  <c r="F38" i="34" a="1"/>
  <c r="F38" i="34" s="1"/>
  <c r="C38" i="34"/>
  <c r="D38" i="34" s="1"/>
  <c r="Q37" i="34"/>
  <c r="P37" i="34"/>
  <c r="M37" i="34"/>
  <c r="L37" i="34"/>
  <c r="I37" i="34"/>
  <c r="C37" i="34"/>
  <c r="F37" i="34" s="1" a="1"/>
  <c r="F37" i="34" s="1"/>
  <c r="P36" i="34"/>
  <c r="Q36" i="34" s="1"/>
  <c r="M36" i="34"/>
  <c r="L36" i="34"/>
  <c r="I36" i="34"/>
  <c r="D36" i="34"/>
  <c r="C36" i="34"/>
  <c r="F36" i="34" s="1" a="1"/>
  <c r="F36" i="34" s="1"/>
  <c r="P35" i="34"/>
  <c r="Q35" i="34" s="1"/>
  <c r="M35" i="34"/>
  <c r="L35" i="34"/>
  <c r="I35" i="34"/>
  <c r="F35" i="34" a="1"/>
  <c r="F35" i="34" s="1"/>
  <c r="C35" i="34"/>
  <c r="D35" i="34" s="1"/>
  <c r="P34" i="34"/>
  <c r="Q34" i="34" s="1"/>
  <c r="M34" i="34"/>
  <c r="L34" i="34"/>
  <c r="I34" i="34"/>
  <c r="C34" i="34"/>
  <c r="F34" i="34" s="1" a="1"/>
  <c r="F34" i="34" s="1"/>
  <c r="P33" i="34"/>
  <c r="Q33" i="34" s="1"/>
  <c r="M33" i="34"/>
  <c r="L33" i="34"/>
  <c r="I33" i="34"/>
  <c r="C33" i="34"/>
  <c r="F33" i="34" s="1" a="1"/>
  <c r="F33" i="34" s="1"/>
  <c r="Q32" i="34"/>
  <c r="P32" i="34"/>
  <c r="M32" i="34"/>
  <c r="L32" i="34"/>
  <c r="I32" i="34"/>
  <c r="C32" i="34"/>
  <c r="F32" i="34" s="1" a="1"/>
  <c r="F32" i="34" s="1"/>
  <c r="P31" i="34"/>
  <c r="Q31" i="34" s="1"/>
  <c r="M31" i="34"/>
  <c r="L31" i="34"/>
  <c r="I31" i="34"/>
  <c r="F31" i="34" a="1"/>
  <c r="F31" i="34" s="1"/>
  <c r="D31" i="34"/>
  <c r="C31" i="34"/>
  <c r="P30" i="34"/>
  <c r="Q30" i="34" s="1"/>
  <c r="M30" i="34"/>
  <c r="L30" i="34"/>
  <c r="I30" i="34"/>
  <c r="F30" i="34" a="1"/>
  <c r="F30" i="34" s="1"/>
  <c r="C30" i="34"/>
  <c r="D30" i="34" s="1"/>
  <c r="Q29" i="34"/>
  <c r="P29" i="34"/>
  <c r="M29" i="34"/>
  <c r="L29" i="34"/>
  <c r="I29" i="34"/>
  <c r="C29" i="34"/>
  <c r="F29" i="34" s="1" a="1"/>
  <c r="F29" i="34" s="1"/>
  <c r="P28" i="34"/>
  <c r="Q28" i="34" s="1"/>
  <c r="M28" i="34"/>
  <c r="L28" i="34"/>
  <c r="I28" i="34"/>
  <c r="D28" i="34"/>
  <c r="C28" i="34"/>
  <c r="F28" i="34" s="1" a="1"/>
  <c r="F28" i="34" s="1"/>
  <c r="P27" i="34"/>
  <c r="Q27" i="34" s="1"/>
  <c r="M27" i="34"/>
  <c r="L27" i="34"/>
  <c r="I27" i="34"/>
  <c r="F27" i="34" a="1"/>
  <c r="F27" i="34" s="1"/>
  <c r="C27" i="34"/>
  <c r="D27" i="34" s="1"/>
  <c r="P26" i="34"/>
  <c r="Q26" i="34" s="1"/>
  <c r="M26" i="34"/>
  <c r="L26" i="34"/>
  <c r="I26" i="34"/>
  <c r="C26" i="34"/>
  <c r="F26" i="34" s="1" a="1"/>
  <c r="F26" i="34" s="1"/>
  <c r="P25" i="34"/>
  <c r="Q25" i="34" s="1"/>
  <c r="M25" i="34"/>
  <c r="L25" i="34"/>
  <c r="I25" i="34"/>
  <c r="C25" i="34"/>
  <c r="F25" i="34" s="1" a="1"/>
  <c r="F25" i="34" s="1"/>
  <c r="Q24" i="34"/>
  <c r="P24" i="34"/>
  <c r="M24" i="34"/>
  <c r="L24" i="34"/>
  <c r="I24" i="34"/>
  <c r="C24" i="34"/>
  <c r="F24" i="34" s="1" a="1"/>
  <c r="F24" i="34" s="1"/>
  <c r="P23" i="34"/>
  <c r="Q23" i="34" s="1"/>
  <c r="M23" i="34"/>
  <c r="L23" i="34"/>
  <c r="I23" i="34"/>
  <c r="F23" i="34" a="1"/>
  <c r="F23" i="34" s="1"/>
  <c r="D23" i="34"/>
  <c r="C23" i="34"/>
  <c r="P22" i="34"/>
  <c r="Q22" i="34" s="1"/>
  <c r="M22" i="34"/>
  <c r="L22" i="34"/>
  <c r="I22" i="34"/>
  <c r="F22" i="34" a="1"/>
  <c r="F22" i="34" s="1"/>
  <c r="C22" i="34"/>
  <c r="D22" i="34" s="1"/>
  <c r="Q21" i="34"/>
  <c r="P21" i="34"/>
  <c r="M21" i="34"/>
  <c r="L21" i="34"/>
  <c r="I21" i="34"/>
  <c r="C21" i="34"/>
  <c r="F21" i="34" s="1" a="1"/>
  <c r="F21" i="34" s="1"/>
  <c r="P20" i="34"/>
  <c r="Q20" i="34" s="1"/>
  <c r="M20" i="34"/>
  <c r="L20" i="34"/>
  <c r="I20" i="34"/>
  <c r="D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F15" i="34" a="1"/>
  <c r="F15" i="34" s="1"/>
  <c r="D15" i="34"/>
  <c r="C15" i="34"/>
  <c r="P14" i="34"/>
  <c r="Q14" i="34" s="1"/>
  <c r="M14" i="34"/>
  <c r="L14" i="34"/>
  <c r="I14" i="34"/>
  <c r="F14" i="34" a="1"/>
  <c r="F14" i="34" s="1"/>
  <c r="C14" i="34"/>
  <c r="D14" i="34" s="1"/>
  <c r="Q13" i="34"/>
  <c r="P13" i="34"/>
  <c r="M13" i="34"/>
  <c r="L13" i="34"/>
  <c r="I13" i="34"/>
  <c r="C13" i="34"/>
  <c r="F13" i="34" s="1" a="1"/>
  <c r="F13" i="34" s="1"/>
  <c r="Q12" i="34"/>
  <c r="P12" i="34"/>
  <c r="M12" i="34"/>
  <c r="L12" i="34"/>
  <c r="I12" i="34"/>
  <c r="D12" i="34"/>
  <c r="C12" i="34"/>
  <c r="F12" i="34" s="1" a="1"/>
  <c r="F12" i="34" s="1"/>
  <c r="P11" i="34"/>
  <c r="Q11" i="34" s="1"/>
  <c r="M11" i="34"/>
  <c r="L11" i="34"/>
  <c r="I11" i="34"/>
  <c r="F11" i="34" a="1"/>
  <c r="F11" i="34" s="1"/>
  <c r="D11" i="34"/>
  <c r="C11" i="34"/>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F99" i="33" a="1"/>
  <c r="F99" i="33" s="1"/>
  <c r="C99" i="33"/>
  <c r="D99" i="33" s="1"/>
  <c r="P98" i="33"/>
  <c r="Q98" i="33" s="1"/>
  <c r="M98" i="33"/>
  <c r="L98" i="33"/>
  <c r="I98" i="33"/>
  <c r="D98" i="33"/>
  <c r="C98" i="33"/>
  <c r="F98" i="33" s="1" a="1"/>
  <c r="F98" i="33" s="1"/>
  <c r="Q97" i="33"/>
  <c r="P97" i="33"/>
  <c r="M97" i="33"/>
  <c r="L97" i="33"/>
  <c r="I97" i="33"/>
  <c r="C97" i="33"/>
  <c r="F97" i="33" s="1" a="1"/>
  <c r="F97" i="33" s="1"/>
  <c r="Q96" i="33"/>
  <c r="P96" i="33"/>
  <c r="M96" i="33"/>
  <c r="L96" i="33"/>
  <c r="I96" i="33"/>
  <c r="D96" i="33"/>
  <c r="C96" i="33"/>
  <c r="F96" i="33" s="1" a="1"/>
  <c r="F96" i="33" s="1"/>
  <c r="P95" i="33"/>
  <c r="Q95" i="33" s="1"/>
  <c r="M95" i="33"/>
  <c r="L95" i="33"/>
  <c r="I95" i="33"/>
  <c r="F95" i="33" a="1"/>
  <c r="F95" i="33" s="1"/>
  <c r="D95" i="33"/>
  <c r="C95" i="33"/>
  <c r="P94" i="33"/>
  <c r="Q94" i="33" s="1"/>
  <c r="M94" i="33"/>
  <c r="L94" i="33"/>
  <c r="I94" i="33"/>
  <c r="F94" i="33"/>
  <c r="F94" i="33" a="1"/>
  <c r="C94" i="33"/>
  <c r="D94" i="33" s="1"/>
  <c r="Q93" i="33"/>
  <c r="P93" i="33"/>
  <c r="M93" i="33"/>
  <c r="L93" i="33"/>
  <c r="I93" i="33"/>
  <c r="C93" i="33"/>
  <c r="F93" i="33" s="1" a="1"/>
  <c r="F93" i="33" s="1"/>
  <c r="P92" i="33"/>
  <c r="Q92" i="33" s="1"/>
  <c r="M92" i="33"/>
  <c r="L92" i="33"/>
  <c r="I92" i="33"/>
  <c r="F92" i="33" a="1"/>
  <c r="F92" i="33" s="1"/>
  <c r="D92" i="33"/>
  <c r="C92" i="33"/>
  <c r="Q91" i="33"/>
  <c r="P91" i="33"/>
  <c r="M91" i="33"/>
  <c r="L91" i="33"/>
  <c r="I91" i="33"/>
  <c r="F91" i="33" a="1"/>
  <c r="F91" i="33" s="1"/>
  <c r="C91" i="33"/>
  <c r="D91" i="33" s="1"/>
  <c r="P90" i="33"/>
  <c r="Q90" i="33" s="1"/>
  <c r="M90" i="33"/>
  <c r="L90" i="33"/>
  <c r="I90" i="33"/>
  <c r="F90" i="33"/>
  <c r="F90" i="33" a="1"/>
  <c r="D90" i="33"/>
  <c r="C90" i="33"/>
  <c r="Q89" i="33"/>
  <c r="P89" i="33"/>
  <c r="M89" i="33"/>
  <c r="L89" i="33"/>
  <c r="I89" i="33"/>
  <c r="C89" i="33"/>
  <c r="F89" i="33" s="1" a="1"/>
  <c r="F89" i="33" s="1"/>
  <c r="Q88" i="33"/>
  <c r="P88" i="33"/>
  <c r="M88" i="33"/>
  <c r="L88" i="33"/>
  <c r="I88" i="33"/>
  <c r="D88" i="33"/>
  <c r="C88" i="33"/>
  <c r="F88" i="33" s="1" a="1"/>
  <c r="F88" i="33" s="1"/>
  <c r="P87" i="33"/>
  <c r="Q87" i="33" s="1"/>
  <c r="M87" i="33"/>
  <c r="L87" i="33"/>
  <c r="I87" i="33"/>
  <c r="F87" i="33" a="1"/>
  <c r="F87" i="33" s="1"/>
  <c r="D87" i="33"/>
  <c r="C87" i="33"/>
  <c r="P86" i="33"/>
  <c r="Q86" i="33" s="1"/>
  <c r="M86" i="33"/>
  <c r="L86" i="33"/>
  <c r="I86" i="33"/>
  <c r="F86" i="33"/>
  <c r="F86" i="33" a="1"/>
  <c r="C86" i="33"/>
  <c r="D86" i="33" s="1"/>
  <c r="Q85" i="33"/>
  <c r="P85" i="33"/>
  <c r="M85" i="33"/>
  <c r="L85" i="33"/>
  <c r="I85" i="33"/>
  <c r="C85" i="33"/>
  <c r="F85" i="33" s="1" a="1"/>
  <c r="F85" i="33" s="1"/>
  <c r="Q84" i="33"/>
  <c r="P84" i="33"/>
  <c r="M84" i="33"/>
  <c r="L84" i="33"/>
  <c r="I84" i="33"/>
  <c r="D84" i="33"/>
  <c r="C84" i="33"/>
  <c r="F84" i="33" s="1" a="1"/>
  <c r="F84" i="33" s="1"/>
  <c r="Q83" i="33"/>
  <c r="P83" i="33"/>
  <c r="M83" i="33"/>
  <c r="L83" i="33"/>
  <c r="I83" i="33"/>
  <c r="F83" i="33" a="1"/>
  <c r="F83" i="33" s="1"/>
  <c r="D83" i="33"/>
  <c r="C83" i="33"/>
  <c r="P82" i="33"/>
  <c r="Q82" i="33" s="1"/>
  <c r="M82" i="33"/>
  <c r="L82" i="33"/>
  <c r="I82" i="33"/>
  <c r="F82" i="33"/>
  <c r="F82" i="33" a="1"/>
  <c r="D82" i="33"/>
  <c r="C82" i="33"/>
  <c r="Q81" i="33"/>
  <c r="P81" i="33"/>
  <c r="M81" i="33"/>
  <c r="L81" i="33"/>
  <c r="I81" i="33"/>
  <c r="C81" i="33"/>
  <c r="F81" i="33" s="1" a="1"/>
  <c r="F81" i="33" s="1"/>
  <c r="Q80" i="33"/>
  <c r="P80" i="33"/>
  <c r="M80" i="33"/>
  <c r="L80" i="33"/>
  <c r="I80" i="33"/>
  <c r="D80" i="33"/>
  <c r="C80" i="33"/>
  <c r="F80" i="33" s="1" a="1"/>
  <c r="F80" i="33" s="1"/>
  <c r="P79" i="33"/>
  <c r="Q79" i="33" s="1"/>
  <c r="M79" i="33"/>
  <c r="L79" i="33"/>
  <c r="I79" i="33"/>
  <c r="F79" i="33" a="1"/>
  <c r="F79" i="33" s="1"/>
  <c r="D79" i="33"/>
  <c r="C79" i="33"/>
  <c r="P78" i="33"/>
  <c r="Q78" i="33" s="1"/>
  <c r="M78" i="33"/>
  <c r="L78" i="33"/>
  <c r="I78" i="33"/>
  <c r="F78" i="33"/>
  <c r="F78" i="33" a="1"/>
  <c r="C78" i="33"/>
  <c r="D78" i="33" s="1"/>
  <c r="Q77" i="33"/>
  <c r="P77" i="33"/>
  <c r="M77" i="33"/>
  <c r="L77" i="33"/>
  <c r="I77" i="33"/>
  <c r="C77" i="33"/>
  <c r="F77" i="33" s="1" a="1"/>
  <c r="F77" i="33" s="1"/>
  <c r="Q76" i="33"/>
  <c r="P76" i="33"/>
  <c r="M76" i="33"/>
  <c r="L76" i="33"/>
  <c r="I76" i="33"/>
  <c r="D76" i="33"/>
  <c r="C76" i="33"/>
  <c r="F76" i="33" s="1" a="1"/>
  <c r="F76" i="33" s="1"/>
  <c r="Q75" i="33"/>
  <c r="P75" i="33"/>
  <c r="M75" i="33"/>
  <c r="L75" i="33"/>
  <c r="I75" i="33"/>
  <c r="F75" i="33" a="1"/>
  <c r="F75" i="33" s="1"/>
  <c r="D75" i="33"/>
  <c r="C75" i="33"/>
  <c r="P74" i="33"/>
  <c r="Q74" i="33" s="1"/>
  <c r="M74" i="33"/>
  <c r="L74" i="33"/>
  <c r="I74" i="33"/>
  <c r="F74" i="33"/>
  <c r="F74" i="33" a="1"/>
  <c r="D74" i="33"/>
  <c r="C74" i="33"/>
  <c r="Q73" i="33"/>
  <c r="P73" i="33"/>
  <c r="M73" i="33"/>
  <c r="L73" i="33"/>
  <c r="I73" i="33"/>
  <c r="C73" i="33"/>
  <c r="F73" i="33" s="1" a="1"/>
  <c r="F73" i="33" s="1"/>
  <c r="Q72" i="33"/>
  <c r="P72" i="33"/>
  <c r="M72" i="33"/>
  <c r="L72" i="33"/>
  <c r="I72" i="33"/>
  <c r="D72" i="33"/>
  <c r="C72" i="33"/>
  <c r="F72" i="33" s="1" a="1"/>
  <c r="F72" i="33" s="1"/>
  <c r="P71" i="33"/>
  <c r="Q71" i="33" s="1"/>
  <c r="M71" i="33"/>
  <c r="L71" i="33"/>
  <c r="I71" i="33"/>
  <c r="F71" i="33" a="1"/>
  <c r="F71" i="33" s="1"/>
  <c r="D71" i="33"/>
  <c r="C71" i="33"/>
  <c r="P70" i="33"/>
  <c r="Q70" i="33" s="1"/>
  <c r="M70" i="33"/>
  <c r="L70" i="33"/>
  <c r="I70" i="33"/>
  <c r="F70" i="33"/>
  <c r="F70" i="33" a="1"/>
  <c r="C70" i="33"/>
  <c r="D70" i="33" s="1"/>
  <c r="Q69" i="33"/>
  <c r="P69" i="33"/>
  <c r="M69" i="33"/>
  <c r="L69" i="33"/>
  <c r="I69" i="33"/>
  <c r="C69" i="33"/>
  <c r="F69" i="33" s="1" a="1"/>
  <c r="F69" i="33" s="1"/>
  <c r="Q68" i="33"/>
  <c r="P68" i="33"/>
  <c r="M68" i="33"/>
  <c r="L68" i="33"/>
  <c r="I68" i="33"/>
  <c r="D68" i="33"/>
  <c r="C68" i="33"/>
  <c r="F68" i="33" s="1" a="1"/>
  <c r="F68" i="33" s="1"/>
  <c r="Q67" i="33"/>
  <c r="P67" i="33"/>
  <c r="M67" i="33"/>
  <c r="L67" i="33"/>
  <c r="I67" i="33"/>
  <c r="F67" i="33" a="1"/>
  <c r="F67" i="33" s="1"/>
  <c r="D67" i="33"/>
  <c r="C67" i="33"/>
  <c r="P66" i="33"/>
  <c r="Q66" i="33" s="1"/>
  <c r="M66" i="33"/>
  <c r="L66" i="33"/>
  <c r="I66" i="33"/>
  <c r="F66" i="33"/>
  <c r="F66" i="33" a="1"/>
  <c r="D66" i="33"/>
  <c r="C66" i="33"/>
  <c r="Q65" i="33"/>
  <c r="P65" i="33"/>
  <c r="M65" i="33"/>
  <c r="L65" i="33"/>
  <c r="I65" i="33"/>
  <c r="C65" i="33"/>
  <c r="F65" i="33" s="1" a="1"/>
  <c r="F65" i="33" s="1"/>
  <c r="Q64" i="33"/>
  <c r="P64" i="33"/>
  <c r="M64" i="33"/>
  <c r="L64" i="33"/>
  <c r="I64" i="33"/>
  <c r="D64" i="33"/>
  <c r="C64" i="33"/>
  <c r="F64" i="33" s="1" a="1"/>
  <c r="F64" i="33" s="1"/>
  <c r="P63" i="33"/>
  <c r="Q63" i="33" s="1"/>
  <c r="M63" i="33"/>
  <c r="L63" i="33"/>
  <c r="I63" i="33"/>
  <c r="F63" i="33" a="1"/>
  <c r="F63" i="33" s="1"/>
  <c r="D63" i="33"/>
  <c r="C63" i="33"/>
  <c r="P62" i="33"/>
  <c r="Q62" i="33" s="1"/>
  <c r="M62" i="33"/>
  <c r="L62" i="33"/>
  <c r="I62" i="33"/>
  <c r="F62" i="33"/>
  <c r="F62" i="33" a="1"/>
  <c r="C62" i="33"/>
  <c r="D62" i="33" s="1"/>
  <c r="Q61" i="33"/>
  <c r="P61" i="33"/>
  <c r="M61" i="33"/>
  <c r="L61" i="33"/>
  <c r="I61" i="33"/>
  <c r="C61" i="33"/>
  <c r="F61" i="33" s="1" a="1"/>
  <c r="F61" i="33" s="1"/>
  <c r="Q60" i="33"/>
  <c r="P60" i="33"/>
  <c r="M60" i="33"/>
  <c r="L60" i="33"/>
  <c r="I60" i="33"/>
  <c r="D60" i="33"/>
  <c r="C60" i="33"/>
  <c r="F60" i="33" s="1" a="1"/>
  <c r="F60" i="33" s="1"/>
  <c r="Q59" i="33"/>
  <c r="P59" i="33"/>
  <c r="M59" i="33"/>
  <c r="L59" i="33"/>
  <c r="I59" i="33"/>
  <c r="F59" i="33" a="1"/>
  <c r="F59" i="33" s="1"/>
  <c r="D59" i="33"/>
  <c r="C59" i="33"/>
  <c r="P58" i="33"/>
  <c r="Q58" i="33" s="1"/>
  <c r="M58" i="33"/>
  <c r="L58" i="33"/>
  <c r="I58" i="33"/>
  <c r="F58" i="33"/>
  <c r="F58" i="33" a="1"/>
  <c r="D58" i="33"/>
  <c r="C58" i="33"/>
  <c r="Q57" i="33"/>
  <c r="P57" i="33"/>
  <c r="M57" i="33"/>
  <c r="L57" i="33"/>
  <c r="I57" i="33"/>
  <c r="C57" i="33"/>
  <c r="F57" i="33" s="1" a="1"/>
  <c r="F57" i="33" s="1"/>
  <c r="Q56" i="33"/>
  <c r="P56" i="33"/>
  <c r="M56" i="33"/>
  <c r="L56" i="33"/>
  <c r="I56" i="33"/>
  <c r="D56" i="33"/>
  <c r="C56" i="33"/>
  <c r="F56" i="33" s="1" a="1"/>
  <c r="F56" i="33" s="1"/>
  <c r="P55" i="33"/>
  <c r="Q55" i="33" s="1"/>
  <c r="M55" i="33"/>
  <c r="L55" i="33"/>
  <c r="I55" i="33"/>
  <c r="F55" i="33" a="1"/>
  <c r="F55" i="33" s="1"/>
  <c r="D55" i="33"/>
  <c r="C55" i="33"/>
  <c r="P54" i="33"/>
  <c r="Q54" i="33" s="1"/>
  <c r="M54" i="33"/>
  <c r="L54" i="33"/>
  <c r="I54" i="33"/>
  <c r="F54" i="33"/>
  <c r="F54" i="33" a="1"/>
  <c r="C54" i="33"/>
  <c r="D54" i="33" s="1"/>
  <c r="Q53" i="33"/>
  <c r="P53" i="33"/>
  <c r="M53" i="33"/>
  <c r="L53" i="33"/>
  <c r="I53" i="33"/>
  <c r="C53" i="33"/>
  <c r="F53" i="33" s="1" a="1"/>
  <c r="F53" i="33" s="1"/>
  <c r="Q52" i="33"/>
  <c r="P52" i="33"/>
  <c r="M52" i="33"/>
  <c r="L52" i="33"/>
  <c r="I52" i="33"/>
  <c r="D52" i="33"/>
  <c r="C52" i="33"/>
  <c r="F52" i="33" s="1" a="1"/>
  <c r="F52" i="33" s="1"/>
  <c r="Q51" i="33"/>
  <c r="P51" i="33"/>
  <c r="M51" i="33"/>
  <c r="L51" i="33"/>
  <c r="I51" i="33"/>
  <c r="F51" i="33" a="1"/>
  <c r="F51" i="33" s="1"/>
  <c r="D51" i="33"/>
  <c r="C51" i="33"/>
  <c r="P50" i="33"/>
  <c r="Q50" i="33" s="1"/>
  <c r="M50" i="33"/>
  <c r="L50" i="33"/>
  <c r="I50" i="33"/>
  <c r="F50" i="33"/>
  <c r="F50" i="33" a="1"/>
  <c r="D50" i="33"/>
  <c r="C50" i="33"/>
  <c r="Q49" i="33"/>
  <c r="P49" i="33"/>
  <c r="M49" i="33"/>
  <c r="L49" i="33"/>
  <c r="I49" i="33"/>
  <c r="C49" i="33"/>
  <c r="F49" i="33" s="1" a="1"/>
  <c r="F49" i="33" s="1"/>
  <c r="Q48" i="33"/>
  <c r="P48" i="33"/>
  <c r="M48" i="33"/>
  <c r="L48" i="33"/>
  <c r="I48" i="33"/>
  <c r="D48" i="33"/>
  <c r="C48" i="33"/>
  <c r="F48" i="33" s="1" a="1"/>
  <c r="F48" i="33" s="1"/>
  <c r="P47" i="33"/>
  <c r="Q47" i="33" s="1"/>
  <c r="M47" i="33"/>
  <c r="L47" i="33"/>
  <c r="I47" i="33"/>
  <c r="F47" i="33" a="1"/>
  <c r="F47" i="33" s="1"/>
  <c r="D47" i="33"/>
  <c r="C47" i="33"/>
  <c r="P46" i="33"/>
  <c r="Q46" i="33" s="1"/>
  <c r="M46" i="33"/>
  <c r="L46" i="33"/>
  <c r="I46" i="33"/>
  <c r="F46" i="33"/>
  <c r="F46" i="33" a="1"/>
  <c r="C46" i="33"/>
  <c r="D46" i="33" s="1"/>
  <c r="Q45" i="33"/>
  <c r="P45" i="33"/>
  <c r="M45" i="33"/>
  <c r="L45" i="33"/>
  <c r="I45" i="33"/>
  <c r="C45" i="33"/>
  <c r="F45" i="33" s="1" a="1"/>
  <c r="F45" i="33" s="1"/>
  <c r="Q44" i="33"/>
  <c r="P44" i="33"/>
  <c r="M44" i="33"/>
  <c r="L44" i="33"/>
  <c r="I44" i="33"/>
  <c r="D44" i="33"/>
  <c r="C44" i="33"/>
  <c r="F44" i="33" s="1" a="1"/>
  <c r="F44" i="33" s="1"/>
  <c r="Q43" i="33"/>
  <c r="P43" i="33"/>
  <c r="M43" i="33"/>
  <c r="L43" i="33"/>
  <c r="I43" i="33"/>
  <c r="F43" i="33" a="1"/>
  <c r="F43" i="33" s="1"/>
  <c r="D43" i="33"/>
  <c r="C43" i="33"/>
  <c r="P42" i="33"/>
  <c r="Q42" i="33" s="1"/>
  <c r="M42" i="33"/>
  <c r="L42" i="33"/>
  <c r="I42" i="33"/>
  <c r="F42" i="33"/>
  <c r="F42" i="33" a="1"/>
  <c r="D42" i="33"/>
  <c r="C42" i="33"/>
  <c r="Q41" i="33"/>
  <c r="P41" i="33"/>
  <c r="M41" i="33"/>
  <c r="L41" i="33"/>
  <c r="I41" i="33"/>
  <c r="C41" i="33"/>
  <c r="F41" i="33" s="1" a="1"/>
  <c r="F41" i="33" s="1"/>
  <c r="Q40" i="33"/>
  <c r="P40" i="33"/>
  <c r="M40" i="33"/>
  <c r="L40" i="33"/>
  <c r="I40" i="33"/>
  <c r="D40" i="33"/>
  <c r="C40" i="33"/>
  <c r="F40" i="33" s="1" a="1"/>
  <c r="F40" i="33" s="1"/>
  <c r="P39" i="33"/>
  <c r="Q39" i="33" s="1"/>
  <c r="M39" i="33"/>
  <c r="L39" i="33"/>
  <c r="I39" i="33"/>
  <c r="F39" i="33" a="1"/>
  <c r="F39" i="33" s="1"/>
  <c r="D39" i="33"/>
  <c r="C39" i="33"/>
  <c r="P38" i="33"/>
  <c r="Q38" i="33" s="1"/>
  <c r="M38" i="33"/>
  <c r="L38" i="33"/>
  <c r="I38" i="33"/>
  <c r="F38" i="33" a="1"/>
  <c r="F38" i="33" s="1"/>
  <c r="C38" i="33"/>
  <c r="D38" i="33" s="1"/>
  <c r="Q37" i="33"/>
  <c r="P37" i="33"/>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F31" i="33" a="1"/>
  <c r="F31" i="33" s="1"/>
  <c r="D31" i="33"/>
  <c r="C31" i="33"/>
  <c r="P30" i="33"/>
  <c r="Q30" i="33" s="1"/>
  <c r="M30" i="33"/>
  <c r="L30" i="33"/>
  <c r="I30" i="33"/>
  <c r="F30" i="33" a="1"/>
  <c r="F30" i="33" s="1"/>
  <c r="C30" i="33"/>
  <c r="D30" i="33" s="1"/>
  <c r="Q29" i="33"/>
  <c r="P29" i="33"/>
  <c r="M29" i="33"/>
  <c r="L29" i="33"/>
  <c r="I29" i="33"/>
  <c r="C29" i="33"/>
  <c r="F29" i="33" s="1" a="1"/>
  <c r="F29" i="33" s="1"/>
  <c r="Q28" i="33"/>
  <c r="P28" i="33"/>
  <c r="M28" i="33"/>
  <c r="L28" i="33"/>
  <c r="I28" i="33"/>
  <c r="D28" i="33"/>
  <c r="C28" i="33"/>
  <c r="F28" i="33" s="1" a="1"/>
  <c r="F28" i="33" s="1"/>
  <c r="Q27" i="33"/>
  <c r="P27" i="33"/>
  <c r="M27" i="33"/>
  <c r="L27" i="33"/>
  <c r="I27" i="33"/>
  <c r="F27" i="33" a="1"/>
  <c r="F27" i="33" s="1"/>
  <c r="D27" i="33"/>
  <c r="C27" i="33"/>
  <c r="P26" i="33"/>
  <c r="Q26" i="33" s="1"/>
  <c r="M26" i="33"/>
  <c r="L26" i="33"/>
  <c r="I26" i="33"/>
  <c r="F26" i="33"/>
  <c r="F26" i="33" a="1"/>
  <c r="D26" i="33"/>
  <c r="C26" i="33"/>
  <c r="P25" i="33"/>
  <c r="Q25" i="33" s="1"/>
  <c r="M25" i="33"/>
  <c r="L25" i="33"/>
  <c r="I25" i="33"/>
  <c r="C25" i="33"/>
  <c r="F25" i="33" s="1" a="1"/>
  <c r="F25" i="33" s="1"/>
  <c r="Q24" i="33"/>
  <c r="P24" i="33"/>
  <c r="M24" i="33"/>
  <c r="L24" i="33"/>
  <c r="I24" i="33"/>
  <c r="C24" i="33"/>
  <c r="D24" i="33" s="1"/>
  <c r="P23" i="33"/>
  <c r="Q23" i="33" s="1"/>
  <c r="M23" i="33"/>
  <c r="L23" i="33"/>
  <c r="I23" i="33"/>
  <c r="F23" i="33" a="1"/>
  <c r="F23" i="33" s="1"/>
  <c r="D23" i="33"/>
  <c r="C23" i="33"/>
  <c r="P22" i="33"/>
  <c r="Q22" i="33" s="1"/>
  <c r="M22" i="33"/>
  <c r="L22" i="33"/>
  <c r="I22" i="33"/>
  <c r="F22" i="33" a="1"/>
  <c r="F22" i="33" s="1"/>
  <c r="C22" i="33"/>
  <c r="D22" i="33" s="1"/>
  <c r="Q21" i="33"/>
  <c r="P21" i="33"/>
  <c r="M21" i="33"/>
  <c r="L21" i="33"/>
  <c r="I21" i="33"/>
  <c r="C21" i="33"/>
  <c r="F21" i="33" s="1" a="1"/>
  <c r="F21" i="33" s="1"/>
  <c r="Q20" i="33"/>
  <c r="P20" i="33"/>
  <c r="M20" i="33"/>
  <c r="L20" i="33"/>
  <c r="I20" i="33"/>
  <c r="D20" i="33"/>
  <c r="C20" i="33"/>
  <c r="F20" i="33" s="1" a="1"/>
  <c r="F20" i="33" s="1"/>
  <c r="Q19" i="33"/>
  <c r="P19" i="33"/>
  <c r="M19" i="33"/>
  <c r="L19" i="33"/>
  <c r="I19" i="33"/>
  <c r="F19" i="33" a="1"/>
  <c r="F19" i="33" s="1"/>
  <c r="D19" i="33"/>
  <c r="C19" i="33"/>
  <c r="P18" i="33"/>
  <c r="Q18" i="33" s="1"/>
  <c r="M18" i="33"/>
  <c r="L18" i="33"/>
  <c r="I18" i="33"/>
  <c r="F18" i="33"/>
  <c r="F18" i="33" a="1"/>
  <c r="D18" i="33"/>
  <c r="C18" i="33"/>
  <c r="P17" i="33"/>
  <c r="Q17" i="33" s="1"/>
  <c r="M17" i="33"/>
  <c r="L17" i="33"/>
  <c r="I17" i="33"/>
  <c r="C17" i="33"/>
  <c r="F17" i="33" s="1" a="1"/>
  <c r="F17" i="33" s="1"/>
  <c r="Q16" i="33"/>
  <c r="P16" i="33"/>
  <c r="M16" i="33"/>
  <c r="L16" i="33"/>
  <c r="I16" i="33"/>
  <c r="C16" i="33"/>
  <c r="F16" i="33" s="1" a="1"/>
  <c r="F16" i="33" s="1"/>
  <c r="P15" i="33"/>
  <c r="Q15" i="33" s="1"/>
  <c r="M15" i="33"/>
  <c r="L15" i="33"/>
  <c r="I15" i="33"/>
  <c r="F15" i="33" a="1"/>
  <c r="F15" i="33" s="1"/>
  <c r="D15" i="33"/>
  <c r="C15" i="33"/>
  <c r="P14" i="33"/>
  <c r="Q14" i="33" s="1"/>
  <c r="M14" i="33"/>
  <c r="L14" i="33"/>
  <c r="I14" i="33"/>
  <c r="F14" i="33" a="1"/>
  <c r="F14" i="33" s="1"/>
  <c r="C14" i="33"/>
  <c r="D14" i="33" s="1"/>
  <c r="Q13" i="33"/>
  <c r="P13" i="33"/>
  <c r="M13" i="33"/>
  <c r="L13" i="33"/>
  <c r="I13" i="33"/>
  <c r="C13" i="33"/>
  <c r="F13" i="33" s="1" a="1"/>
  <c r="F13" i="33" s="1"/>
  <c r="Q12" i="33"/>
  <c r="P12" i="33"/>
  <c r="M12" i="33"/>
  <c r="L12" i="33"/>
  <c r="I12" i="33"/>
  <c r="D12" i="33"/>
  <c r="C12" i="33"/>
  <c r="F12" i="33" s="1" a="1"/>
  <c r="F12" i="33" s="1"/>
  <c r="Q11" i="33"/>
  <c r="P11" i="33"/>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Q99" i="32"/>
  <c r="P99" i="32"/>
  <c r="M99" i="32"/>
  <c r="L99" i="32"/>
  <c r="I99" i="32"/>
  <c r="F99" i="32" a="1"/>
  <c r="F99" i="32" s="1"/>
  <c r="C99" i="32"/>
  <c r="D99" i="32" s="1"/>
  <c r="P98" i="32"/>
  <c r="Q98" i="32" s="1"/>
  <c r="M98" i="32"/>
  <c r="L98" i="32"/>
  <c r="I98" i="32"/>
  <c r="D98" i="32"/>
  <c r="C98" i="32"/>
  <c r="F98" i="32" s="1" a="1"/>
  <c r="F98" i="32" s="1"/>
  <c r="Q97" i="32"/>
  <c r="P97" i="32"/>
  <c r="M97" i="32"/>
  <c r="L97" i="32"/>
  <c r="I97" i="32"/>
  <c r="F97" i="32" a="1"/>
  <c r="F97" i="32" s="1"/>
  <c r="C97" i="32"/>
  <c r="D97" i="32" s="1"/>
  <c r="P96" i="32"/>
  <c r="Q96" i="32" s="1"/>
  <c r="M96" i="32"/>
  <c r="L96" i="32"/>
  <c r="I96" i="32"/>
  <c r="D96" i="32"/>
  <c r="C96" i="32"/>
  <c r="F96" i="32" s="1" a="1"/>
  <c r="F96" i="32" s="1"/>
  <c r="Q95" i="32"/>
  <c r="P95" i="32"/>
  <c r="M95" i="32"/>
  <c r="L95" i="32"/>
  <c r="I95" i="32"/>
  <c r="C95" i="32"/>
  <c r="F95" i="32" s="1" a="1"/>
  <c r="F95" i="32" s="1"/>
  <c r="P94" i="32"/>
  <c r="Q94" i="32" s="1"/>
  <c r="M94" i="32"/>
  <c r="L94" i="32"/>
  <c r="I94" i="32"/>
  <c r="F94" i="32" a="1"/>
  <c r="F94" i="32" s="1"/>
  <c r="D94" i="32"/>
  <c r="C94" i="32"/>
  <c r="Q93" i="32"/>
  <c r="P93" i="32"/>
  <c r="M93" i="32"/>
  <c r="L93" i="32"/>
  <c r="I93" i="32"/>
  <c r="C93" i="32"/>
  <c r="F93" i="32" s="1" a="1"/>
  <c r="F93" i="32" s="1"/>
  <c r="P92" i="32"/>
  <c r="Q92" i="32" s="1"/>
  <c r="M92" i="32"/>
  <c r="L92" i="32"/>
  <c r="I92" i="32"/>
  <c r="D92" i="32"/>
  <c r="C92" i="32"/>
  <c r="F92" i="32" s="1" a="1"/>
  <c r="F92" i="32" s="1"/>
  <c r="Q91" i="32"/>
  <c r="P91" i="32"/>
  <c r="M91" i="32"/>
  <c r="L91" i="32"/>
  <c r="I91" i="32"/>
  <c r="F91" i="32" a="1"/>
  <c r="F91" i="32" s="1"/>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F86" i="32" a="1"/>
  <c r="F86" i="32" s="1"/>
  <c r="D86" i="32"/>
  <c r="C86" i="32"/>
  <c r="Q85" i="32"/>
  <c r="P85" i="32"/>
  <c r="M85" i="32"/>
  <c r="L85" i="32"/>
  <c r="I85" i="32"/>
  <c r="C85" i="32"/>
  <c r="F85" i="32" s="1" a="1"/>
  <c r="F85" i="32" s="1"/>
  <c r="P84" i="32"/>
  <c r="Q84" i="32" s="1"/>
  <c r="M84" i="32"/>
  <c r="L84" i="32"/>
  <c r="I84" i="32"/>
  <c r="D84" i="32"/>
  <c r="C84" i="32"/>
  <c r="F84" i="32" s="1" a="1"/>
  <c r="F84" i="32" s="1"/>
  <c r="Q83" i="32"/>
  <c r="P83" i="32"/>
  <c r="M83" i="32"/>
  <c r="L83" i="32"/>
  <c r="I83" i="32"/>
  <c r="F83" i="32" a="1"/>
  <c r="F83" i="32" s="1"/>
  <c r="C83" i="32"/>
  <c r="D83" i="32" s="1"/>
  <c r="P82" i="32"/>
  <c r="Q82" i="32" s="1"/>
  <c r="M82" i="32"/>
  <c r="L82" i="32"/>
  <c r="I82" i="32"/>
  <c r="D82" i="32"/>
  <c r="C82" i="32"/>
  <c r="F82" i="32" s="1" a="1"/>
  <c r="F82" i="32" s="1"/>
  <c r="P81" i="32"/>
  <c r="Q81" i="32" s="1"/>
  <c r="M81" i="32"/>
  <c r="L81" i="32"/>
  <c r="I81" i="32"/>
  <c r="F81" i="32" a="1"/>
  <c r="F81" i="32" s="1"/>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Q77" i="32"/>
  <c r="P77" i="32"/>
  <c r="M77" i="32"/>
  <c r="L77" i="32"/>
  <c r="I77" i="32"/>
  <c r="C77" i="32"/>
  <c r="F77" i="32" s="1" a="1"/>
  <c r="F77" i="32" s="1"/>
  <c r="P76" i="32"/>
  <c r="Q76" i="32" s="1"/>
  <c r="M76" i="32"/>
  <c r="L76" i="32"/>
  <c r="I76" i="32"/>
  <c r="D76" i="32"/>
  <c r="C76" i="32"/>
  <c r="F76" i="32" s="1" a="1"/>
  <c r="F76" i="32" s="1"/>
  <c r="Q75" i="32"/>
  <c r="P75" i="32"/>
  <c r="M75" i="32"/>
  <c r="L75" i="32"/>
  <c r="I75" i="32"/>
  <c r="F75" i="32" a="1"/>
  <c r="F75" i="32" s="1"/>
  <c r="C75" i="32"/>
  <c r="D75" i="32" s="1"/>
  <c r="P74" i="32"/>
  <c r="Q74" i="32" s="1"/>
  <c r="M74" i="32"/>
  <c r="L74" i="32"/>
  <c r="I74" i="32"/>
  <c r="D74" i="32"/>
  <c r="C74" i="32"/>
  <c r="F74" i="32" s="1" a="1"/>
  <c r="F74" i="32" s="1"/>
  <c r="P73" i="32"/>
  <c r="Q73" i="32" s="1"/>
  <c r="M73" i="32"/>
  <c r="L73" i="32"/>
  <c r="I73" i="32"/>
  <c r="F73" i="32" a="1"/>
  <c r="F73" i="32" s="1"/>
  <c r="C73" i="32"/>
  <c r="D73" i="32" s="1"/>
  <c r="P72" i="32"/>
  <c r="Q72" i="32" s="1"/>
  <c r="M72" i="32"/>
  <c r="L72" i="32"/>
  <c r="I72" i="32"/>
  <c r="C72" i="32"/>
  <c r="F72" i="32" s="1" a="1"/>
  <c r="F72" i="32" s="1"/>
  <c r="Q71" i="32"/>
  <c r="P71" i="32"/>
  <c r="M71" i="32"/>
  <c r="L71" i="32"/>
  <c r="I71" i="32"/>
  <c r="C71" i="32"/>
  <c r="F71" i="32" s="1" a="1"/>
  <c r="F71" i="32" s="1"/>
  <c r="P70" i="32"/>
  <c r="Q70" i="32" s="1"/>
  <c r="M70" i="32"/>
  <c r="L70" i="32"/>
  <c r="I70" i="32"/>
  <c r="F70" i="32" a="1"/>
  <c r="F70" i="32" s="1"/>
  <c r="D70" i="32"/>
  <c r="C70" i="32"/>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D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F62" i="32" a="1"/>
  <c r="F62" i="32" s="1"/>
  <c r="D62" i="32"/>
  <c r="C62" i="32"/>
  <c r="Q61" i="32"/>
  <c r="P61" i="32"/>
  <c r="M61" i="32"/>
  <c r="L61" i="32"/>
  <c r="I61" i="32"/>
  <c r="C61" i="32"/>
  <c r="F61" i="32" s="1" a="1"/>
  <c r="F61" i="32" s="1"/>
  <c r="P60" i="32"/>
  <c r="Q60" i="32" s="1"/>
  <c r="M60" i="32"/>
  <c r="L60" i="32"/>
  <c r="I60" i="32"/>
  <c r="D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F57" i="32" a="1"/>
  <c r="F57" i="32" s="1"/>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F54" i="32" a="1"/>
  <c r="F54" i="32" s="1"/>
  <c r="D54" i="32"/>
  <c r="C54" i="32"/>
  <c r="Q53" i="32"/>
  <c r="P53" i="32"/>
  <c r="M53" i="32"/>
  <c r="L53" i="32"/>
  <c r="I53" i="32"/>
  <c r="C53" i="32"/>
  <c r="F53" i="32" s="1" a="1"/>
  <c r="F53" i="32" s="1"/>
  <c r="P52" i="32"/>
  <c r="Q52" i="32" s="1"/>
  <c r="M52" i="32"/>
  <c r="L52" i="32"/>
  <c r="I52" i="32"/>
  <c r="D52" i="32"/>
  <c r="C52" i="32"/>
  <c r="F52" i="32" s="1" a="1"/>
  <c r="F52" i="32" s="1"/>
  <c r="Q51" i="32"/>
  <c r="P51" i="32"/>
  <c r="M51" i="32"/>
  <c r="L51" i="32"/>
  <c r="I51" i="32"/>
  <c r="F51" i="32" a="1"/>
  <c r="F51" i="32" s="1"/>
  <c r="C51" i="32"/>
  <c r="D51" i="32" s="1"/>
  <c r="P50" i="32"/>
  <c r="Q50" i="32" s="1"/>
  <c r="M50" i="32"/>
  <c r="L50" i="32"/>
  <c r="I50" i="32"/>
  <c r="F50" i="32"/>
  <c r="F50" i="32" a="1"/>
  <c r="D50" i="32"/>
  <c r="C50" i="32"/>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F46" i="32" a="1"/>
  <c r="F46" i="32" s="1"/>
  <c r="D46" i="32"/>
  <c r="C46" i="32"/>
  <c r="Q45" i="32"/>
  <c r="P45" i="32"/>
  <c r="M45" i="32"/>
  <c r="L45" i="32"/>
  <c r="I45" i="32"/>
  <c r="C45" i="32"/>
  <c r="F45" i="32" s="1" a="1"/>
  <c r="F45" i="32" s="1"/>
  <c r="P44" i="32"/>
  <c r="Q44" i="32" s="1"/>
  <c r="M44" i="32"/>
  <c r="L44" i="32"/>
  <c r="I44" i="32"/>
  <c r="D44" i="32"/>
  <c r="C44" i="32"/>
  <c r="F44" i="32" s="1" a="1"/>
  <c r="F44" i="32" s="1"/>
  <c r="Q43" i="32"/>
  <c r="P43" i="32"/>
  <c r="M43" i="32"/>
  <c r="L43" i="32"/>
  <c r="I43" i="32"/>
  <c r="F43" i="32" a="1"/>
  <c r="F43" i="32" s="1"/>
  <c r="C43" i="32"/>
  <c r="D43" i="32" s="1"/>
  <c r="P42" i="32"/>
  <c r="Q42" i="32" s="1"/>
  <c r="M42" i="32"/>
  <c r="L42" i="32"/>
  <c r="I42" i="32"/>
  <c r="F42" i="32"/>
  <c r="F42" i="32" a="1"/>
  <c r="D42" i="32"/>
  <c r="C42" i="32"/>
  <c r="P41" i="32"/>
  <c r="Q41" i="32" s="1"/>
  <c r="M41" i="32"/>
  <c r="L41" i="32"/>
  <c r="I41" i="32"/>
  <c r="F41" i="32" a="1"/>
  <c r="F41" i="32" s="1"/>
  <c r="C41" i="32"/>
  <c r="D41" i="32" s="1"/>
  <c r="P40" i="32"/>
  <c r="Q40" i="32" s="1"/>
  <c r="M40" i="32"/>
  <c r="L40" i="32"/>
  <c r="I40" i="32"/>
  <c r="C40" i="32"/>
  <c r="F40" i="32" s="1" a="1"/>
  <c r="F40" i="32" s="1"/>
  <c r="Q39" i="32"/>
  <c r="P39" i="32"/>
  <c r="M39" i="32"/>
  <c r="L39" i="32"/>
  <c r="I39" i="32"/>
  <c r="C39" i="32"/>
  <c r="F39" i="32" s="1" a="1"/>
  <c r="F39" i="32" s="1"/>
  <c r="P38" i="32"/>
  <c r="Q38" i="32" s="1"/>
  <c r="M38" i="32"/>
  <c r="L38" i="32"/>
  <c r="I38" i="32"/>
  <c r="F38" i="32" a="1"/>
  <c r="F38" i="32" s="1"/>
  <c r="D38" i="32"/>
  <c r="C38" i="32"/>
  <c r="Q37" i="32"/>
  <c r="P37" i="32"/>
  <c r="M37" i="32"/>
  <c r="L37" i="32"/>
  <c r="I37" i="32"/>
  <c r="C37" i="32"/>
  <c r="F37" i="32" s="1" a="1"/>
  <c r="F37" i="32" s="1"/>
  <c r="P36" i="32"/>
  <c r="Q36" i="32" s="1"/>
  <c r="M36" i="32"/>
  <c r="L36" i="32"/>
  <c r="I36" i="32"/>
  <c r="D36" i="32"/>
  <c r="C36" i="32"/>
  <c r="F36" i="32" s="1" a="1"/>
  <c r="F36" i="32" s="1"/>
  <c r="Q35" i="32"/>
  <c r="P35" i="32"/>
  <c r="M35" i="32"/>
  <c r="L35" i="32"/>
  <c r="I35" i="32"/>
  <c r="F35" i="32" a="1"/>
  <c r="F35" i="32" s="1"/>
  <c r="C35" i="32"/>
  <c r="D35" i="32" s="1"/>
  <c r="P34" i="32"/>
  <c r="Q34" i="32" s="1"/>
  <c r="M34" i="32"/>
  <c r="L34" i="32"/>
  <c r="I34" i="32"/>
  <c r="F34" i="32"/>
  <c r="F34" i="32" a="1"/>
  <c r="D34" i="32"/>
  <c r="C34" i="32"/>
  <c r="P33" i="32"/>
  <c r="Q33" i="32" s="1"/>
  <c r="M33" i="32"/>
  <c r="L33" i="32"/>
  <c r="I33" i="32"/>
  <c r="F33" i="32" a="1"/>
  <c r="F33" i="32" s="1"/>
  <c r="C33" i="32"/>
  <c r="D33" i="32" s="1"/>
  <c r="P32" i="32"/>
  <c r="Q32" i="32" s="1"/>
  <c r="M32" i="32"/>
  <c r="L32" i="32"/>
  <c r="I32" i="32"/>
  <c r="C32" i="32"/>
  <c r="F32" i="32" s="1" a="1"/>
  <c r="F32" i="32" s="1"/>
  <c r="Q31" i="32"/>
  <c r="P31" i="32"/>
  <c r="M31" i="32"/>
  <c r="L31" i="32"/>
  <c r="I31" i="32"/>
  <c r="C31" i="32"/>
  <c r="F31" i="32" s="1" a="1"/>
  <c r="F31" i="32" s="1"/>
  <c r="P30" i="32"/>
  <c r="Q30" i="32" s="1"/>
  <c r="M30" i="32"/>
  <c r="L30" i="32"/>
  <c r="I30" i="32"/>
  <c r="F30" i="32" a="1"/>
  <c r="F30" i="32" s="1"/>
  <c r="D30" i="32"/>
  <c r="C30" i="32"/>
  <c r="Q29" i="32"/>
  <c r="P29" i="32"/>
  <c r="M29" i="32"/>
  <c r="L29" i="32"/>
  <c r="I29" i="32"/>
  <c r="C29" i="32"/>
  <c r="F29" i="32" s="1" a="1"/>
  <c r="F29" i="32" s="1"/>
  <c r="P28" i="32"/>
  <c r="Q28" i="32" s="1"/>
  <c r="M28" i="32"/>
  <c r="L28" i="32"/>
  <c r="I28" i="32"/>
  <c r="D28" i="32"/>
  <c r="C28" i="32"/>
  <c r="F28" i="32" s="1" a="1"/>
  <c r="F28" i="32" s="1"/>
  <c r="Q27" i="32"/>
  <c r="P27" i="32"/>
  <c r="M27" i="32"/>
  <c r="L27" i="32"/>
  <c r="I27" i="32"/>
  <c r="F27" i="32" a="1"/>
  <c r="F27" i="32" s="1"/>
  <c r="C27" i="32"/>
  <c r="D27" i="32" s="1"/>
  <c r="P26" i="32"/>
  <c r="Q26" i="32" s="1"/>
  <c r="M26" i="32"/>
  <c r="L26" i="32"/>
  <c r="I26" i="32"/>
  <c r="F26" i="32"/>
  <c r="F26" i="32" a="1"/>
  <c r="D26" i="32"/>
  <c r="C26" i="32"/>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F22" i="32" a="1"/>
  <c r="F22" i="32" s="1"/>
  <c r="D22" i="32"/>
  <c r="C22" i="32"/>
  <c r="Q21" i="32"/>
  <c r="P21" i="32"/>
  <c r="M21" i="32"/>
  <c r="L21" i="32"/>
  <c r="I21" i="32"/>
  <c r="C21" i="32"/>
  <c r="F21" i="32" s="1" a="1"/>
  <c r="F21" i="32" s="1"/>
  <c r="P20" i="32"/>
  <c r="Q20" i="32" s="1"/>
  <c r="M20" i="32"/>
  <c r="L20" i="32"/>
  <c r="I20" i="32"/>
  <c r="D20" i="32"/>
  <c r="C20" i="32"/>
  <c r="F20" i="32" s="1" a="1"/>
  <c r="F20" i="32" s="1"/>
  <c r="Q19" i="32"/>
  <c r="P19" i="32"/>
  <c r="M19" i="32"/>
  <c r="L19" i="32"/>
  <c r="I19" i="32"/>
  <c r="F19" i="32" a="1"/>
  <c r="F19" i="32" s="1"/>
  <c r="C19" i="32"/>
  <c r="D19" i="32" s="1"/>
  <c r="P18" i="32"/>
  <c r="Q18" i="32" s="1"/>
  <c r="M18" i="32"/>
  <c r="L18" i="32"/>
  <c r="I18" i="32"/>
  <c r="F18" i="32"/>
  <c r="F18" i="32" a="1"/>
  <c r="D18" i="32"/>
  <c r="C18" i="32"/>
  <c r="P17" i="32"/>
  <c r="Q17" i="32" s="1"/>
  <c r="M17" i="32"/>
  <c r="L17" i="32"/>
  <c r="I17" i="32"/>
  <c r="F17" i="32" a="1"/>
  <c r="F17" i="32" s="1"/>
  <c r="C17" i="32"/>
  <c r="D17" i="32" s="1"/>
  <c r="P16" i="32"/>
  <c r="Q16" i="32" s="1"/>
  <c r="M16" i="32"/>
  <c r="L16" i="32"/>
  <c r="I16" i="32"/>
  <c r="C16" i="32"/>
  <c r="F16" i="32" s="1" a="1"/>
  <c r="F16" i="32" s="1"/>
  <c r="Q15" i="32"/>
  <c r="P15" i="32"/>
  <c r="M15" i="32"/>
  <c r="L15" i="32"/>
  <c r="I15" i="32"/>
  <c r="C15" i="32"/>
  <c r="F15" i="32" s="1" a="1"/>
  <c r="F15" i="32" s="1"/>
  <c r="P14" i="32"/>
  <c r="Q14" i="32" s="1"/>
  <c r="M14" i="32"/>
  <c r="L14" i="32"/>
  <c r="I14" i="32"/>
  <c r="F14" i="32" a="1"/>
  <c r="F14" i="32" s="1"/>
  <c r="D14" i="32"/>
  <c r="C14" i="32"/>
  <c r="Q13" i="32"/>
  <c r="P13" i="32"/>
  <c r="M13" i="32"/>
  <c r="L13" i="32"/>
  <c r="I13" i="32"/>
  <c r="C13" i="32"/>
  <c r="F13" i="32" s="1" a="1"/>
  <c r="F13" i="32" s="1"/>
  <c r="P12" i="32"/>
  <c r="Q12" i="32" s="1"/>
  <c r="M12" i="32"/>
  <c r="L12" i="32"/>
  <c r="I12" i="32"/>
  <c r="D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F99" i="31" a="1"/>
  <c r="F99" i="31" s="1"/>
  <c r="D99" i="31"/>
  <c r="C99" i="31"/>
  <c r="P98" i="31"/>
  <c r="Q98" i="31" s="1"/>
  <c r="M98" i="31"/>
  <c r="I98" i="31"/>
  <c r="F98" i="31"/>
  <c r="F98" i="31" a="1"/>
  <c r="C98" i="31"/>
  <c r="D98" i="31" s="1"/>
  <c r="P97" i="31"/>
  <c r="Q97" i="31" s="1"/>
  <c r="M97" i="31"/>
  <c r="I97" i="31"/>
  <c r="C97" i="31"/>
  <c r="F97" i="31" s="1" a="1"/>
  <c r="F97" i="31" s="1"/>
  <c r="Q96" i="31"/>
  <c r="P96" i="31"/>
  <c r="M96" i="31"/>
  <c r="I96" i="31"/>
  <c r="C96" i="31"/>
  <c r="F96" i="31" s="1" a="1"/>
  <c r="F96" i="31" s="1"/>
  <c r="P95" i="31"/>
  <c r="Q95" i="31" s="1"/>
  <c r="M95" i="31"/>
  <c r="I95" i="31"/>
  <c r="F95" i="31" a="1"/>
  <c r="F95" i="31" s="1"/>
  <c r="D95" i="31"/>
  <c r="C95" i="31"/>
  <c r="P94" i="31"/>
  <c r="Q94" i="31" s="1"/>
  <c r="M94" i="31"/>
  <c r="I94" i="31"/>
  <c r="C94" i="31"/>
  <c r="F94" i="31" s="1" a="1"/>
  <c r="F94" i="31" s="1"/>
  <c r="Q93" i="31"/>
  <c r="P93" i="31"/>
  <c r="M93" i="31"/>
  <c r="I93" i="31"/>
  <c r="C93" i="31"/>
  <c r="D93" i="31" s="1"/>
  <c r="Q92" i="31"/>
  <c r="P92" i="31"/>
  <c r="M92" i="31"/>
  <c r="I92" i="31"/>
  <c r="F92" i="31" a="1"/>
  <c r="F92" i="31" s="1"/>
  <c r="D92" i="31"/>
  <c r="C92" i="31"/>
  <c r="P91" i="31"/>
  <c r="Q91" i="31" s="1"/>
  <c r="M91" i="31"/>
  <c r="I91" i="31"/>
  <c r="F91" i="31" a="1"/>
  <c r="F91" i="31" s="1"/>
  <c r="D91" i="31"/>
  <c r="C91" i="31"/>
  <c r="P90" i="31"/>
  <c r="Q90" i="31" s="1"/>
  <c r="M90" i="31"/>
  <c r="I90" i="31"/>
  <c r="F90" i="31"/>
  <c r="F90" i="31" a="1"/>
  <c r="C90" i="31"/>
  <c r="D90" i="31" s="1"/>
  <c r="Q89" i="31"/>
  <c r="P89" i="31"/>
  <c r="M89" i="31"/>
  <c r="I89" i="31"/>
  <c r="C89" i="31"/>
  <c r="F89" i="31" s="1" a="1"/>
  <c r="F89" i="31" s="1"/>
  <c r="Q88" i="31"/>
  <c r="P88" i="31"/>
  <c r="M88" i="31"/>
  <c r="I88" i="31"/>
  <c r="D88" i="31"/>
  <c r="C88" i="31"/>
  <c r="F88" i="31" s="1" a="1"/>
  <c r="F88" i="31" s="1"/>
  <c r="P87" i="31"/>
  <c r="Q87" i="31" s="1"/>
  <c r="M87" i="31"/>
  <c r="I87" i="31"/>
  <c r="F87" i="31" a="1"/>
  <c r="F87" i="31" s="1"/>
  <c r="D87" i="31"/>
  <c r="C87" i="31"/>
  <c r="P86" i="31"/>
  <c r="Q86" i="31" s="1"/>
  <c r="M86" i="31"/>
  <c r="I86" i="31"/>
  <c r="C86" i="31"/>
  <c r="F86" i="31" s="1" a="1"/>
  <c r="F86" i="31" s="1"/>
  <c r="Q85" i="31"/>
  <c r="P85" i="31"/>
  <c r="M85" i="31"/>
  <c r="I85" i="31"/>
  <c r="C85" i="31"/>
  <c r="F85" i="31" s="1" a="1"/>
  <c r="F85" i="31" s="1"/>
  <c r="Q84" i="31"/>
  <c r="P84" i="31"/>
  <c r="M84" i="31"/>
  <c r="I84" i="31"/>
  <c r="F84" i="31" a="1"/>
  <c r="F84" i="31" s="1"/>
  <c r="D84" i="31"/>
  <c r="C84" i="31"/>
  <c r="P83" i="31"/>
  <c r="Q83" i="31" s="1"/>
  <c r="M83" i="31"/>
  <c r="I83" i="31"/>
  <c r="F83" i="31" a="1"/>
  <c r="F83" i="31" s="1"/>
  <c r="D83" i="31"/>
  <c r="C83" i="31"/>
  <c r="P82" i="31"/>
  <c r="Q82" i="31" s="1"/>
  <c r="M82" i="31"/>
  <c r="I82" i="31"/>
  <c r="F82" i="31"/>
  <c r="F82" i="31" a="1"/>
  <c r="C82" i="31"/>
  <c r="D82" i="31" s="1"/>
  <c r="Q81" i="31"/>
  <c r="P81" i="31"/>
  <c r="M81" i="31"/>
  <c r="I81" i="31"/>
  <c r="C81" i="31"/>
  <c r="F81" i="31" s="1" a="1"/>
  <c r="F81" i="31" s="1"/>
  <c r="Q80" i="31"/>
  <c r="P80" i="31"/>
  <c r="M80" i="31"/>
  <c r="I80" i="31"/>
  <c r="D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F75" i="31" a="1"/>
  <c r="F75" i="31" s="1"/>
  <c r="D75" i="31"/>
  <c r="C75" i="31"/>
  <c r="P74" i="31"/>
  <c r="Q74" i="31" s="1"/>
  <c r="M74" i="31"/>
  <c r="I74" i="31"/>
  <c r="F74" i="31"/>
  <c r="F74" i="31" a="1"/>
  <c r="C74" i="31"/>
  <c r="D74" i="31" s="1"/>
  <c r="Q73" i="31"/>
  <c r="P73" i="31"/>
  <c r="M73" i="31"/>
  <c r="I73" i="31"/>
  <c r="C73" i="31"/>
  <c r="F73" i="31" s="1" a="1"/>
  <c r="F73" i="31" s="1"/>
  <c r="Q72" i="31"/>
  <c r="P72" i="31"/>
  <c r="M72" i="31"/>
  <c r="I72" i="31"/>
  <c r="D72" i="31"/>
  <c r="C72" i="31"/>
  <c r="F72" i="31" s="1" a="1"/>
  <c r="F72" i="31" s="1"/>
  <c r="P71" i="31"/>
  <c r="Q71" i="31" s="1"/>
  <c r="M71" i="31"/>
  <c r="I71" i="31"/>
  <c r="F71" i="31" a="1"/>
  <c r="F71" i="31" s="1"/>
  <c r="D71" i="31"/>
  <c r="C71" i="31"/>
  <c r="P70" i="31"/>
  <c r="Q70" i="31" s="1"/>
  <c r="M70" i="31"/>
  <c r="I70" i="31"/>
  <c r="C70" i="31"/>
  <c r="F70" i="31" s="1" a="1"/>
  <c r="F70" i="31" s="1"/>
  <c r="Q69" i="31"/>
  <c r="P69" i="31"/>
  <c r="M69" i="31"/>
  <c r="I69" i="31"/>
  <c r="C69" i="31"/>
  <c r="F69" i="31" s="1" a="1"/>
  <c r="F69" i="31" s="1"/>
  <c r="Q68" i="31"/>
  <c r="P68" i="31"/>
  <c r="M68" i="31"/>
  <c r="I68" i="31"/>
  <c r="F68" i="31" a="1"/>
  <c r="F68" i="31" s="1"/>
  <c r="D68" i="31"/>
  <c r="C68" i="31"/>
  <c r="P67" i="31"/>
  <c r="Q67" i="31" s="1"/>
  <c r="M67" i="31"/>
  <c r="I67" i="31"/>
  <c r="F67" i="31" a="1"/>
  <c r="F67" i="31" s="1"/>
  <c r="D67" i="31"/>
  <c r="C67" i="31"/>
  <c r="P66" i="31"/>
  <c r="Q66" i="31" s="1"/>
  <c r="M66" i="31"/>
  <c r="I66" i="31"/>
  <c r="F66" i="31"/>
  <c r="F66" i="31" a="1"/>
  <c r="C66" i="31"/>
  <c r="D66" i="31" s="1"/>
  <c r="Q65" i="31"/>
  <c r="P65" i="31"/>
  <c r="M65" i="31"/>
  <c r="I65" i="31"/>
  <c r="C65" i="31"/>
  <c r="F65" i="31" s="1" a="1"/>
  <c r="F65" i="31" s="1"/>
  <c r="Q64" i="31"/>
  <c r="P64" i="31"/>
  <c r="M64" i="31"/>
  <c r="I64" i="31"/>
  <c r="D64" i="31"/>
  <c r="C64" i="31"/>
  <c r="F64" i="31" s="1" a="1"/>
  <c r="F64" i="31" s="1"/>
  <c r="P63" i="31"/>
  <c r="Q63" i="31" s="1"/>
  <c r="M63" i="31"/>
  <c r="I63" i="31"/>
  <c r="F63" i="31" a="1"/>
  <c r="F63" i="31" s="1"/>
  <c r="D63" i="31"/>
  <c r="C63" i="31"/>
  <c r="P62" i="31"/>
  <c r="Q62" i="31" s="1"/>
  <c r="M62" i="31"/>
  <c r="I62" i="31"/>
  <c r="C62" i="31"/>
  <c r="F62" i="31" s="1" a="1"/>
  <c r="F62" i="31" s="1"/>
  <c r="Q61" i="31"/>
  <c r="P61" i="31"/>
  <c r="M61" i="31"/>
  <c r="I61" i="31"/>
  <c r="C61" i="31"/>
  <c r="D61" i="31" s="1"/>
  <c r="Q60" i="31"/>
  <c r="P60" i="31"/>
  <c r="M60" i="31"/>
  <c r="I60" i="31"/>
  <c r="F60" i="31" a="1"/>
  <c r="F60" i="31" s="1"/>
  <c r="D60" i="31"/>
  <c r="C60" i="31"/>
  <c r="P59" i="31"/>
  <c r="Q59" i="31" s="1"/>
  <c r="M59" i="31"/>
  <c r="I59" i="31"/>
  <c r="F59" i="31" a="1"/>
  <c r="F59" i="31" s="1"/>
  <c r="D59" i="31"/>
  <c r="C59" i="31"/>
  <c r="P58" i="31"/>
  <c r="Q58" i="31" s="1"/>
  <c r="M58" i="31"/>
  <c r="I58" i="31"/>
  <c r="F58" i="31"/>
  <c r="F58" i="31" a="1"/>
  <c r="C58" i="31"/>
  <c r="D58" i="31" s="1"/>
  <c r="Q57" i="31"/>
  <c r="P57" i="31"/>
  <c r="M57" i="31"/>
  <c r="I57" i="31"/>
  <c r="C57" i="31"/>
  <c r="F57" i="31" s="1" a="1"/>
  <c r="F57" i="31" s="1"/>
  <c r="Q56" i="31"/>
  <c r="P56" i="31"/>
  <c r="M56" i="31"/>
  <c r="I56" i="31"/>
  <c r="D56" i="31"/>
  <c r="C56" i="31"/>
  <c r="F56" i="31" s="1" a="1"/>
  <c r="F56" i="31" s="1"/>
  <c r="P55" i="31"/>
  <c r="Q55" i="31" s="1"/>
  <c r="M55" i="31"/>
  <c r="I55" i="31"/>
  <c r="F55" i="31" a="1"/>
  <c r="F55" i="31" s="1"/>
  <c r="D55" i="31"/>
  <c r="C55" i="31"/>
  <c r="P54" i="31"/>
  <c r="Q54" i="31" s="1"/>
  <c r="M54" i="31"/>
  <c r="I54" i="31"/>
  <c r="C54" i="31"/>
  <c r="F54" i="31" s="1" a="1"/>
  <c r="F54" i="31" s="1"/>
  <c r="Q53" i="31"/>
  <c r="P53" i="31"/>
  <c r="M53" i="31"/>
  <c r="I53" i="31"/>
  <c r="C53" i="31"/>
  <c r="F53" i="31" s="1" a="1"/>
  <c r="F53" i="31" s="1"/>
  <c r="Q52" i="31"/>
  <c r="P52" i="31"/>
  <c r="M52" i="31"/>
  <c r="I52" i="31"/>
  <c r="F52" i="31" a="1"/>
  <c r="F52" i="31" s="1"/>
  <c r="D52" i="31"/>
  <c r="C52" i="31"/>
  <c r="P51" i="31"/>
  <c r="Q51" i="31" s="1"/>
  <c r="M51" i="31"/>
  <c r="I51" i="31"/>
  <c r="F51" i="31" a="1"/>
  <c r="F51" i="31" s="1"/>
  <c r="D51" i="31"/>
  <c r="C51" i="31"/>
  <c r="P50" i="31"/>
  <c r="Q50" i="31" s="1"/>
  <c r="M50" i="31"/>
  <c r="I50" i="31"/>
  <c r="F50" i="31"/>
  <c r="F50" i="31" a="1"/>
  <c r="C50" i="31"/>
  <c r="D50" i="31" s="1"/>
  <c r="Q49" i="31"/>
  <c r="P49" i="31"/>
  <c r="M49" i="31"/>
  <c r="I49" i="31"/>
  <c r="C49" i="31"/>
  <c r="F49" i="31" s="1" a="1"/>
  <c r="F49" i="31" s="1"/>
  <c r="Q48" i="31"/>
  <c r="P48" i="31"/>
  <c r="M48" i="31"/>
  <c r="I48" i="31"/>
  <c r="D48" i="31"/>
  <c r="C48" i="31"/>
  <c r="F48" i="31" s="1" a="1"/>
  <c r="F48" i="31" s="1"/>
  <c r="P47" i="31"/>
  <c r="Q47" i="31" s="1"/>
  <c r="M47" i="31"/>
  <c r="I47" i="31"/>
  <c r="F47" i="31" a="1"/>
  <c r="F47" i="31" s="1"/>
  <c r="D47" i="31"/>
  <c r="C47" i="31"/>
  <c r="P46" i="31"/>
  <c r="Q46" i="31" s="1"/>
  <c r="M46" i="31"/>
  <c r="I46" i="31"/>
  <c r="C46" i="31"/>
  <c r="F46" i="31" s="1" a="1"/>
  <c r="F46" i="31" s="1"/>
  <c r="Q45" i="31"/>
  <c r="P45" i="31"/>
  <c r="M45" i="31"/>
  <c r="I45" i="31"/>
  <c r="C45" i="31"/>
  <c r="D45" i="31" s="1"/>
  <c r="Q44" i="31"/>
  <c r="P44" i="31"/>
  <c r="M44" i="31"/>
  <c r="I44" i="31"/>
  <c r="F44" i="31" a="1"/>
  <c r="F44" i="31" s="1"/>
  <c r="D44" i="31"/>
  <c r="C44" i="31"/>
  <c r="P43" i="31"/>
  <c r="Q43" i="31" s="1"/>
  <c r="M43" i="31"/>
  <c r="I43" i="31"/>
  <c r="F43" i="31" a="1"/>
  <c r="F43" i="31" s="1"/>
  <c r="D43" i="31"/>
  <c r="C43" i="31"/>
  <c r="P42" i="31"/>
  <c r="Q42" i="31" s="1"/>
  <c r="M42" i="31"/>
  <c r="I42" i="31"/>
  <c r="F42" i="31"/>
  <c r="F42" i="31" a="1"/>
  <c r="C42" i="31"/>
  <c r="D42" i="31" s="1"/>
  <c r="Q41" i="31"/>
  <c r="P41" i="31"/>
  <c r="M41" i="31"/>
  <c r="I41" i="31"/>
  <c r="C41" i="31"/>
  <c r="F41" i="31" s="1" a="1"/>
  <c r="F41" i="31" s="1"/>
  <c r="Q40" i="31"/>
  <c r="P40" i="31"/>
  <c r="M40" i="31"/>
  <c r="I40" i="31"/>
  <c r="D40" i="31"/>
  <c r="C40" i="31"/>
  <c r="F40" i="31" s="1" a="1"/>
  <c r="F40" i="31" s="1"/>
  <c r="P39" i="31"/>
  <c r="Q39" i="31" s="1"/>
  <c r="M39" i="31"/>
  <c r="I39" i="31"/>
  <c r="F39" i="31" a="1"/>
  <c r="F39" i="31" s="1"/>
  <c r="D39" i="31"/>
  <c r="C39" i="31"/>
  <c r="P38" i="31"/>
  <c r="Q38" i="31" s="1"/>
  <c r="M38" i="31"/>
  <c r="I38" i="31"/>
  <c r="C38" i="31"/>
  <c r="F38" i="31" s="1" a="1"/>
  <c r="F38" i="31" s="1"/>
  <c r="Q37" i="31"/>
  <c r="P37" i="31"/>
  <c r="M37" i="31"/>
  <c r="I37" i="31"/>
  <c r="C37" i="31"/>
  <c r="F37" i="31" s="1" a="1"/>
  <c r="F37" i="31" s="1"/>
  <c r="Q36" i="31"/>
  <c r="P36" i="31"/>
  <c r="M36" i="31"/>
  <c r="I36" i="31"/>
  <c r="F36" i="31" a="1"/>
  <c r="F36" i="31" s="1"/>
  <c r="D36" i="31"/>
  <c r="C36" i="31"/>
  <c r="P35" i="31"/>
  <c r="Q35" i="31" s="1"/>
  <c r="M35" i="31"/>
  <c r="I35" i="31"/>
  <c r="F35" i="31" a="1"/>
  <c r="F35" i="31" s="1"/>
  <c r="D35" i="31"/>
  <c r="C35" i="31"/>
  <c r="P34" i="31"/>
  <c r="Q34" i="31" s="1"/>
  <c r="M34" i="31"/>
  <c r="I34" i="31"/>
  <c r="F34" i="31"/>
  <c r="F34" i="31" a="1"/>
  <c r="C34" i="31"/>
  <c r="D34" i="31" s="1"/>
  <c r="Q33" i="31"/>
  <c r="P33" i="31"/>
  <c r="M33" i="31"/>
  <c r="I33" i="31"/>
  <c r="C33" i="31"/>
  <c r="F33" i="31" s="1" a="1"/>
  <c r="F33" i="31" s="1"/>
  <c r="Q32" i="31"/>
  <c r="P32" i="31"/>
  <c r="M32" i="31"/>
  <c r="I32" i="31"/>
  <c r="D32" i="31"/>
  <c r="C32" i="31"/>
  <c r="F32" i="31" s="1" a="1"/>
  <c r="F32" i="31" s="1"/>
  <c r="P31" i="31"/>
  <c r="Q31" i="31" s="1"/>
  <c r="M31" i="31"/>
  <c r="I31" i="31"/>
  <c r="F31" i="31" a="1"/>
  <c r="F31" i="31" s="1"/>
  <c r="D31" i="31"/>
  <c r="C31" i="31"/>
  <c r="P30" i="31"/>
  <c r="Q30" i="31" s="1"/>
  <c r="M30" i="31"/>
  <c r="I30" i="31"/>
  <c r="C30" i="31"/>
  <c r="F30" i="31" s="1" a="1"/>
  <c r="F30" i="31" s="1"/>
  <c r="Q29" i="31"/>
  <c r="P29" i="31"/>
  <c r="M29" i="31"/>
  <c r="I29" i="31"/>
  <c r="C29" i="31"/>
  <c r="D29" i="31" s="1"/>
  <c r="Q28" i="31"/>
  <c r="P28" i="31"/>
  <c r="M28" i="31"/>
  <c r="I28" i="31"/>
  <c r="F28" i="31" a="1"/>
  <c r="F28" i="31" s="1"/>
  <c r="D28" i="31"/>
  <c r="C28" i="31"/>
  <c r="P27" i="31"/>
  <c r="Q27" i="31" s="1"/>
  <c r="M27" i="31"/>
  <c r="I27" i="31"/>
  <c r="F27" i="31" a="1"/>
  <c r="F27" i="31" s="1"/>
  <c r="D27" i="31"/>
  <c r="C27" i="31"/>
  <c r="P26" i="31"/>
  <c r="Q26" i="31" s="1"/>
  <c r="M26" i="31"/>
  <c r="I26" i="31"/>
  <c r="F26" i="31"/>
  <c r="F26" i="31" a="1"/>
  <c r="C26" i="31"/>
  <c r="D26" i="31" s="1"/>
  <c r="Q25" i="31"/>
  <c r="P25" i="31"/>
  <c r="M25" i="31"/>
  <c r="I25" i="31"/>
  <c r="C25" i="31"/>
  <c r="F25" i="31" s="1" a="1"/>
  <c r="F25" i="31" s="1"/>
  <c r="Q24" i="31"/>
  <c r="P24" i="31"/>
  <c r="M24" i="31"/>
  <c r="I24" i="31"/>
  <c r="D24" i="31"/>
  <c r="C24" i="31"/>
  <c r="F24" i="31" s="1" a="1"/>
  <c r="F24" i="31" s="1"/>
  <c r="P23" i="31"/>
  <c r="Q23" i="31" s="1"/>
  <c r="M23" i="31"/>
  <c r="I23" i="31"/>
  <c r="F23" i="31" a="1"/>
  <c r="F23" i="31" s="1"/>
  <c r="D23" i="31"/>
  <c r="C23" i="31"/>
  <c r="P22" i="31"/>
  <c r="Q22" i="31" s="1"/>
  <c r="M22" i="31"/>
  <c r="I22" i="31"/>
  <c r="C22" i="31"/>
  <c r="F22" i="31" s="1" a="1"/>
  <c r="F22" i="31" s="1"/>
  <c r="Q21" i="31"/>
  <c r="P21" i="31"/>
  <c r="M21" i="31"/>
  <c r="I21" i="31"/>
  <c r="C21" i="31"/>
  <c r="D21" i="31" s="1"/>
  <c r="Q20" i="31"/>
  <c r="P20" i="31"/>
  <c r="M20" i="31"/>
  <c r="I20" i="31"/>
  <c r="D20" i="31"/>
  <c r="C20" i="31"/>
  <c r="F20" i="31" s="1" a="1"/>
  <c r="F20" i="31" s="1"/>
  <c r="P19" i="31"/>
  <c r="Q19" i="31" s="1"/>
  <c r="M19" i="31"/>
  <c r="I19" i="31"/>
  <c r="F19" i="31" a="1"/>
  <c r="F19" i="31" s="1"/>
  <c r="D19" i="31"/>
  <c r="C19" i="31"/>
  <c r="P18" i="31"/>
  <c r="Q18" i="31" s="1"/>
  <c r="M18" i="31"/>
  <c r="I18" i="31"/>
  <c r="F18" i="31"/>
  <c r="F18" i="31" a="1"/>
  <c r="C18" i="31"/>
  <c r="D18" i="31" s="1"/>
  <c r="Q17" i="31"/>
  <c r="P17" i="31"/>
  <c r="M17" i="31"/>
  <c r="I17" i="31"/>
  <c r="C17" i="31"/>
  <c r="F17" i="31" s="1" a="1"/>
  <c r="F17" i="31" s="1"/>
  <c r="Q16" i="31"/>
  <c r="P16" i="31"/>
  <c r="M16" i="31"/>
  <c r="I16" i="31"/>
  <c r="D16" i="31"/>
  <c r="C16" i="31"/>
  <c r="F16" i="31" s="1" a="1"/>
  <c r="F16" i="31" s="1"/>
  <c r="P15" i="31"/>
  <c r="Q15" i="31" s="1"/>
  <c r="M15" i="31"/>
  <c r="I15" i="31"/>
  <c r="F15" i="31" a="1"/>
  <c r="F15" i="31" s="1"/>
  <c r="D15" i="31"/>
  <c r="C15" i="31"/>
  <c r="P14" i="31"/>
  <c r="Q14" i="31" s="1"/>
  <c r="M14" i="31"/>
  <c r="I14" i="31"/>
  <c r="C14" i="31"/>
  <c r="F14" i="31" s="1" a="1"/>
  <c r="F14" i="31" s="1"/>
  <c r="Q13" i="31"/>
  <c r="P13" i="31"/>
  <c r="M13" i="31"/>
  <c r="I13" i="31"/>
  <c r="C13" i="31"/>
  <c r="D13" i="31" s="1"/>
  <c r="Q12" i="31"/>
  <c r="P12" i="31"/>
  <c r="M12" i="31"/>
  <c r="I12" i="31"/>
  <c r="D12" i="31"/>
  <c r="C12" i="31"/>
  <c r="F12" i="31" s="1" a="1"/>
  <c r="F12" i="31" s="1"/>
  <c r="P11" i="31"/>
  <c r="Q11" i="31" s="1"/>
  <c r="M11" i="31"/>
  <c r="I11" i="31"/>
  <c r="F11" i="31" a="1"/>
  <c r="F11" i="31" s="1"/>
  <c r="D11" i="31"/>
  <c r="C11" i="31"/>
  <c r="P10" i="31"/>
  <c r="Q10" i="31" s="1"/>
  <c r="M10" i="31"/>
  <c r="I10" i="31"/>
  <c r="F10" i="31"/>
  <c r="F10" i="31" a="1"/>
  <c r="C10" i="31"/>
  <c r="D10" i="31" s="1"/>
  <c r="Q9" i="31"/>
  <c r="P9" i="3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Q96" i="30"/>
  <c r="P96" i="30"/>
  <c r="M96" i="30"/>
  <c r="L96" i="30"/>
  <c r="I96" i="30"/>
  <c r="C96" i="30"/>
  <c r="F96" i="30" s="1" a="1"/>
  <c r="F96" i="30" s="1"/>
  <c r="Q95" i="30"/>
  <c r="P95" i="30"/>
  <c r="M95" i="30"/>
  <c r="L95" i="30"/>
  <c r="I95" i="30"/>
  <c r="D95" i="30"/>
  <c r="C95" i="30"/>
  <c r="F95" i="30" s="1" a="1"/>
  <c r="F95" i="30" s="1"/>
  <c r="P94" i="30"/>
  <c r="Q94" i="30" s="1"/>
  <c r="M94" i="30"/>
  <c r="L94" i="30"/>
  <c r="I94" i="30"/>
  <c r="F94" i="30" a="1"/>
  <c r="F94" i="30" s="1"/>
  <c r="D94" i="30"/>
  <c r="C94" i="30"/>
  <c r="Q93" i="30"/>
  <c r="P93" i="30"/>
  <c r="M93" i="30"/>
  <c r="L93" i="30"/>
  <c r="I93" i="30"/>
  <c r="C93" i="30"/>
  <c r="F93" i="30" s="1" a="1"/>
  <c r="F93" i="30" s="1"/>
  <c r="P92" i="30"/>
  <c r="Q92" i="30" s="1"/>
  <c r="M92" i="30"/>
  <c r="L92" i="30"/>
  <c r="I92" i="30"/>
  <c r="D92" i="30"/>
  <c r="C92" i="30"/>
  <c r="F92" i="30" s="1" a="1"/>
  <c r="F92" i="30" s="1"/>
  <c r="Q91" i="30"/>
  <c r="P91" i="30"/>
  <c r="M91" i="30"/>
  <c r="L91" i="30"/>
  <c r="I91" i="30"/>
  <c r="F91" i="30" a="1"/>
  <c r="F91" i="30" s="1"/>
  <c r="C91" i="30"/>
  <c r="D91" i="30" s="1"/>
  <c r="Q90" i="30"/>
  <c r="P90" i="30"/>
  <c r="M90" i="30"/>
  <c r="L90" i="30"/>
  <c r="I90" i="30"/>
  <c r="D90" i="30"/>
  <c r="C90" i="30"/>
  <c r="F90" i="30" s="1" a="1"/>
  <c r="F90" i="30" s="1"/>
  <c r="P89" i="30"/>
  <c r="Q89" i="30" s="1"/>
  <c r="M89" i="30"/>
  <c r="L89" i="30"/>
  <c r="I89" i="30"/>
  <c r="F89" i="30" a="1"/>
  <c r="F89" i="30" s="1"/>
  <c r="D89" i="30"/>
  <c r="C89" i="30"/>
  <c r="Q88" i="30"/>
  <c r="P88" i="30"/>
  <c r="M88" i="30"/>
  <c r="L88" i="30"/>
  <c r="I88" i="30"/>
  <c r="C88" i="30"/>
  <c r="F88" i="30" s="1" a="1"/>
  <c r="F88" i="30" s="1"/>
  <c r="Q87" i="30"/>
  <c r="P87" i="30"/>
  <c r="M87" i="30"/>
  <c r="L87" i="30"/>
  <c r="I87" i="30"/>
  <c r="D87" i="30"/>
  <c r="C87" i="30"/>
  <c r="F87" i="30" s="1" a="1"/>
  <c r="F87" i="30" s="1"/>
  <c r="P86" i="30"/>
  <c r="Q86" i="30" s="1"/>
  <c r="M86" i="30"/>
  <c r="L86" i="30"/>
  <c r="I86" i="30"/>
  <c r="F86" i="30" a="1"/>
  <c r="F86" i="30" s="1"/>
  <c r="D86" i="30"/>
  <c r="C86" i="30"/>
  <c r="Q85" i="30"/>
  <c r="P85" i="30"/>
  <c r="M85" i="30"/>
  <c r="L85" i="30"/>
  <c r="I85" i="30"/>
  <c r="C85" i="30"/>
  <c r="F85" i="30" s="1" a="1"/>
  <c r="F85" i="30" s="1"/>
  <c r="P84" i="30"/>
  <c r="Q84" i="30" s="1"/>
  <c r="M84" i="30"/>
  <c r="L84" i="30"/>
  <c r="I84" i="30"/>
  <c r="F84" i="30"/>
  <c r="F84" i="30" a="1"/>
  <c r="D84" i="30"/>
  <c r="C84" i="30"/>
  <c r="Q83" i="30"/>
  <c r="P83" i="30"/>
  <c r="M83" i="30"/>
  <c r="L83" i="30"/>
  <c r="I83" i="30"/>
  <c r="F83" i="30" a="1"/>
  <c r="F83" i="30" s="1"/>
  <c r="C83" i="30"/>
  <c r="D83" i="30" s="1"/>
  <c r="Q82" i="30"/>
  <c r="P82" i="30"/>
  <c r="M82" i="30"/>
  <c r="L82" i="30"/>
  <c r="I82" i="30"/>
  <c r="D82" i="30"/>
  <c r="C82" i="30"/>
  <c r="F82" i="30" s="1" a="1"/>
  <c r="F82" i="30" s="1"/>
  <c r="P81" i="30"/>
  <c r="Q81" i="30" s="1"/>
  <c r="M81" i="30"/>
  <c r="L81" i="30"/>
  <c r="I81" i="30"/>
  <c r="F81" i="30" a="1"/>
  <c r="F81" i="30" s="1"/>
  <c r="D81" i="30"/>
  <c r="C81" i="30"/>
  <c r="Q80" i="30"/>
  <c r="P80" i="30"/>
  <c r="M80" i="30"/>
  <c r="L80" i="30"/>
  <c r="I80" i="30"/>
  <c r="C80" i="30"/>
  <c r="F80" i="30" s="1" a="1"/>
  <c r="F80" i="30" s="1"/>
  <c r="Q79" i="30"/>
  <c r="P79" i="30"/>
  <c r="M79" i="30"/>
  <c r="L79" i="30"/>
  <c r="I79" i="30"/>
  <c r="D79" i="30"/>
  <c r="C79" i="30"/>
  <c r="F79" i="30" s="1" a="1"/>
  <c r="F79" i="30" s="1"/>
  <c r="P78" i="30"/>
  <c r="Q78" i="30" s="1"/>
  <c r="M78" i="30"/>
  <c r="L78" i="30"/>
  <c r="I78" i="30"/>
  <c r="F78" i="30" a="1"/>
  <c r="F78" i="30" s="1"/>
  <c r="D78" i="30"/>
  <c r="C78" i="30"/>
  <c r="Q77" i="30"/>
  <c r="P77" i="30"/>
  <c r="M77" i="30"/>
  <c r="L77" i="30"/>
  <c r="I77" i="30"/>
  <c r="C77" i="30"/>
  <c r="F77" i="30" s="1" a="1"/>
  <c r="F77" i="30" s="1"/>
  <c r="P76" i="30"/>
  <c r="Q76" i="30" s="1"/>
  <c r="M76" i="30"/>
  <c r="L76" i="30"/>
  <c r="I76" i="30"/>
  <c r="F76" i="30"/>
  <c r="F76" i="30" a="1"/>
  <c r="D76" i="30"/>
  <c r="C76" i="30"/>
  <c r="Q75" i="30"/>
  <c r="P75" i="30"/>
  <c r="M75" i="30"/>
  <c r="L75" i="30"/>
  <c r="I75" i="30"/>
  <c r="F75" i="30" a="1"/>
  <c r="F75" i="30" s="1"/>
  <c r="C75" i="30"/>
  <c r="D75" i="30" s="1"/>
  <c r="Q74" i="30"/>
  <c r="P74" i="30"/>
  <c r="M74" i="30"/>
  <c r="L74" i="30"/>
  <c r="I74" i="30"/>
  <c r="D74" i="30"/>
  <c r="C74" i="30"/>
  <c r="F74" i="30" s="1" a="1"/>
  <c r="F74" i="30" s="1"/>
  <c r="P73" i="30"/>
  <c r="Q73" i="30" s="1"/>
  <c r="M73" i="30"/>
  <c r="L73" i="30"/>
  <c r="I73" i="30"/>
  <c r="F73" i="30" a="1"/>
  <c r="F73" i="30" s="1"/>
  <c r="D73" i="30"/>
  <c r="C73" i="30"/>
  <c r="Q72" i="30"/>
  <c r="P72" i="30"/>
  <c r="M72" i="30"/>
  <c r="L72" i="30"/>
  <c r="I72" i="30"/>
  <c r="C72" i="30"/>
  <c r="F72" i="30" s="1" a="1"/>
  <c r="F72" i="30" s="1"/>
  <c r="Q71" i="30"/>
  <c r="P71" i="30"/>
  <c r="M71" i="30"/>
  <c r="L71" i="30"/>
  <c r="I71" i="30"/>
  <c r="D71" i="30"/>
  <c r="C71" i="30"/>
  <c r="F71" i="30" s="1" a="1"/>
  <c r="F71" i="30" s="1"/>
  <c r="P70" i="30"/>
  <c r="Q70" i="30" s="1"/>
  <c r="M70" i="30"/>
  <c r="L70" i="30"/>
  <c r="I70" i="30"/>
  <c r="F70" i="30" a="1"/>
  <c r="F70" i="30" s="1"/>
  <c r="D70" i="30"/>
  <c r="C70" i="30"/>
  <c r="Q69" i="30"/>
  <c r="P69" i="30"/>
  <c r="M69" i="30"/>
  <c r="L69" i="30"/>
  <c r="I69" i="30"/>
  <c r="C69" i="30"/>
  <c r="F69" i="30" s="1" a="1"/>
  <c r="F69" i="30" s="1"/>
  <c r="P68" i="30"/>
  <c r="Q68" i="30" s="1"/>
  <c r="M68" i="30"/>
  <c r="L68" i="30"/>
  <c r="I68" i="30"/>
  <c r="F68" i="30" a="1"/>
  <c r="F68" i="30" s="1"/>
  <c r="D68" i="30"/>
  <c r="C68" i="30"/>
  <c r="Q67" i="30"/>
  <c r="P67" i="30"/>
  <c r="M67" i="30"/>
  <c r="L67" i="30"/>
  <c r="I67" i="30"/>
  <c r="F67" i="30" a="1"/>
  <c r="F67" i="30" s="1"/>
  <c r="C67" i="30"/>
  <c r="D67" i="30" s="1"/>
  <c r="Q66" i="30"/>
  <c r="P66" i="30"/>
  <c r="M66" i="30"/>
  <c r="L66" i="30"/>
  <c r="I66" i="30"/>
  <c r="D66" i="30"/>
  <c r="C66" i="30"/>
  <c r="F66" i="30" s="1" a="1"/>
  <c r="F66" i="30" s="1"/>
  <c r="P65" i="30"/>
  <c r="Q65" i="30" s="1"/>
  <c r="M65" i="30"/>
  <c r="L65" i="30"/>
  <c r="I65" i="30"/>
  <c r="F65" i="30" a="1"/>
  <c r="F65" i="30" s="1"/>
  <c r="D65" i="30"/>
  <c r="C65" i="30"/>
  <c r="Q64" i="30"/>
  <c r="P64" i="30"/>
  <c r="M64" i="30"/>
  <c r="L64" i="30"/>
  <c r="I64" i="30"/>
  <c r="C64" i="30"/>
  <c r="F64" i="30" s="1" a="1"/>
  <c r="F64" i="30" s="1"/>
  <c r="P63" i="30"/>
  <c r="Q63" i="30" s="1"/>
  <c r="M63" i="30"/>
  <c r="L63" i="30"/>
  <c r="I63" i="30"/>
  <c r="D63" i="30"/>
  <c r="C63" i="30"/>
  <c r="F63" i="30" s="1" a="1"/>
  <c r="F63" i="30" s="1"/>
  <c r="P62" i="30"/>
  <c r="Q62" i="30" s="1"/>
  <c r="M62" i="30"/>
  <c r="L62" i="30"/>
  <c r="I62" i="30"/>
  <c r="F62" i="30" a="1"/>
  <c r="F62" i="30" s="1"/>
  <c r="C62" i="30"/>
  <c r="D62" i="30" s="1"/>
  <c r="Q61" i="30"/>
  <c r="P61" i="30"/>
  <c r="M61" i="30"/>
  <c r="L61" i="30"/>
  <c r="I61" i="30"/>
  <c r="C61" i="30"/>
  <c r="F61" i="30" s="1" a="1"/>
  <c r="F61" i="30" s="1"/>
  <c r="P60" i="30"/>
  <c r="Q60" i="30" s="1"/>
  <c r="M60" i="30"/>
  <c r="L60" i="30"/>
  <c r="I60" i="30"/>
  <c r="F60" i="30" a="1"/>
  <c r="F60" i="30" s="1"/>
  <c r="D60" i="30"/>
  <c r="C60" i="30"/>
  <c r="Q59" i="30"/>
  <c r="P59" i="30"/>
  <c r="M59" i="30"/>
  <c r="L59" i="30"/>
  <c r="I59" i="30"/>
  <c r="F59" i="30" a="1"/>
  <c r="F59" i="30" s="1"/>
  <c r="C59" i="30"/>
  <c r="D59" i="30" s="1"/>
  <c r="Q58" i="30"/>
  <c r="P58" i="30"/>
  <c r="M58" i="30"/>
  <c r="L58" i="30"/>
  <c r="I58" i="30"/>
  <c r="D58" i="30"/>
  <c r="C58" i="30"/>
  <c r="F58" i="30" s="1" a="1"/>
  <c r="F58" i="30" s="1"/>
  <c r="P57" i="30"/>
  <c r="Q57" i="30" s="1"/>
  <c r="M57" i="30"/>
  <c r="L57" i="30"/>
  <c r="I57" i="30"/>
  <c r="F57" i="30" a="1"/>
  <c r="F57" i="30" s="1"/>
  <c r="D57" i="30"/>
  <c r="C57" i="30"/>
  <c r="Q56" i="30"/>
  <c r="P56" i="30"/>
  <c r="M56" i="30"/>
  <c r="L56" i="30"/>
  <c r="I56" i="30"/>
  <c r="C56" i="30"/>
  <c r="F56" i="30" s="1" a="1"/>
  <c r="F56" i="30" s="1"/>
  <c r="P55" i="30"/>
  <c r="Q55" i="30" s="1"/>
  <c r="M55" i="30"/>
  <c r="L55" i="30"/>
  <c r="I55" i="30"/>
  <c r="D55" i="30"/>
  <c r="C55" i="30"/>
  <c r="F55" i="30" s="1" a="1"/>
  <c r="F55" i="30" s="1"/>
  <c r="P54" i="30"/>
  <c r="Q54" i="30" s="1"/>
  <c r="M54" i="30"/>
  <c r="L54" i="30"/>
  <c r="I54" i="30"/>
  <c r="F54" i="30" a="1"/>
  <c r="F54" i="30" s="1"/>
  <c r="C54" i="30"/>
  <c r="D54" i="30" s="1"/>
  <c r="Q53" i="30"/>
  <c r="P53" i="30"/>
  <c r="M53" i="30"/>
  <c r="L53" i="30"/>
  <c r="I53" i="30"/>
  <c r="C53" i="30"/>
  <c r="F53" i="30" s="1" a="1"/>
  <c r="F53" i="30" s="1"/>
  <c r="P52" i="30"/>
  <c r="Q52" i="30" s="1"/>
  <c r="M52" i="30"/>
  <c r="L52" i="30"/>
  <c r="I52" i="30"/>
  <c r="F52" i="30" a="1"/>
  <c r="F52" i="30" s="1"/>
  <c r="D52" i="30"/>
  <c r="C52" i="30"/>
  <c r="Q51" i="30"/>
  <c r="P51" i="30"/>
  <c r="M51" i="30"/>
  <c r="L51" i="30"/>
  <c r="I51" i="30"/>
  <c r="F51" i="30" a="1"/>
  <c r="F51" i="30" s="1"/>
  <c r="C51" i="30"/>
  <c r="D51" i="30" s="1"/>
  <c r="Q50" i="30"/>
  <c r="P50" i="30"/>
  <c r="M50" i="30"/>
  <c r="L50" i="30"/>
  <c r="I50" i="30"/>
  <c r="D50" i="30"/>
  <c r="C50" i="30"/>
  <c r="F50" i="30" s="1" a="1"/>
  <c r="F50" i="30" s="1"/>
  <c r="P49" i="30"/>
  <c r="Q49" i="30" s="1"/>
  <c r="M49" i="30"/>
  <c r="L49" i="30"/>
  <c r="I49" i="30"/>
  <c r="F49" i="30" a="1"/>
  <c r="F49" i="30" s="1"/>
  <c r="D49" i="30"/>
  <c r="C49" i="30"/>
  <c r="Q48" i="30"/>
  <c r="P48" i="30"/>
  <c r="M48" i="30"/>
  <c r="L48" i="30"/>
  <c r="I48" i="30"/>
  <c r="C48" i="30"/>
  <c r="F48" i="30" s="1" a="1"/>
  <c r="F48" i="30" s="1"/>
  <c r="P47" i="30"/>
  <c r="Q47" i="30" s="1"/>
  <c r="M47" i="30"/>
  <c r="L47" i="30"/>
  <c r="I47" i="30"/>
  <c r="D47" i="30"/>
  <c r="C47" i="30"/>
  <c r="F47" i="30" s="1" a="1"/>
  <c r="F47" i="30" s="1"/>
  <c r="P46" i="30"/>
  <c r="Q46" i="30" s="1"/>
  <c r="M46" i="30"/>
  <c r="L46" i="30"/>
  <c r="I46" i="30"/>
  <c r="F46" i="30" a="1"/>
  <c r="F46" i="30" s="1"/>
  <c r="C46" i="30"/>
  <c r="D46" i="30" s="1"/>
  <c r="Q45" i="30"/>
  <c r="P45" i="30"/>
  <c r="M45" i="30"/>
  <c r="L45" i="30"/>
  <c r="I45" i="30"/>
  <c r="C45" i="30"/>
  <c r="F45" i="30" s="1" a="1"/>
  <c r="F45" i="30" s="1"/>
  <c r="P44" i="30"/>
  <c r="Q44" i="30" s="1"/>
  <c r="M44" i="30"/>
  <c r="L44" i="30"/>
  <c r="I44" i="30"/>
  <c r="F44" i="30" a="1"/>
  <c r="F44" i="30" s="1"/>
  <c r="D44" i="30"/>
  <c r="C44" i="30"/>
  <c r="Q43" i="30"/>
  <c r="P43" i="30"/>
  <c r="M43" i="30"/>
  <c r="L43" i="30"/>
  <c r="I43" i="30"/>
  <c r="F43" i="30" a="1"/>
  <c r="F43" i="30" s="1"/>
  <c r="C43" i="30"/>
  <c r="D43" i="30" s="1"/>
  <c r="Q42" i="30"/>
  <c r="P42" i="30"/>
  <c r="M42" i="30"/>
  <c r="L42" i="30"/>
  <c r="I42" i="30"/>
  <c r="D42" i="30"/>
  <c r="C42" i="30"/>
  <c r="F42" i="30" s="1" a="1"/>
  <c r="F42" i="30" s="1"/>
  <c r="P41" i="30"/>
  <c r="Q41" i="30" s="1"/>
  <c r="M41" i="30"/>
  <c r="L41" i="30"/>
  <c r="I41" i="30"/>
  <c r="F41" i="30" a="1"/>
  <c r="F41" i="30" s="1"/>
  <c r="D41" i="30"/>
  <c r="C41" i="30"/>
  <c r="Q40" i="30"/>
  <c r="P40" i="30"/>
  <c r="M40" i="30"/>
  <c r="L40" i="30"/>
  <c r="I40" i="30"/>
  <c r="C40" i="30"/>
  <c r="F40" i="30" s="1" a="1"/>
  <c r="F40" i="30" s="1"/>
  <c r="P39" i="30"/>
  <c r="Q39" i="30" s="1"/>
  <c r="M39" i="30"/>
  <c r="L39" i="30"/>
  <c r="I39" i="30"/>
  <c r="D39" i="30"/>
  <c r="C39" i="30"/>
  <c r="F39" i="30" s="1" a="1"/>
  <c r="F39" i="30" s="1"/>
  <c r="P38" i="30"/>
  <c r="Q38" i="30" s="1"/>
  <c r="M38" i="30"/>
  <c r="L38" i="30"/>
  <c r="I38" i="30"/>
  <c r="F38" i="30" a="1"/>
  <c r="F38" i="30" s="1"/>
  <c r="C38" i="30"/>
  <c r="D38" i="30" s="1"/>
  <c r="Q37" i="30"/>
  <c r="P37" i="30"/>
  <c r="M37" i="30"/>
  <c r="L37" i="30"/>
  <c r="I37" i="30"/>
  <c r="C37" i="30"/>
  <c r="F37" i="30" s="1" a="1"/>
  <c r="F37" i="30" s="1"/>
  <c r="P36" i="30"/>
  <c r="Q36" i="30" s="1"/>
  <c r="M36" i="30"/>
  <c r="L36" i="30"/>
  <c r="I36" i="30"/>
  <c r="F36" i="30" a="1"/>
  <c r="F36" i="30" s="1"/>
  <c r="D36" i="30"/>
  <c r="C36" i="30"/>
  <c r="Q35" i="30"/>
  <c r="P35" i="30"/>
  <c r="M35" i="30"/>
  <c r="L35" i="30"/>
  <c r="I35" i="30"/>
  <c r="F35" i="30" a="1"/>
  <c r="F35" i="30" s="1"/>
  <c r="C35" i="30"/>
  <c r="D35" i="30" s="1"/>
  <c r="Q34" i="30"/>
  <c r="P34" i="30"/>
  <c r="M34" i="30"/>
  <c r="L34" i="30"/>
  <c r="I34" i="30"/>
  <c r="D34" i="30"/>
  <c r="C34" i="30"/>
  <c r="F34" i="30" s="1" a="1"/>
  <c r="F34" i="30" s="1"/>
  <c r="P33" i="30"/>
  <c r="Q33" i="30" s="1"/>
  <c r="M33" i="30"/>
  <c r="L33" i="30"/>
  <c r="I33" i="30"/>
  <c r="F33" i="30" a="1"/>
  <c r="F33" i="30" s="1"/>
  <c r="D33" i="30"/>
  <c r="C33" i="30"/>
  <c r="Q32" i="30"/>
  <c r="P32" i="30"/>
  <c r="M32" i="30"/>
  <c r="L32" i="30"/>
  <c r="I32" i="30"/>
  <c r="C32" i="30"/>
  <c r="F32" i="30" s="1" a="1"/>
  <c r="F32" i="30" s="1"/>
  <c r="P31" i="30"/>
  <c r="Q31" i="30" s="1"/>
  <c r="M31" i="30"/>
  <c r="L31" i="30"/>
  <c r="I31" i="30"/>
  <c r="D31" i="30"/>
  <c r="C31" i="30"/>
  <c r="F31" i="30" s="1" a="1"/>
  <c r="F31" i="30" s="1"/>
  <c r="P30" i="30"/>
  <c r="Q30" i="30" s="1"/>
  <c r="M30" i="30"/>
  <c r="L30" i="30"/>
  <c r="I30" i="30"/>
  <c r="F30" i="30" a="1"/>
  <c r="F30" i="30" s="1"/>
  <c r="C30" i="30"/>
  <c r="D30" i="30" s="1"/>
  <c r="Q29" i="30"/>
  <c r="P29" i="30"/>
  <c r="M29" i="30"/>
  <c r="L29" i="30"/>
  <c r="I29" i="30"/>
  <c r="C29" i="30"/>
  <c r="F29" i="30" s="1" a="1"/>
  <c r="F29" i="30" s="1"/>
  <c r="P28" i="30"/>
  <c r="Q28" i="30" s="1"/>
  <c r="M28" i="30"/>
  <c r="L28" i="30"/>
  <c r="I28" i="30"/>
  <c r="F28" i="30" a="1"/>
  <c r="F28" i="30" s="1"/>
  <c r="D28" i="30"/>
  <c r="C28" i="30"/>
  <c r="Q27" i="30"/>
  <c r="P27" i="30"/>
  <c r="M27" i="30"/>
  <c r="L27" i="30"/>
  <c r="I27" i="30"/>
  <c r="F27" i="30" a="1"/>
  <c r="F27" i="30" s="1"/>
  <c r="C27" i="30"/>
  <c r="D27" i="30" s="1"/>
  <c r="Q26" i="30"/>
  <c r="P26" i="30"/>
  <c r="M26" i="30"/>
  <c r="L26" i="30"/>
  <c r="I26" i="30"/>
  <c r="D26" i="30"/>
  <c r="C26" i="30"/>
  <c r="F26" i="30" s="1" a="1"/>
  <c r="F26" i="30" s="1"/>
  <c r="P25" i="30"/>
  <c r="Q25" i="30" s="1"/>
  <c r="M25" i="30"/>
  <c r="L25" i="30"/>
  <c r="I25" i="30"/>
  <c r="F25" i="30" a="1"/>
  <c r="F25" i="30" s="1"/>
  <c r="D25" i="30"/>
  <c r="C25" i="30"/>
  <c r="Q24" i="30"/>
  <c r="P24" i="30"/>
  <c r="M24" i="30"/>
  <c r="L24" i="30"/>
  <c r="I24" i="30"/>
  <c r="C24" i="30"/>
  <c r="F24" i="30" s="1" a="1"/>
  <c r="F24" i="30" s="1"/>
  <c r="P23" i="30"/>
  <c r="Q23" i="30" s="1"/>
  <c r="M23" i="30"/>
  <c r="L23" i="30"/>
  <c r="I23" i="30"/>
  <c r="D23" i="30"/>
  <c r="C23" i="30"/>
  <c r="F23" i="30" s="1" a="1"/>
  <c r="F23" i="30" s="1"/>
  <c r="P22" i="30"/>
  <c r="Q22" i="30" s="1"/>
  <c r="M22" i="30"/>
  <c r="L22" i="30"/>
  <c r="I22" i="30"/>
  <c r="F22" i="30" a="1"/>
  <c r="F22" i="30" s="1"/>
  <c r="C22" i="30"/>
  <c r="D22" i="30" s="1"/>
  <c r="Q21" i="30"/>
  <c r="P21" i="30"/>
  <c r="M21" i="30"/>
  <c r="L21" i="30"/>
  <c r="I21" i="30"/>
  <c r="C21" i="30"/>
  <c r="F21" i="30" s="1" a="1"/>
  <c r="F21" i="30" s="1"/>
  <c r="P20" i="30"/>
  <c r="Q20" i="30" s="1"/>
  <c r="M20" i="30"/>
  <c r="L20" i="30"/>
  <c r="I20" i="30"/>
  <c r="F20" i="30" a="1"/>
  <c r="F20" i="30" s="1"/>
  <c r="D20" i="30"/>
  <c r="C20" i="30"/>
  <c r="Q19" i="30"/>
  <c r="P19" i="30"/>
  <c r="M19" i="30"/>
  <c r="L19" i="30"/>
  <c r="I19" i="30"/>
  <c r="F19" i="30" a="1"/>
  <c r="F19" i="30" s="1"/>
  <c r="C19" i="30"/>
  <c r="D19" i="30" s="1"/>
  <c r="Q18" i="30"/>
  <c r="P18" i="30"/>
  <c r="M18" i="30"/>
  <c r="L18" i="30"/>
  <c r="I18" i="30"/>
  <c r="D18" i="30"/>
  <c r="C18" i="30"/>
  <c r="F18" i="30" s="1" a="1"/>
  <c r="F18" i="30" s="1"/>
  <c r="P17" i="30"/>
  <c r="Q17" i="30" s="1"/>
  <c r="M17" i="30"/>
  <c r="L17" i="30"/>
  <c r="I17" i="30"/>
  <c r="F17" i="30" a="1"/>
  <c r="F17" i="30" s="1"/>
  <c r="D17" i="30"/>
  <c r="C17" i="30"/>
  <c r="Q16" i="30"/>
  <c r="P16" i="30"/>
  <c r="M16" i="30"/>
  <c r="L16" i="30"/>
  <c r="I16" i="30"/>
  <c r="C16" i="30"/>
  <c r="F16" i="30" s="1" a="1"/>
  <c r="F16" i="30" s="1"/>
  <c r="P15" i="30"/>
  <c r="Q15" i="30" s="1"/>
  <c r="M15" i="30"/>
  <c r="L15" i="30"/>
  <c r="I15" i="30"/>
  <c r="D15" i="30"/>
  <c r="C15" i="30"/>
  <c r="F15" i="30" s="1" a="1"/>
  <c r="F15" i="30" s="1"/>
  <c r="P14" i="30"/>
  <c r="Q14" i="30" s="1"/>
  <c r="M14" i="30"/>
  <c r="L14" i="30"/>
  <c r="I14" i="30"/>
  <c r="F14" i="30" a="1"/>
  <c r="F14" i="30" s="1"/>
  <c r="C14" i="30"/>
  <c r="D14" i="30" s="1"/>
  <c r="Q13" i="30"/>
  <c r="P13" i="30"/>
  <c r="M13" i="30"/>
  <c r="L13" i="30"/>
  <c r="I13" i="30"/>
  <c r="C13" i="30"/>
  <c r="F13" i="30" s="1" a="1"/>
  <c r="F13" i="30" s="1"/>
  <c r="P12" i="30"/>
  <c r="Q12" i="30" s="1"/>
  <c r="M12" i="30"/>
  <c r="L12" i="30"/>
  <c r="I12" i="30"/>
  <c r="F12" i="30" a="1"/>
  <c r="F12" i="30" s="1"/>
  <c r="D12" i="30"/>
  <c r="C12" i="30"/>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D100" i="27"/>
  <c r="C100" i="27"/>
  <c r="F100" i="27" s="1" a="1"/>
  <c r="F100" i="27" s="1"/>
  <c r="P99" i="27"/>
  <c r="Q99" i="27" s="1"/>
  <c r="M99" i="27"/>
  <c r="L99" i="27"/>
  <c r="I99" i="27"/>
  <c r="F99" i="27" a="1"/>
  <c r="F99" i="27" s="1"/>
  <c r="D99" i="27"/>
  <c r="C99" i="27"/>
  <c r="Q98" i="27"/>
  <c r="P98" i="27"/>
  <c r="M98" i="27"/>
  <c r="L98" i="27"/>
  <c r="I98" i="27"/>
  <c r="F98" i="27"/>
  <c r="F98" i="27" a="1"/>
  <c r="C98" i="27"/>
  <c r="D98" i="27" s="1"/>
  <c r="P97" i="27"/>
  <c r="Q97" i="27" s="1"/>
  <c r="M97" i="27"/>
  <c r="L97" i="27"/>
  <c r="I97" i="27"/>
  <c r="F97" i="27"/>
  <c r="F97" i="27" a="1"/>
  <c r="D97" i="27"/>
  <c r="C97" i="27"/>
  <c r="Q96" i="27"/>
  <c r="P96" i="27"/>
  <c r="M96" i="27"/>
  <c r="L96" i="27"/>
  <c r="I96" i="27"/>
  <c r="F96" i="27" a="1"/>
  <c r="F96" i="27" s="1"/>
  <c r="C96" i="27"/>
  <c r="D96" i="27" s="1"/>
  <c r="P95" i="27"/>
  <c r="Q95" i="27" s="1"/>
  <c r="M95" i="27"/>
  <c r="L95" i="27"/>
  <c r="I95" i="27"/>
  <c r="F95" i="27"/>
  <c r="F95" i="27" a="1"/>
  <c r="D95" i="27"/>
  <c r="C95" i="27"/>
  <c r="P94" i="27"/>
  <c r="Q94" i="27" s="1"/>
  <c r="M94" i="27"/>
  <c r="L94" i="27"/>
  <c r="I94" i="27"/>
  <c r="C94" i="27"/>
  <c r="F94" i="27" s="1" a="1"/>
  <c r="F94" i="27" s="1"/>
  <c r="Q93" i="27"/>
  <c r="P93" i="27"/>
  <c r="M93" i="27"/>
  <c r="L93" i="27"/>
  <c r="I93" i="27"/>
  <c r="C93" i="27"/>
  <c r="F93" i="27" s="1" a="1"/>
  <c r="F93" i="27" s="1"/>
  <c r="Q92" i="27"/>
  <c r="P92" i="27"/>
  <c r="M92" i="27"/>
  <c r="L92" i="27"/>
  <c r="I92" i="27"/>
  <c r="C92" i="27"/>
  <c r="D92" i="27" s="1"/>
  <c r="P91" i="27"/>
  <c r="Q91" i="27" s="1"/>
  <c r="M91" i="27"/>
  <c r="L91" i="27"/>
  <c r="I91" i="27"/>
  <c r="F91" i="27" a="1"/>
  <c r="F91" i="27" s="1"/>
  <c r="D91" i="27"/>
  <c r="C91" i="27"/>
  <c r="Q90" i="27"/>
  <c r="P90" i="27"/>
  <c r="M90" i="27"/>
  <c r="L90" i="27"/>
  <c r="I90" i="27"/>
  <c r="F90" i="27" a="1"/>
  <c r="F90" i="27" s="1"/>
  <c r="C90" i="27"/>
  <c r="D90" i="27" s="1"/>
  <c r="Q89" i="27"/>
  <c r="P89" i="27"/>
  <c r="M89" i="27"/>
  <c r="L89" i="27"/>
  <c r="I89" i="27"/>
  <c r="F89" i="27"/>
  <c r="F89" i="27" a="1"/>
  <c r="D89" i="27"/>
  <c r="C89" i="27"/>
  <c r="Q88" i="27"/>
  <c r="P88" i="27"/>
  <c r="M88" i="27"/>
  <c r="L88" i="27"/>
  <c r="I88" i="27"/>
  <c r="F88" i="27" a="1"/>
  <c r="F88" i="27" s="1"/>
  <c r="D88" i="27"/>
  <c r="C88" i="27"/>
  <c r="P87" i="27"/>
  <c r="Q87" i="27" s="1"/>
  <c r="M87" i="27"/>
  <c r="L87" i="27"/>
  <c r="I87" i="27"/>
  <c r="F87" i="27" a="1"/>
  <c r="F87" i="27" s="1"/>
  <c r="D87" i="27"/>
  <c r="C87" i="27"/>
  <c r="P86" i="27"/>
  <c r="Q86" i="27" s="1"/>
  <c r="M86" i="27"/>
  <c r="L86" i="27"/>
  <c r="I86" i="27"/>
  <c r="C86" i="27"/>
  <c r="F86" i="27" s="1" a="1"/>
  <c r="F86" i="27" s="1"/>
  <c r="P85" i="27"/>
  <c r="Q85" i="27" s="1"/>
  <c r="M85" i="27"/>
  <c r="L85" i="27"/>
  <c r="I85" i="27"/>
  <c r="C85" i="27"/>
  <c r="F85" i="27" s="1" a="1"/>
  <c r="F85" i="27" s="1"/>
  <c r="Q84" i="27"/>
  <c r="P84" i="27"/>
  <c r="M84" i="27"/>
  <c r="L84" i="27"/>
  <c r="I84" i="27"/>
  <c r="C84" i="27"/>
  <c r="D84" i="27" s="1"/>
  <c r="P83" i="27"/>
  <c r="Q83" i="27" s="1"/>
  <c r="M83" i="27"/>
  <c r="L83" i="27"/>
  <c r="I83" i="27"/>
  <c r="F83" i="27" a="1"/>
  <c r="F83" i="27" s="1"/>
  <c r="D83" i="27"/>
  <c r="C83" i="27"/>
  <c r="Q82" i="27"/>
  <c r="P82" i="27"/>
  <c r="M82" i="27"/>
  <c r="L82" i="27"/>
  <c r="I82" i="27"/>
  <c r="F82" i="27" a="1"/>
  <c r="F82" i="27" s="1"/>
  <c r="C82" i="27"/>
  <c r="D82" i="27" s="1"/>
  <c r="Q81" i="27"/>
  <c r="P81" i="27"/>
  <c r="M81" i="27"/>
  <c r="L81" i="27"/>
  <c r="I81" i="27"/>
  <c r="D81" i="27"/>
  <c r="C81" i="27"/>
  <c r="F81" i="27" s="1" a="1"/>
  <c r="F81" i="27" s="1"/>
  <c r="Q80" i="27"/>
  <c r="P80" i="27"/>
  <c r="M80" i="27"/>
  <c r="L80" i="27"/>
  <c r="I80" i="27"/>
  <c r="F80" i="27" a="1"/>
  <c r="F80" i="27" s="1"/>
  <c r="D80" i="27"/>
  <c r="C80" i="27"/>
  <c r="P79" i="27"/>
  <c r="Q79" i="27" s="1"/>
  <c r="M79" i="27"/>
  <c r="L79" i="27"/>
  <c r="I79" i="27"/>
  <c r="F79" i="27"/>
  <c r="F79" i="27" a="1"/>
  <c r="D79" i="27"/>
  <c r="C79" i="27"/>
  <c r="P78" i="27"/>
  <c r="Q78" i="27" s="1"/>
  <c r="M78" i="27"/>
  <c r="L78" i="27"/>
  <c r="I78" i="27"/>
  <c r="C78" i="27"/>
  <c r="F78" i="27" s="1" a="1"/>
  <c r="F78" i="27" s="1"/>
  <c r="P77" i="27"/>
  <c r="Q77" i="27" s="1"/>
  <c r="M77" i="27"/>
  <c r="L77" i="27"/>
  <c r="I77" i="27"/>
  <c r="C77" i="27"/>
  <c r="F77" i="27" s="1" a="1"/>
  <c r="F77" i="27" s="1"/>
  <c r="Q76" i="27"/>
  <c r="P76" i="27"/>
  <c r="M76" i="27"/>
  <c r="L76" i="27"/>
  <c r="I76" i="27"/>
  <c r="C76" i="27"/>
  <c r="D76" i="27" s="1"/>
  <c r="P75" i="27"/>
  <c r="Q75" i="27" s="1"/>
  <c r="M75" i="27"/>
  <c r="L75" i="27"/>
  <c r="I75" i="27"/>
  <c r="F75" i="27" a="1"/>
  <c r="F75" i="27" s="1"/>
  <c r="D75" i="27"/>
  <c r="C75" i="27"/>
  <c r="Q74" i="27"/>
  <c r="P74" i="27"/>
  <c r="M74" i="27"/>
  <c r="L74" i="27"/>
  <c r="I74" i="27"/>
  <c r="F74" i="27" a="1"/>
  <c r="F74" i="27" s="1"/>
  <c r="C74" i="27"/>
  <c r="D74" i="27" s="1"/>
  <c r="Q73" i="27"/>
  <c r="P73" i="27"/>
  <c r="M73" i="27"/>
  <c r="L73" i="27"/>
  <c r="I73" i="27"/>
  <c r="D73" i="27"/>
  <c r="C73" i="27"/>
  <c r="F73" i="27" s="1" a="1"/>
  <c r="F73" i="27" s="1"/>
  <c r="Q72" i="27"/>
  <c r="P72" i="27"/>
  <c r="M72" i="27"/>
  <c r="L72" i="27"/>
  <c r="I72" i="27"/>
  <c r="F72" i="27" a="1"/>
  <c r="F72" i="27" s="1"/>
  <c r="D72" i="27"/>
  <c r="C72" i="27"/>
  <c r="P71" i="27"/>
  <c r="Q71" i="27" s="1"/>
  <c r="M71" i="27"/>
  <c r="L71" i="27"/>
  <c r="I71" i="27"/>
  <c r="F71" i="27"/>
  <c r="F71" i="27" a="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F67" i="27" a="1"/>
  <c r="F67" i="27" s="1"/>
  <c r="D67" i="27"/>
  <c r="C67" i="27"/>
  <c r="Q66" i="27"/>
  <c r="P66" i="27"/>
  <c r="M66" i="27"/>
  <c r="L66" i="27"/>
  <c r="I66" i="27"/>
  <c r="F66" i="27" a="1"/>
  <c r="F66" i="27" s="1"/>
  <c r="C66" i="27"/>
  <c r="D66" i="27" s="1"/>
  <c r="Q65" i="27"/>
  <c r="P65" i="27"/>
  <c r="M65" i="27"/>
  <c r="L65" i="27"/>
  <c r="I65" i="27"/>
  <c r="D65" i="27"/>
  <c r="C65" i="27"/>
  <c r="F65" i="27" s="1" a="1"/>
  <c r="F65" i="27" s="1"/>
  <c r="Q64" i="27"/>
  <c r="P64" i="27"/>
  <c r="M64" i="27"/>
  <c r="L64" i="27"/>
  <c r="I64" i="27"/>
  <c r="F64" i="27" a="1"/>
  <c r="F64" i="27" s="1"/>
  <c r="D64" i="27"/>
  <c r="C64" i="27"/>
  <c r="P63" i="27"/>
  <c r="Q63" i="27" s="1"/>
  <c r="M63" i="27"/>
  <c r="L63" i="27"/>
  <c r="I63" i="27"/>
  <c r="F63" i="27"/>
  <c r="F63" i="27" a="1"/>
  <c r="D63" i="27"/>
  <c r="C63" i="27"/>
  <c r="P62" i="27"/>
  <c r="Q62" i="27" s="1"/>
  <c r="M62" i="27"/>
  <c r="L62" i="27"/>
  <c r="I62" i="27"/>
  <c r="C62" i="27"/>
  <c r="F62" i="27" s="1" a="1"/>
  <c r="F62" i="27" s="1"/>
  <c r="P61" i="27"/>
  <c r="Q61" i="27" s="1"/>
  <c r="M61" i="27"/>
  <c r="L61" i="27"/>
  <c r="I61" i="27"/>
  <c r="C61" i="27"/>
  <c r="F61" i="27" s="1" a="1"/>
  <c r="F61" i="27" s="1"/>
  <c r="Q60" i="27"/>
  <c r="P60" i="27"/>
  <c r="M60" i="27"/>
  <c r="L60" i="27"/>
  <c r="I60" i="27"/>
  <c r="C60" i="27"/>
  <c r="F60" i="27" s="1" a="1"/>
  <c r="F60" i="27" s="1"/>
  <c r="P59" i="27"/>
  <c r="Q59" i="27" s="1"/>
  <c r="M59" i="27"/>
  <c r="L59" i="27"/>
  <c r="I59" i="27"/>
  <c r="F59" i="27" a="1"/>
  <c r="F59" i="27" s="1"/>
  <c r="D59" i="27"/>
  <c r="C59" i="27"/>
  <c r="Q58" i="27"/>
  <c r="P58" i="27"/>
  <c r="M58" i="27"/>
  <c r="L58" i="27"/>
  <c r="I58" i="27"/>
  <c r="F58" i="27" a="1"/>
  <c r="F58" i="27" s="1"/>
  <c r="C58" i="27"/>
  <c r="D58" i="27" s="1"/>
  <c r="Q57" i="27"/>
  <c r="P57" i="27"/>
  <c r="M57" i="27"/>
  <c r="L57" i="27"/>
  <c r="I57" i="27"/>
  <c r="D57" i="27"/>
  <c r="C57" i="27"/>
  <c r="F57" i="27" s="1" a="1"/>
  <c r="F57" i="27" s="1"/>
  <c r="Q56" i="27"/>
  <c r="P56" i="27"/>
  <c r="M56" i="27"/>
  <c r="L56" i="27"/>
  <c r="I56" i="27"/>
  <c r="F56" i="27" a="1"/>
  <c r="F56" i="27" s="1"/>
  <c r="D56" i="27"/>
  <c r="C56" i="27"/>
  <c r="P55" i="27"/>
  <c r="Q55" i="27" s="1"/>
  <c r="M55" i="27"/>
  <c r="L55" i="27"/>
  <c r="I55" i="27"/>
  <c r="F55" i="27"/>
  <c r="F55" i="27" a="1"/>
  <c r="D55" i="27"/>
  <c r="C55" i="27"/>
  <c r="P54" i="27"/>
  <c r="Q54" i="27" s="1"/>
  <c r="M54" i="27"/>
  <c r="L54" i="27"/>
  <c r="I54" i="27"/>
  <c r="C54" i="27"/>
  <c r="F54" i="27" s="1" a="1"/>
  <c r="F54" i="27" s="1"/>
  <c r="P53" i="27"/>
  <c r="Q53" i="27" s="1"/>
  <c r="M53" i="27"/>
  <c r="L53" i="27"/>
  <c r="I53" i="27"/>
  <c r="C53" i="27"/>
  <c r="F53" i="27" s="1" a="1"/>
  <c r="F53" i="27" s="1"/>
  <c r="Q52" i="27"/>
  <c r="P52" i="27"/>
  <c r="M52" i="27"/>
  <c r="L52" i="27"/>
  <c r="I52" i="27"/>
  <c r="C52" i="27"/>
  <c r="D52" i="27" s="1"/>
  <c r="P51" i="27"/>
  <c r="Q51" i="27" s="1"/>
  <c r="M51" i="27"/>
  <c r="L51" i="27"/>
  <c r="I51" i="27"/>
  <c r="F51" i="27" a="1"/>
  <c r="F51" i="27" s="1"/>
  <c r="D51" i="27"/>
  <c r="C51" i="27"/>
  <c r="Q50" i="27"/>
  <c r="P50" i="27"/>
  <c r="M50" i="27"/>
  <c r="L50" i="27"/>
  <c r="I50" i="27"/>
  <c r="F50" i="27" a="1"/>
  <c r="F50" i="27" s="1"/>
  <c r="C50" i="27"/>
  <c r="D50" i="27" s="1"/>
  <c r="Q49" i="27"/>
  <c r="P49" i="27"/>
  <c r="M49" i="27"/>
  <c r="L49" i="27"/>
  <c r="I49" i="27"/>
  <c r="C49" i="27"/>
  <c r="F49" i="27" s="1" a="1"/>
  <c r="F49" i="27" s="1"/>
  <c r="Q48" i="27"/>
  <c r="P48" i="27"/>
  <c r="M48" i="27"/>
  <c r="L48" i="27"/>
  <c r="I48" i="27"/>
  <c r="F48" i="27" a="1"/>
  <c r="F48" i="27" s="1"/>
  <c r="D48" i="27"/>
  <c r="C48" i="27"/>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Q44" i="27"/>
  <c r="P44" i="27"/>
  <c r="M44" i="27"/>
  <c r="L44" i="27"/>
  <c r="I44" i="27"/>
  <c r="C44" i="27"/>
  <c r="F44" i="27" s="1" a="1"/>
  <c r="F44" i="27" s="1"/>
  <c r="P43" i="27"/>
  <c r="Q43" i="27" s="1"/>
  <c r="M43" i="27"/>
  <c r="L43" i="27"/>
  <c r="I43" i="27"/>
  <c r="F43" i="27" a="1"/>
  <c r="F43" i="27" s="1"/>
  <c r="D43" i="27"/>
  <c r="C43" i="27"/>
  <c r="P42" i="27"/>
  <c r="Q42" i="27" s="1"/>
  <c r="M42" i="27"/>
  <c r="L42" i="27"/>
  <c r="I42" i="27"/>
  <c r="F42" i="27" a="1"/>
  <c r="F42" i="27" s="1"/>
  <c r="C42" i="27"/>
  <c r="D42" i="27" s="1"/>
  <c r="Q41" i="27"/>
  <c r="P41" i="27"/>
  <c r="M41" i="27"/>
  <c r="L41" i="27"/>
  <c r="I41" i="27"/>
  <c r="C41" i="27"/>
  <c r="F41" i="27" s="1" a="1"/>
  <c r="F41" i="27" s="1"/>
  <c r="Q40" i="27"/>
  <c r="P40" i="27"/>
  <c r="M40" i="27"/>
  <c r="L40" i="27"/>
  <c r="I40" i="27"/>
  <c r="F40" i="27" a="1"/>
  <c r="F40" i="27" s="1"/>
  <c r="D40" i="27"/>
  <c r="C40" i="27"/>
  <c r="P39" i="27"/>
  <c r="Q39" i="27" s="1"/>
  <c r="M39" i="27"/>
  <c r="L39" i="27"/>
  <c r="I39" i="27"/>
  <c r="F39" i="27" a="1"/>
  <c r="F39" i="27" s="1"/>
  <c r="D39" i="27"/>
  <c r="C39" i="27"/>
  <c r="P38" i="27"/>
  <c r="Q38" i="27" s="1"/>
  <c r="M38" i="27"/>
  <c r="L38" i="27"/>
  <c r="I38" i="27"/>
  <c r="C38" i="27"/>
  <c r="F38" i="27" s="1" a="1"/>
  <c r="F38" i="27" s="1"/>
  <c r="P37" i="27"/>
  <c r="Q37" i="27" s="1"/>
  <c r="M37" i="27"/>
  <c r="L37" i="27"/>
  <c r="I37" i="27"/>
  <c r="C37" i="27"/>
  <c r="F37" i="27" s="1" a="1"/>
  <c r="F37" i="27" s="1"/>
  <c r="Q36" i="27"/>
  <c r="P36" i="27"/>
  <c r="M36" i="27"/>
  <c r="L36" i="27"/>
  <c r="I36" i="27"/>
  <c r="C36" i="27"/>
  <c r="F36" i="27" s="1" a="1"/>
  <c r="F36" i="27" s="1"/>
  <c r="P35" i="27"/>
  <c r="Q35" i="27" s="1"/>
  <c r="M35" i="27"/>
  <c r="L35" i="27"/>
  <c r="I35" i="27"/>
  <c r="F35" i="27" a="1"/>
  <c r="F35" i="27" s="1"/>
  <c r="D35" i="27"/>
  <c r="C35" i="27"/>
  <c r="P34" i="27"/>
  <c r="Q34" i="27" s="1"/>
  <c r="M34" i="27"/>
  <c r="L34" i="27"/>
  <c r="I34" i="27"/>
  <c r="F34" i="27" a="1"/>
  <c r="F34" i="27" s="1"/>
  <c r="C34" i="27"/>
  <c r="D34" i="27" s="1"/>
  <c r="Q33" i="27"/>
  <c r="P33" i="27"/>
  <c r="M33" i="27"/>
  <c r="L33" i="27"/>
  <c r="I33" i="27"/>
  <c r="C33" i="27"/>
  <c r="F33" i="27" s="1" a="1"/>
  <c r="F33" i="27" s="1"/>
  <c r="Q32" i="27"/>
  <c r="P32" i="27"/>
  <c r="M32" i="27"/>
  <c r="L32" i="27"/>
  <c r="I32" i="27"/>
  <c r="F32" i="27" a="1"/>
  <c r="F32" i="27" s="1"/>
  <c r="D32" i="27"/>
  <c r="C32" i="27"/>
  <c r="P31" i="27"/>
  <c r="Q31" i="27" s="1"/>
  <c r="M31" i="27"/>
  <c r="L31" i="27"/>
  <c r="I31" i="27"/>
  <c r="F31" i="27" a="1"/>
  <c r="F31" i="27" s="1"/>
  <c r="D31" i="27"/>
  <c r="C31" i="27"/>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F26" i="27" a="1"/>
  <c r="F26" i="27" s="1"/>
  <c r="C26" i="27"/>
  <c r="D26" i="27" s="1"/>
  <c r="Q25" i="27"/>
  <c r="P25" i="27"/>
  <c r="M25" i="27"/>
  <c r="L25" i="27"/>
  <c r="I25" i="27"/>
  <c r="C25" i="27"/>
  <c r="F25" i="27" s="1" a="1"/>
  <c r="F25" i="27" s="1"/>
  <c r="Q24" i="27"/>
  <c r="P24" i="27"/>
  <c r="M24" i="27"/>
  <c r="L24" i="27"/>
  <c r="I24" i="27"/>
  <c r="F24" i="27" a="1"/>
  <c r="F24" i="27" s="1"/>
  <c r="D24" i="27"/>
  <c r="C24" i="27"/>
  <c r="P23" i="27"/>
  <c r="Q23" i="27" s="1"/>
  <c r="M23" i="27"/>
  <c r="L23" i="27"/>
  <c r="I23" i="27"/>
  <c r="F23" i="27" a="1"/>
  <c r="F23" i="27" s="1"/>
  <c r="D23" i="27"/>
  <c r="C23" i="27"/>
  <c r="P22" i="27"/>
  <c r="Q22" i="27" s="1"/>
  <c r="M22" i="27"/>
  <c r="L22" i="27"/>
  <c r="I22" i="27"/>
  <c r="C22" i="27"/>
  <c r="F22" i="27" s="1" a="1"/>
  <c r="F22" i="27" s="1"/>
  <c r="P21" i="27"/>
  <c r="Q21" i="27" s="1"/>
  <c r="M21" i="27"/>
  <c r="L21" i="27"/>
  <c r="I21" i="27"/>
  <c r="C21" i="27"/>
  <c r="D21" i="27" s="1"/>
  <c r="Q20" i="27"/>
  <c r="P20" i="27"/>
  <c r="M20" i="27"/>
  <c r="L20" i="27"/>
  <c r="I20" i="27"/>
  <c r="C20" i="27"/>
  <c r="D20" i="27" s="1"/>
  <c r="P19" i="27"/>
  <c r="Q19" i="27" s="1"/>
  <c r="M19" i="27"/>
  <c r="L19" i="27"/>
  <c r="I19" i="27"/>
  <c r="F19" i="27" a="1"/>
  <c r="F19" i="27" s="1"/>
  <c r="D19" i="27"/>
  <c r="C19" i="27"/>
  <c r="P18" i="27"/>
  <c r="Q18" i="27" s="1"/>
  <c r="M18" i="27"/>
  <c r="L18" i="27"/>
  <c r="I18" i="27"/>
  <c r="F18" i="27" a="1"/>
  <c r="F18" i="27" s="1"/>
  <c r="C18" i="27"/>
  <c r="D18" i="27" s="1"/>
  <c r="Q17" i="27"/>
  <c r="P17" i="27"/>
  <c r="M17" i="27"/>
  <c r="L17" i="27"/>
  <c r="I17" i="27"/>
  <c r="C17" i="27"/>
  <c r="F17" i="27" s="1" a="1"/>
  <c r="F17" i="27" s="1"/>
  <c r="Q16" i="27"/>
  <c r="P16" i="27"/>
  <c r="M16" i="27"/>
  <c r="L16" i="27"/>
  <c r="I16" i="27"/>
  <c r="F16" i="27" a="1"/>
  <c r="F16" i="27" s="1"/>
  <c r="D16" i="27"/>
  <c r="C16" i="27"/>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Q12" i="27"/>
  <c r="P12" i="27"/>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37" i="37" l="1"/>
  <c r="D44" i="37"/>
  <c r="F54" i="37" a="1"/>
  <c r="F54" i="37" s="1"/>
  <c r="D57" i="37"/>
  <c r="D61" i="37"/>
  <c r="D39" i="37"/>
  <c r="D42" i="37"/>
  <c r="D50" i="37"/>
  <c r="D71" i="37"/>
  <c r="F94" i="37" a="1"/>
  <c r="F94" i="37" s="1"/>
  <c r="D49" i="37"/>
  <c r="D87" i="37"/>
  <c r="F78" i="37" a="1"/>
  <c r="F78" i="37" s="1"/>
  <c r="D33" i="37"/>
  <c r="F46" i="37" a="1"/>
  <c r="F46" i="37" s="1"/>
  <c r="D53" i="37"/>
  <c r="F30" i="37" a="1"/>
  <c r="F30" i="37" s="1"/>
  <c r="D73" i="37"/>
  <c r="D89" i="37"/>
  <c r="D93" i="37"/>
  <c r="F76" i="37" a="1"/>
  <c r="F76" i="37" s="1"/>
  <c r="D82" i="37"/>
  <c r="D45" i="37"/>
  <c r="D47" i="37"/>
  <c r="F52" i="37" a="1"/>
  <c r="F52" i="37" s="1"/>
  <c r="D58" i="37"/>
  <c r="D69" i="37"/>
  <c r="F70" i="37" a="1"/>
  <c r="F70" i="37" s="1"/>
  <c r="D81" i="37"/>
  <c r="D31" i="37"/>
  <c r="D36" i="37"/>
  <c r="F38" i="37" a="1"/>
  <c r="F38" i="37" s="1"/>
  <c r="D63" i="37"/>
  <c r="F68" i="37" a="1"/>
  <c r="F68" i="37" s="1"/>
  <c r="D74" i="37"/>
  <c r="D85" i="37"/>
  <c r="F86" i="37" a="1"/>
  <c r="F86" i="37" s="1"/>
  <c r="D79" i="37"/>
  <c r="F84" i="37" a="1"/>
  <c r="F84" i="37" s="1"/>
  <c r="D90" i="37"/>
  <c r="D34" i="37"/>
  <c r="D41" i="37"/>
  <c r="D55" i="37"/>
  <c r="F60" i="37" a="1"/>
  <c r="F60" i="37" s="1"/>
  <c r="D66" i="37"/>
  <c r="D77" i="37"/>
  <c r="D95" i="37"/>
  <c r="D32" i="37"/>
  <c r="D40" i="37"/>
  <c r="D48" i="37"/>
  <c r="D56" i="37"/>
  <c r="D64" i="37"/>
  <c r="D72" i="37"/>
  <c r="D80" i="37"/>
  <c r="D88" i="37"/>
  <c r="D35" i="37"/>
  <c r="D43" i="37"/>
  <c r="D51" i="37"/>
  <c r="D59" i="37"/>
  <c r="D67" i="37"/>
  <c r="D75" i="37"/>
  <c r="D83" i="37"/>
  <c r="D91"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<sst xmlns="http://schemas.openxmlformats.org/spreadsheetml/2006/main" count="1357" uniqueCount="366">
  <si>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</si>
  <si>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</si>
  <si>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</si>
  <si>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</si>
  <si>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</si>
  <si>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</si>
  <si>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</si>
  <si>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</si>
  <si>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</si>
  <si>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</si>
  <si>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</si>
  <si>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</si>
  <si>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</si>
  <si>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</si>
  <si>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</si>
  <si>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</si>
  <si>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</si>
  <si>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</si>
  <si>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</si>
  <si>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</si>
  <si>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</si>
  <si>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</si>
  <si>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</si>
  <si>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</si>
  <si>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</si>
  <si>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</si>
  <si>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</si>
  <si>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</si>
  <si>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</si>
  <si>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</si>
  <si>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</si>
  <si>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</si>
  <si>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</si>
  <si>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</si>
  <si>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</si>
  <si>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</si>
  <si>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</si>
  <si>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</si>
  <si>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</si>
  <si>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</si>
  <si>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</si>
  <si>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</si>
  <si>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</si>
  <si>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</si>
  <si>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</si>
  <si>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</si>
  <si>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</si>
  <si>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</si>
  <si>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</si>
  <si>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</si>
  <si>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</si>
  <si>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</si>
  <si>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</si>
  <si>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</si>
  <si>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</si>
  <si>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</si>
  <si>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</si>
  <si>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</si>
  <si>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</si>
  <si>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</si>
  <si>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</si>
  <si>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</si>
  <si>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</si>
  <si>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</si>
  <si>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</si>
  <si>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</si>
  <si>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</si>
  <si>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</si>
  <si>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</si>
  <si>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</si>
  <si>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</si>
  <si>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</si>
  <si>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</si>
  <si>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</si>
  <si>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</si>
  <si>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</si>
  <si>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</si>
  <si>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</si>
  <si>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</si>
  <si>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</si>
  <si>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</si>
  <si>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</si>
  <si>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</si>
  <si>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</si>
  <si>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</si>
  <si>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</si>
  <si>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</si>
  <si>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</si>
  <si>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</si>
  <si>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</si>
  <si>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</si>
  <si>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</si>
  <si>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</si>
  <si>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</si>
  <si>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</si>
  <si>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</si>
  <si>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</si>
  <si>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</si>
  <si>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</si>
  <si>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</si>
  <si>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</si>
  <si>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</si>
  <si>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</si>
  <si>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</si>
  <si>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</si>
  <si>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</si>
  <si>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</si>
  <si>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</si>
  <si>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</si>
  <si>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</si>
  <si>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</si>
  <si>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</si>
  <si>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</si>
  <si>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</si>
  <si>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</si>
  <si>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</si>
  <si>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</si>
  <si>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</si>
  <si>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</si>
  <si>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</si>
  <si>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</si>
  <si>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</si>
  <si>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</si>
  <si>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</si>
  <si>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</si>
  <si>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</si>
  <si>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</si>
  <si>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</si>
  <si>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</si>
  <si>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</si>
  <si>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</si>
  <si>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</si>
  <si>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</si>
  <si>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</si>
  <si>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</si>
  <si>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</si>
  <si>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</si>
  <si>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</si>
  <si>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</si>
  <si>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</si>
  <si>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</si>
  <si>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</si>
  <si>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</si>
  <si>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</si>
  <si>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</si>
  <si>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</si>
  <si>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</si>
  <si>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</si>
  <si>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</si>
  <si>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</si>
  <si>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</si>
  <si>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</si>
  <si>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</si>
  <si>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</si>
  <si>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</si>
  <si>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</si>
  <si>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</si>
  <si>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</si>
  <si>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</si>
  <si>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</si>
  <si>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</si>
  <si>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</si>
  <si>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</si>
  <si>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</si>
  <si>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</si>
  <si>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</si>
  <si>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</si>
  <si>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</si>
  <si>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</si>
  <si>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</si>
  <si>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</si>
  <si>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</si>
  <si>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</si>
  <si>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</si>
  <si>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</si>
  <si>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</si>
  <si>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</si>
  <si>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</si>
  <si>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</si>
  <si>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</si>
  <si>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</si>
  <si>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</si>
  <si>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</si>
  <si>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</si>
  <si>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</si>
  <si>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</si>
  <si>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</si>
  <si>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</si>
  <si>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</si>
  <si>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</si>
  <si>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</si>
  <si>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</si>
  <si>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</si>
  <si>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</si>
  <si>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</si>
  <si>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</si>
  <si>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</si>
  <si>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</si>
  <si>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</si>
  <si>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</si>
  <si>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</si>
  <si>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</si>
  <si>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</si>
  <si>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</si>
  <si>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</si>
  <si>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</si>
  <si>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</si>
  <si>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</si>
  <si>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</si>
  <si>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</si>
  <si>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</si>
  <si>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</si>
  <si>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</si>
  <si>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</si>
  <si>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</si>
  <si>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</si>
  <si>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</si>
  <si>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</si>
  <si>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</si>
  <si>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</si>
  <si>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</si>
  <si>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</si>
  <si>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</si>
  <si>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</si>
  <si>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</si>
  <si>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</si>
  <si>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</si>
  <si>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</si>
  <si>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</si>
  <si>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</si>
  <si>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</si>
  <si>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</si>
  <si>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</si>
  <si>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</si>
  <si>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</si>
  <si>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</si>
  <si>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</si>
  <si>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</si>
  <si>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</si>
  <si>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</si>
  <si>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</si>
  <si>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</si>
  <si>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</si>
  <si>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</si>
  <si>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</si>
  <si>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</si>
  <si>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</si>
  <si>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</si>
  <si>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</si>
  <si>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</si>
  <si>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</si>
  <si>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</si>
  <si>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</si>
  <si>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</si>
  <si>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</si>
  <si>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</si>
  <si>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</si>
  <si>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</si>
  <si>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</si>
  <si>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</si>
  <si>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</si>
  <si>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</si>
  <si>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</si>
  <si>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</si>
  <si>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</si>
  <si>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</si>
  <si>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</si>
  <si>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</si>
  <si>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</si>
  <si>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</si>
  <si>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</si>
  <si>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</si>
  <si>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</si>
  <si>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</si>
  <si>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</si>
  <si>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</si>
  <si>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</si>
  <si>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</si>
  <si>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</si>
  <si>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</si>
  <si>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</si>
  <si>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</si>
  <si>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</si>
  <si>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</si>
  <si>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</si>
  <si>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</si>
  <si>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</si>
  <si>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</si>
  <si>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</si>
  <si>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</si>
  <si>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</si>
  <si>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</si>
  <si>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</si>
  <si>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</si>
  <si>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</si>
  <si>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</si>
  <si>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</si>
  <si>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</si>
  <si>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</si>
  <si>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</si>
  <si>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</si>
  <si>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</si>
  <si>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</si>
  <si>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</si>
  <si>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</si>
  <si>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</si>
  <si>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</si>
  <si>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</si>
  <si>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</si>
  <si>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</si>
  <si>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</si>
  <si>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</si>
  <si>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</si>
  <si>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</si>
  <si>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</si>
  <si>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</si>
  <si>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</si>
  <si>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</si>
  <si>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</si>
  <si>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</si>
  <si>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</si>
  <si>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</si>
  <si>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</si>
  <si>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</si>
  <si>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</si>
  <si>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</si>
  <si>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</si>
  <si>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</si>
  <si>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</si>
  <si>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</si>
  <si>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</si>
  <si>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</si>
  <si>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</si>
  <si>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</si>
  <si>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</si>
  <si>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</si>
  <si>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</si>
  <si>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</si>
  <si>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</si>
  <si>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</si>
  <si>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</si>
  <si>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</si>
  <si>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</si>
  <si>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</si>
  <si>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</si>
  <si>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</si>
  <si>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</si>
  <si>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</si>
  <si>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</si>
  <si>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</si>
  <si>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</si>
  <si>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</si>
  <si>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</si>
  <si>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</si>
  <si>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</si>
  <si>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</si>
  <si>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</si>
  <si>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</si>
  <si>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</si>
  <si>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</si>
  <si>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</si>
  <si>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</si>
  <si>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</si>
  <si>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Fuel production</t>
  </si>
  <si>
    <t>Distribution loss</t>
  </si>
  <si>
    <t>CO2 emissions from the use of Na2CO3.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</si>
</sst>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8" formatCode="_(* #,##0.0000_);_(* \(#,##0.0000\);_(* &quot;-&quot;??_);_(@_)"/>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2">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7" fontId="0" fillId="0" borderId="0" xfId="0" applyNumberFormat="1"/>
    <xf numFmtId="169" fontId="0" fillId="0" borderId="2" xfId="1" applyNumberFormat="1" applyFont="1" applyBorder="1"/>
    <xf numFmtId="0" fontId="5" fillId="0" borderId="0" xfId="0" applyFont="1"/>
    <xf numFmtId="165" fontId="0" fillId="0" borderId="2" xfId="1" applyNumberFormat="1" applyFont="1" applyFill="1" applyBorder="1"/>
    <xf numFmtId="168" fontId="0" fillId="0" borderId="2" xfId="1" applyNumberFormat="1" applyFont="1" applyFill="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iochemical%20conversion%20via%20Acids_fuel%20distribution%20test_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Template"/>
      <sheetName val="SI - Payload"/>
      <sheetName val="SI - Resources"/>
      <sheetName val="SI - End Use"/>
      <sheetName val="SI - Units"/>
      <sheetName val="SI - Co-products"/>
      <sheetName val="Harvest and collection"/>
      <sheetName val="Field storage"/>
      <sheetName val="Transportation to depot"/>
      <sheetName val="Depot storage"/>
      <sheetName val="Preprocessing"/>
      <sheetName val="Handling"/>
      <sheetName val="Transportation to biorefinery"/>
      <sheetName val="Blending"/>
      <sheetName val="Fuel production"/>
      <sheetName val="Fuel distribution"/>
      <sheetName val="INL Data"/>
    </sheetNames>
    <sheetDataSet>
      <sheetData sheetId="0"/>
      <sheetData sheetId="1"/>
      <sheetData sheetId="2">
        <row r="10">
          <cell r="A10" t="str">
            <v>Corn Stover</v>
          </cell>
          <cell r="B10">
            <v>15</v>
          </cell>
        </row>
        <row r="11">
          <cell r="A11" t="str">
            <v>Algae</v>
          </cell>
          <cell r="B11">
            <v>25</v>
          </cell>
        </row>
        <row r="12">
          <cell r="A12" t="str">
            <v>Diesel</v>
          </cell>
          <cell r="B12">
            <v>25</v>
          </cell>
        </row>
        <row r="13">
          <cell r="A13" t="str">
            <v>Hydrogen</v>
          </cell>
          <cell r="B13">
            <v>0.4</v>
          </cell>
        </row>
        <row r="14">
          <cell r="A14" t="str">
            <v>Renewable Diesel</v>
          </cell>
          <cell r="B14">
            <v>25</v>
          </cell>
        </row>
        <row r="15">
          <cell r="A15" t="str">
            <v>Renewable Diesel - Bichem (BDO)</v>
          </cell>
          <cell r="B15">
            <v>25</v>
          </cell>
        </row>
        <row r="16">
          <cell r="A16" t="str">
            <v>Renewable Diesel - Biochem (Acids)</v>
          </cell>
          <cell r="B16">
            <v>25</v>
          </cell>
        </row>
        <row r="17">
          <cell r="A17" t="str">
            <v>Renewable Diesel - Algae (BDO)</v>
          </cell>
          <cell r="B17">
            <v>0</v>
          </cell>
        </row>
        <row r="18">
          <cell r="A18" t="str">
            <v>Renewable Diesel - Algae (Acids)</v>
          </cell>
          <cell r="B18">
            <v>0</v>
          </cell>
        </row>
        <row r="19">
          <cell r="A19" t="str">
            <v>Caustic</v>
          </cell>
          <cell r="B19">
            <v>22.5</v>
          </cell>
        </row>
        <row r="20">
          <cell r="A20" t="str">
            <v>Ammonia</v>
          </cell>
          <cell r="B20">
            <v>22.5</v>
          </cell>
        </row>
        <row r="21">
          <cell r="A21" t="str">
            <v>Corn Steep Liquor</v>
          </cell>
          <cell r="B21">
            <v>22.5</v>
          </cell>
        </row>
        <row r="22">
          <cell r="A22" t="str">
            <v>Diammonium Phosphate</v>
          </cell>
          <cell r="B22">
            <v>22.5</v>
          </cell>
        </row>
        <row r="23">
          <cell r="A23" t="str">
            <v>Corn oil</v>
          </cell>
          <cell r="B23">
            <v>22.5</v>
          </cell>
        </row>
        <row r="24">
          <cell r="A24" t="str">
            <v>Flocculant</v>
          </cell>
          <cell r="B24">
            <v>22.5</v>
          </cell>
        </row>
        <row r="25">
          <cell r="A25" t="str">
            <v>Glucose</v>
          </cell>
          <cell r="B25">
            <v>22.5</v>
          </cell>
        </row>
        <row r="26">
          <cell r="A26" t="str">
            <v>Host Nutrients</v>
          </cell>
          <cell r="B26">
            <v>22.5</v>
          </cell>
        </row>
        <row r="27">
          <cell r="A27" t="str">
            <v>Sulfuric Acid</v>
          </cell>
          <cell r="B27">
            <v>22.5</v>
          </cell>
        </row>
        <row r="28">
          <cell r="A28" t="str">
            <v>Sulfur Dioxide</v>
          </cell>
          <cell r="B28">
            <v>22.5</v>
          </cell>
        </row>
        <row r="29">
          <cell r="A29" t="str">
            <v>Boiler Chemicals</v>
          </cell>
          <cell r="B29">
            <v>22.5</v>
          </cell>
        </row>
        <row r="30">
          <cell r="A30" t="str">
            <v>FGD Lime</v>
          </cell>
          <cell r="B30">
            <v>22.5</v>
          </cell>
        </row>
        <row r="31">
          <cell r="A31" t="str">
            <v>Cooling Tower Chemicals</v>
          </cell>
          <cell r="B31">
            <v>22.5</v>
          </cell>
        </row>
        <row r="32">
          <cell r="A32" t="str">
            <v>Sodium carbonate</v>
          </cell>
          <cell r="B32">
            <v>22.5</v>
          </cell>
        </row>
        <row r="33">
          <cell r="A33" t="str">
            <v>Sodium sulfate salt</v>
          </cell>
          <cell r="B33">
            <v>22.5</v>
          </cell>
        </row>
        <row r="34">
          <cell r="A34" t="str">
            <v>Sulfur Dioxide</v>
          </cell>
          <cell r="B34">
            <v>22.5</v>
          </cell>
        </row>
        <row r="35">
          <cell r="A35" t="str">
            <v>Host nutrients</v>
          </cell>
          <cell r="B35">
            <v>22.5</v>
          </cell>
        </row>
        <row r="36">
          <cell r="A36" t="str">
            <v>Boiler Chemicals</v>
          </cell>
          <cell r="B36">
            <v>22.5</v>
          </cell>
        </row>
        <row r="37">
          <cell r="A37" t="str">
            <v>Cooling Tower Chemicals</v>
          </cell>
          <cell r="B37">
            <v>22.5</v>
          </cell>
        </row>
        <row r="38">
          <cell r="A38" t="str">
            <v>Biocrude</v>
          </cell>
          <cell r="B38">
            <v>23</v>
          </cell>
        </row>
        <row r="39">
          <cell r="A39" t="str">
            <v>Solids from Aqueous Treatment</v>
          </cell>
          <cell r="B39">
            <v>23</v>
          </cell>
        </row>
        <row r="40">
          <cell r="A40" t="str">
            <v>Betaketoadipate</v>
          </cell>
          <cell r="B40">
            <v>22.5</v>
          </cell>
        </row>
      </sheetData>
      <sheetData sheetId="3"/>
      <sheetData sheetId="4">
        <row r="2">
          <cell r="B2" t="str">
            <v>Diesel</v>
          </cell>
          <cell r="C2" t="str">
            <v>Industrial Boiler</v>
          </cell>
        </row>
        <row r="3">
          <cell r="B3" t="str">
            <v>Natural Gas</v>
          </cell>
          <cell r="C3" t="str">
            <v>Utility/ Industrial Boiler (&gt;100 mmBtu/hr input)</v>
          </cell>
        </row>
        <row r="4">
          <cell r="B4" t="str">
            <v>Renewable Diesel</v>
          </cell>
          <cell r="C4" t="str">
            <v>Fuel Distribution and Vehicle Operation</v>
          </cell>
        </row>
        <row r="5">
          <cell r="B5" t="str">
            <v>Electricity</v>
          </cell>
          <cell r="C5" t="str">
            <v>U.S. Mix</v>
          </cell>
        </row>
        <row r="6">
          <cell r="B6"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Payload'!$A$10:$A$38,'SI - Payload'!$B$10:$B$38,"",0),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Payload'!$A$10:$A$38,'SI - Payload'!$B$10:$B$38,"",0),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Payload'!$A$10:$A$38,'SI - Payload'!$B$10:$B$38,"",0),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Payload'!$A$10:$A$38,'SI - Payload'!$B$10:$B$38,"",0),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Payload'!$A$10:$A$38,'SI - Payload'!$B$10:$B$38,"",0),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Payload'!$A$10:$A$38,'SI - Payload'!$B$10:$B$38,"",0),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Payload'!$A$10:$A$38,'SI - Payload'!$B$10:$B$38,"",0),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Payload'!$A$10:$A$38,'SI - Payload'!$B$10:$B$38,"",0),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Payload'!$A$10:$A$38,'SI - Payload'!$B$10:$B$38,"",0),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95" totalsRowShown="0" headerRowDxfId="45" dataDxfId="44" tableBorderDxfId="43" dataCellStyle="Percent">
  <autoFilter ref="A5:T95"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Payload'!$A$10:$A$38,'SI - Payload'!$B$10:$B$38,"",0),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7F9C83-08E3-404A-91CE-444A519BE721}" name="Table13" displayName="Table13" ref="A5:T100" totalsRowShown="0" headerRowDxfId="22" dataDxfId="21" tableBorderDxfId="20" dataCellStyle="Percent">
  <autoFilter ref="A5:T100" xr:uid="{1644AED8-49DE-4A1D-989C-1566C9A522B9}"/>
  <tableColumns count="20">
    <tableColumn id="1" xr3:uid="{11BD221C-2B7F-47D1-BDF2-F9F0C83782CD}" name="Type" dataDxfId="19"/>
    <tableColumn id="2" xr3:uid="{6DD721AC-74C4-4EEB-86D5-9B7FDE0C39ED}" name="Category" dataDxfId="18"/>
    <tableColumn id="3" xr3:uid="{70ABE30C-C467-4FBF-AF54-2C9EE7E26BF7}" name="Resource" dataDxfId="17">
      <calculatedColumnFormula>_xlfn.XLOOKUP($B6,'SI - Resources'!$A$1:$J$1,'SI - Resources'!$A$2:$J$2, "")</calculatedColumnFormula>
    </tableColumn>
    <tableColumn id="4" xr3:uid="{B08C1B29-2EBB-44BB-9363-4A7106D8230A}" name="End Use" dataDxfId="16">
      <calculatedColumnFormula>IF(_xlfn.XLOOKUP($C6,'SI - End Use'!$B$2:$B$6,'SI - End Use'!$C$2:$C$6, "")="", "", _xlfn.XLOOKUP($C6,'SI - End Use'!$B$2:$B$6,'SI - End Use'!$C$2:$C$6, ""))</calculatedColumnFormula>
    </tableColumn>
    <tableColumn id="5" xr3:uid="{E67ECA5C-7522-4035-B304-5201B834E1D2}" name="Amount" dataDxfId="15" dataCellStyle="Comma"/>
    <tableColumn id="6" xr3:uid="{E6773651-36A3-42FC-A799-ECFD77B071E9}" name="Unit" dataDxfId="14">
      <calculatedColumnFormula array="1">IF($B6="Transportation",  'SI - Units'!$B$9:$B$9, _xlfn.XLOOKUP(_xlfn.XLOOKUP($C6,'SI - Units'!$B$24:$B$109,'SI - Units'!$C$24:$C$109, ""),'SI - Units'!$A$2:$A$8,'SI - Units'!$B$2:$B$8, ""))</calculatedColumnFormula>
    </tableColumn>
    <tableColumn id="7" xr3:uid="{D555DB88-1844-4771-A44A-6FEA17940864}" name="Moisture" dataDxfId="13" dataCellStyle="Percent"/>
    <tableColumn id="8" xr3:uid="{A7A4A054-8514-4D71-8A73-87A840B47C26}" name="Previous Stage" dataDxfId="12" dataCellStyle="Percent"/>
    <tableColumn id="9" xr3:uid="{806A9179-8F0D-4388-A1DF-038BC1A33ABA}" name="Always Use Displacement Method for Co-Product?" dataDxfId="11" dataCellStyle="Percent">
      <calculatedColumnFormula>IF([2]!Table13[[#This Row],[Type]]="Co-product", "No", "")</calculatedColumnFormula>
    </tableColumn>
    <tableColumn id="19" xr3:uid="{DA690C1D-8C63-47E5-B3E8-BAD5464D1ACE}" name="Urban Share" dataDxfId="10" dataCellStyle="Percent"/>
    <tableColumn id="10" xr3:uid="{22D8BB78-57ED-46B9-A736-1D9587D3857B}" name="Product Train" dataDxfId="9"/>
    <tableColumn id="14" xr3:uid="{84B764E6-47AA-45B0-A177-4C43273EC7D0}" name="Payload" dataDxfId="8">
      <calculatedColumnFormula>IF([2]!Table13[[#This Row],[Category]]="Transportation", _xlfn.XLOOKUP([2]!Table13[[#This Row],[Resource]], '[2]SI - Payload'!$A$10:$A$40,'[2]SI - Payload'!$B$10:$B$40,"",0), "")</calculatedColumnFormula>
    </tableColumn>
    <tableColumn id="15" xr3:uid="{DFFDAC1F-05CD-4B90-843F-0D3B5C945CCA}" name="Payload Unit" dataDxfId="7">
      <calculatedColumnFormula>IF([2]!Table13[[#This Row],[Category]]="Transportation", "ton", "")</calculatedColumnFormula>
    </tableColumn>
    <tableColumn id="16" xr3:uid="{2F67B002-8ECD-4CDD-A2D2-D243BAA16E35}" name="Market Price" dataDxfId="6"/>
    <tableColumn id="17" xr3:uid="{B83F7D56-9C8D-4FEA-84D5-BBA3A6EDEC91}" name="Market Price Unit" dataDxfId="5"/>
    <tableColumn id="12" xr3:uid="{7DBE30CA-1AB3-4CED-B03A-8207025D065C}" name="Incumbent Product" dataDxfId="4">
      <calculatedColumnFormula>IF(OR(Table13[[#This Row],[Type]]="Main Product", Table13[[#This Row],[Type]]="Co-Product"), Table13[[#This Row],[Resource]], "")</calculatedColumnFormula>
    </tableColumn>
    <tableColumn id="13" xr3:uid="{A1FCF159-CA42-4087-8360-4AFEEE2CED1F}" name="End Use of Incumbent Product" dataDxfId="3">
      <calculatedColumnFormula>IF(_xlfn.XLOOKUP($P6,'SI - End Use'!$B$2:$B$6,'SI - End Use'!$C$2:$C$6, "")="", "", _xlfn.XLOOKUP($C6,'SI - End Use'!$B$2:$B$6,'SI - End Use'!$C$2:$C$6, ""))</calculatedColumnFormula>
    </tableColumn>
    <tableColumn id="20" xr3:uid="{E802EC04-2D7C-4DBF-9C63-F0886736EDBB}" name="Surrogate For" dataDxfId="2"/>
    <tableColumn id="18" xr3:uid="{C80A8B31-419E-4E5F-8E9B-02278F6C3C8A}" name="Process" dataDxfId="1"/>
    <tableColumn id="11" xr3:uid="{376E2381-696A-43B4-8FCF-983D1CA75DA0}"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1" t="s">
        <v>261</v>
      </c>
      <c r="B2" s="81"/>
    </row>
    <row r="3" spans="1:3" ht="29.15" customHeight="1" x14ac:dyDescent="0.35">
      <c r="A3" s="83" t="s">
        <v>274</v>
      </c>
      <c r="B3" s="83"/>
    </row>
    <row r="4" spans="1:3" ht="28" customHeight="1" x14ac:dyDescent="0.35">
      <c r="A4" s="19"/>
      <c r="B4" s="19"/>
    </row>
    <row r="5" spans="1:3" ht="28" customHeight="1" x14ac:dyDescent="0.35">
      <c r="A5" s="82" t="s">
        <v>260</v>
      </c>
      <c r="B5" s="82"/>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E19" sqref="E19"/>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Payload'!$A$10:$A$38,'SI - Payload'!$B$10:$B$38,"",0),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Payload'!$A$10:$A$38,'SI - Payload'!$B$10:$B$38,"",0),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Payload'!$A$10:$A$38,'SI - Payload'!$B$10:$B$38,"",0),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Payload'!$A$10:$A$38,'SI - Payload'!$B$10:$B$38,"",0),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Payload'!$A$10:$A$38,'SI - Payload'!$B$10:$B$38,"",0),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Payload'!$A$10:$A$38,'SI - Payload'!$B$10:$B$38,"",0),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Payload'!$A$10:$A$38,'SI - Payload'!$B$10:$B$38,"",0),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Payload'!$A$10:$A$38,'SI - Payload'!$B$10:$B$38,"",0),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Payload'!$A$10:$A$38,'SI - Payload'!$B$10:$B$38,"",0),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Payload'!$A$10:$A$38,'SI - Payload'!$B$10:$B$38,"",0),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Payload'!$A$10:$A$38,'SI - Payload'!$B$10:$B$38,"",0),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Payload'!$A$10:$A$38,'SI - Payload'!$B$10:$B$38,"",0),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Payload'!$A$10:$A$38,'SI - Payload'!$B$10:$B$38,"",0),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Payload'!$A$10:$A$38,'SI - Payload'!$B$10:$B$38,"",0),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Payload'!$A$10:$A$38,'SI - Payload'!$B$10:$B$38,"",0),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Payload'!$A$10:$A$38,'SI - Payload'!$B$10:$B$38,"",0),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Payload'!$A$10:$A$38,'SI - Payload'!$B$10:$B$38,"",0),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Payload'!$A$10:$A$38,'SI - Payload'!$B$10:$B$38,"",0),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Payload'!$A$10:$A$38,'SI - Payload'!$B$10:$B$38,"",0),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Payload'!$A$10:$A$38,'SI - Payload'!$B$10:$B$38,"",0),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Payload'!$A$10:$A$38,'SI - Payload'!$B$10:$B$38,"",0),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Payload'!$A$10:$A$38,'SI - Payload'!$B$10:$B$38,"",0),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Payload'!$A$10:$A$38,'SI - Payload'!$B$10:$B$38,"",0),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Payload'!$A$10:$A$38,'SI - Payload'!$B$10:$B$38,"",0),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Payload'!$A$10:$A$38,'SI - Payload'!$B$10:$B$38,"",0),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Payload'!$A$10:$A$38,'SI - Payload'!$B$10:$B$38,"",0),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Payload'!$A$10:$A$38,'SI - Payload'!$B$10:$B$38,"",0),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Payload'!$A$10:$A$38,'SI - Payload'!$B$10:$B$38,"",0),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Payload'!$A$10:$A$38,'SI - Payload'!$B$10:$B$38,"",0),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Payload'!$A$10:$A$38,'SI - Payload'!$B$10:$B$38,"",0),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Payload'!$A$10:$A$38,'SI - Payload'!$B$10:$B$38,"",0),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Payload'!$A$10:$A$38,'SI - Payload'!$B$10:$B$38,"",0),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Payload'!$A$10:$A$38,'SI - Payload'!$B$10:$B$38,"",0),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Payload'!$A$10:$A$38,'SI - Payload'!$B$10:$B$38,"",0),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Payload'!$A$10:$A$38,'SI - Payload'!$B$10:$B$38,"",0),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Payload'!$A$10:$A$38,'SI - Payload'!$B$10:$B$38,"",0),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Payload'!$A$10:$A$38,'SI - Payload'!$B$10:$B$38,"",0),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Payload'!$A$10:$A$38,'SI - Payload'!$B$10:$B$38,"",0),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Payload'!$A$10:$A$38,'SI - Payload'!$B$10:$B$38,"",0),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Payload'!$A$10:$A$38,'SI - Payload'!$B$10:$B$38,"",0),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Payload'!$A$10:$A$38,'SI - Payload'!$B$10:$B$38,"",0),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Payload'!$A$10:$A$38,'SI - Payload'!$B$10:$B$38,"",0),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Payload'!$A$10:$A$38,'SI - Payload'!$B$10:$B$38,"",0),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Payload'!$A$10:$A$38,'SI - Payload'!$B$10:$B$38,"",0),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Payload'!$A$10:$A$38,'SI - Payload'!$B$10:$B$38,"",0),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Payload'!$A$10:$A$38,'SI - Payload'!$B$10:$B$38,"",0),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Payload'!$A$10:$A$38,'SI - Payload'!$B$10:$B$38,"",0),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Payload'!$A$10:$A$38,'SI - Payload'!$B$10:$B$38,"",0),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Payload'!$A$10:$A$38,'SI - Payload'!$B$10:$B$38,"",0),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Payload'!$A$10:$A$38,'SI - Payload'!$B$10:$B$38,"",0),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Payload'!$A$10:$A$38,'SI - Payload'!$B$10:$B$38,"",0),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Payload'!$A$10:$A$38,'SI - Payload'!$B$10:$B$38,"",0),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Payload'!$A$10:$A$38,'SI - Payload'!$B$10:$B$38,"",0),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Payload'!$A$10:$A$38,'SI - Payload'!$B$10:$B$38,"",0),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Payload'!$A$10:$A$38,'SI - Payload'!$B$10:$B$38,"",0),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Payload'!$A$10:$A$38,'SI - Payload'!$B$10:$B$38,"",0),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Payload'!$A$10:$A$38,'SI - Payload'!$B$10:$B$38,"",0),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Payload'!$A$10:$A$38,'SI - Payload'!$B$10:$B$38,"",0),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Payload'!$A$10:$A$38,'SI - Payload'!$B$10:$B$38,"",0),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Payload'!$A$10:$A$38,'SI - Payload'!$B$10:$B$38,"",0),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Payload'!$A$10:$A$38,'SI - Payload'!$B$10:$B$38,"",0),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Payload'!$A$10:$A$38,'SI - Payload'!$B$10:$B$38,"",0),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Payload'!$A$10:$A$38,'SI - Payload'!$B$10:$B$38,"",0),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Payload'!$A$10:$A$38,'SI - Payload'!$B$10:$B$38,"",0),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Payload'!$A$10:$A$38,'SI - Payload'!$B$10:$B$38,"",0),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Payload'!$A$10:$A$38,'SI - Payload'!$B$10:$B$38,"",0),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Payload'!$A$10:$A$38,'SI - Payload'!$B$10:$B$38,"",0),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Payload'!$A$10:$A$38,'SI - Payload'!$B$10:$B$38,"",0),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Payload'!$A$10:$A$38,'SI - Payload'!$B$10:$B$38,"",0),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Payload'!$A$10:$A$38,'SI - Payload'!$B$10:$B$38,"",0),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Payload'!$A$10:$A$38,'SI - Payload'!$B$10:$B$38,"",0),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Payload'!$A$10:$A$38,'SI - Payload'!$B$10:$B$38,"",0),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Payload'!$A$10:$A$38,'SI - Payload'!$B$10:$B$38,"",0),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Payload'!$A$10:$A$38,'SI - Payload'!$B$10:$B$38,"",0),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Payload'!$A$10:$A$38,'SI - Payload'!$B$10:$B$38,"",0),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Payload'!$A$10:$A$38,'SI - Payload'!$B$10:$B$38,"",0),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Payload'!$A$10:$A$38,'SI - Payload'!$B$10:$B$38,"",0),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Payload'!$A$10:$A$38,'SI - Payload'!$B$10:$B$38,"",0),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Payload'!$A$10:$A$38,'SI - Payload'!$B$10:$B$38,"",0),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Payload'!$A$10:$A$38,'SI - Payload'!$B$10:$B$38,"",0),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Payload'!$A$10:$A$38,'SI - Payload'!$B$10:$B$38,"",0),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Payload'!$A$10:$A$38,'SI - Payload'!$B$10:$B$38,"",0),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Payload'!$A$10:$A$38,'SI - Payload'!$B$10:$B$38,"",0),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Payload'!$A$10:$A$38,'SI - Payload'!$B$10:$B$38,"",0),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Payload'!$A$10:$A$38,'SI - Payload'!$B$10:$B$38,"",0),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Payload'!$A$10:$A$38,'SI - Payload'!$B$10:$B$38,"",0),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Payload'!$A$10:$A$38,'SI - Payload'!$B$10:$B$38,"",0),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Payload'!$A$10:$A$38,'SI - Payload'!$B$10:$B$38,"",0),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Payload'!$A$10:$A$38,'SI - Payload'!$B$10:$B$38,"",0),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Payload'!$A$10:$A$38,'SI - Payload'!$B$10:$B$38,"",0),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Payload'!$A$10:$A$38,'SI - Payload'!$B$10:$B$38,"",0),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Payload'!$A$10:$A$38,'SI - Payload'!$B$10:$B$38,"",0),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Payload'!$A$10:$A$38,'SI - Payload'!$B$10:$B$38,"",0),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Payload'!$A$10:$A$38,'SI - Payload'!$B$10:$B$38,"",0),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Payload'!$A$10:$A$38,'SI - Payload'!$B$10:$B$38,"",0),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Payload'!$A$10:$A$38,'SI - Payload'!$B$10:$B$38,"",0),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Payload'!$A$10:$A$38,'SI - Payload'!$B$10:$B$38,"",0),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Payload'!$A$10:$A$38,'SI - Payload'!$B$10:$B$38,"",0),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Payload'!$A$10:$A$38,'SI - Payload'!$B$10:$B$38,"",0),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Payload'!$A$10:$A$38,'SI - Payload'!$B$10:$B$38,"",0),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Payload'!$A$10:$A$38,'SI - Payload'!$B$10:$B$38,"",0),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Payload'!$A$10:$A$38,'SI - Payload'!$B$10:$B$38,"",0),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Payload'!$A$10:$A$38,'SI - Payload'!$B$10:$B$38,"",0),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Payload'!$A$10:$A$38,'SI - Payload'!$B$10:$B$38,"",0),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Payload'!$A$10:$A$38,'SI - Payload'!$B$10:$B$38,"",0),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Payload'!$A$10:$A$38,'SI - Payload'!$B$10:$B$38,"",0),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Payload'!$A$10:$A$38,'SI - Payload'!$B$10:$B$38,"",0),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Payload'!$A$10:$A$38,'SI - Payload'!$B$10:$B$38,"",0),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Payload'!$A$10:$A$38,'SI - Payload'!$B$10:$B$38,"",0),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Payload'!$A$10:$A$38,'SI - Payload'!$B$10:$B$38,"",0),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Payload'!$A$10:$A$38,'SI - Payload'!$B$10:$B$38,"",0),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Payload'!$A$10:$A$38,'SI - Payload'!$B$10:$B$38,"",0),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Payload'!$A$10:$A$38,'SI - Payload'!$B$10:$B$38,"",0),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Payload'!$A$10:$A$38,'SI - Payload'!$B$10:$B$38,"",0),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Payload'!$A$10:$A$38,'SI - Payload'!$B$10:$B$38,"",0),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Payload'!$A$10:$A$38,'SI - Payload'!$B$10:$B$38,"",0),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Payload'!$A$10:$A$38,'SI - Payload'!$B$10:$B$38,"",0),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Payload'!$A$10:$A$38,'SI - Payload'!$B$10:$B$38,"",0),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Payload'!$A$10:$A$38,'SI - Payload'!$B$10:$B$38,"",0),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Payload'!$A$10:$A$38,'SI - Payload'!$B$10:$B$38,"",0),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Payload'!$A$10:$A$38,'SI - Payload'!$B$10:$B$38,"",0),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Payload'!$A$10:$A$38,'SI - Payload'!$B$10:$B$38,"",0),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Payload'!$A$10:$A$38,'SI - Payload'!$B$10:$B$38,"",0),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Payload'!$A$10:$A$38,'SI - Payload'!$B$10:$B$38,"",0),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Payload'!$A$10:$A$38,'SI - Payload'!$B$10:$B$38,"",0),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Payload'!$A$10:$A$38,'SI - Payload'!$B$10:$B$38,"",0),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Payload'!$A$10:$A$38,'SI - Payload'!$B$10:$B$38,"",0),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Payload'!$A$10:$A$38,'SI - Payload'!$B$10:$B$38,"",0),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Payload'!$A$10:$A$38,'SI - Payload'!$B$10:$B$38,"",0),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Payload'!$A$10:$A$38,'SI - Payload'!$B$10:$B$38,"",0),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Payload'!$A$10:$A$38,'SI - Payload'!$B$10:$B$38,"",0),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Payload'!$A$10:$A$38,'SI - Payload'!$B$10:$B$38,"",0),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Payload'!$A$10:$A$38,'SI - Payload'!$B$10:$B$38,"",0),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Payload'!$A$10:$A$38,'SI - Payload'!$B$10:$B$38,"",0),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Payload'!$A$10:$A$38,'SI - Payload'!$B$10:$B$38,"",0),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Payload'!$A$10:$A$38,'SI - Payload'!$B$10:$B$38,"",0),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Payload'!$A$10:$A$38,'SI - Payload'!$B$10:$B$38,"",0),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Payload'!$A$10:$A$38,'SI - Payload'!$B$10:$B$38,"",0),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Payload'!$A$10:$A$38,'SI - Payload'!$B$10:$B$38,"",0),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Payload'!$A$10:$A$38,'SI - Payload'!$B$10:$B$38,"",0),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Payload'!$A$10:$A$38,'SI - Payload'!$B$10:$B$38,"",0),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Payload'!$A$10:$A$38,'SI - Payload'!$B$10:$B$38,"",0),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Payload'!$A$10:$A$38,'SI - Payload'!$B$10:$B$38,"",0),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Payload'!$A$10:$A$38,'SI - Payload'!$B$10:$B$38,"",0),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Payload'!$A$10:$A$38,'SI - Payload'!$B$10:$B$38,"",0),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Payload'!$A$10:$A$38,'SI - Payload'!$B$10:$B$38,"",0),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Payload'!$A$10:$A$38,'SI - Payload'!$B$10:$B$38,"",0),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Payload'!$A$10:$A$38,'SI - Payload'!$B$10:$B$38,"",0),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Payload'!$A$10:$A$38,'SI - Payload'!$B$10:$B$38,"",0),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Payload'!$A$10:$A$38,'SI - Payload'!$B$10:$B$38,"",0),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Payload'!$A$10:$A$38,'SI - Payload'!$B$10:$B$38,"",0),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Payload'!$A$10:$A$38,'SI - Payload'!$B$10:$B$38,"",0),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Payload'!$A$10:$A$38,'SI - Payload'!$B$10:$B$38,"",0),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Payload'!$A$10:$A$38,'SI - Payload'!$B$10:$B$38,"",0),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Payload'!$A$10:$A$38,'SI - Payload'!$B$10:$B$38,"",0),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Payload'!$A$10:$A$38,'SI - Payload'!$B$10:$B$38,"",0),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Payload'!$A$10:$A$38,'SI - Payload'!$B$10:$B$38,"",0),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Payload'!$A$10:$A$38,'SI - Payload'!$B$10:$B$38,"",0),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Payload'!$A$10:$A$38,'SI - Payload'!$B$10:$B$38,"",0),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Payload'!$A$10:$A$38,'SI - Payload'!$B$10:$B$38,"",0),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Payload'!$A$10:$A$38,'SI - Payload'!$B$10:$B$38,"",0),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Payload'!$A$10:$A$38,'SI - Payload'!$B$10:$B$38,"",0),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Payload'!$A$10:$A$38,'SI - Payload'!$B$10:$B$38,"",0),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Payload'!$A$10:$A$38,'SI - Payload'!$B$10:$B$38,"",0),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Payload'!$A$10:$A$38,'SI - Payload'!$B$10:$B$38,"",0),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Payload'!$A$10:$A$38,'SI - Payload'!$B$10:$B$38,"",0),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Payload'!$A$10:$A$38,'SI - Payload'!$B$10:$B$38,"",0),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Payload'!$A$10:$A$38,'SI - Payload'!$B$10:$B$38,"",0),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Payload'!$A$10:$A$38,'SI - Payload'!$B$10:$B$38,"",0),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Payload'!$A$10:$A$38,'SI - Payload'!$B$10:$B$38,"",0),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Payload'!$A$10:$A$38,'SI - Payload'!$B$10:$B$38,"",0),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Payload'!$A$10:$A$38,'SI - Payload'!$B$10:$B$38,"",0),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Payload'!$A$10:$A$38,'SI - Payload'!$B$10:$B$38,"",0),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Payload'!$A$10:$A$38,'SI - Payload'!$B$10:$B$38,"",0),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Payload'!$A$10:$A$38,'SI - Payload'!$B$10:$B$38,"",0),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Payload'!$A$10:$A$38,'SI - Payload'!$B$10:$B$38,"",0),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Payload'!$A$10:$A$38,'SI - Payload'!$B$10:$B$38,"",0),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Payload'!$A$10:$A$38,'SI - Payload'!$B$10:$B$38,"",0),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Payload'!$A$10:$A$38,'SI - Payload'!$B$10:$B$38,"",0),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Payload'!$A$10:$A$38,'SI - Payload'!$B$10:$B$38,"",0),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Payload'!$A$10:$A$38,'SI - Payload'!$B$10:$B$38,"",0),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Payload'!$A$10:$A$38,'SI - Payload'!$B$10:$B$38,"",0),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Payload'!$A$10:$A$38,'SI - Payload'!$B$10:$B$38,"",0),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Payload'!$A$10:$A$38,'SI - Payload'!$B$10:$B$38,"",0),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Payload'!$A$10:$A$38,'SI - Payload'!$B$10:$B$38,"",0),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Payload'!$A$10:$A$38,'SI - Payload'!$B$10:$B$38,"",0),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Payload'!$A$10:$A$38,'SI - Payload'!$B$10:$B$38,"",0),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Payload'!$A$10:$A$38,'SI - Payload'!$B$10:$B$38,"",0),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Payload'!$A$10:$A$38,'SI - Payload'!$B$10:$B$38,"",0),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Payload'!$A$10:$A$38,'SI - Payload'!$B$10:$B$38,"",0),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Payload'!$A$10:$A$38,'SI - Payload'!$B$10:$B$38,"",0),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Payload'!$A$10:$A$38,'SI - Payload'!$B$10:$B$38,"",0),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Payload'!$A$10:$A$38,'SI - Payload'!$B$10:$B$38,"",0),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Payload'!$A$10:$A$38,'SI - Payload'!$B$10:$B$38,"",0),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Payload'!$A$10:$A$38,'SI - Payload'!$B$10:$B$38,"",0),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Payload'!$A$10:$A$38,'SI - Payload'!$B$10:$B$38,"",0),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Payload'!$A$10:$A$38,'SI - Payload'!$B$10:$B$38,"",0),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Payload'!$A$10:$A$38,'SI - Payload'!$B$10:$B$38,"",0),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Payload'!$A$10:$A$38,'SI - Payload'!$B$10:$B$38,"",0),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Payload'!$A$10:$A$38,'SI - Payload'!$B$10:$B$38,"",0),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Payload'!$A$10:$A$38,'SI - Payload'!$B$10:$B$38,"",0),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Payload'!$A$10:$A$38,'SI - Payload'!$B$10:$B$38,"",0),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Payload'!$A$10:$A$38,'SI - Payload'!$B$10:$B$38,"",0),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Payload'!$A$10:$A$38,'SI - Payload'!$B$10:$B$38,"",0),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Payload'!$A$10:$A$38,'SI - Payload'!$B$10:$B$38,"",0),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Payload'!$A$10:$A$38,'SI - Payload'!$B$10:$B$38,"",0),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Payload'!$A$10:$A$38,'SI - Payload'!$B$10:$B$38,"",0),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Payload'!$A$10:$A$38,'SI - Payload'!$B$10:$B$38,"",0),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Payload'!$A$10:$A$38,'SI - Payload'!$B$10:$B$38,"",0),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Payload'!$A$10:$A$38,'SI - Payload'!$B$10:$B$38,"",0),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Payload'!$A$10:$A$38,'SI - Payload'!$B$10:$B$38,"",0),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Payload'!$A$10:$A$38,'SI - Payload'!$B$10:$B$38,"",0),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Payload'!$A$10:$A$38,'SI - Payload'!$B$10:$B$38,"",0),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Payload'!$A$10:$A$38,'SI - Payload'!$B$10:$B$38,"",0),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Payload'!$A$10:$A$38,'SI - Payload'!$B$10:$B$38,"",0),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Payload'!$A$10:$A$38,'SI - Payload'!$B$10:$B$38,"",0),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Payload'!$A$10:$A$38,'SI - Payload'!$B$10:$B$38,"",0),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Payload'!$A$10:$A$38,'SI - Payload'!$B$10:$B$38,"",0),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Payload'!$A$10:$A$38,'SI - Payload'!$B$10:$B$38,"",0),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Payload'!$A$10:$A$38,'SI - Payload'!$B$10:$B$38,"",0),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Payload'!$A$10:$A$38,'SI - Payload'!$B$10:$B$38,"",0),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Payload'!$A$10:$A$38,'SI - Payload'!$B$10:$B$38,"",0),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Payload'!$A$10:$A$38,'SI - Payload'!$B$10:$B$38,"",0),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Payload'!$A$10:$A$38,'SI - Payload'!$B$10:$B$38,"",0),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Payload'!$A$10:$A$38,'SI - Payload'!$B$10:$B$38,"",0),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Payload'!$A$10:$A$38,'SI - Payload'!$B$10:$B$38,"",0),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Payload'!$A$10:$A$38,'SI - Payload'!$B$10:$B$38,"",0),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Payload'!$A$10:$A$38,'SI - Payload'!$B$10:$B$38,"",0),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Payload'!$A$10:$A$38,'SI - Payload'!$B$10:$B$38,"",0),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Payload'!$A$10:$A$38,'SI - Payload'!$B$10:$B$38,"",0),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Payload'!$A$10:$A$38,'SI - Payload'!$B$10:$B$38,"",0),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Payload'!$A$10:$A$38,'SI - Payload'!$B$10:$B$38,"",0),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Payload'!$A$10:$A$38,'SI - Payload'!$B$10:$B$38,"",0),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Payload'!$A$10:$A$38,'SI - Payload'!$B$10:$B$38,"",0),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Payload'!$A$10:$A$38,'SI - Payload'!$B$10:$B$38,"",0),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Payload'!$A$10:$A$38,'SI - Payload'!$B$10:$B$38,"",0),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Payload'!$A$10:$A$38,'SI - Payload'!$B$10:$B$38,"",0),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Payload'!$A$10:$A$38,'SI - Payload'!$B$10:$B$38,"",0),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Payload'!$A$10:$A$38,'SI - Payload'!$B$10:$B$38,"",0),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Payload'!$A$10:$A$38,'SI - Payload'!$B$10:$B$38,"",0),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Payload'!$A$10:$A$38,'SI - Payload'!$B$10:$B$38,"",0),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Payload'!$A$10:$A$38,'SI - Payload'!$B$10:$B$38,"",0),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Payload'!$A$10:$A$38,'SI - Payload'!$B$10:$B$38,"",0),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Payload'!$A$10:$A$38,'SI - Payload'!$B$10:$B$38,"",0),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Payload'!$A$10:$A$38,'SI - Payload'!$B$10:$B$38,"",0),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Payload'!$A$10:$A$38,'SI - Payload'!$B$10:$B$38,"",0),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Payload'!$A$10:$A$38,'SI - Payload'!$B$10:$B$38,"",0),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Payload'!$A$10:$A$38,'SI - Payload'!$B$10:$B$38,"",0),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Payload'!$A$10:$A$38,'SI - Payload'!$B$10:$B$38,"",0),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Payload'!$A$10:$A$38,'SI - Payload'!$B$10:$B$38,"",0),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Payload'!$A$10:$A$38,'SI - Payload'!$B$10:$B$38,"",0),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Payload'!$A$10:$A$38,'SI - Payload'!$B$10:$B$38,"",0),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Payload'!$A$10:$A$38,'SI - Payload'!$B$10:$B$38,"",0),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Payload'!$A$10:$A$38,'SI - Payload'!$B$10:$B$38,"",0),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Payload'!$A$10:$A$38,'SI - Payload'!$B$10:$B$38,"",0),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Payload'!$A$10:$A$38,'SI - Payload'!$B$10:$B$38,"",0),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Payload'!$A$10:$A$38,'SI - Payload'!$B$10:$B$38,"",0),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Payload'!$A$10:$A$38,'SI - Payload'!$B$10:$B$38,"",0),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Payload'!$A$10:$A$38,'SI - Payload'!$B$10:$B$38,"",0),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Payload'!$A$10:$A$38,'SI - Payload'!$B$10:$B$38,"",0),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Payload'!$A$10:$A$38,'SI - Payload'!$B$10:$B$38,"",0),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Payload'!$A$10:$A$38,'SI - Payload'!$B$10:$B$38,"",0),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Payload'!$A$10:$A$38,'SI - Payload'!$B$10:$B$38,"",0),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Payload'!$A$10:$A$38,'SI - Payload'!$B$10:$B$38,"",0),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Payload'!$A$10:$A$38,'SI - Payload'!$B$10:$B$38,"",0),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Payload'!$A$10:$A$38,'SI - Payload'!$B$10:$B$38,"",0),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Payload'!$A$10:$A$38,'SI - Payload'!$B$10:$B$38,"",0),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Payload'!$A$10:$A$38,'SI - Payload'!$B$10:$B$38,"",0),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Payload'!$A$10:$A$38,'SI - Payload'!$B$10:$B$38,"",0),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Payload'!$A$10:$A$38,'SI - Payload'!$B$10:$B$38,"",0),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Payload'!$A$10:$A$38,'SI - Payload'!$B$10:$B$38,"",0),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Payload'!$A$10:$A$38,'SI - Payload'!$B$10:$B$38,"",0),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Payload'!$A$10:$A$38,'SI - Payload'!$B$10:$B$38,"",0),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Payload'!$A$10:$A$38,'SI - Payload'!$B$10:$B$38,"",0),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Payload'!$A$10:$A$38,'SI - Payload'!$B$10:$B$38,"",0),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Payload'!$A$10:$A$38,'SI - Payload'!$B$10:$B$38,"",0),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Payload'!$A$10:$A$38,'SI - Payload'!$B$10:$B$38,"",0),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Payload'!$A$10:$A$38,'SI - Payload'!$B$10:$B$38,"",0),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Payload'!$A$10:$A$38,'SI - Payload'!$B$10:$B$38,"",0),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Payload'!$A$10:$A$38,'SI - Payload'!$B$10:$B$38,"",0),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Payload'!$A$10:$A$38,'SI - Payload'!$B$10:$B$38,"",0),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Payload'!$A$10:$A$38,'SI - Payload'!$B$10:$B$38,"",0),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Payload'!$A$10:$A$38,'SI - Payload'!$B$10:$B$38,"",0),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Payload'!$A$10:$A$38,'SI - Payload'!$B$10:$B$38,"",0),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Payload'!$A$10:$A$38,'SI - Payload'!$B$10:$B$38,"",0),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Payload'!$A$10:$A$38,'SI - Payload'!$B$10:$B$38,"",0),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Payload'!$A$10:$A$38,'SI - Payload'!$B$10:$B$38,"",0),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Payload'!$A$10:$A$38,'SI - Payload'!$B$10:$B$38,"",0),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Payload'!$A$10:$A$38,'SI - Payload'!$B$10:$B$38,"",0),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Payload'!$A$10:$A$38,'SI - Payload'!$B$10:$B$38,"",0),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Payload'!$A$10:$A$38,'SI - Payload'!$B$10:$B$38,"",0),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Payload'!$A$10:$A$38,'SI - Payload'!$B$10:$B$38,"",0),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Payload'!$A$10:$A$38,'SI - Payload'!$B$10:$B$38,"",0),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Payload'!$A$10:$A$38,'SI - Payload'!$B$10:$B$38,"",0),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Payload'!$A$10:$A$38,'SI - Payload'!$B$10:$B$38,"",0),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Payload'!$A$10:$A$38,'SI - Payload'!$B$10:$B$38,"",0),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Payload'!$A$10:$A$38,'SI - Payload'!$B$10:$B$38,"",0),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Payload'!$A$10:$A$38,'SI - Payload'!$B$10:$B$38,"",0),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Payload'!$A$10:$A$38,'SI - Payload'!$B$10:$B$38,"",0),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Payload'!$A$10:$A$38,'SI - Payload'!$B$10:$B$38,"",0),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Payload'!$A$10:$A$38,'SI - Payload'!$B$10:$B$38,"",0),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Payload'!$A$10:$A$38,'SI - Payload'!$B$10:$B$38,"",0),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Payload'!$A$10:$A$38,'SI - Payload'!$B$10:$B$38,"",0),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Payload'!$A$10:$A$38,'SI - Payload'!$B$10:$B$38,"",0),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Payload'!$A$10:$A$38,'SI - Payload'!$B$10:$B$38,"",0),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Payload'!$A$10:$A$38,'SI - Payload'!$B$10:$B$38,"",0),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Payload'!$A$10:$A$38,'SI - Payload'!$B$10:$B$38,"",0),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Payload'!$A$10:$A$38,'SI - Payload'!$B$10:$B$38,"",0),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Payload'!$A$10:$A$38,'SI - Payload'!$B$10:$B$38,"",0),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Payload'!$A$10:$A$38,'SI - Payload'!$B$10:$B$38,"",0),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Payload'!$A$10:$A$38,'SI - Payload'!$B$10:$B$38,"",0),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Payload'!$A$10:$A$38,'SI - Payload'!$B$10:$B$38,"",0),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Payload'!$A$10:$A$38,'SI - Payload'!$B$10:$B$38,"",0),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Payload'!$A$10:$A$38,'SI - Payload'!$B$10:$B$38,"",0),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Payload'!$A$10:$A$38,'SI - Payload'!$B$10:$B$38,"",0),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Payload'!$A$10:$A$38,'SI - Payload'!$B$10:$B$38,"",0),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Payload'!$A$10:$A$38,'SI - Payload'!$B$10:$B$38,"",0),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Payload'!$A$10:$A$38,'SI - Payload'!$B$10:$B$38,"",0),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Payload'!$A$10:$A$38,'SI - Payload'!$B$10:$B$38,"",0),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Payload'!$A$10:$A$38,'SI - Payload'!$B$10:$B$38,"",0),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Payload'!$A$10:$A$38,'SI - Payload'!$B$10:$B$38,"",0),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Payload'!$A$10:$A$38,'SI - Payload'!$B$10:$B$38,"",0),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Payload'!$A$10:$A$38,'SI - Payload'!$B$10:$B$38,"",0),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Payload'!$A$10:$A$38,'SI - Payload'!$B$10:$B$38,"",0),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Payload'!$A$10:$A$38,'SI - Payload'!$B$10:$B$38,"",0),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Payload'!$A$10:$A$38,'SI - Payload'!$B$10:$B$38,"",0),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Payload'!$A$10:$A$38,'SI - Payload'!$B$10:$B$38,"",0),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Payload'!$A$10:$A$38,'SI - Payload'!$B$10:$B$38,"",0),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Payload'!$A$10:$A$38,'SI - Payload'!$B$10:$B$38,"",0),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Payload'!$A$10:$A$38,'SI - Payload'!$B$10:$B$38,"",0),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Payload'!$A$10:$A$38,'SI - Payload'!$B$10:$B$38,"",0),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Payload'!$A$10:$A$38,'SI - Payload'!$B$10:$B$38,"",0),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Payload'!$A$10:$A$38,'SI - Payload'!$B$10:$B$38,"",0),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Payload'!$A$10:$A$38,'SI - Payload'!$B$10:$B$38,"",0),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Payload'!$A$10:$A$38,'SI - Payload'!$B$10:$B$38,"",0),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Payload'!$A$10:$A$38,'SI - Payload'!$B$10:$B$38,"",0),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Payload'!$A$10:$A$38,'SI - Payload'!$B$10:$B$38,"",0),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Payload'!$A$10:$A$38,'SI - Payload'!$B$10:$B$38,"",0),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Payload'!$A$10:$A$38,'SI - Payload'!$B$10:$B$38,"",0),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Payload'!$A$10:$A$38,'SI - Payload'!$B$10:$B$38,"",0),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Payload'!$A$10:$A$38,'SI - Payload'!$B$10:$B$38,"",0),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Payload'!$A$10:$A$38,'SI - Payload'!$B$10:$B$38,"",0),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Payload'!$A$10:$A$38,'SI - Payload'!$B$10:$B$38,"",0),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Payload'!$A$10:$A$38,'SI - Payload'!$B$10:$B$38,"",0),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Payload'!$A$10:$A$38,'SI - Payload'!$B$10:$B$38,"",0),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Payload'!$A$10:$A$38,'SI - Payload'!$B$10:$B$38,"",0),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Payload'!$A$10:$A$38,'SI - Payload'!$B$10:$B$38,"",0),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Payload'!$A$10:$A$38,'SI - Payload'!$B$10:$B$38,"",0),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Payload'!$A$10:$A$38,'SI - Payload'!$B$10:$B$38,"",0),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Payload'!$A$10:$A$38,'SI - Payload'!$B$10:$B$38,"",0),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Payload'!$A$10:$A$38,'SI - Payload'!$B$10:$B$38,"",0),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Payload'!$A$10:$A$38,'SI - Payload'!$B$10:$B$38,"",0),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Payload'!$A$10:$A$38,'SI - Payload'!$B$10:$B$38,"",0),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Payload'!$A$10:$A$38,'SI - Payload'!$B$10:$B$38,"",0),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Payload'!$A$10:$A$38,'SI - Payload'!$B$10:$B$38,"",0),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Payload'!$A$10:$A$38,'SI - Payload'!$B$10:$B$38,"",0),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Payload'!$A$10:$A$38,'SI - Payload'!$B$10:$B$38,"",0),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Payload'!$A$10:$A$38,'SI - Payload'!$B$10:$B$38,"",0),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Payload'!$A$10:$A$38,'SI - Payload'!$B$10:$B$38,"",0),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Payload'!$A$10:$A$38,'SI - Payload'!$B$10:$B$38,"",0),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Payload'!$A$10:$A$38,'SI - Payload'!$B$10:$B$38,"",0),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Payload'!$A$10:$A$38,'SI - Payload'!$B$10:$B$38,"",0),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Payload'!$A$10:$A$38,'SI - Payload'!$B$10:$B$38,"",0),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Payload'!$A$10:$A$38,'SI - Payload'!$B$10:$B$38,"",0),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Payload'!$A$10:$A$38,'SI - Payload'!$B$10:$B$38,"",0),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Payload'!$A$10:$A$38,'SI - Payload'!$B$10:$B$38,"",0),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Payload'!$A$10:$A$38,'SI - Payload'!$B$10:$B$38,"",0),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Payload'!$A$10:$A$38,'SI - Payload'!$B$10:$B$38,"",0),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Payload'!$A$10:$A$38,'SI - Payload'!$B$10:$B$38,"",0),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Payload'!$A$10:$A$38,'SI - Payload'!$B$10:$B$38,"",0),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Payload'!$A$10:$A$38,'SI - Payload'!$B$10:$B$38,"",0),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Payload'!$A$10:$A$38,'SI - Payload'!$B$10:$B$38,"",0),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Payload'!$A$10:$A$38,'SI - Payload'!$B$10:$B$38,"",0),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Payload'!$A$10:$A$38,'SI - Payload'!$B$10:$B$38,"",0),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Payload'!$A$10:$A$38,'SI - Payload'!$B$10:$B$38,"",0),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Payload'!$A$10:$A$38,'SI - Payload'!$B$10:$B$38,"",0),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Payload'!$A$10:$A$38,'SI - Payload'!$B$10:$B$38,"",0),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Payload'!$A$10:$A$38,'SI - Payload'!$B$10:$B$38,"",0),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Payload'!$A$10:$A$38,'SI - Payload'!$B$10:$B$38,"",0),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Payload'!$A$10:$A$38,'SI - Payload'!$B$10:$B$38,"",0),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Payload'!$A$10:$A$38,'SI - Payload'!$B$10:$B$38,"",0),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Payload'!$A$10:$A$38,'SI - Payload'!$B$10:$B$38,"",0),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Payload'!$A$10:$A$38,'SI - Payload'!$B$10:$B$38,"",0),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Payload'!$A$10:$A$38,'SI - Payload'!$B$10:$B$38,"",0),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Payload'!$A$10:$A$38,'SI - Payload'!$B$10:$B$38,"",0),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Payload'!$A$10:$A$38,'SI - Payload'!$B$10:$B$38,"",0),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Payload'!$A$10:$A$38,'SI - Payload'!$B$10:$B$38,"",0),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Payload'!$A$10:$A$38,'SI - Payload'!$B$10:$B$38,"",0),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Payload'!$A$10:$A$38,'SI - Payload'!$B$10:$B$38,"",0),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Payload'!$A$10:$A$38,'SI - Payload'!$B$10:$B$38,"",0),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Payload'!$A$10:$A$38,'SI - Payload'!$B$10:$B$38,"",0),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Payload'!$A$10:$A$38,'SI - Payload'!$B$10:$B$38,"",0),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Payload'!$A$10:$A$38,'SI - Payload'!$B$10:$B$38,"",0),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Payload'!$A$10:$A$38,'SI - Payload'!$B$10:$B$38,"",0),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Payload'!$A$10:$A$38,'SI - Payload'!$B$10:$B$38,"",0),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Payload'!$A$10:$A$38,'SI - Payload'!$B$10:$B$38,"",0),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Payload'!$A$10:$A$38,'SI - Payload'!$B$10:$B$38,"",0),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Payload'!$A$10:$A$38,'SI - Payload'!$B$10:$B$38,"",0),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Payload'!$A$10:$A$38,'SI - Payload'!$B$10:$B$38,"",0),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Payload'!$A$10:$A$38,'SI - Payload'!$B$10:$B$38,"",0),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Payload'!$A$10:$A$38,'SI - Payload'!$B$10:$B$38,"",0),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Payload'!$A$10:$A$38,'SI - Payload'!$B$10:$B$38,"",0),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Payload'!$A$10:$A$38,'SI - Payload'!$B$10:$B$38,"",0),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Payload'!$A$10:$A$38,'SI - Payload'!$B$10:$B$38,"",0),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Payload'!$A$10:$A$38,'SI - Payload'!$B$10:$B$38,"",0),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Payload'!$A$10:$A$38,'SI - Payload'!$B$10:$B$38,"",0),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Payload'!$A$10:$A$38,'SI - Payload'!$B$10:$B$38,"",0),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Payload'!$A$10:$A$38,'SI - Payload'!$B$10:$B$38,"",0),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Payload'!$A$10:$A$38,'SI - Payload'!$B$10:$B$38,"",0),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Payload'!$A$10:$A$38,'SI - Payload'!$B$10:$B$38,"",0),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Payload'!$A$10:$A$38,'SI - Payload'!$B$10:$B$38,"",0),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Payload'!$A$10:$A$38,'SI - Payload'!$B$10:$B$38,"",0),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Payload'!$A$10:$A$38,'SI - Payload'!$B$10:$B$38,"",0),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Payload'!$A$10:$A$38,'SI - Payload'!$B$10:$B$38,"",0),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Payload'!$A$10:$A$38,'SI - Payload'!$B$10:$B$38,"",0),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Payload'!$A$10:$A$38,'SI - Payload'!$B$10:$B$38,"",0),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Payload'!$A$10:$A$38,'SI - Payload'!$B$10:$B$38,"",0),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Payload'!$A$10:$A$38,'SI - Payload'!$B$10:$B$38,"",0),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Payload'!$A$10:$A$38,'SI - Payload'!$B$10:$B$38,"",0),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Payload'!$A$10:$A$38,'SI - Payload'!$B$10:$B$38,"",0),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Payload'!$A$10:$A$38,'SI - Payload'!$B$10:$B$38,"",0),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Payload'!$A$10:$A$38,'SI - Payload'!$B$10:$B$38,"",0),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Payload'!$A$10:$A$38,'SI - Payload'!$B$10:$B$38,"",0),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Payload'!$A$10:$A$38,'SI - Payload'!$B$10:$B$38,"",0),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Payload'!$A$10:$A$38,'SI - Payload'!$B$10:$B$38,"",0),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Payload'!$A$10:$A$38,'SI - Payload'!$B$10:$B$38,"",0),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Payload'!$A$10:$A$38,'SI - Payload'!$B$10:$B$38,"",0),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Payload'!$A$10:$A$38,'SI - Payload'!$B$10:$B$38,"",0),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Payload'!$A$10:$A$38,'SI - Payload'!$B$10:$B$38,"",0),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Payload'!$A$10:$A$38,'SI - Payload'!$B$10:$B$38,"",0),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Payload'!$A$10:$A$38,'SI - Payload'!$B$10:$B$38,"",0),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Payload'!$A$10:$A$38,'SI - Payload'!$B$10:$B$38,"",0),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Payload'!$A$10:$A$38,'SI - Payload'!$B$10:$B$38,"",0),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Payload'!$A$10:$A$38,'SI - Payload'!$B$10:$B$38,"",0),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Payload'!$A$10:$A$38,'SI - Payload'!$B$10:$B$38,"",0),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Payload'!$A$10:$A$38,'SI - Payload'!$B$10:$B$38,"",0),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Payload'!$A$10:$A$38,'SI - Payload'!$B$10:$B$38,"",0),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Payload'!$A$10:$A$38,'SI - Payload'!$B$10:$B$38,"",0),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Payload'!$A$10:$A$38,'SI - Payload'!$B$10:$B$38,"",0),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Payload'!$A$10:$A$38,'SI - Payload'!$B$10:$B$38,"",0),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Payload'!$A$10:$A$38,'SI - Payload'!$B$10:$B$38,"",0),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Payload'!$A$10:$A$38,'SI - Payload'!$B$10:$B$38,"",0),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Payload'!$A$10:$A$38,'SI - Payload'!$B$10:$B$38,"",0),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Payload'!$A$10:$A$38,'SI - Payload'!$B$10:$B$38,"",0),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Payload'!$A$10:$A$38,'SI - Payload'!$B$10:$B$38,"",0),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Payload'!$A$10:$A$38,'SI - Payload'!$B$10:$B$38,"",0),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Payload'!$A$10:$A$38,'SI - Payload'!$B$10:$B$38,"",0),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Payload'!$A$10:$A$38,'SI - Payload'!$B$10:$B$38,"",0),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Payload'!$A$10:$A$38,'SI - Payload'!$B$10:$B$38,"",0),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Payload'!$A$10:$A$38,'SI - Payload'!$B$10:$B$38,"",0),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Payload'!$A$10:$A$38,'SI - Payload'!$B$10:$B$38,"",0),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Payload'!$A$10:$A$38,'SI - Payload'!$B$10:$B$38,"",0),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Payload'!$A$10:$A$38,'SI - Payload'!$B$10:$B$38,"",0),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Payload'!$A$10:$A$38,'SI - Payload'!$B$10:$B$38,"",0),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Payload'!$A$10:$A$38,'SI - Payload'!$B$10:$B$38,"",0),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Payload'!$A$10:$A$38,'SI - Payload'!$B$10:$B$38,"",0),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Payload'!$A$10:$A$38,'SI - Payload'!$B$10:$B$38,"",0),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Payload'!$A$10:$A$38,'SI - Payload'!$B$10:$B$38,"",0),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Payload'!$A$10:$A$38,'SI - Payload'!$B$10:$B$38,"",0),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Payload'!$A$10:$A$38,'SI - Payload'!$B$10:$B$38,"",0),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Payload'!$A$10:$A$38,'SI - Payload'!$B$10:$B$38,"",0),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Payload'!$A$10:$A$38,'SI - Payload'!$B$10:$B$38,"",0),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Payload'!$A$10:$A$38,'SI - Payload'!$B$10:$B$38,"",0),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Payload'!$A$10:$A$38,'SI - Payload'!$B$10:$B$38,"",0),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Payload'!$A$10:$A$38,'SI - Payload'!$B$10:$B$38,"",0),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Payload'!$A$10:$A$38,'SI - Payload'!$B$10:$B$38,"",0),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Payload'!$A$10:$A$38,'SI - Payload'!$B$10:$B$38,"",0),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Payload'!$A$10:$A$38,'SI - Payload'!$B$10:$B$38,"",0),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Payload'!$A$10:$A$38,'SI - Payload'!$B$10:$B$38,"",0),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Payload'!$A$10:$A$38,'SI - Payload'!$B$10:$B$38,"",0),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Payload'!$A$10:$A$38,'SI - Payload'!$B$10:$B$38,"",0),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Payload'!$A$10:$A$38,'SI - Payload'!$B$10:$B$38,"",0),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Payload'!$A$10:$A$38,'SI - Payload'!$B$10:$B$38,"",0),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Payload'!$A$10:$A$38,'SI - Payload'!$B$10:$B$38,"",0),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95"/>
  <sheetViews>
    <sheetView tabSelected="1" workbookViewId="0">
      <pane ySplit="5" topLeftCell="A9" activePane="bottomLeft" state="frozen"/>
      <selection activeCell="C19" sqref="C19"/>
      <selection pane="bottomLeft" activeCell="G24" sqref="G2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7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79">
        <v>104166.667</v>
      </c>
      <c r="F6" s="6" t="s">
        <v>58</v>
      </c>
      <c r="G6" s="25">
        <v>0.2</v>
      </c>
      <c r="H6" s="25" t="s">
        <v>361</v>
      </c>
      <c r="I6" s="26" t="s">
        <v>337</v>
      </c>
      <c r="J6" s="25"/>
      <c r="K6" s="6"/>
      <c r="L6" s="6" t="str">
        <f>IF(Table118[[#This Row],[Category]]="Transportation", _xlfn.XLOOKUP(Table118[[#This Row],[Resource]], 'SI - Payload'!$A$10:$A$38,'SI - Payload'!$B$10:$B$38,"",0),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79">
        <v>11124.174999999999</v>
      </c>
      <c r="F7" s="6" t="s">
        <v>58</v>
      </c>
      <c r="G7" s="25">
        <v>7.0000000000000007E-2</v>
      </c>
      <c r="H7" s="25"/>
      <c r="I7" s="26" t="s">
        <v>337</v>
      </c>
      <c r="J7" s="25"/>
      <c r="K7" s="6"/>
      <c r="L7" s="6" t="str">
        <f>IF(Table118[[#This Row],[Category]]="Transportation", _xlfn.XLOOKUP(Table118[[#This Row],[Resource]], 'SI - Payload'!$A$10:$A$38,'SI - Payload'!$B$10:$B$38,"",0),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79">
        <v>2750</v>
      </c>
      <c r="F8" s="6" t="s">
        <v>58</v>
      </c>
      <c r="G8" s="25"/>
      <c r="H8" s="25"/>
      <c r="I8" s="26" t="s">
        <v>337</v>
      </c>
      <c r="J8" s="25"/>
      <c r="K8" s="6"/>
      <c r="L8" s="6" t="str">
        <f>IF(Table118[[#This Row],[Category]]="Transportation", _xlfn.XLOOKUP(Table118[[#This Row],[Resource]], 'SI - Payload'!$A$10:$A$38,'SI - Payload'!$B$10:$B$38,"",0),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26</v>
      </c>
      <c r="D9" s="6"/>
      <c r="E9" s="79">
        <v>7499.9999999999991</v>
      </c>
      <c r="F9" s="6" t="s">
        <v>58</v>
      </c>
      <c r="G9" s="25"/>
      <c r="H9" s="25"/>
      <c r="I9" s="26" t="s">
        <v>337</v>
      </c>
      <c r="J9" s="25"/>
      <c r="K9" s="6"/>
      <c r="L9" s="6" t="str">
        <f>IF(Table118[[#This Row],[Category]]="Transportation", _xlfn.XLOOKUP(Table118[[#This Row],[Resource]], 'SI - Payload'!$A$10:$A$38,'SI - Payload'!$B$10:$B$38,"",0),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245</v>
      </c>
      <c r="C10" s="6" t="s">
        <v>228</v>
      </c>
      <c r="D10" s="6" t="str">
        <f>IF(_xlfn.XLOOKUP($C10,'SI - End Use'!$B$2:$B$6,'SI - End Use'!$C$2:$C$6, "")="", "", _xlfn.XLOOKUP($C10,'SI - End Use'!$B$2:$B$6,'SI - End Use'!$C$2:$C$6, ""))</f>
        <v/>
      </c>
      <c r="E10" s="79">
        <f>E9*12/106*44/12</f>
        <v>3113.2075471698113</v>
      </c>
      <c r="F10" s="6" t="str" cm="1">
        <f t="array" ref="F10">IF($B10="Transportation",  'SI - Units'!$B$9:$B$9, _xlfn.XLOOKUP(_xlfn.XLOOKUP($C10,'SI - Units'!$B$24:$B$109,'SI - Units'!$C$24:$C$109, ""),'SI - Units'!$A$2:$A$8,'SI - Units'!$B$2:$B$8, ""))</f>
        <v>kg</v>
      </c>
      <c r="G10" s="25"/>
      <c r="H10" s="25"/>
      <c r="I10" s="26" t="str">
        <f>IF(Table118[[#This Row],[Type]]="Co-product", "No", "")</f>
        <v/>
      </c>
      <c r="J10" s="25"/>
      <c r="K10" s="6"/>
      <c r="L10" s="6" t="str">
        <f>IF(Table118[[#This Row],[Category]]="Transportation", _xlfn.XLOOKUP(Table118[[#This Row],[Resource]], 'SI - Payload'!$A$10:$A$38,'SI - Payload'!$B$10:$B$38,"",0),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t="s">
        <v>365</v>
      </c>
    </row>
    <row r="11" spans="1:20" x14ac:dyDescent="0.35">
      <c r="A11" s="6" t="s">
        <v>0</v>
      </c>
      <c r="B11" s="6" t="s">
        <v>37</v>
      </c>
      <c r="C11" s="6" t="s">
        <v>14</v>
      </c>
      <c r="D11" s="6" t="s">
        <v>337</v>
      </c>
      <c r="E11" s="79">
        <v>1058.6775635872239</v>
      </c>
      <c r="F11" s="6" t="s">
        <v>58</v>
      </c>
      <c r="G11" s="25"/>
      <c r="H11" s="25"/>
      <c r="I11" s="26" t="s">
        <v>337</v>
      </c>
      <c r="J11" s="25"/>
      <c r="K11" s="6"/>
      <c r="L11" s="6" t="str">
        <f>IF(Table118[[#This Row],[Category]]="Transportation", _xlfn.XLOOKUP(Table118[[#This Row],[Resource]], 'SI - Payload'!$A$10:$A$38,'SI - Payload'!$B$10:$B$38,"",0),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35">
      <c r="A12" s="6" t="s">
        <v>0</v>
      </c>
      <c r="B12" s="6" t="s">
        <v>37</v>
      </c>
      <c r="C12" s="6" t="s">
        <v>19</v>
      </c>
      <c r="D12" s="6" t="s">
        <v>337</v>
      </c>
      <c r="E12" s="79">
        <v>1335.9596300000001</v>
      </c>
      <c r="F12" s="6" t="s">
        <v>58</v>
      </c>
      <c r="G12" s="25"/>
      <c r="H12" s="25"/>
      <c r="I12" s="26" t="s">
        <v>337</v>
      </c>
      <c r="J12" s="25"/>
      <c r="K12" s="6"/>
      <c r="L12" s="6" t="str">
        <f>IF(Table118[[#This Row],[Category]]="Transportation", _xlfn.XLOOKUP(Table118[[#This Row],[Resource]], 'SI - Payload'!$A$10:$A$38,'SI - Payload'!$B$10:$B$38,"",0),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15</v>
      </c>
      <c r="D13" s="6" t="s">
        <v>337</v>
      </c>
      <c r="E13" s="79">
        <v>928.97244530000012</v>
      </c>
      <c r="F13" s="6" t="s">
        <v>58</v>
      </c>
      <c r="G13" s="25"/>
      <c r="H13" s="25"/>
      <c r="I13" s="26" t="s">
        <v>337</v>
      </c>
      <c r="J13" s="25"/>
      <c r="K13" s="6"/>
      <c r="L13" s="6" t="str">
        <f>IF(Table118[[#This Row],[Category]]="Transportation", _xlfn.XLOOKUP(Table118[[#This Row],[Resource]], 'SI - Payload'!$A$10:$A$38,'SI - Payload'!$B$10:$B$38,"",0),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17</v>
      </c>
      <c r="D14" s="6" t="s">
        <v>337</v>
      </c>
      <c r="E14" s="79">
        <v>7.3804090899999997</v>
      </c>
      <c r="F14" s="6" t="s">
        <v>58</v>
      </c>
      <c r="G14" s="25"/>
      <c r="H14" s="25"/>
      <c r="I14" s="26" t="s">
        <v>337</v>
      </c>
      <c r="J14" s="25"/>
      <c r="K14" s="6"/>
      <c r="L14" s="6" t="str">
        <f>IF(Table118[[#This Row],[Category]]="Transportation", _xlfn.XLOOKUP(Table118[[#This Row],[Resource]], 'SI - Payload'!$A$10:$A$38,'SI - Payload'!$B$10:$B$38,"",0),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20</v>
      </c>
      <c r="D15" s="6" t="s">
        <v>337</v>
      </c>
      <c r="E15" s="79">
        <v>37.2129835</v>
      </c>
      <c r="F15" s="6" t="s">
        <v>58</v>
      </c>
      <c r="G15" s="25"/>
      <c r="H15" s="25"/>
      <c r="I15" s="26" t="s">
        <v>337</v>
      </c>
      <c r="J15" s="25"/>
      <c r="K15" s="6"/>
      <c r="L15" s="6" t="str">
        <f>IF(Table118[[#This Row],[Category]]="Transportation", _xlfn.XLOOKUP(Table118[[#This Row],[Resource]], 'SI - Payload'!$A$10:$A$38,'SI - Payload'!$B$10:$B$38,"",0),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21</v>
      </c>
      <c r="D16" s="6" t="s">
        <v>337</v>
      </c>
      <c r="E16" s="79">
        <v>9.0697912299999999</v>
      </c>
      <c r="F16" s="6" t="s">
        <v>58</v>
      </c>
      <c r="G16" s="25"/>
      <c r="H16" s="25"/>
      <c r="I16" s="26" t="s">
        <v>337</v>
      </c>
      <c r="J16" s="25"/>
      <c r="K16" s="6"/>
      <c r="L16" s="6" t="str">
        <f>IF(Table118[[#This Row],[Category]]="Transportation", _xlfn.XLOOKUP(Table118[[#This Row],[Resource]], 'SI - Payload'!$A$10:$A$38,'SI - Payload'!$B$10:$B$38,"",0),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16</v>
      </c>
      <c r="D17" s="6" t="s">
        <v>337</v>
      </c>
      <c r="E17" s="79">
        <v>103.752188</v>
      </c>
      <c r="F17" s="6" t="s">
        <v>58</v>
      </c>
      <c r="G17" s="25"/>
      <c r="H17" s="25"/>
      <c r="I17" s="26" t="s">
        <v>337</v>
      </c>
      <c r="J17" s="25"/>
      <c r="K17" s="6"/>
      <c r="L17" s="6" t="str">
        <f>IF(Table118[[#This Row],[Category]]="Transportation", _xlfn.XLOOKUP(Table118[[#This Row],[Resource]], 'SI - Payload'!$A$10:$A$38,'SI - Payload'!$B$10:$B$38,"",0),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18</v>
      </c>
      <c r="D18" s="6" t="s">
        <v>337</v>
      </c>
      <c r="E18" s="79">
        <v>432.94057800000002</v>
      </c>
      <c r="F18" s="6" t="s">
        <v>58</v>
      </c>
      <c r="G18" s="25"/>
      <c r="H18" s="25"/>
      <c r="I18" s="26" t="s">
        <v>337</v>
      </c>
      <c r="J18" s="25"/>
      <c r="K18" s="6"/>
      <c r="L18" s="6" t="str">
        <f>IF(Table118[[#This Row],[Category]]="Transportation", _xlfn.XLOOKUP(Table118[[#This Row],[Resource]], 'SI - Payload'!$A$10:$A$38,'SI - Payload'!$B$10:$B$38,"",0),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244</v>
      </c>
      <c r="C19" s="6" t="s">
        <v>22</v>
      </c>
      <c r="D19" s="6" t="s">
        <v>337</v>
      </c>
      <c r="E19" s="79">
        <v>944.87136399999997</v>
      </c>
      <c r="F19" s="6" t="s">
        <v>58</v>
      </c>
      <c r="G19" s="25"/>
      <c r="H19" s="25"/>
      <c r="I19" s="26" t="s">
        <v>337</v>
      </c>
      <c r="J19" s="25"/>
      <c r="K19" s="6"/>
      <c r="L19" s="6" t="str">
        <f>IF(Table118[[#This Row],[Category]]="Transportation", _xlfn.XLOOKUP(Table118[[#This Row],[Resource]], 'SI - Payload'!$A$10:$A$38,'SI - Payload'!$B$10:$B$38,"",0),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37</v>
      </c>
      <c r="C20" s="6" t="s">
        <v>36</v>
      </c>
      <c r="D20" s="6" t="s">
        <v>337</v>
      </c>
      <c r="E20" s="79">
        <v>0.26026539599999998</v>
      </c>
      <c r="F20" s="6" t="s">
        <v>58</v>
      </c>
      <c r="G20" s="25"/>
      <c r="H20" s="25"/>
      <c r="I20" s="26" t="s">
        <v>337</v>
      </c>
      <c r="J20" s="25"/>
      <c r="K20" s="6"/>
      <c r="L20" s="6" t="str">
        <f>IF(Table118[[#This Row],[Category]]="Transportation", _xlfn.XLOOKUP(Table118[[#This Row],[Resource]], 'SI - Payload'!$A$10:$A$38,'SI - Payload'!$B$10:$B$38,"",0),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35">
      <c r="A21" s="6" t="s">
        <v>0</v>
      </c>
      <c r="B21" s="6" t="s">
        <v>37</v>
      </c>
      <c r="C21" s="6" t="s">
        <v>23</v>
      </c>
      <c r="D21" s="6" t="s">
        <v>337</v>
      </c>
      <c r="E21" s="79">
        <v>115.67455300000002</v>
      </c>
      <c r="F21" s="6" t="s">
        <v>58</v>
      </c>
      <c r="G21" s="25"/>
      <c r="H21" s="25"/>
      <c r="I21" s="26" t="s">
        <v>337</v>
      </c>
      <c r="J21" s="25"/>
      <c r="K21" s="6"/>
      <c r="L21" s="6" t="str">
        <f>IF(Table118[[#This Row],[Category]]="Transportation", _xlfn.XLOOKUP(Table118[[#This Row],[Resource]], 'SI - Payload'!$A$10:$A$38,'SI - Payload'!$B$10:$B$38,"",0),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89" t="s">
        <v>0</v>
      </c>
      <c r="B22" s="89" t="s">
        <v>37</v>
      </c>
      <c r="C22" s="89" t="s">
        <v>233</v>
      </c>
      <c r="D22" s="90" t="str">
        <f>IF(_xlfn.XLOOKUP($C22,'SI - End Use'!$B$2:$B$6,'SI - End Use'!$C$2:$C$6, "")="", "", _xlfn.XLOOKUP($C22,'SI - End Use'!$B$2:$B$6,'SI - End Use'!$C$2:$C$6, ""))</f>
        <v/>
      </c>
      <c r="E22" s="79">
        <v>30.608723519999998</v>
      </c>
      <c r="F22" s="90" t="str" cm="1">
        <f t="array" ref="F22">IF($B22="Transportation",  'SI - Units'!$B$9:$B$9, _xlfn.XLOOKUP(_xlfn.XLOOKUP($C22,'SI - Units'!$B$24:$B$109,'SI - Units'!$C$24:$C$109, ""),'SI - Units'!$A$2:$A$8,'SI - Units'!$B$2:$B$8, ""))</f>
        <v>kg</v>
      </c>
      <c r="G22" s="91"/>
      <c r="H22" s="91"/>
      <c r="I22" s="26" t="str">
        <f>IF(Table118[[#This Row],[Type]]="Co-product", "No", "")</f>
        <v/>
      </c>
      <c r="J22" s="25"/>
      <c r="K22" s="89"/>
      <c r="L22" s="90" t="str">
        <f>IF(Table118[[#This Row],[Category]]="Transportation", _xlfn.XLOOKUP(Table118[[#This Row],[Resource]], 'SI - Payload'!$A$10:$A$38,'SI - Payload'!$B$10:$B$38,"",0), "")</f>
        <v/>
      </c>
      <c r="M22" s="90" t="str">
        <f>IF(Table118[[#This Row],[Category]]="Transportation", "ton", "")</f>
        <v/>
      </c>
      <c r="N22" s="89"/>
      <c r="O22" s="89"/>
      <c r="P22" s="90" t="str">
        <f>IF(OR(Table118[[#This Row],[Type]]="Main Product", Table118[[#This Row],[Type]]="Co-Product"), Table118[[#This Row],[Resource]], "")</f>
        <v/>
      </c>
      <c r="Q22" s="90" t="str">
        <f>IF(_xlfn.XLOOKUP($P22,'SI - End Use'!$B$2:$B$6,'SI - End Use'!$C$2:$C$6, "")="", "", _xlfn.XLOOKUP($C22,'SI - End Use'!$B$2:$B$6,'SI - End Use'!$C$2:$C$6, ""))</f>
        <v/>
      </c>
      <c r="R22" s="6"/>
      <c r="S22" s="89"/>
      <c r="T22" s="89"/>
    </row>
    <row r="23" spans="1:20" x14ac:dyDescent="0.35">
      <c r="A23" s="6" t="s">
        <v>0</v>
      </c>
      <c r="B23" s="6" t="s">
        <v>37</v>
      </c>
      <c r="C23" s="6" t="s">
        <v>25</v>
      </c>
      <c r="D23" s="6" t="s">
        <v>337</v>
      </c>
      <c r="E23" s="79">
        <v>1.42288356</v>
      </c>
      <c r="F23" s="6" t="s">
        <v>58</v>
      </c>
      <c r="G23" s="25"/>
      <c r="H23" s="25"/>
      <c r="I23" s="26" t="s">
        <v>337</v>
      </c>
      <c r="J23" s="25"/>
      <c r="K23" s="6"/>
      <c r="L23" s="6" t="str">
        <f>IF(Table118[[#This Row],[Category]]="Transportation", _xlfn.XLOOKUP(Table118[[#This Row],[Resource]], 'SI - Payload'!$A$10:$A$38,'SI - Payload'!$B$10:$B$38,"",0),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35">
      <c r="A24" s="6" t="s">
        <v>0</v>
      </c>
      <c r="B24" s="6" t="s">
        <v>29</v>
      </c>
      <c r="C24" s="6" t="s">
        <v>29</v>
      </c>
      <c r="D24" s="6" t="s">
        <v>337</v>
      </c>
      <c r="E24" s="79">
        <v>112058.808</v>
      </c>
      <c r="F24" s="6" t="s">
        <v>58</v>
      </c>
      <c r="G24" s="25"/>
      <c r="H24" s="25"/>
      <c r="I24" s="26" t="s">
        <v>337</v>
      </c>
      <c r="J24" s="25"/>
      <c r="K24" s="6"/>
      <c r="L24" s="6" t="str">
        <f>IF(Table118[[#This Row],[Category]]="Transportation", _xlfn.XLOOKUP(Table118[[#This Row],[Resource]], 'SI - Payload'!$A$10:$A$38,'SI - Payload'!$B$10:$B$38,"",0),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3</v>
      </c>
      <c r="C25" s="6" t="s">
        <v>3</v>
      </c>
      <c r="D25" s="6" t="s">
        <v>10</v>
      </c>
      <c r="E25" s="79">
        <v>29514.732597000002</v>
      </c>
      <c r="F25" s="6" t="s">
        <v>68</v>
      </c>
      <c r="G25" s="25"/>
      <c r="H25" s="25"/>
      <c r="I25" s="26" t="s">
        <v>337</v>
      </c>
      <c r="J25" s="25"/>
      <c r="K25" s="6"/>
      <c r="L25" s="6" t="str">
        <f>IF(Table118[[#This Row],[Category]]="Transportation", _xlfn.XLOOKUP(Table118[[#This Row],[Resource]], 'SI - Payload'!$A$10:$A$38,'SI - Payload'!$B$10:$B$38,"",0),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113</v>
      </c>
      <c r="B26" s="6" t="s">
        <v>244</v>
      </c>
      <c r="C26" s="6" t="s">
        <v>276</v>
      </c>
      <c r="D26" s="6"/>
      <c r="E26" s="80">
        <v>501.452096688746</v>
      </c>
      <c r="F26" s="6" t="s">
        <v>70</v>
      </c>
      <c r="G26" s="25"/>
      <c r="H26" s="25"/>
      <c r="I26" s="26" t="s">
        <v>337</v>
      </c>
      <c r="J26" s="25"/>
      <c r="K26" s="6"/>
      <c r="L26" s="6" t="str">
        <f>IF(Table118[[#This Row],[Category]]="Transportation", _xlfn.XLOOKUP(Table118[[#This Row],[Resource]], 'SI - Payload'!$A$10:$A$38,'SI - Payload'!$B$10:$B$38,"",0), "")</f>
        <v/>
      </c>
      <c r="M26" s="6" t="str">
        <f>IF(Table118[[#This Row],[Category]]="Transportation", "ton", "")</f>
        <v/>
      </c>
      <c r="N26" s="6">
        <v>21.535015935911794</v>
      </c>
      <c r="O26" s="6" t="s">
        <v>362</v>
      </c>
      <c r="P26" s="6" t="s">
        <v>2</v>
      </c>
      <c r="Q26" s="6" t="s">
        <v>83</v>
      </c>
      <c r="R26" s="6"/>
      <c r="S26" s="6"/>
      <c r="T26" s="6"/>
    </row>
    <row r="27" spans="1:20" x14ac:dyDescent="0.35">
      <c r="A27" s="6" t="s">
        <v>85</v>
      </c>
      <c r="B27" s="6" t="s">
        <v>37</v>
      </c>
      <c r="C27" s="6" t="s">
        <v>280</v>
      </c>
      <c r="D27" s="6" t="s">
        <v>337</v>
      </c>
      <c r="E27" s="79">
        <v>12642.0933</v>
      </c>
      <c r="F27" s="6" t="s">
        <v>58</v>
      </c>
      <c r="G27" s="25"/>
      <c r="H27" s="25"/>
      <c r="I27" s="26" t="s">
        <v>124</v>
      </c>
      <c r="J27" s="25"/>
      <c r="K27" s="6"/>
      <c r="L27" s="6" t="str">
        <f>IF(Table118[[#This Row],[Category]]="Transportation", _xlfn.XLOOKUP(Table118[[#This Row],[Resource]], 'SI - Payload'!$A$10:$A$38,'SI - Payload'!$B$10:$B$38,"",0), "")</f>
        <v/>
      </c>
      <c r="M27" s="6" t="str">
        <f>IF(Table118[[#This Row],[Category]]="Transportation", "ton", "")</f>
        <v/>
      </c>
      <c r="N27" s="6"/>
      <c r="O27" s="6"/>
      <c r="P27" s="6" t="s">
        <v>280</v>
      </c>
      <c r="Q27" s="6" t="s">
        <v>337</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79"/>
      <c r="F28" s="6" t="str" cm="1">
        <f t="array" ref="F28">IF($B28="Transportation",  'SI - Units'!$B$9:$B$9, _xlfn.XLOOKUP(_xlfn.XLOOKUP($C28,'SI - Units'!$B$24:$B$109,'SI - Units'!$C$24:$C$109, ""),'SI - Units'!$A$2:$A$8,'SI - Units'!$B$2:$B$8, ""))</f>
        <v/>
      </c>
      <c r="G28" s="25"/>
      <c r="H28" s="25"/>
      <c r="I28" s="26" t="str">
        <f>IF(Table118[[#This Row],[Type]]="Co-product", "No", "")</f>
        <v/>
      </c>
      <c r="J28" s="25"/>
      <c r="K28" s="6"/>
      <c r="L28" s="6" t="str">
        <f>IF(Table118[[#This Row],[Category]]="Transportation", _xlfn.XLOOKUP(Table118[[#This Row],[Resource]], 'SI - Payload'!$A$10:$A$38,'SI - Payload'!$B$10:$B$38,"",0),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79"/>
      <c r="F29" s="6" t="str" cm="1">
        <f t="array" ref="F29">IF($B29="Transportation",  'SI - Units'!$B$9:$B$9, _xlfn.XLOOKUP(_xlfn.XLOOKUP($C29,'SI - Units'!$B$24:$B$109,'SI - Units'!$C$24:$C$109, ""),'SI - Units'!$A$2:$A$8,'SI - Units'!$B$2:$B$8, ""))</f>
        <v/>
      </c>
      <c r="G29" s="25"/>
      <c r="H29" s="25"/>
      <c r="I29" s="26" t="str">
        <f>IF(Table118[[#This Row],[Type]]="Co-product", "No", "")</f>
        <v/>
      </c>
      <c r="J29" s="25"/>
      <c r="K29" s="6"/>
      <c r="L29" s="6" t="str">
        <f>IF(Table118[[#This Row],[Category]]="Transportation", _xlfn.XLOOKUP(Table118[[#This Row],[Resource]], 'SI - Payload'!$A$10:$A$38,'SI - Payload'!$B$10:$B$38,"",0),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79"/>
      <c r="F30" s="6" t="str" cm="1">
        <f t="array" ref="F30">IF($B30="Transportation",  'SI - Units'!$B$9:$B$9, _xlfn.XLOOKUP(_xlfn.XLOOKUP($C30,'SI - Units'!$B$24:$B$109,'SI - Units'!$C$24:$C$109, ""),'SI - Units'!$A$2:$A$8,'SI - Units'!$B$2:$B$8, ""))</f>
        <v/>
      </c>
      <c r="G30" s="25"/>
      <c r="H30" s="25"/>
      <c r="I30" s="26" t="str">
        <f>IF(Table118[[#This Row],[Type]]="Co-product", "No", "")</f>
        <v/>
      </c>
      <c r="J30" s="25"/>
      <c r="K30" s="6"/>
      <c r="L30" s="6" t="str">
        <f>IF(Table118[[#This Row],[Category]]="Transportation", _xlfn.XLOOKUP(Table118[[#This Row],[Resource]], 'SI - Payload'!$A$10:$A$38,'SI - Payload'!$B$10:$B$38,"",0),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79"/>
      <c r="F31" s="6" t="str" cm="1">
        <f t="array" ref="F31">IF($B31="Transportation",  'SI - Units'!$B$9:$B$9, _xlfn.XLOOKUP(_xlfn.XLOOKUP($C31,'SI - Units'!$B$24:$B$109,'SI - Units'!$C$24:$C$109, ""),'SI - Units'!$A$2:$A$8,'SI - Units'!$B$2:$B$8, ""))</f>
        <v/>
      </c>
      <c r="G31" s="25"/>
      <c r="H31" s="25"/>
      <c r="I31" s="26" t="str">
        <f>IF(Table118[[#This Row],[Type]]="Co-product", "No", "")</f>
        <v/>
      </c>
      <c r="J31" s="25"/>
      <c r="K31" s="6"/>
      <c r="L31" s="6" t="str">
        <f>IF(Table118[[#This Row],[Category]]="Transportation", _xlfn.XLOOKUP(Table118[[#This Row],[Resource]], 'SI - Payload'!$A$10:$A$38,'SI - Payload'!$B$10:$B$38,"",0),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79"/>
      <c r="F32" s="6" t="str" cm="1">
        <f t="array" ref="F32">IF($B32="Transportation",  'SI - Units'!$B$9:$B$9, _xlfn.XLOOKUP(_xlfn.XLOOKUP($C32,'SI - Units'!$B$24:$B$109,'SI - Units'!$C$24:$C$109, ""),'SI - Units'!$A$2:$A$8,'SI - Units'!$B$2:$B$8, ""))</f>
        <v/>
      </c>
      <c r="G32" s="25"/>
      <c r="H32" s="25"/>
      <c r="I32" s="26" t="str">
        <f>IF(Table118[[#This Row],[Type]]="Co-product", "No", "")</f>
        <v/>
      </c>
      <c r="J32" s="25"/>
      <c r="K32" s="6"/>
      <c r="L32" s="6" t="str">
        <f>IF(Table118[[#This Row],[Category]]="Transportation", _xlfn.XLOOKUP(Table118[[#This Row],[Resource]], 'SI - Payload'!$A$10:$A$38,'SI - Payload'!$B$10:$B$38,"",0), "")</f>
        <v/>
      </c>
      <c r="M32" s="6" t="str">
        <f>IF(Table118[[#This Row],[Category]]="Transportation", "ton", "")</f>
        <v/>
      </c>
      <c r="N32" s="6"/>
      <c r="O32" s="6"/>
      <c r="P32" s="6" t="str">
        <f>IF(OR(Table118[[#This Row],[Type]]="Main Product", Table118[[#This Row],[Type]]="Co-Product"), Table118[[#This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79"/>
      <c r="F33" s="6" t="str" cm="1">
        <f t="array" ref="F33">IF($B33="Transportation",  'SI - Units'!$B$9:$B$9, _xlfn.XLOOKUP(_xlfn.XLOOKUP($C33,'SI - Units'!$B$24:$B$109,'SI - Units'!$C$24:$C$109, ""),'SI - Units'!$A$2:$A$8,'SI - Units'!$B$2:$B$8, ""))</f>
        <v/>
      </c>
      <c r="G33" s="25"/>
      <c r="H33" s="25"/>
      <c r="I33" s="26" t="str">
        <f>IF(Table118[[#This Row],[Type]]="Co-product", "No", "")</f>
        <v/>
      </c>
      <c r="J33" s="25"/>
      <c r="K33" s="6"/>
      <c r="L33" s="6" t="str">
        <f>IF(Table118[[#This Row],[Category]]="Transportation", _xlfn.XLOOKUP(Table118[[#This Row],[Resource]], 'SI - Payload'!$A$10:$A$38,'SI - Payload'!$B$10:$B$38,"",0), "")</f>
        <v/>
      </c>
      <c r="M33" s="6" t="str">
        <f>IF(Table118[[#This Row],[Category]]="Transportation", "ton", "")</f>
        <v/>
      </c>
      <c r="N33" s="6"/>
      <c r="O33" s="6"/>
      <c r="P33" s="6" t="str">
        <f>IF(OR(Table118[[#This Row],[Type]]="Main Product", Table118[[#This Row],[Type]]="Co-Product"), Table118[[#This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79"/>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Payload'!$A$10:$A$38,'SI - Payload'!$B$10:$B$38,"",0),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79"/>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Payload'!$A$10:$A$38,'SI - Payload'!$B$10:$B$38,"",0),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79"/>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Payload'!$A$10:$A$38,'SI - Payload'!$B$10:$B$38,"",0),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79"/>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Payload'!$A$10:$A$38,'SI - Payload'!$B$10:$B$38,"",0),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79"/>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Payload'!$A$10:$A$38,'SI - Payload'!$B$10:$B$38,"",0),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79"/>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Payload'!$A$10:$A$38,'SI - Payload'!$B$10:$B$38,"",0),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79"/>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Payload'!$A$10:$A$38,'SI - Payload'!$B$10:$B$38,"",0),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79"/>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Payload'!$A$10:$A$38,'SI - Payload'!$B$10:$B$38,"",0),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79"/>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Payload'!$A$10:$A$38,'SI - Payload'!$B$10:$B$38,"",0),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79"/>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Payload'!$A$10:$A$38,'SI - Payload'!$B$10:$B$38,"",0),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79"/>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Payload'!$A$10:$A$38,'SI - Payload'!$B$10:$B$38,"",0),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79"/>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Payload'!$A$10:$A$38,'SI - Payload'!$B$10:$B$38,"",0),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79"/>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Payload'!$A$10:$A$38,'SI - Payload'!$B$10:$B$38,"",0),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79"/>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Payload'!$A$10:$A$38,'SI - Payload'!$B$10:$B$38,"",0),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79"/>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Payload'!$A$10:$A$38,'SI - Payload'!$B$10:$B$38,"",0),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79"/>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Payload'!$A$10:$A$38,'SI - Payload'!$B$10:$B$38,"",0),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79"/>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Payload'!$A$10:$A$38,'SI - Payload'!$B$10:$B$38,"",0),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79"/>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Payload'!$A$10:$A$38,'SI - Payload'!$B$10:$B$38,"",0),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79"/>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Payload'!$A$10:$A$38,'SI - Payload'!$B$10:$B$38,"",0),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79"/>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Payload'!$A$10:$A$38,'SI - Payload'!$B$10:$B$38,"",0),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79"/>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Payload'!$A$10:$A$38,'SI - Payload'!$B$10:$B$38,"",0),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79"/>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Payload'!$A$10:$A$38,'SI - Payload'!$B$10:$B$38,"",0),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79"/>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Payload'!$A$10:$A$38,'SI - Payload'!$B$10:$B$38,"",0),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79"/>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Payload'!$A$10:$A$38,'SI - Payload'!$B$10:$B$38,"",0),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79"/>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Payload'!$A$10:$A$38,'SI - Payload'!$B$10:$B$38,"",0),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79"/>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Payload'!$A$10:$A$38,'SI - Payload'!$B$10:$B$38,"",0),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79"/>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Payload'!$A$10:$A$38,'SI - Payload'!$B$10:$B$38,"",0),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79"/>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Payload'!$A$10:$A$38,'SI - Payload'!$B$10:$B$38,"",0),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79"/>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Payload'!$A$10:$A$38,'SI - Payload'!$B$10:$B$38,"",0),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79"/>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Payload'!$A$10:$A$38,'SI - Payload'!$B$10:$B$38,"",0),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79"/>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Payload'!$A$10:$A$38,'SI - Payload'!$B$10:$B$38,"",0),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79"/>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Payload'!$A$10:$A$38,'SI - Payload'!$B$10:$B$38,"",0),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79"/>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Payload'!$A$10:$A$38,'SI - Payload'!$B$10:$B$38,"",0),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79"/>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Payload'!$A$10:$A$38,'SI - Payload'!$B$10:$B$38,"",0),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79"/>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Payload'!$A$10:$A$38,'SI - Payload'!$B$10:$B$38,"",0),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79"/>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Payload'!$A$10:$A$38,'SI - Payload'!$B$10:$B$38,"",0),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79"/>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Payload'!$A$10:$A$38,'SI - Payload'!$B$10:$B$38,"",0),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79"/>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Payload'!$A$10:$A$38,'SI - Payload'!$B$10:$B$38,"",0),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79"/>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Payload'!$A$10:$A$38,'SI - Payload'!$B$10:$B$38,"",0),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79"/>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Payload'!$A$10:$A$38,'SI - Payload'!$B$10:$B$38,"",0),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79"/>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Payload'!$A$10:$A$38,'SI - Payload'!$B$10:$B$38,"",0),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79"/>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Payload'!$A$10:$A$38,'SI - Payload'!$B$10:$B$38,"",0),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79"/>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Payload'!$A$10:$A$38,'SI - Payload'!$B$10:$B$38,"",0),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79"/>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Payload'!$A$10:$A$38,'SI - Payload'!$B$10:$B$38,"",0),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79"/>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Payload'!$A$10:$A$38,'SI - Payload'!$B$10:$B$38,"",0),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79"/>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Payload'!$A$10:$A$38,'SI - Payload'!$B$10:$B$38,"",0),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79"/>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Payload'!$A$10:$A$38,'SI - Payload'!$B$10:$B$38,"",0),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79"/>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Payload'!$A$10:$A$38,'SI - Payload'!$B$10:$B$38,"",0),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79"/>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Payload'!$A$10:$A$38,'SI - Payload'!$B$10:$B$38,"",0),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79"/>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Payload'!$A$10:$A$38,'SI - Payload'!$B$10:$B$38,"",0),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79"/>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Payload'!$A$10:$A$38,'SI - Payload'!$B$10:$B$38,"",0),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79"/>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Payload'!$A$10:$A$38,'SI - Payload'!$B$10:$B$38,"",0),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79"/>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Payload'!$A$10:$A$38,'SI - Payload'!$B$10:$B$38,"",0),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79"/>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Payload'!$A$10:$A$38,'SI - Payload'!$B$10:$B$38,"",0),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79"/>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Payload'!$A$10:$A$38,'SI - Payload'!$B$10:$B$38,"",0),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79"/>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Payload'!$A$10:$A$38,'SI - Payload'!$B$10:$B$38,"",0),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79"/>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Payload'!$A$10:$A$38,'SI - Payload'!$B$10:$B$38,"",0),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79"/>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Payload'!$A$10:$A$38,'SI - Payload'!$B$10:$B$38,"",0),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79"/>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Payload'!$A$10:$A$38,'SI - Payload'!$B$10:$B$38,"",0),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79"/>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Payload'!$A$10:$A$38,'SI - Payload'!$B$10:$B$38,"",0),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79"/>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Payload'!$A$10:$A$38,'SI - Payload'!$B$10:$B$38,"",0),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79"/>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Payload'!$A$10:$A$38,'SI - Payload'!$B$10:$B$38,"",0),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95" xr:uid="{2E780E09-E48E-406E-A27B-DB9924F9A17F}">
      <formula1>0</formula1>
      <formula2>1</formula2>
    </dataValidation>
    <dataValidation type="list" allowBlank="1" showInputMessage="1" showErrorMessage="1" sqref="M6:M95" xr:uid="{801C2333-1E78-4AFE-91E1-F879E6C4B0AC}">
      <formula1>payload_units</formula1>
    </dataValidation>
    <dataValidation type="decimal" operator="greaterThan" allowBlank="1" showInputMessage="1" showErrorMessage="1" error="Please type a positive number." sqref="L6:L95" xr:uid="{C786CC9A-A489-4A10-B74C-6742400B0318}">
      <formula1>0</formula1>
    </dataValidation>
    <dataValidation type="decimal" operator="greaterThan" allowBlank="1" showInputMessage="1" showErrorMessage="1" error="Please type a positive price." sqref="N6:N95" xr:uid="{54CCC6ED-D4ED-484E-BD5A-A8DBE927EB80}">
      <formula1>0</formula1>
    </dataValidation>
    <dataValidation type="decimal" allowBlank="1" showInputMessage="1" showErrorMessage="1" error="Please type a number between 0 and 1." sqref="G6:G95" xr:uid="{D4415697-233F-4DC1-97AC-092ADA5B0734}">
      <formula1>0</formula1>
      <formula2>1</formula2>
    </dataValidation>
    <dataValidation type="custom" allowBlank="1" showInputMessage="1" showErrorMessage="1" sqref="E6:E95"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F6:F95</xm:sqref>
        </x14:dataValidation>
        <x14:dataValidation type="list" allowBlank="1" showInputMessage="1" showErrorMessage="1" xr:uid="{BC898F8B-9D0C-4D76-8FBF-49373E8FCC12}">
          <x14:formula1>
            <xm:f>INDIRECT("p_"&amp;_xlfn.XLOOKUP($C6,'SI - Units'!$F$26:$F$36,'SI - Units'!$G$26:$G$36,"mass",0))</xm:f>
          </x14:formula1>
          <xm:sqref>O6:O95</xm:sqref>
        </x14:dataValidation>
        <x14:dataValidation type="list" allowBlank="1" showInputMessage="1" showErrorMessage="1" xr:uid="{D4B16CB1-7F44-4449-A772-716793E2AF6A}">
          <x14:formula1>
            <xm:f>INDIRECT(_xlfn.XLOOKUP($P6,'SI - End Use'!$A$11:$A$17,'SI - End Use'!$B$11:$B$17,"other_end_use",0))</xm:f>
          </x14:formula1>
          <xm:sqref>Q6:R95</xm:sqref>
        </x14:dataValidation>
        <x14:dataValidation type="list" allowBlank="1" showInputMessage="1" xr:uid="{A026ABCD-9090-484C-8035-86332534803F}">
          <x14:formula1>
            <xm:f>INDIRECT(_xlfn.XLOOKUP($C6,'SI - End Use'!$A$11:$A$17,'SI - End Use'!$B$11:$B$17,"other_end_use",0))</xm:f>
          </x14:formula1>
          <xm:sqref>D6:D95</xm:sqref>
        </x14:dataValidation>
        <x14:dataValidation type="list" allowBlank="1" showInputMessage="1" showErrorMessage="1" xr:uid="{904E694A-45BB-4B94-897E-3907D357430E}">
          <x14:formula1>
            <xm:f>INDIRECT(_xlfn.XLOOKUP($B6, 'SI - Resources'!$R$1:$R$10,'SI - Resources'!$S$1:$S$10, "placeholder_resource", 0))</xm:f>
          </x14:formula1>
          <xm:sqref>P6:P95 C6:C95</xm:sqref>
        </x14:dataValidation>
        <x14:dataValidation type="list" allowBlank="1" showInputMessage="1" showErrorMessage="1" xr:uid="{A6556E34-1713-47C4-BBE6-25D582262715}">
          <x14:formula1>
            <xm:f>'SI - Co-products'!$B$2:$B$6</xm:f>
          </x14:formula1>
          <xm:sqref>A6:A95</xm:sqref>
        </x14:dataValidation>
        <x14:dataValidation type="list" allowBlank="1" showInputMessage="1" showErrorMessage="1" xr:uid="{FA116AF0-7221-484C-805C-A86D516E6E07}">
          <x14:formula1>
            <xm:f>'SI - Resources'!$A$1:$J$1</xm:f>
          </x14:formula1>
          <xm:sqref>B6:B95</xm:sqref>
        </x14:dataValidation>
        <x14:dataValidation type="list" allowBlank="1" showInputMessage="1" showErrorMessage="1" xr:uid="{DDD203C8-AF69-422E-A440-DCF3CD30F809}">
          <x14:formula1>
            <xm:f>'SI - Co-products'!$C$2:$C$4</xm:f>
          </x14:formula1>
          <xm:sqref>I6:I95</xm:sqref>
        </x14:dataValidation>
        <x14:dataValidation type="list" allowBlank="1" showInputMessage="1" showErrorMessage="1" xr:uid="{663B9A35-527C-4790-A0CD-A709044001BC}">
          <x14:formula1>
            <xm:f>'SI - Co-products'!$A$2:$A$5</xm:f>
          </x14:formula1>
          <xm:sqref>K6:K95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A2223-3C32-4F04-AAA2-1104E893A0C9}">
  <sheetPr codeName="Sheet19"/>
  <dimension ref="A1:T100"/>
  <sheetViews>
    <sheetView workbookViewId="0">
      <pane ySplit="5" topLeftCell="A6" activePane="bottomLeft" state="frozen"/>
      <selection activeCell="C19" sqref="C19"/>
      <selection pane="bottomLeft" activeCell="T7" sqref="T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76">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277</v>
      </c>
      <c r="D6" s="6" t="str">
        <f>IF(_xlfn.XLOOKUP($C6,'[2]SI - End Use'!$B$2:$B$6,'[2]SI - End Use'!$C$2:$C$6, "")="", "", _xlfn.XLOOKUP($C6,'[2]SI - End Use'!$B$2:$B$6,'[2]SI - End Use'!$C$2:$C$6, ""))</f>
        <v/>
      </c>
      <c r="E6" s="77">
        <v>1.000045143067781</v>
      </c>
      <c r="F6" s="6" t="s">
        <v>70</v>
      </c>
      <c r="G6" s="25"/>
      <c r="H6" s="25" t="s">
        <v>363</v>
      </c>
      <c r="I6" s="26" t="str">
        <f>IF([2]!Table13[[#This Row],[Type]]="Co-product", "No", "")</f>
        <v/>
      </c>
      <c r="J6" s="25"/>
      <c r="K6" s="6"/>
      <c r="L6" s="6" t="str">
        <f>IF([2]!Table13[[#This Row],[Category]]="Transportation", _xlfn.XLOOKUP([2]!Table13[[#This Row],[Resource]], '[2]SI - Payload'!$A$10:$A$40,'[2]SI - Payload'!$B$10:$B$40,"",0), "")</f>
        <v/>
      </c>
      <c r="M6" s="6" t="str">
        <f>IF([2]!Table13[[#This Row],[Category]]="Transportation", "ton", "")</f>
        <v/>
      </c>
      <c r="N6" s="6"/>
      <c r="O6" s="6"/>
      <c r="P6" s="6" t="str">
        <f>IF(OR([2]!Table13[[#This Row],[Type]]="Main Product", [2]!Table13[[#This Row],[Type]]="Co-Product"), [2]!Table13[[#This Row],[Resource]], "")</f>
        <v/>
      </c>
      <c r="Q6" s="6" t="str">
        <f>IF(_xlfn.XLOOKUP($P6,'[2]SI - End Use'!$B$2:$B$6,'[2]SI - End Use'!$C$2:$C$6, "")="", "", _xlfn.XLOOKUP($C6,'[2]SI - End Use'!$B$2:$B$6,'[2]SI - End Use'!$C$2:$C$6, ""))</f>
        <v/>
      </c>
      <c r="R6" s="6"/>
      <c r="S6" s="6"/>
      <c r="T6" s="6" t="s">
        <v>364</v>
      </c>
    </row>
    <row r="7" spans="1:20" x14ac:dyDescent="0.35">
      <c r="A7" s="6" t="s">
        <v>0</v>
      </c>
      <c r="B7" s="6" t="s">
        <v>245</v>
      </c>
      <c r="C7" s="6" t="s">
        <v>218</v>
      </c>
      <c r="D7" s="6" t="str">
        <f>IF(_xlfn.XLOOKUP($C7,'[2]SI - End Use'!$B$2:$B$6,'[2]SI - End Use'!$C$2:$C$6, "")="", "", _xlfn.XLOOKUP($C7,'[2]SI - End Use'!$B$2:$B$6,'[2]SI - End Use'!$C$2:$C$6, ""))</f>
        <v/>
      </c>
      <c r="E7" s="74">
        <v>1.087</v>
      </c>
      <c r="F7" s="6" t="s">
        <v>27</v>
      </c>
      <c r="G7" s="25"/>
      <c r="H7" s="25"/>
      <c r="I7" s="26" t="str">
        <f>IF([2]!Table13[[#This Row],[Type]]="Co-product", "No", "")</f>
        <v/>
      </c>
      <c r="J7" s="25">
        <v>0.67</v>
      </c>
      <c r="K7" s="6"/>
      <c r="L7" s="6" t="str">
        <f>IF([2]!Table13[[#This Row],[Category]]="Transportation", _xlfn.XLOOKUP([2]!Table13[[#This Row],[Resource]], '[2]SI - Payload'!$A$10:$A$40,'[2]SI - Payload'!$B$10:$B$40,"",0), "")</f>
        <v/>
      </c>
      <c r="M7" s="6" t="str">
        <f>IF([2]!Table13[[#This Row],[Category]]="Transportation", "ton", "")</f>
        <v/>
      </c>
      <c r="N7" s="6"/>
      <c r="O7" s="6"/>
      <c r="P7" s="6" t="str">
        <f>IF(OR([2]!Table13[[#This Row],[Type]]="Main Product", [2]!Table13[[#This Row],[Type]]="Co-Product"), [2]!Table13[[#This Row],[Resource]], "")</f>
        <v/>
      </c>
      <c r="Q7" s="6" t="str">
        <f>IF(_xlfn.XLOOKUP($P7,'[2]SI - End Use'!$B$2:$B$6,'[2]SI - End Use'!$C$2:$C$6, "")="", "", _xlfn.XLOOKUP($C7,'[2]SI - End Use'!$B$2:$B$6,'[2]SI - End Use'!$C$2:$C$6, ""))</f>
        <v/>
      </c>
      <c r="R7" s="6"/>
      <c r="S7" s="6"/>
      <c r="T7" s="6"/>
    </row>
    <row r="8" spans="1:20" x14ac:dyDescent="0.35">
      <c r="A8" s="6" t="s">
        <v>0</v>
      </c>
      <c r="B8" s="6" t="s">
        <v>33</v>
      </c>
      <c r="C8" s="6" t="s">
        <v>277</v>
      </c>
      <c r="D8" s="6"/>
      <c r="E8" s="12">
        <v>30</v>
      </c>
      <c r="F8" s="6" t="s">
        <v>34</v>
      </c>
      <c r="G8" s="25"/>
      <c r="H8" s="25"/>
      <c r="I8" s="26" t="str">
        <f>IF([2]!Table13[[#This Row],[Type]]="Co-product", "No", "")</f>
        <v/>
      </c>
      <c r="J8" s="25"/>
      <c r="K8" s="6"/>
      <c r="L8" s="6">
        <f>IF([2]!Table13[[#This Row],[Category]]="Transportation", _xlfn.XLOOKUP([2]!Table13[[#This Row],[Resource]], '[2]SI - Payload'!$A$10:$A$40,'[2]SI - Payload'!$B$10:$B$40,"",0), "")</f>
        <v>25</v>
      </c>
      <c r="M8" s="6" t="str">
        <f>IF([2]!Table13[[#This Row],[Category]]="Transportation", "ton", "")</f>
        <v>ton</v>
      </c>
      <c r="N8" s="6"/>
      <c r="O8" s="6"/>
      <c r="P8" s="6"/>
      <c r="Q8" s="6"/>
      <c r="R8" s="6"/>
      <c r="S8" s="6"/>
      <c r="T8" s="6"/>
    </row>
    <row r="9" spans="1:20" x14ac:dyDescent="0.35">
      <c r="A9" s="6" t="s">
        <v>113</v>
      </c>
      <c r="B9" s="6" t="s">
        <v>244</v>
      </c>
      <c r="C9" s="6" t="s">
        <v>277</v>
      </c>
      <c r="D9" s="6" t="s">
        <v>83</v>
      </c>
      <c r="E9" s="12">
        <v>1</v>
      </c>
      <c r="F9" s="6" t="s">
        <v>70</v>
      </c>
      <c r="G9" s="25"/>
      <c r="H9" s="25"/>
      <c r="I9" s="26" t="str">
        <f>IF([2]!Table13[[#This Row],[Type]]="Co-product", "No", "")</f>
        <v/>
      </c>
      <c r="J9" s="25">
        <v>0.7</v>
      </c>
      <c r="K9" s="6"/>
      <c r="L9" s="6" t="str">
        <f>IF([2]!Table13[[#This Row],[Category]]="Transportation", _xlfn.XLOOKUP([2]!Table13[[#This Row],[Resource]], '[2]SI - Payload'!$A$10:$A$40,'[2]SI - Payload'!$B$10:$B$40,"",0), "")</f>
        <v/>
      </c>
      <c r="M9" s="6" t="str">
        <f>IF([2]!Table13[[#This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IF([2]!Table13[[#This Row],[Type]]="Co-product", "No", "")</f>
        <v/>
      </c>
      <c r="J10" s="25"/>
      <c r="K10" s="6"/>
      <c r="L10" s="6" t="str">
        <f>IF([2]!Table13[[#This Row],[Category]]="Transportation", _xlfn.XLOOKUP([2]!Table13[[#This Row],[Resource]], '[2]SI - Payload'!$A$10:$A$40,'[2]SI - Payload'!$B$10:$B$40,"",0), "")</f>
        <v/>
      </c>
      <c r="M10" s="6" t="str">
        <f>IF([2]!Table13[[#This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IF([2]!Table13[[#This Row],[Type]]="Co-product", "No", "")</f>
        <v/>
      </c>
      <c r="J11" s="25"/>
      <c r="K11" s="6"/>
      <c r="L11" s="6" t="str">
        <f>IF([2]!Table13[[#This Row],[Category]]="Transportation", _xlfn.XLOOKUP([2]!Table13[[#This Row],[Resource]], '[2]SI - Payload'!$A$10:$A$40,'[2]SI - Payload'!$B$10:$B$40,"",0), "")</f>
        <v/>
      </c>
      <c r="M11" s="6" t="str">
        <f>IF([2]!Table13[[#This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IF([2]!Table13[[#This Row],[Type]]="Co-product", "No", "")</f>
        <v/>
      </c>
      <c r="J12" s="25"/>
      <c r="K12" s="6"/>
      <c r="L12" s="6" t="str">
        <f>IF([2]!Table13[[#This Row],[Category]]="Transportation", _xlfn.XLOOKUP([2]!Table13[[#This Row],[Resource]], '[2]SI - Payload'!$A$10:$A$40,'[2]SI - Payload'!$B$10:$B$40,"",0), "")</f>
        <v/>
      </c>
      <c r="M12" s="6" t="str">
        <f>IF([2]!Table13[[#This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IF([2]!Table13[[#This Row],[Type]]="Co-product", "No", "")</f>
        <v/>
      </c>
      <c r="J13" s="25"/>
      <c r="K13" s="6"/>
      <c r="L13" s="6" t="str">
        <f>IF([2]!Table13[[#This Row],[Category]]="Transportation", _xlfn.XLOOKUP([2]!Table13[[#This Row],[Resource]], '[2]SI - Payload'!$A$10:$A$40,'[2]SI - Payload'!$B$10:$B$40,"",0), "")</f>
        <v/>
      </c>
      <c r="M13" s="6" t="str">
        <f>IF([2]!Table13[[#This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IF([2]!Table13[[#This Row],[Type]]="Co-product", "No", "")</f>
        <v/>
      </c>
      <c r="J14" s="25"/>
      <c r="K14" s="6"/>
      <c r="L14" s="6" t="str">
        <f>IF([2]!Table13[[#This Row],[Category]]="Transportation", _xlfn.XLOOKUP([2]!Table13[[#This Row],[Resource]], '[2]SI - Payload'!$A$10:$A$40,'[2]SI - Payload'!$B$10:$B$40,"",0), "")</f>
        <v/>
      </c>
      <c r="M14" s="6" t="str">
        <f>IF([2]!Table13[[#This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IF([2]!Table13[[#This Row],[Type]]="Co-product", "No", "")</f>
        <v/>
      </c>
      <c r="J15" s="25"/>
      <c r="K15" s="6"/>
      <c r="L15" s="6" t="str">
        <f>IF([2]!Table13[[#This Row],[Category]]="Transportation", _xlfn.XLOOKUP([2]!Table13[[#This Row],[Resource]], '[2]SI - Payload'!$A$10:$A$40,'[2]SI - Payload'!$B$10:$B$40,"",0), "")</f>
        <v/>
      </c>
      <c r="M15" s="6" t="str">
        <f>IF([2]!Table13[[#This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IF([2]!Table13[[#This Row],[Type]]="Co-product", "No", "")</f>
        <v/>
      </c>
      <c r="J16" s="25"/>
      <c r="K16" s="6"/>
      <c r="L16" s="6" t="str">
        <f>IF([2]!Table13[[#This Row],[Category]]="Transportation", _xlfn.XLOOKUP([2]!Table13[[#This Row],[Resource]], '[2]SI - Payload'!$A$10:$A$40,'[2]SI - Payload'!$B$10:$B$40,"",0), "")</f>
        <v/>
      </c>
      <c r="M16" s="6" t="str">
        <f>IF([2]!Table13[[#This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IF([2]!Table13[[#This Row],[Type]]="Co-product", "No", "")</f>
        <v/>
      </c>
      <c r="J17" s="25"/>
      <c r="K17" s="6"/>
      <c r="L17" s="6" t="str">
        <f>IF([2]!Table13[[#This Row],[Category]]="Transportation", _xlfn.XLOOKUP([2]!Table13[[#This Row],[Resource]], '[2]SI - Payload'!$A$10:$A$40,'[2]SI - Payload'!$B$10:$B$40,"",0), "")</f>
        <v/>
      </c>
      <c r="M17" s="6" t="str">
        <f>IF([2]!Table13[[#This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IF([2]!Table13[[#This Row],[Type]]="Co-product", "No", "")</f>
        <v/>
      </c>
      <c r="J18" s="25"/>
      <c r="K18" s="6"/>
      <c r="L18" s="6" t="str">
        <f>IF([2]!Table13[[#This Row],[Category]]="Transportation", _xlfn.XLOOKUP([2]!Table13[[#This Row],[Resource]], '[2]SI - Payload'!$A$10:$A$40,'[2]SI - Payload'!$B$10:$B$40,"",0), "")</f>
        <v/>
      </c>
      <c r="M18" s="6" t="str">
        <f>IF([2]!Table13[[#This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IF([2]!Table13[[#This Row],[Type]]="Co-product", "No", "")</f>
        <v/>
      </c>
      <c r="J19" s="25"/>
      <c r="K19" s="6"/>
      <c r="L19" s="6" t="str">
        <f>IF([2]!Table13[[#This Row],[Category]]="Transportation", _xlfn.XLOOKUP([2]!Table13[[#This Row],[Resource]], '[2]SI - Payload'!$A$10:$A$40,'[2]SI - Payload'!$B$10:$B$40,"",0), "")</f>
        <v/>
      </c>
      <c r="M19" s="6" t="str">
        <f>IF([2]!Table13[[#This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IF([2]!Table13[[#This Row],[Type]]="Co-product", "No", "")</f>
        <v/>
      </c>
      <c r="J20" s="25"/>
      <c r="K20" s="6"/>
      <c r="L20" s="6" t="str">
        <f>IF([2]!Table13[[#This Row],[Category]]="Transportation", _xlfn.XLOOKUP([2]!Table13[[#This Row],[Resource]], '[2]SI - Payload'!$A$10:$A$40,'[2]SI - Payload'!$B$10:$B$40,"",0), "")</f>
        <v/>
      </c>
      <c r="M20" s="6" t="str">
        <f>IF([2]!Table13[[#This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IF([2]!Table13[[#This Row],[Type]]="Co-product", "No", "")</f>
        <v/>
      </c>
      <c r="J21" s="25"/>
      <c r="K21" s="6"/>
      <c r="L21" s="6" t="str">
        <f>IF([2]!Table13[[#This Row],[Category]]="Transportation", _xlfn.XLOOKUP([2]!Table13[[#This Row],[Resource]], '[2]SI - Payload'!$A$10:$A$40,'[2]SI - Payload'!$B$10:$B$40,"",0), "")</f>
        <v/>
      </c>
      <c r="M21" s="6" t="str">
        <f>IF([2]!Table13[[#This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IF([2]!Table13[[#This Row],[Type]]="Co-product", "No", "")</f>
        <v/>
      </c>
      <c r="J22" s="25"/>
      <c r="K22" s="6"/>
      <c r="L22" s="6" t="str">
        <f>IF([2]!Table13[[#This Row],[Category]]="Transportation", _xlfn.XLOOKUP([2]!Table13[[#This Row],[Resource]], '[2]SI - Payload'!$A$10:$A$40,'[2]SI - Payload'!$B$10:$B$40,"",0), "")</f>
        <v/>
      </c>
      <c r="M22" s="6" t="str">
        <f>IF([2]!Table13[[#This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IF([2]!Table13[[#This Row],[Type]]="Co-product", "No", "")</f>
        <v/>
      </c>
      <c r="J23" s="25"/>
      <c r="K23" s="6"/>
      <c r="L23" s="6" t="str">
        <f>IF([2]!Table13[[#This Row],[Category]]="Transportation", _xlfn.XLOOKUP([2]!Table13[[#This Row],[Resource]], '[2]SI - Payload'!$A$10:$A$40,'[2]SI - Payload'!$B$10:$B$40,"",0), "")</f>
        <v/>
      </c>
      <c r="M23" s="6" t="str">
        <f>IF([2]!Table13[[#This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IF([2]!Table13[[#This Row],[Type]]="Co-product", "No", "")</f>
        <v/>
      </c>
      <c r="J24" s="25"/>
      <c r="K24" s="6"/>
      <c r="L24" s="6" t="str">
        <f>IF([2]!Table13[[#This Row],[Category]]="Transportation", _xlfn.XLOOKUP([2]!Table13[[#This Row],[Resource]], '[2]SI - Payload'!$A$10:$A$40,'[2]SI - Payload'!$B$10:$B$40,"",0), "")</f>
        <v/>
      </c>
      <c r="M24" s="6" t="str">
        <f>IF([2]!Table13[[#This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IF([2]!Table13[[#This Row],[Type]]="Co-product", "No", "")</f>
        <v/>
      </c>
      <c r="J25" s="25"/>
      <c r="K25" s="6"/>
      <c r="L25" s="6" t="str">
        <f>IF([2]!Table13[[#This Row],[Category]]="Transportation", _xlfn.XLOOKUP([2]!Table13[[#This Row],[Resource]], '[2]SI - Payload'!$A$10:$A$40,'[2]SI - Payload'!$B$10:$B$40,"",0), "")</f>
        <v/>
      </c>
      <c r="M25" s="6" t="str">
        <f>IF([2]!Table13[[#This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IF([2]!Table13[[#This Row],[Type]]="Co-product", "No", "")</f>
        <v/>
      </c>
      <c r="J26" s="25"/>
      <c r="K26" s="6"/>
      <c r="L26" s="6" t="str">
        <f>IF([2]!Table13[[#This Row],[Category]]="Transportation", _xlfn.XLOOKUP([2]!Table13[[#This Row],[Resource]], '[2]SI - Payload'!$A$10:$A$40,'[2]SI - Payload'!$B$10:$B$40,"",0), "")</f>
        <v/>
      </c>
      <c r="M26" s="6" t="str">
        <f>IF([2]!Table13[[#This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IF([2]!Table13[[#This Row],[Type]]="Co-product", "No", "")</f>
        <v/>
      </c>
      <c r="J27" s="25"/>
      <c r="K27" s="6"/>
      <c r="L27" s="6" t="str">
        <f>IF([2]!Table13[[#This Row],[Category]]="Transportation", _xlfn.XLOOKUP([2]!Table13[[#This Row],[Resource]], '[2]SI - Payload'!$A$10:$A$40,'[2]SI - Payload'!$B$10:$B$40,"",0), "")</f>
        <v/>
      </c>
      <c r="M27" s="6" t="str">
        <f>IF([2]!Table13[[#This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IF([2]!Table13[[#This Row],[Type]]="Co-product", "No", "")</f>
        <v/>
      </c>
      <c r="J28" s="25"/>
      <c r="K28" s="6"/>
      <c r="L28" s="6" t="str">
        <f>IF([2]!Table13[[#This Row],[Category]]="Transportation", _xlfn.XLOOKUP([2]!Table13[[#This Row],[Resource]], '[2]SI - Payload'!$A$10:$A$40,'[2]SI - Payload'!$B$10:$B$40,"",0), "")</f>
        <v/>
      </c>
      <c r="M28" s="6" t="str">
        <f>IF([2]!Table13[[#This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IF([2]!Table13[[#This Row],[Type]]="Co-product", "No", "")</f>
        <v/>
      </c>
      <c r="J29" s="25"/>
      <c r="K29" s="6"/>
      <c r="L29" s="6" t="str">
        <f>IF([2]!Table13[[#This Row],[Category]]="Transportation", _xlfn.XLOOKUP([2]!Table13[[#This Row],[Resource]], '[2]SI - Payload'!$A$10:$A$40,'[2]SI - Payload'!$B$10:$B$40,"",0), "")</f>
        <v/>
      </c>
      <c r="M29" s="6" t="str">
        <f>IF([2]!Table13[[#This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IF([2]!Table13[[#This Row],[Type]]="Co-product", "No", "")</f>
        <v/>
      </c>
      <c r="J30" s="25"/>
      <c r="K30" s="6"/>
      <c r="L30" s="6" t="str">
        <f>IF([2]!Table13[[#This Row],[Category]]="Transportation", _xlfn.XLOOKUP([2]!Table13[[#This Row],[Resource]], '[2]SI - Payload'!$A$10:$A$40,'[2]SI - Payload'!$B$10:$B$40,"",0), "")</f>
        <v/>
      </c>
      <c r="M30" s="6" t="str">
        <f>IF([2]!Table13[[#This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IF([2]!Table13[[#This Row],[Type]]="Co-product", "No", "")</f>
        <v/>
      </c>
      <c r="J31" s="25"/>
      <c r="K31" s="6"/>
      <c r="L31" s="6" t="str">
        <f>IF([2]!Table13[[#This Row],[Category]]="Transportation", _xlfn.XLOOKUP([2]!Table13[[#This Row],[Resource]], '[2]SI - Payload'!$A$10:$A$40,'[2]SI - Payload'!$B$10:$B$40,"",0), "")</f>
        <v/>
      </c>
      <c r="M31" s="6" t="str">
        <f>IF([2]!Table13[[#This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IF([2]!Table13[[#This Row],[Type]]="Co-product", "No", "")</f>
        <v/>
      </c>
      <c r="J32" s="25"/>
      <c r="K32" s="6"/>
      <c r="L32" s="6" t="str">
        <f>IF([2]!Table13[[#This Row],[Category]]="Transportation", _xlfn.XLOOKUP([2]!Table13[[#This Row],[Resource]], '[2]SI - Payload'!$A$10:$A$40,'[2]SI - Payload'!$B$10:$B$40,"",0), "")</f>
        <v/>
      </c>
      <c r="M32" s="6" t="str">
        <f>IF([2]!Table13[[#This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IF([2]!Table13[[#This Row],[Type]]="Co-product", "No", "")</f>
        <v/>
      </c>
      <c r="J33" s="25"/>
      <c r="K33" s="6"/>
      <c r="L33" s="6" t="str">
        <f>IF([2]!Table13[[#This Row],[Category]]="Transportation", _xlfn.XLOOKUP([2]!Table13[[#This Row],[Resource]], '[2]SI - Payload'!$A$10:$A$40,'[2]SI - Payload'!$B$10:$B$40,"",0), "")</f>
        <v/>
      </c>
      <c r="M33" s="6" t="str">
        <f>IF([2]!Table13[[#This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IF([2]!Table13[[#This Row],[Type]]="Co-product", "No", "")</f>
        <v/>
      </c>
      <c r="J34" s="25"/>
      <c r="K34" s="6"/>
      <c r="L34" s="6" t="str">
        <f>IF([2]!Table13[[#This Row],[Category]]="Transportation", _xlfn.XLOOKUP([2]!Table13[[#This Row],[Resource]], '[2]SI - Payload'!$A$10:$A$40,'[2]SI - Payload'!$B$10:$B$40,"",0), "")</f>
        <v/>
      </c>
      <c r="M34" s="6" t="str">
        <f>IF([2]!Table13[[#This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IF([2]!Table13[[#This Row],[Type]]="Co-product", "No", "")</f>
        <v/>
      </c>
      <c r="J35" s="25"/>
      <c r="K35" s="6"/>
      <c r="L35" s="6" t="str">
        <f>IF([2]!Table13[[#This Row],[Category]]="Transportation", _xlfn.XLOOKUP([2]!Table13[[#This Row],[Resource]], '[2]SI - Payload'!$A$10:$A$40,'[2]SI - Payload'!$B$10:$B$40,"",0), "")</f>
        <v/>
      </c>
      <c r="M35" s="6" t="str">
        <f>IF([2]!Table13[[#This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IF([2]!Table13[[#This Row],[Type]]="Co-product", "No", "")</f>
        <v/>
      </c>
      <c r="J36" s="25"/>
      <c r="K36" s="6"/>
      <c r="L36" s="6" t="str">
        <f>IF([2]!Table13[[#This Row],[Category]]="Transportation", _xlfn.XLOOKUP([2]!Table13[[#This Row],[Resource]], '[2]SI - Payload'!$A$10:$A$40,'[2]SI - Payload'!$B$10:$B$40,"",0), "")</f>
        <v/>
      </c>
      <c r="M36" s="6" t="str">
        <f>IF([2]!Table13[[#This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IF([2]!Table13[[#This Row],[Type]]="Co-product", "No", "")</f>
        <v/>
      </c>
      <c r="J37" s="25"/>
      <c r="K37" s="6"/>
      <c r="L37" s="6" t="str">
        <f>IF([2]!Table13[[#This Row],[Category]]="Transportation", _xlfn.XLOOKUP([2]!Table13[[#This Row],[Resource]], '[2]SI - Payload'!$A$10:$A$40,'[2]SI - Payload'!$B$10:$B$40,"",0), "")</f>
        <v/>
      </c>
      <c r="M37" s="6" t="str">
        <f>IF([2]!Table13[[#This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IF([2]!Table13[[#This Row],[Type]]="Co-product", "No", "")</f>
        <v/>
      </c>
      <c r="J38" s="25"/>
      <c r="K38" s="6"/>
      <c r="L38" s="6" t="str">
        <f>IF([2]!Table13[[#This Row],[Category]]="Transportation", _xlfn.XLOOKUP([2]!Table13[[#This Row],[Resource]], '[2]SI - Payload'!$A$10:$A$40,'[2]SI - Payload'!$B$10:$B$40,"",0), "")</f>
        <v/>
      </c>
      <c r="M38" s="6" t="str">
        <f>IF([2]!Table13[[#This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IF([2]!Table13[[#This Row],[Type]]="Co-product", "No", "")</f>
        <v/>
      </c>
      <c r="J39" s="25"/>
      <c r="K39" s="6"/>
      <c r="L39" s="6" t="str">
        <f>IF([2]!Table13[[#This Row],[Category]]="Transportation", _xlfn.XLOOKUP([2]!Table13[[#This Row],[Resource]], '[2]SI - Payload'!$A$10:$A$40,'[2]SI - Payload'!$B$10:$B$40,"",0), "")</f>
        <v/>
      </c>
      <c r="M39" s="6" t="str">
        <f>IF([2]!Table13[[#This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IF([2]!Table13[[#This Row],[Type]]="Co-product", "No", "")</f>
        <v/>
      </c>
      <c r="J40" s="25"/>
      <c r="K40" s="6"/>
      <c r="L40" s="6" t="str">
        <f>IF([2]!Table13[[#This Row],[Category]]="Transportation", _xlfn.XLOOKUP([2]!Table13[[#This Row],[Resource]], '[2]SI - Payload'!$A$10:$A$40,'[2]SI - Payload'!$B$10:$B$40,"",0), "")</f>
        <v/>
      </c>
      <c r="M40" s="6" t="str">
        <f>IF([2]!Table13[[#This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IF([2]!Table13[[#This Row],[Type]]="Co-product", "No", "")</f>
        <v/>
      </c>
      <c r="J41" s="25"/>
      <c r="K41" s="6"/>
      <c r="L41" s="6" t="str">
        <f>IF([2]!Table13[[#This Row],[Category]]="Transportation", _xlfn.XLOOKUP([2]!Table13[[#This Row],[Resource]], '[2]SI - Payload'!$A$10:$A$40,'[2]SI - Payload'!$B$10:$B$40,"",0), "")</f>
        <v/>
      </c>
      <c r="M41" s="6" t="str">
        <f>IF([2]!Table13[[#This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IF([2]!Table13[[#This Row],[Type]]="Co-product", "No", "")</f>
        <v/>
      </c>
      <c r="J42" s="25"/>
      <c r="K42" s="6"/>
      <c r="L42" s="6" t="str">
        <f>IF([2]!Table13[[#This Row],[Category]]="Transportation", _xlfn.XLOOKUP([2]!Table13[[#This Row],[Resource]], '[2]SI - Payload'!$A$10:$A$40,'[2]SI - Payload'!$B$10:$B$40,"",0), "")</f>
        <v/>
      </c>
      <c r="M42" s="6" t="str">
        <f>IF([2]!Table13[[#This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IF([2]!Table13[[#This Row],[Type]]="Co-product", "No", "")</f>
        <v/>
      </c>
      <c r="J43" s="25"/>
      <c r="K43" s="6"/>
      <c r="L43" s="6" t="str">
        <f>IF([2]!Table13[[#This Row],[Category]]="Transportation", _xlfn.XLOOKUP([2]!Table13[[#This Row],[Resource]], '[2]SI - Payload'!$A$10:$A$40,'[2]SI - Payload'!$B$10:$B$40,"",0), "")</f>
        <v/>
      </c>
      <c r="M43" s="6" t="str">
        <f>IF([2]!Table13[[#This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IF([2]!Table13[[#This Row],[Type]]="Co-product", "No", "")</f>
        <v/>
      </c>
      <c r="J44" s="25"/>
      <c r="K44" s="6"/>
      <c r="L44" s="6" t="str">
        <f>IF([2]!Table13[[#This Row],[Category]]="Transportation", _xlfn.XLOOKUP([2]!Table13[[#This Row],[Resource]], '[2]SI - Payload'!$A$10:$A$40,'[2]SI - Payload'!$B$10:$B$40,"",0), "")</f>
        <v/>
      </c>
      <c r="M44" s="6" t="str">
        <f>IF([2]!Table13[[#This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IF([2]!Table13[[#This Row],[Type]]="Co-product", "No", "")</f>
        <v/>
      </c>
      <c r="J45" s="25"/>
      <c r="K45" s="6"/>
      <c r="L45" s="6" t="str">
        <f>IF([2]!Table13[[#This Row],[Category]]="Transportation", _xlfn.XLOOKUP([2]!Table13[[#This Row],[Resource]], '[2]SI - Payload'!$A$10:$A$40,'[2]SI - Payload'!$B$10:$B$40,"",0), "")</f>
        <v/>
      </c>
      <c r="M45" s="6" t="str">
        <f>IF([2]!Table13[[#This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IF([2]!Table13[[#This Row],[Type]]="Co-product", "No", "")</f>
        <v/>
      </c>
      <c r="J46" s="25"/>
      <c r="K46" s="6"/>
      <c r="L46" s="6" t="str">
        <f>IF([2]!Table13[[#This Row],[Category]]="Transportation", _xlfn.XLOOKUP([2]!Table13[[#This Row],[Resource]], '[2]SI - Payload'!$A$10:$A$40,'[2]SI - Payload'!$B$10:$B$40,"",0), "")</f>
        <v/>
      </c>
      <c r="M46" s="6" t="str">
        <f>IF([2]!Table13[[#This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IF([2]!Table13[[#This Row],[Type]]="Co-product", "No", "")</f>
        <v/>
      </c>
      <c r="J47" s="25"/>
      <c r="K47" s="6"/>
      <c r="L47" s="6" t="str">
        <f>IF([2]!Table13[[#This Row],[Category]]="Transportation", _xlfn.XLOOKUP([2]!Table13[[#This Row],[Resource]], '[2]SI - Payload'!$A$10:$A$40,'[2]SI - Payload'!$B$10:$B$40,"",0), "")</f>
        <v/>
      </c>
      <c r="M47" s="6" t="str">
        <f>IF([2]!Table13[[#This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IF([2]!Table13[[#This Row],[Type]]="Co-product", "No", "")</f>
        <v/>
      </c>
      <c r="J48" s="25"/>
      <c r="K48" s="6"/>
      <c r="L48" s="6" t="str">
        <f>IF([2]!Table13[[#This Row],[Category]]="Transportation", _xlfn.XLOOKUP([2]!Table13[[#This Row],[Resource]], '[2]SI - Payload'!$A$10:$A$40,'[2]SI - Payload'!$B$10:$B$40,"",0), "")</f>
        <v/>
      </c>
      <c r="M48" s="6" t="str">
        <f>IF([2]!Table13[[#This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IF([2]!Table13[[#This Row],[Type]]="Co-product", "No", "")</f>
        <v/>
      </c>
      <c r="J49" s="25"/>
      <c r="K49" s="6"/>
      <c r="L49" s="6" t="str">
        <f>IF([2]!Table13[[#This Row],[Category]]="Transportation", _xlfn.XLOOKUP([2]!Table13[[#This Row],[Resource]], '[2]SI - Payload'!$A$10:$A$40,'[2]SI - Payload'!$B$10:$B$40,"",0), "")</f>
        <v/>
      </c>
      <c r="M49" s="6" t="str">
        <f>IF([2]!Table13[[#This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IF([2]!Table13[[#This Row],[Type]]="Co-product", "No", "")</f>
        <v/>
      </c>
      <c r="J50" s="25"/>
      <c r="K50" s="6"/>
      <c r="L50" s="6" t="str">
        <f>IF([2]!Table13[[#This Row],[Category]]="Transportation", _xlfn.XLOOKUP([2]!Table13[[#This Row],[Resource]], '[2]SI - Payload'!$A$10:$A$40,'[2]SI - Payload'!$B$10:$B$40,"",0), "")</f>
        <v/>
      </c>
      <c r="M50" s="6" t="str">
        <f>IF([2]!Table13[[#This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IF([2]!Table13[[#This Row],[Type]]="Co-product", "No", "")</f>
        <v/>
      </c>
      <c r="J51" s="25"/>
      <c r="K51" s="6"/>
      <c r="L51" s="6" t="str">
        <f>IF([2]!Table13[[#This Row],[Category]]="Transportation", _xlfn.XLOOKUP([2]!Table13[[#This Row],[Resource]], '[2]SI - Payload'!$A$10:$A$40,'[2]SI - Payload'!$B$10:$B$40,"",0), "")</f>
        <v/>
      </c>
      <c r="M51" s="6" t="str">
        <f>IF([2]!Table13[[#This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IF([2]!Table13[[#This Row],[Type]]="Co-product", "No", "")</f>
        <v/>
      </c>
      <c r="J52" s="25"/>
      <c r="K52" s="6"/>
      <c r="L52" s="6" t="str">
        <f>IF([2]!Table13[[#This Row],[Category]]="Transportation", _xlfn.XLOOKUP([2]!Table13[[#This Row],[Resource]], '[2]SI - Payload'!$A$10:$A$40,'[2]SI - Payload'!$B$10:$B$40,"",0), "")</f>
        <v/>
      </c>
      <c r="M52" s="6" t="str">
        <f>IF([2]!Table13[[#This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IF([2]!Table13[[#This Row],[Type]]="Co-product", "No", "")</f>
        <v/>
      </c>
      <c r="J53" s="25"/>
      <c r="K53" s="6"/>
      <c r="L53" s="6" t="str">
        <f>IF([2]!Table13[[#This Row],[Category]]="Transportation", _xlfn.XLOOKUP([2]!Table13[[#This Row],[Resource]], '[2]SI - Payload'!$A$10:$A$40,'[2]SI - Payload'!$B$10:$B$40,"",0), "")</f>
        <v/>
      </c>
      <c r="M53" s="6" t="str">
        <f>IF([2]!Table13[[#This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IF([2]!Table13[[#This Row],[Type]]="Co-product", "No", "")</f>
        <v/>
      </c>
      <c r="J54" s="25"/>
      <c r="K54" s="6"/>
      <c r="L54" s="6" t="str">
        <f>IF([2]!Table13[[#This Row],[Category]]="Transportation", _xlfn.XLOOKUP([2]!Table13[[#This Row],[Resource]], '[2]SI - Payload'!$A$10:$A$40,'[2]SI - Payload'!$B$10:$B$40,"",0), "")</f>
        <v/>
      </c>
      <c r="M54" s="6" t="str">
        <f>IF([2]!Table13[[#This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IF([2]!Table13[[#This Row],[Type]]="Co-product", "No", "")</f>
        <v/>
      </c>
      <c r="J55" s="25"/>
      <c r="K55" s="6"/>
      <c r="L55" s="6" t="str">
        <f>IF([2]!Table13[[#This Row],[Category]]="Transportation", _xlfn.XLOOKUP([2]!Table13[[#This Row],[Resource]], '[2]SI - Payload'!$A$10:$A$40,'[2]SI - Payload'!$B$10:$B$40,"",0), "")</f>
        <v/>
      </c>
      <c r="M55" s="6" t="str">
        <f>IF([2]!Table13[[#This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IF([2]!Table13[[#This Row],[Type]]="Co-product", "No", "")</f>
        <v/>
      </c>
      <c r="J56" s="25"/>
      <c r="K56" s="6"/>
      <c r="L56" s="6" t="str">
        <f>IF([2]!Table13[[#This Row],[Category]]="Transportation", _xlfn.XLOOKUP([2]!Table13[[#This Row],[Resource]], '[2]SI - Payload'!$A$10:$A$40,'[2]SI - Payload'!$B$10:$B$40,"",0), "")</f>
        <v/>
      </c>
      <c r="M56" s="6" t="str">
        <f>IF([2]!Table13[[#This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IF([2]!Table13[[#This Row],[Type]]="Co-product", "No", "")</f>
        <v/>
      </c>
      <c r="J57" s="25"/>
      <c r="K57" s="6"/>
      <c r="L57" s="6" t="str">
        <f>IF([2]!Table13[[#This Row],[Category]]="Transportation", _xlfn.XLOOKUP([2]!Table13[[#This Row],[Resource]], '[2]SI - Payload'!$A$10:$A$40,'[2]SI - Payload'!$B$10:$B$40,"",0), "")</f>
        <v/>
      </c>
      <c r="M57" s="6" t="str">
        <f>IF([2]!Table13[[#This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IF([2]!Table13[[#This Row],[Type]]="Co-product", "No", "")</f>
        <v/>
      </c>
      <c r="J58" s="25"/>
      <c r="K58" s="6"/>
      <c r="L58" s="6" t="str">
        <f>IF([2]!Table13[[#This Row],[Category]]="Transportation", _xlfn.XLOOKUP([2]!Table13[[#This Row],[Resource]], '[2]SI - Payload'!$A$10:$A$40,'[2]SI - Payload'!$B$10:$B$40,"",0), "")</f>
        <v/>
      </c>
      <c r="M58" s="6" t="str">
        <f>IF([2]!Table13[[#This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IF([2]!Table13[[#This Row],[Type]]="Co-product", "No", "")</f>
        <v/>
      </c>
      <c r="J59" s="25"/>
      <c r="K59" s="6"/>
      <c r="L59" s="6" t="str">
        <f>IF([2]!Table13[[#This Row],[Category]]="Transportation", _xlfn.XLOOKUP([2]!Table13[[#This Row],[Resource]], '[2]SI - Payload'!$A$10:$A$40,'[2]SI - Payload'!$B$10:$B$40,"",0), "")</f>
        <v/>
      </c>
      <c r="M59" s="6" t="str">
        <f>IF([2]!Table13[[#This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IF([2]!Table13[[#This Row],[Type]]="Co-product", "No", "")</f>
        <v/>
      </c>
      <c r="J60" s="25"/>
      <c r="K60" s="6"/>
      <c r="L60" s="6" t="str">
        <f>IF([2]!Table13[[#This Row],[Category]]="Transportation", _xlfn.XLOOKUP([2]!Table13[[#This Row],[Resource]], '[2]SI - Payload'!$A$10:$A$40,'[2]SI - Payload'!$B$10:$B$40,"",0), "")</f>
        <v/>
      </c>
      <c r="M60" s="6" t="str">
        <f>IF([2]!Table13[[#This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IF([2]!Table13[[#This Row],[Type]]="Co-product", "No", "")</f>
        <v/>
      </c>
      <c r="J61" s="25"/>
      <c r="K61" s="6"/>
      <c r="L61" s="6" t="str">
        <f>IF([2]!Table13[[#This Row],[Category]]="Transportation", _xlfn.XLOOKUP([2]!Table13[[#This Row],[Resource]], '[2]SI - Payload'!$A$10:$A$40,'[2]SI - Payload'!$B$10:$B$40,"",0), "")</f>
        <v/>
      </c>
      <c r="M61" s="6" t="str">
        <f>IF([2]!Table13[[#This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IF([2]!Table13[[#This Row],[Type]]="Co-product", "No", "")</f>
        <v/>
      </c>
      <c r="J62" s="25"/>
      <c r="K62" s="6"/>
      <c r="L62" s="6" t="str">
        <f>IF([2]!Table13[[#This Row],[Category]]="Transportation", _xlfn.XLOOKUP([2]!Table13[[#This Row],[Resource]], '[2]SI - Payload'!$A$10:$A$40,'[2]SI - Payload'!$B$10:$B$40,"",0), "")</f>
        <v/>
      </c>
      <c r="M62" s="6" t="str">
        <f>IF([2]!Table13[[#This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IF([2]!Table13[[#This Row],[Type]]="Co-product", "No", "")</f>
        <v/>
      </c>
      <c r="J63" s="25"/>
      <c r="K63" s="6"/>
      <c r="L63" s="6" t="str">
        <f>IF([2]!Table13[[#This Row],[Category]]="Transportation", _xlfn.XLOOKUP([2]!Table13[[#This Row],[Resource]], '[2]SI - Payload'!$A$10:$A$40,'[2]SI - Payload'!$B$10:$B$40,"",0), "")</f>
        <v/>
      </c>
      <c r="M63" s="6" t="str">
        <f>IF([2]!Table13[[#This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IF([2]!Table13[[#This Row],[Type]]="Co-product", "No", "")</f>
        <v/>
      </c>
      <c r="J64" s="25"/>
      <c r="K64" s="6"/>
      <c r="L64" s="6" t="str">
        <f>IF([2]!Table13[[#This Row],[Category]]="Transportation", _xlfn.XLOOKUP([2]!Table13[[#This Row],[Resource]], '[2]SI - Payload'!$A$10:$A$40,'[2]SI - Payload'!$B$10:$B$40,"",0), "")</f>
        <v/>
      </c>
      <c r="M64" s="6" t="str">
        <f>IF([2]!Table13[[#This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IF([2]!Table13[[#This Row],[Type]]="Co-product", "No", "")</f>
        <v/>
      </c>
      <c r="J65" s="25"/>
      <c r="K65" s="6"/>
      <c r="L65" s="6" t="str">
        <f>IF([2]!Table13[[#This Row],[Category]]="Transportation", _xlfn.XLOOKUP([2]!Table13[[#This Row],[Resource]], '[2]SI - Payload'!$A$10:$A$40,'[2]SI - Payload'!$B$10:$B$40,"",0), "")</f>
        <v/>
      </c>
      <c r="M65" s="6" t="str">
        <f>IF([2]!Table13[[#This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IF([2]!Table13[[#This Row],[Type]]="Co-product", "No", "")</f>
        <v/>
      </c>
      <c r="J66" s="25"/>
      <c r="K66" s="6"/>
      <c r="L66" s="6" t="str">
        <f>IF([2]!Table13[[#This Row],[Category]]="Transportation", _xlfn.XLOOKUP([2]!Table13[[#This Row],[Resource]], '[2]SI - Payload'!$A$10:$A$40,'[2]SI - Payload'!$B$10:$B$40,"",0), "")</f>
        <v/>
      </c>
      <c r="M66" s="6" t="str">
        <f>IF([2]!Table13[[#This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IF([2]!Table13[[#This Row],[Type]]="Co-product", "No", "")</f>
        <v/>
      </c>
      <c r="J67" s="25"/>
      <c r="K67" s="6"/>
      <c r="L67" s="6" t="str">
        <f>IF([2]!Table13[[#This Row],[Category]]="Transportation", _xlfn.XLOOKUP([2]!Table13[[#This Row],[Resource]], '[2]SI - Payload'!$A$10:$A$40,'[2]SI - Payload'!$B$10:$B$40,"",0), "")</f>
        <v/>
      </c>
      <c r="M67" s="6" t="str">
        <f>IF([2]!Table13[[#This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IF([2]!Table13[[#This Row],[Type]]="Co-product", "No", "")</f>
        <v/>
      </c>
      <c r="J68" s="25"/>
      <c r="K68" s="6"/>
      <c r="L68" s="6" t="str">
        <f>IF([2]!Table13[[#This Row],[Category]]="Transportation", _xlfn.XLOOKUP([2]!Table13[[#This Row],[Resource]], '[2]SI - Payload'!$A$10:$A$40,'[2]SI - Payload'!$B$10:$B$40,"",0), "")</f>
        <v/>
      </c>
      <c r="M68" s="6" t="str">
        <f>IF([2]!Table13[[#This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IF([2]!Table13[[#This Row],[Type]]="Co-product", "No", "")</f>
        <v/>
      </c>
      <c r="J69" s="25"/>
      <c r="K69" s="6"/>
      <c r="L69" s="6" t="str">
        <f>IF([2]!Table13[[#This Row],[Category]]="Transportation", _xlfn.XLOOKUP([2]!Table13[[#This Row],[Resource]], '[2]SI - Payload'!$A$10:$A$40,'[2]SI - Payload'!$B$10:$B$40,"",0), "")</f>
        <v/>
      </c>
      <c r="M69" s="6" t="str">
        <f>IF([2]!Table13[[#This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IF([2]!Table13[[#This Row],[Type]]="Co-product", "No", "")</f>
        <v/>
      </c>
      <c r="J70" s="25"/>
      <c r="K70" s="6"/>
      <c r="L70" s="6" t="str">
        <f>IF([2]!Table13[[#This Row],[Category]]="Transportation", _xlfn.XLOOKUP([2]!Table13[[#This Row],[Resource]], '[2]SI - Payload'!$A$10:$A$40,'[2]SI - Payload'!$B$10:$B$40,"",0), "")</f>
        <v/>
      </c>
      <c r="M70" s="6" t="str">
        <f>IF([2]!Table13[[#This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IF([2]!Table13[[#This Row],[Type]]="Co-product", "No", "")</f>
        <v/>
      </c>
      <c r="J71" s="25"/>
      <c r="K71" s="6"/>
      <c r="L71" s="6" t="str">
        <f>IF([2]!Table13[[#This Row],[Category]]="Transportation", _xlfn.XLOOKUP([2]!Table13[[#This Row],[Resource]], '[2]SI - Payload'!$A$10:$A$40,'[2]SI - Payload'!$B$10:$B$40,"",0), "")</f>
        <v/>
      </c>
      <c r="M71" s="6" t="str">
        <f>IF([2]!Table13[[#This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IF([2]!Table13[[#This Row],[Type]]="Co-product", "No", "")</f>
        <v/>
      </c>
      <c r="J72" s="25"/>
      <c r="K72" s="6"/>
      <c r="L72" s="6" t="str">
        <f>IF([2]!Table13[[#This Row],[Category]]="Transportation", _xlfn.XLOOKUP([2]!Table13[[#This Row],[Resource]], '[2]SI - Payload'!$A$10:$A$40,'[2]SI - Payload'!$B$10:$B$40,"",0), "")</f>
        <v/>
      </c>
      <c r="M72" s="6" t="str">
        <f>IF([2]!Table13[[#This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IF([2]!Table13[[#This Row],[Type]]="Co-product", "No", "")</f>
        <v/>
      </c>
      <c r="J73" s="25"/>
      <c r="K73" s="6"/>
      <c r="L73" s="6" t="str">
        <f>IF([2]!Table13[[#This Row],[Category]]="Transportation", _xlfn.XLOOKUP([2]!Table13[[#This Row],[Resource]], '[2]SI - Payload'!$A$10:$A$40,'[2]SI - Payload'!$B$10:$B$40,"",0), "")</f>
        <v/>
      </c>
      <c r="M73" s="6" t="str">
        <f>IF([2]!Table13[[#This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IF([2]!Table13[[#This Row],[Type]]="Co-product", "No", "")</f>
        <v/>
      </c>
      <c r="J74" s="25"/>
      <c r="K74" s="6"/>
      <c r="L74" s="6" t="str">
        <f>IF([2]!Table13[[#This Row],[Category]]="Transportation", _xlfn.XLOOKUP([2]!Table13[[#This Row],[Resource]], '[2]SI - Payload'!$A$10:$A$40,'[2]SI - Payload'!$B$10:$B$40,"",0), "")</f>
        <v/>
      </c>
      <c r="M74" s="6" t="str">
        <f>IF([2]!Table13[[#This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IF([2]!Table13[[#This Row],[Type]]="Co-product", "No", "")</f>
        <v/>
      </c>
      <c r="J75" s="25"/>
      <c r="K75" s="6"/>
      <c r="L75" s="6" t="str">
        <f>IF([2]!Table13[[#This Row],[Category]]="Transportation", _xlfn.XLOOKUP([2]!Table13[[#This Row],[Resource]], '[2]SI - Payload'!$A$10:$A$40,'[2]SI - Payload'!$B$10:$B$40,"",0), "")</f>
        <v/>
      </c>
      <c r="M75" s="6" t="str">
        <f>IF([2]!Table13[[#This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IF([2]!Table13[[#This Row],[Type]]="Co-product", "No", "")</f>
        <v/>
      </c>
      <c r="J76" s="25"/>
      <c r="K76" s="6"/>
      <c r="L76" s="6" t="str">
        <f>IF([2]!Table13[[#This Row],[Category]]="Transportation", _xlfn.XLOOKUP([2]!Table13[[#This Row],[Resource]], '[2]SI - Payload'!$A$10:$A$40,'[2]SI - Payload'!$B$10:$B$40,"",0), "")</f>
        <v/>
      </c>
      <c r="M76" s="6" t="str">
        <f>IF([2]!Table13[[#This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IF([2]!Table13[[#This Row],[Type]]="Co-product", "No", "")</f>
        <v/>
      </c>
      <c r="J77" s="25"/>
      <c r="K77" s="6"/>
      <c r="L77" s="6" t="str">
        <f>IF([2]!Table13[[#This Row],[Category]]="Transportation", _xlfn.XLOOKUP([2]!Table13[[#This Row],[Resource]], '[2]SI - Payload'!$A$10:$A$40,'[2]SI - Payload'!$B$10:$B$40,"",0), "")</f>
        <v/>
      </c>
      <c r="M77" s="6" t="str">
        <f>IF([2]!Table13[[#This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IF([2]!Table13[[#This Row],[Type]]="Co-product", "No", "")</f>
        <v/>
      </c>
      <c r="J78" s="25"/>
      <c r="K78" s="6"/>
      <c r="L78" s="6" t="str">
        <f>IF([2]!Table13[[#This Row],[Category]]="Transportation", _xlfn.XLOOKUP([2]!Table13[[#This Row],[Resource]], '[2]SI - Payload'!$A$10:$A$40,'[2]SI - Payload'!$B$10:$B$40,"",0), "")</f>
        <v/>
      </c>
      <c r="M78" s="6" t="str">
        <f>IF([2]!Table13[[#This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IF([2]!Table13[[#This Row],[Type]]="Co-product", "No", "")</f>
        <v/>
      </c>
      <c r="J79" s="25"/>
      <c r="K79" s="6"/>
      <c r="L79" s="6" t="str">
        <f>IF([2]!Table13[[#This Row],[Category]]="Transportation", _xlfn.XLOOKUP([2]!Table13[[#This Row],[Resource]], '[2]SI - Payload'!$A$10:$A$40,'[2]SI - Payload'!$B$10:$B$40,"",0), "")</f>
        <v/>
      </c>
      <c r="M79" s="6" t="str">
        <f>IF([2]!Table13[[#This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IF([2]!Table13[[#This Row],[Type]]="Co-product", "No", "")</f>
        <v/>
      </c>
      <c r="J80" s="25"/>
      <c r="K80" s="6"/>
      <c r="L80" s="6" t="str">
        <f>IF([2]!Table13[[#This Row],[Category]]="Transportation", _xlfn.XLOOKUP([2]!Table13[[#This Row],[Resource]], '[2]SI - Payload'!$A$10:$A$40,'[2]SI - Payload'!$B$10:$B$40,"",0), "")</f>
        <v/>
      </c>
      <c r="M80" s="6" t="str">
        <f>IF([2]!Table13[[#This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IF([2]!Table13[[#This Row],[Type]]="Co-product", "No", "")</f>
        <v/>
      </c>
      <c r="J81" s="25"/>
      <c r="K81" s="6"/>
      <c r="L81" s="6" t="str">
        <f>IF([2]!Table13[[#This Row],[Category]]="Transportation", _xlfn.XLOOKUP([2]!Table13[[#This Row],[Resource]], '[2]SI - Payload'!$A$10:$A$40,'[2]SI - Payload'!$B$10:$B$40,"",0), "")</f>
        <v/>
      </c>
      <c r="M81" s="6" t="str">
        <f>IF([2]!Table13[[#This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IF([2]!Table13[[#This Row],[Type]]="Co-product", "No", "")</f>
        <v/>
      </c>
      <c r="J82" s="25"/>
      <c r="K82" s="6"/>
      <c r="L82" s="6" t="str">
        <f>IF([2]!Table13[[#This Row],[Category]]="Transportation", _xlfn.XLOOKUP([2]!Table13[[#This Row],[Resource]], '[2]SI - Payload'!$A$10:$A$40,'[2]SI - Payload'!$B$10:$B$40,"",0), "")</f>
        <v/>
      </c>
      <c r="M82" s="6" t="str">
        <f>IF([2]!Table13[[#This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IF([2]!Table13[[#This Row],[Type]]="Co-product", "No", "")</f>
        <v/>
      </c>
      <c r="J83" s="25"/>
      <c r="K83" s="6"/>
      <c r="L83" s="6" t="str">
        <f>IF([2]!Table13[[#This Row],[Category]]="Transportation", _xlfn.XLOOKUP([2]!Table13[[#This Row],[Resource]], '[2]SI - Payload'!$A$10:$A$40,'[2]SI - Payload'!$B$10:$B$40,"",0), "")</f>
        <v/>
      </c>
      <c r="M83" s="6" t="str">
        <f>IF([2]!Table13[[#This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IF([2]!Table13[[#This Row],[Type]]="Co-product", "No", "")</f>
        <v/>
      </c>
      <c r="J84" s="25"/>
      <c r="K84" s="6"/>
      <c r="L84" s="6" t="str">
        <f>IF([2]!Table13[[#This Row],[Category]]="Transportation", _xlfn.XLOOKUP([2]!Table13[[#This Row],[Resource]], '[2]SI - Payload'!$A$10:$A$40,'[2]SI - Payload'!$B$10:$B$40,"",0), "")</f>
        <v/>
      </c>
      <c r="M84" s="6" t="str">
        <f>IF([2]!Table13[[#This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IF([2]!Table13[[#This Row],[Type]]="Co-product", "No", "")</f>
        <v/>
      </c>
      <c r="J85" s="25"/>
      <c r="K85" s="6"/>
      <c r="L85" s="6" t="str">
        <f>IF([2]!Table13[[#This Row],[Category]]="Transportation", _xlfn.XLOOKUP([2]!Table13[[#This Row],[Resource]], '[2]SI - Payload'!$A$10:$A$40,'[2]SI - Payload'!$B$10:$B$40,"",0), "")</f>
        <v/>
      </c>
      <c r="M85" s="6" t="str">
        <f>IF([2]!Table13[[#This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IF([2]!Table13[[#This Row],[Type]]="Co-product", "No", "")</f>
        <v/>
      </c>
      <c r="J86" s="25"/>
      <c r="K86" s="6"/>
      <c r="L86" s="6" t="str">
        <f>IF([2]!Table13[[#This Row],[Category]]="Transportation", _xlfn.XLOOKUP([2]!Table13[[#This Row],[Resource]], '[2]SI - Payload'!$A$10:$A$40,'[2]SI - Payload'!$B$10:$B$40,"",0), "")</f>
        <v/>
      </c>
      <c r="M86" s="6" t="str">
        <f>IF([2]!Table13[[#This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IF([2]!Table13[[#This Row],[Type]]="Co-product", "No", "")</f>
        <v/>
      </c>
      <c r="J87" s="25"/>
      <c r="K87" s="6"/>
      <c r="L87" s="6" t="str">
        <f>IF([2]!Table13[[#This Row],[Category]]="Transportation", _xlfn.XLOOKUP([2]!Table13[[#This Row],[Resource]], '[2]SI - Payload'!$A$10:$A$40,'[2]SI - Payload'!$B$10:$B$40,"",0), "")</f>
        <v/>
      </c>
      <c r="M87" s="6" t="str">
        <f>IF([2]!Table13[[#This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IF([2]!Table13[[#This Row],[Type]]="Co-product", "No", "")</f>
        <v/>
      </c>
      <c r="J88" s="25"/>
      <c r="K88" s="6"/>
      <c r="L88" s="6" t="str">
        <f>IF([2]!Table13[[#This Row],[Category]]="Transportation", _xlfn.XLOOKUP([2]!Table13[[#This Row],[Resource]], '[2]SI - Payload'!$A$10:$A$40,'[2]SI - Payload'!$B$10:$B$40,"",0), "")</f>
        <v/>
      </c>
      <c r="M88" s="6" t="str">
        <f>IF([2]!Table13[[#This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IF([2]!Table13[[#This Row],[Type]]="Co-product", "No", "")</f>
        <v/>
      </c>
      <c r="J89" s="25"/>
      <c r="K89" s="6"/>
      <c r="L89" s="6" t="str">
        <f>IF([2]!Table13[[#This Row],[Category]]="Transportation", _xlfn.XLOOKUP([2]!Table13[[#This Row],[Resource]], '[2]SI - Payload'!$A$10:$A$40,'[2]SI - Payload'!$B$10:$B$40,"",0), "")</f>
        <v/>
      </c>
      <c r="M89" s="6" t="str">
        <f>IF([2]!Table13[[#This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IF([2]!Table13[[#This Row],[Type]]="Co-product", "No", "")</f>
        <v/>
      </c>
      <c r="J90" s="25"/>
      <c r="K90" s="6"/>
      <c r="L90" s="6" t="str">
        <f>IF([2]!Table13[[#This Row],[Category]]="Transportation", _xlfn.XLOOKUP([2]!Table13[[#This Row],[Resource]], '[2]SI - Payload'!$A$10:$A$40,'[2]SI - Payload'!$B$10:$B$40,"",0), "")</f>
        <v/>
      </c>
      <c r="M90" s="6" t="str">
        <f>IF([2]!Table13[[#This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IF([2]!Table13[[#This Row],[Type]]="Co-product", "No", "")</f>
        <v/>
      </c>
      <c r="J91" s="25"/>
      <c r="K91" s="6"/>
      <c r="L91" s="6" t="str">
        <f>IF([2]!Table13[[#This Row],[Category]]="Transportation", _xlfn.XLOOKUP([2]!Table13[[#This Row],[Resource]], '[2]SI - Payload'!$A$10:$A$40,'[2]SI - Payload'!$B$10:$B$40,"",0), "")</f>
        <v/>
      </c>
      <c r="M91" s="6" t="str">
        <f>IF([2]!Table13[[#This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IF([2]!Table13[[#This Row],[Type]]="Co-product", "No", "")</f>
        <v/>
      </c>
      <c r="J92" s="25"/>
      <c r="K92" s="6"/>
      <c r="L92" s="6" t="str">
        <f>IF([2]!Table13[[#This Row],[Category]]="Transportation", _xlfn.XLOOKUP([2]!Table13[[#This Row],[Resource]], '[2]SI - Payload'!$A$10:$A$40,'[2]SI - Payload'!$B$10:$B$40,"",0), "")</f>
        <v/>
      </c>
      <c r="M92" s="6" t="str">
        <f>IF([2]!Table13[[#This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IF([2]!Table13[[#This Row],[Type]]="Co-product", "No", "")</f>
        <v/>
      </c>
      <c r="J93" s="25"/>
      <c r="K93" s="6"/>
      <c r="L93" s="6" t="str">
        <f>IF([2]!Table13[[#This Row],[Category]]="Transportation", _xlfn.XLOOKUP([2]!Table13[[#This Row],[Resource]], '[2]SI - Payload'!$A$10:$A$40,'[2]SI - Payload'!$B$10:$B$40,"",0), "")</f>
        <v/>
      </c>
      <c r="M93" s="6" t="str">
        <f>IF([2]!Table13[[#This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IF([2]!Table13[[#This Row],[Type]]="Co-product", "No", "")</f>
        <v/>
      </c>
      <c r="J94" s="25"/>
      <c r="K94" s="6"/>
      <c r="L94" s="6" t="str">
        <f>IF([2]!Table13[[#This Row],[Category]]="Transportation", _xlfn.XLOOKUP([2]!Table13[[#This Row],[Resource]], '[2]SI - Payload'!$A$10:$A$40,'[2]SI - Payload'!$B$10:$B$40,"",0), "")</f>
        <v/>
      </c>
      <c r="M94" s="6" t="str">
        <f>IF([2]!Table13[[#This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IF([2]!Table13[[#This Row],[Type]]="Co-product", "No", "")</f>
        <v/>
      </c>
      <c r="J95" s="25"/>
      <c r="K95" s="6"/>
      <c r="L95" s="6" t="str">
        <f>IF([2]!Table13[[#This Row],[Category]]="Transportation", _xlfn.XLOOKUP([2]!Table13[[#This Row],[Resource]], '[2]SI - Payload'!$A$10:$A$40,'[2]SI - Payload'!$B$10:$B$40,"",0), "")</f>
        <v/>
      </c>
      <c r="M95" s="6" t="str">
        <f>IF([2]!Table13[[#This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IF([2]!Table13[[#This Row],[Type]]="Co-product", "No", "")</f>
        <v/>
      </c>
      <c r="J96" s="25"/>
      <c r="K96" s="6"/>
      <c r="L96" s="6" t="str">
        <f>IF([2]!Table13[[#This Row],[Category]]="Transportation", _xlfn.XLOOKUP([2]!Table13[[#This Row],[Resource]], '[2]SI - Payload'!$A$10:$A$40,'[2]SI - Payload'!$B$10:$B$40,"",0), "")</f>
        <v/>
      </c>
      <c r="M96" s="6" t="str">
        <f>IF([2]!Table13[[#This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IF([2]!Table13[[#This Row],[Type]]="Co-product", "No", "")</f>
        <v/>
      </c>
      <c r="J97" s="25"/>
      <c r="K97" s="6"/>
      <c r="L97" s="6" t="str">
        <f>IF([2]!Table13[[#This Row],[Category]]="Transportation", _xlfn.XLOOKUP([2]!Table13[[#This Row],[Resource]], '[2]SI - Payload'!$A$10:$A$40,'[2]SI - Payload'!$B$10:$B$40,"",0), "")</f>
        <v/>
      </c>
      <c r="M97" s="6" t="str">
        <f>IF([2]!Table13[[#This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IF([2]!Table13[[#This Row],[Type]]="Co-product", "No", "")</f>
        <v/>
      </c>
      <c r="J98" s="25"/>
      <c r="K98" s="6"/>
      <c r="L98" s="6" t="str">
        <f>IF([2]!Table13[[#This Row],[Category]]="Transportation", _xlfn.XLOOKUP([2]!Table13[[#This Row],[Resource]], '[2]SI - Payload'!$A$10:$A$40,'[2]SI - Payload'!$B$10:$B$40,"",0), "")</f>
        <v/>
      </c>
      <c r="M98" s="6" t="str">
        <f>IF([2]!Table13[[#This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IF([2]!Table13[[#This Row],[Type]]="Co-product", "No", "")</f>
        <v/>
      </c>
      <c r="J99" s="25"/>
      <c r="K99" s="6"/>
      <c r="L99" s="6" t="str">
        <f>IF([2]!Table13[[#This Row],[Category]]="Transportation", _xlfn.XLOOKUP([2]!Table13[[#This Row],[Resource]], '[2]SI - Payload'!$A$10:$A$40,'[2]SI - Payload'!$B$10:$B$40,"",0), "")</f>
        <v/>
      </c>
      <c r="M99" s="6" t="str">
        <f>IF([2]!Table13[[#This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IF([2]!Table13[[#This Row],[Type]]="Co-product", "No", "")</f>
        <v/>
      </c>
      <c r="J100" s="25"/>
      <c r="K100" s="6"/>
      <c r="L100" s="6" t="str">
        <f>IF([2]!Table13[[#This Row],[Category]]="Transportation", _xlfn.XLOOKUP([2]!Table13[[#This Row],[Resource]], '[2]SI - Payload'!$A$10:$A$40,'[2]SI - Payload'!$B$10:$B$40,"",0), "")</f>
        <v/>
      </c>
      <c r="M100" s="6" t="str">
        <f>IF([2]!Table13[[#This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92E0ADC-BDA9-4201-8FCF-6905A69C8433}">
      <formula1>0</formula1>
      <formula2>1</formula2>
    </dataValidation>
    <dataValidation type="list" allowBlank="1" showInputMessage="1" showErrorMessage="1" sqref="M6:M100" xr:uid="{4A3C992F-DAAF-43B0-AF45-322E6996355C}">
      <formula1>payload_units</formula1>
    </dataValidation>
    <dataValidation type="decimal" operator="greaterThan" allowBlank="1" showInputMessage="1" showErrorMessage="1" error="Please type a positive number." sqref="L6:L100" xr:uid="{FD2F265B-68E0-4298-9345-15B22C0BC5C2}">
      <formula1>0</formula1>
    </dataValidation>
    <dataValidation type="decimal" operator="greaterThan" allowBlank="1" showInputMessage="1" showErrorMessage="1" error="Please type a positive price." sqref="N6:N100" xr:uid="{13CA76A0-9E00-4D13-A93B-B7BFC6BE693C}">
      <formula1>0</formula1>
    </dataValidation>
    <dataValidation type="decimal" allowBlank="1" showInputMessage="1" showErrorMessage="1" error="Please type a number between 0 and 1." sqref="G6:G100" xr:uid="{7059C31C-3DCC-4254-A8C7-90D1E848A8B7}">
      <formula1>0</formula1>
      <formula2>1</formula2>
    </dataValidation>
    <dataValidation type="custom" allowBlank="1" showInputMessage="1" showErrorMessage="1" sqref="E6:E100" xr:uid="{7248DEF1-56EF-4C13-9850-251F4DA3719E}">
      <formula1>ISNUMBER(E6)</formula1>
    </dataValidation>
    <dataValidation type="list" allowBlank="1" showInputMessage="1" showErrorMessage="1" sqref="C2" xr:uid="{2E72992A-E060-4763-A11C-B9807E8D823E}">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E5B19F8-46D5-4F30-8952-1471BBA2F726}">
          <x14:formula1>
            <xm:f>IF($B10="Transportation",  transport_units, INDIRECT(_xlfn.XLOOKUP($C10, 'SI - Units'!$F$26:$F$36,'SI - Units'!$G$26:$G$36,"mass",0)))</xm:f>
          </x14:formula1>
          <xm:sqref>F10:F100</xm:sqref>
        </x14:dataValidation>
        <x14:dataValidation type="list" allowBlank="1" showInputMessage="1" showErrorMessage="1" xr:uid="{1314E08B-5980-4CD5-A16D-F84834B5C2C3}">
          <x14:formula1>
            <xm:f>INDIRECT("p_"&amp;_xlfn.XLOOKUP($C10,'SI - Units'!$F$26:$F$36,'SI - Units'!$G$26:$G$36,"mass",0))</xm:f>
          </x14:formula1>
          <xm:sqref>O10:O100</xm:sqref>
        </x14:dataValidation>
        <x14:dataValidation type="list" allowBlank="1" showInputMessage="1" showErrorMessage="1" xr:uid="{D09B7653-3D4B-49DB-9AD7-2881DDFFF802}">
          <x14:formula1>
            <xm:f>INDIRECT(_xlfn.XLOOKUP($P10,'SI - End Use'!$A$11:$A$17,'SI - End Use'!$B$11:$B$17,"other_end_use",0))</xm:f>
          </x14:formula1>
          <xm:sqref>Q10:R100</xm:sqref>
        </x14:dataValidation>
        <x14:dataValidation type="list" allowBlank="1" showInputMessage="1" xr:uid="{F0C90667-7292-4DB5-AB39-38B7BFDE5092}">
          <x14:formula1>
            <xm:f>INDIRECT(_xlfn.XLOOKUP($C10,'SI - End Use'!$A$11:$A$17,'SI - End Use'!$B$11:$B$17,"other_end_use",0))</xm:f>
          </x14:formula1>
          <xm:sqref>D10:D100</xm:sqref>
        </x14:dataValidation>
        <x14:dataValidation type="list" allowBlank="1" showInputMessage="1" showErrorMessage="1" xr:uid="{0F1C7688-CC06-4CB0-B1EB-20C373488157}">
          <x14:formula1>
            <xm:f>INDIRECT(_xlfn.XLOOKUP($B10, 'SI - Resources'!$R$1:$R$10,'SI - Resources'!$S$1:$S$10, "placeholder_resource", 0))</xm:f>
          </x14:formula1>
          <xm:sqref>C10:C100 P10:P100</xm:sqref>
        </x14:dataValidation>
        <x14:dataValidation type="list" allowBlank="1" showInputMessage="1" showErrorMessage="1" xr:uid="{8E5052B5-0A1C-49F1-9E0F-41ECACAB23A0}">
          <x14:formula1>
            <xm:f>'SI - Co-products'!$B$2:$B$6</xm:f>
          </x14:formula1>
          <xm:sqref>A10:A100</xm:sqref>
        </x14:dataValidation>
        <x14:dataValidation type="list" allowBlank="1" showInputMessage="1" showErrorMessage="1" xr:uid="{3DB867BC-B087-4855-BB07-30245943E84E}">
          <x14:formula1>
            <xm:f>'SI - Resources'!$A$1:$J$1</xm:f>
          </x14:formula1>
          <xm:sqref>B10:B100</xm:sqref>
        </x14:dataValidation>
        <x14:dataValidation type="list" allowBlank="1" showInputMessage="1" showErrorMessage="1" xr:uid="{4F75891D-71D3-4DCF-9B9A-6DCE7921EC50}">
          <x14:formula1>
            <xm:f>'SI - Co-products'!$C$2:$C$4</xm:f>
          </x14:formula1>
          <xm:sqref>I10:I100</xm:sqref>
        </x14:dataValidation>
        <x14:dataValidation type="list" allowBlank="1" showInputMessage="1" showErrorMessage="1" xr:uid="{64B023AF-1CD6-4477-AEE4-D7F15B1DA828}">
          <x14:formula1>
            <xm:f>'SI - Co-products'!$A$2:$A$5</xm:f>
          </x14:formula1>
          <xm:sqref>K10:K100</xm:sqref>
        </x14:dataValidation>
        <x14:dataValidation type="list" allowBlank="1" showInputMessage="1" showErrorMessage="1" xr:uid="{0D97ED98-0530-4A94-9991-D0169CCDB80D}">
          <x14:formula1>
            <xm:f>_xlfn.XLOOKUP(_xlfn.XLOOKUP(#REF!,'SI - Units'!$B$24:$B$109,'SI - Units'!$C$24:$C$109),'SI - Units'!$A$2:$A$8,'SI - Units'!$B$2:$R$8)</xm:f>
          </x14:formula1>
          <xm:sqref>F5</xm:sqref>
        </x14:dataValidation>
        <x14:dataValidation type="list" allowBlank="1" showInputMessage="1" showErrorMessage="1" xr:uid="{B06AFA12-8691-4B27-B86B-C05C250AD69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5" t="s">
        <v>338</v>
      </c>
      <c r="C1" s="85"/>
      <c r="D1" s="62" t="s">
        <v>339</v>
      </c>
      <c r="E1" s="62" t="s">
        <v>340</v>
      </c>
      <c r="F1" s="62" t="s">
        <v>341</v>
      </c>
      <c r="G1" s="62" t="s">
        <v>342</v>
      </c>
      <c r="H1" s="62" t="s">
        <v>343</v>
      </c>
    </row>
    <row r="2" spans="1:8" x14ac:dyDescent="0.35">
      <c r="A2" s="62" t="s">
        <v>344</v>
      </c>
      <c r="B2" s="84">
        <v>89.04</v>
      </c>
      <c r="C2" s="84"/>
      <c r="D2" s="64">
        <v>1</v>
      </c>
      <c r="E2" s="63"/>
      <c r="F2" s="63"/>
      <c r="G2" s="65">
        <v>0.3</v>
      </c>
      <c r="H2" s="65">
        <v>0</v>
      </c>
    </row>
    <row r="3" spans="1:8" x14ac:dyDescent="0.35">
      <c r="A3" s="62" t="s">
        <v>345</v>
      </c>
      <c r="B3" s="86">
        <v>23.19</v>
      </c>
      <c r="C3" s="87"/>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8" t="s">
        <v>349</v>
      </c>
      <c r="C8" s="88"/>
      <c r="D8" s="69" t="s">
        <v>339</v>
      </c>
      <c r="E8" s="69" t="s">
        <v>340</v>
      </c>
      <c r="F8" s="69" t="s">
        <v>341</v>
      </c>
      <c r="G8" s="69" t="s">
        <v>342</v>
      </c>
      <c r="H8" s="62" t="s">
        <v>343</v>
      </c>
    </row>
    <row r="9" spans="1:8" x14ac:dyDescent="0.35">
      <c r="A9" s="62" t="s">
        <v>350</v>
      </c>
      <c r="B9" s="84">
        <v>10.92</v>
      </c>
      <c r="C9" s="84"/>
      <c r="D9" s="63"/>
      <c r="E9" s="64">
        <v>1</v>
      </c>
      <c r="F9" s="63"/>
      <c r="G9" s="71">
        <v>0.11409999999999999</v>
      </c>
      <c r="H9" s="71">
        <v>8.1557678177810455E-2</v>
      </c>
    </row>
    <row r="10" spans="1:8" x14ac:dyDescent="0.35">
      <c r="A10" s="62" t="s">
        <v>351</v>
      </c>
      <c r="B10" s="84">
        <v>289.14999999999998</v>
      </c>
      <c r="C10" s="84"/>
      <c r="D10" s="63"/>
      <c r="E10" s="64">
        <v>1</v>
      </c>
      <c r="F10" s="63"/>
      <c r="G10" s="71">
        <v>0.11409999999999999</v>
      </c>
      <c r="H10" s="71">
        <v>0.02</v>
      </c>
    </row>
    <row r="11" spans="1:8" x14ac:dyDescent="0.35">
      <c r="A11" s="62" t="s">
        <v>352</v>
      </c>
      <c r="B11" s="84">
        <v>7.72</v>
      </c>
      <c r="C11" s="84"/>
      <c r="D11" s="72">
        <v>0.89500000000000002</v>
      </c>
      <c r="E11" s="72">
        <f>1-D11</f>
        <v>0.10499999999999998</v>
      </c>
      <c r="F11" s="63"/>
      <c r="G11" s="71">
        <v>0.11409999999999999</v>
      </c>
      <c r="H11" s="71">
        <v>0</v>
      </c>
    </row>
    <row r="12" spans="1:8" x14ac:dyDescent="0.35">
      <c r="A12" s="62" t="s">
        <v>353</v>
      </c>
      <c r="B12" s="84">
        <v>0</v>
      </c>
      <c r="C12" s="84"/>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2022-11-03T20:42:17Z</dcterms:modified>
</cp:coreProperties>
</file>