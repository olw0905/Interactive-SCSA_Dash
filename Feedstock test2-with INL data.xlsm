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ED511C0B-BFC2-4678-AEF2-E807C27042F2}" xr6:coauthVersionLast="47" xr6:coauthVersionMax="47" xr10:uidLastSave="{00000000-0000-0000-0000-000000000000}"/>
  <bookViews>
    <workbookView xWindow="-110" yWindow="-110" windowWidth="22780" windowHeight="14660" tabRatio="764" firstSheet="2" activeTab="3"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Resources" sheetId="6" state="hidden" r:id="rId13"/>
    <sheet name="SI - End Use" sheetId="7" r:id="rId14"/>
    <sheet name="INL Data" sheetId="35"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25" l="1"/>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O98" i="36"/>
  <c r="P98" i="36" s="1"/>
  <c r="L98" i="36"/>
  <c r="K98" i="36"/>
  <c r="I98" i="36"/>
  <c r="C98" i="36"/>
  <c r="F98" i="36" s="1" a="1"/>
  <c r="F98" i="36" s="1"/>
  <c r="L97" i="36"/>
  <c r="K97" i="36"/>
  <c r="I97" i="36"/>
  <c r="C97" i="36"/>
  <c r="D97" i="36" s="1"/>
  <c r="L96" i="36"/>
  <c r="K96" i="36"/>
  <c r="I96" i="36"/>
  <c r="C96" i="36"/>
  <c r="O95" i="36"/>
  <c r="P95" i="36" s="1"/>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P91" i="36"/>
  <c r="L91" i="36"/>
  <c r="K91" i="36"/>
  <c r="I91" i="36"/>
  <c r="C91" i="36"/>
  <c r="O91" i="36" s="1"/>
  <c r="L90" i="36"/>
  <c r="K90" i="36"/>
  <c r="I90" i="36"/>
  <c r="F90" i="36" a="1"/>
  <c r="F90" i="36" s="1"/>
  <c r="C90" i="36"/>
  <c r="D90" i="36" s="1"/>
  <c r="L89" i="36"/>
  <c r="K89" i="36"/>
  <c r="I89" i="36"/>
  <c r="F89" i="36" a="1"/>
  <c r="F89" i="36" s="1"/>
  <c r="C89" i="36"/>
  <c r="D89" i="36" s="1"/>
  <c r="L88" i="36"/>
  <c r="K88" i="36"/>
  <c r="I88" i="36"/>
  <c r="C88" i="36"/>
  <c r="O88" i="36" s="1"/>
  <c r="P88" i="36" s="1"/>
  <c r="L87" i="36"/>
  <c r="K87" i="36"/>
  <c r="I87" i="36"/>
  <c r="C87" i="36"/>
  <c r="F87" i="36" s="1" a="1"/>
  <c r="F87" i="36" s="1"/>
  <c r="L86" i="36"/>
  <c r="K86" i="36"/>
  <c r="I86" i="36"/>
  <c r="C86" i="36"/>
  <c r="F86" i="36" s="1" a="1"/>
  <c r="F86" i="36" s="1"/>
  <c r="O85" i="36"/>
  <c r="P85"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D82" i="36"/>
  <c r="C82" i="36"/>
  <c r="F82" i="36" s="1" a="1"/>
  <c r="F82" i="36" s="1"/>
  <c r="O81" i="36"/>
  <c r="P81" i="36" s="1"/>
  <c r="L81" i="36"/>
  <c r="K81" i="36"/>
  <c r="I81" i="36"/>
  <c r="F81" i="36" a="1"/>
  <c r="F81" i="36" s="1"/>
  <c r="C81" i="36"/>
  <c r="D81" i="36" s="1"/>
  <c r="L80" i="36"/>
  <c r="K80" i="36"/>
  <c r="I80" i="36"/>
  <c r="C80" i="36"/>
  <c r="O80" i="36" s="1"/>
  <c r="P80" i="36" s="1"/>
  <c r="O79" i="36"/>
  <c r="P79" i="36" s="1"/>
  <c r="L79" i="36"/>
  <c r="K79" i="36"/>
  <c r="I79" i="36"/>
  <c r="C79" i="36"/>
  <c r="F79" i="36" s="1" a="1"/>
  <c r="F79" i="36" s="1"/>
  <c r="O78" i="36"/>
  <c r="P78" i="36" s="1"/>
  <c r="L78" i="36"/>
  <c r="K78" i="36"/>
  <c r="I78" i="36"/>
  <c r="C78" i="36"/>
  <c r="F78" i="36" s="1" a="1"/>
  <c r="F78" i="36" s="1"/>
  <c r="L77" i="36"/>
  <c r="K77" i="36"/>
  <c r="I77" i="36"/>
  <c r="C77" i="36"/>
  <c r="F77" i="36" s="1" a="1"/>
  <c r="F77" i="36" s="1"/>
  <c r="O76" i="36"/>
  <c r="P76" i="36" s="1"/>
  <c r="L76" i="36"/>
  <c r="K76" i="36"/>
  <c r="I76" i="36"/>
  <c r="C76" i="36"/>
  <c r="F76" i="36" s="1" a="1"/>
  <c r="F76" i="36" s="1"/>
  <c r="L75" i="36"/>
  <c r="K75" i="36"/>
  <c r="I75" i="36"/>
  <c r="D75" i="36"/>
  <c r="C75" i="36"/>
  <c r="O75" i="36" s="1"/>
  <c r="P75" i="36" s="1"/>
  <c r="L74" i="36"/>
  <c r="K74" i="36"/>
  <c r="I74" i="36"/>
  <c r="C74" i="36"/>
  <c r="O74" i="36" s="1"/>
  <c r="P74" i="36" s="1"/>
  <c r="L73" i="36"/>
  <c r="K73" i="36"/>
  <c r="I73" i="36"/>
  <c r="C73" i="36"/>
  <c r="D73" i="36" s="1"/>
  <c r="O72" i="36"/>
  <c r="P72" i="36" s="1"/>
  <c r="L72" i="36"/>
  <c r="K72" i="36"/>
  <c r="I72" i="36"/>
  <c r="C72" i="36"/>
  <c r="P71" i="36"/>
  <c r="O71" i="36"/>
  <c r="L71" i="36"/>
  <c r="K71" i="36"/>
  <c r="I71" i="36"/>
  <c r="C71" i="36"/>
  <c r="F71" i="36" s="1" a="1"/>
  <c r="F71" i="36" s="1"/>
  <c r="L70" i="36"/>
  <c r="K70" i="36"/>
  <c r="I70" i="36"/>
  <c r="F70" i="36" a="1"/>
  <c r="F70" i="36" s="1"/>
  <c r="D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P64" i="36"/>
  <c r="O64" i="36"/>
  <c r="L64" i="36"/>
  <c r="K64" i="36"/>
  <c r="I64" i="36"/>
  <c r="C64" i="36"/>
  <c r="O63" i="36"/>
  <c r="P63" i="36" s="1"/>
  <c r="L63" i="36"/>
  <c r="K63" i="36"/>
  <c r="I63" i="36"/>
  <c r="D63" i="36"/>
  <c r="C63" i="36"/>
  <c r="F63" i="36" s="1" a="1"/>
  <c r="F63" i="36" s="1"/>
  <c r="L62" i="36"/>
  <c r="K62" i="36"/>
  <c r="I62" i="36"/>
  <c r="C62" i="36"/>
  <c r="F62" i="36" s="1" a="1"/>
  <c r="F62" i="36" s="1"/>
  <c r="L61" i="36"/>
  <c r="K61" i="36"/>
  <c r="I61" i="36"/>
  <c r="F61" i="36" a="1"/>
  <c r="F61" i="36" s="1"/>
  <c r="D61" i="36"/>
  <c r="C61" i="36"/>
  <c r="O61" i="36" s="1"/>
  <c r="P61" i="36" s="1"/>
  <c r="O60" i="36"/>
  <c r="P60" i="36" s="1"/>
  <c r="L60" i="36"/>
  <c r="K60" i="36"/>
  <c r="I60" i="36"/>
  <c r="C60" i="36"/>
  <c r="F60" i="36" s="1" a="1"/>
  <c r="F60" i="36" s="1"/>
  <c r="P59" i="36"/>
  <c r="L59" i="36"/>
  <c r="K59" i="36"/>
  <c r="I59" i="36"/>
  <c r="C59" i="36"/>
  <c r="O59" i="36" s="1"/>
  <c r="O58" i="36"/>
  <c r="P58" i="36" s="1"/>
  <c r="L58" i="36"/>
  <c r="K58" i="36"/>
  <c r="I58" i="36"/>
  <c r="F58" i="36"/>
  <c r="F58" i="36" a="1"/>
  <c r="D58" i="36"/>
  <c r="C58" i="36"/>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O52" i="36"/>
  <c r="P52" i="36" s="1"/>
  <c r="L52" i="36"/>
  <c r="K52" i="36"/>
  <c r="I52" i="36"/>
  <c r="F52" i="36" a="1"/>
  <c r="F52" i="36" s="1"/>
  <c r="C52" i="36"/>
  <c r="D52" i="36" s="1"/>
  <c r="P51" i="36"/>
  <c r="L51" i="36"/>
  <c r="K51" i="36"/>
  <c r="I51" i="36"/>
  <c r="F51" i="36" a="1"/>
  <c r="F51" i="36" s="1"/>
  <c r="D51" i="36"/>
  <c r="C51" i="36"/>
  <c r="O51" i="36" s="1"/>
  <c r="L50" i="36"/>
  <c r="K50" i="36"/>
  <c r="I50" i="36"/>
  <c r="C50" i="36"/>
  <c r="O50" i="36" s="1"/>
  <c r="P50" i="36" s="1"/>
  <c r="L49" i="36"/>
  <c r="K49" i="36"/>
  <c r="I49" i="36"/>
  <c r="C49" i="36"/>
  <c r="D49" i="36" s="1"/>
  <c r="L48" i="36"/>
  <c r="K48" i="36"/>
  <c r="I48" i="36"/>
  <c r="C48" i="36"/>
  <c r="F48" i="36" s="1" a="1"/>
  <c r="F48" i="36" s="1"/>
  <c r="L47" i="36"/>
  <c r="K47" i="36"/>
  <c r="I47" i="36"/>
  <c r="D47" i="36"/>
  <c r="C47" i="36"/>
  <c r="O47" i="36" s="1"/>
  <c r="P47" i="36" s="1"/>
  <c r="O46" i="36"/>
  <c r="P46" i="36" s="1"/>
  <c r="L46" i="36"/>
  <c r="K46" i="36"/>
  <c r="I46" i="36"/>
  <c r="C46" i="36"/>
  <c r="D46" i="36" s="1"/>
  <c r="O45" i="36"/>
  <c r="P45" i="36" s="1"/>
  <c r="L45" i="36"/>
  <c r="K45" i="36"/>
  <c r="I45" i="36"/>
  <c r="C45" i="36"/>
  <c r="D45" i="36" s="1"/>
  <c r="L44" i="36"/>
  <c r="K44" i="36"/>
  <c r="I44" i="36"/>
  <c r="C44" i="36"/>
  <c r="F44" i="36" s="1" a="1"/>
  <c r="F44" i="36" s="1"/>
  <c r="L43" i="36"/>
  <c r="K43" i="36"/>
  <c r="I43" i="36"/>
  <c r="C43" i="36"/>
  <c r="O43" i="36" s="1"/>
  <c r="P43" i="36" s="1"/>
  <c r="O42" i="36"/>
  <c r="P42"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O36" i="36"/>
  <c r="P36" i="36" s="1"/>
  <c r="L36" i="36"/>
  <c r="K36" i="36"/>
  <c r="I36" i="36"/>
  <c r="D36" i="36"/>
  <c r="C36" i="36"/>
  <c r="F36" i="36" s="1" a="1"/>
  <c r="F36" i="36" s="1"/>
  <c r="P35" i="36"/>
  <c r="L35" i="36"/>
  <c r="K35" i="36"/>
  <c r="I35" i="36"/>
  <c r="D35" i="36"/>
  <c r="C35" i="36"/>
  <c r="O35" i="36" s="1"/>
  <c r="O34" i="36"/>
  <c r="P34" i="36" s="1"/>
  <c r="L34" i="36"/>
  <c r="K34" i="36"/>
  <c r="I34" i="36"/>
  <c r="F34" i="36"/>
  <c r="F34" i="36" a="1"/>
  <c r="D34" i="36"/>
  <c r="C34" i="36"/>
  <c r="L33" i="36"/>
  <c r="K33" i="36"/>
  <c r="I33" i="36"/>
  <c r="C33" i="36"/>
  <c r="D33" i="36" s="1"/>
  <c r="L32" i="36"/>
  <c r="K32" i="36"/>
  <c r="I32" i="36"/>
  <c r="D32" i="36"/>
  <c r="C32" i="36"/>
  <c r="F32" i="36" s="1" a="1"/>
  <c r="F32" i="36" s="1"/>
  <c r="L31" i="36"/>
  <c r="K31" i="36"/>
  <c r="I31" i="36"/>
  <c r="C31" i="36"/>
  <c r="F31" i="36" s="1" a="1"/>
  <c r="F31" i="36" s="1"/>
  <c r="L30" i="36"/>
  <c r="K30" i="36"/>
  <c r="I30" i="36"/>
  <c r="C30" i="36"/>
  <c r="O30" i="36" s="1"/>
  <c r="P30" i="36" s="1"/>
  <c r="L29" i="36"/>
  <c r="K29" i="36"/>
  <c r="I29" i="36"/>
  <c r="D29" i="36"/>
  <c r="C29" i="36"/>
  <c r="O29" i="36" s="1"/>
  <c r="P29" i="36" s="1"/>
  <c r="O28" i="36"/>
  <c r="P28" i="36" s="1"/>
  <c r="L28" i="36"/>
  <c r="K28" i="36"/>
  <c r="I28" i="36"/>
  <c r="C28" i="36"/>
  <c r="D28" i="36" s="1"/>
  <c r="P27" i="36"/>
  <c r="L27" i="36"/>
  <c r="K27" i="36"/>
  <c r="I27" i="36"/>
  <c r="C27" i="36"/>
  <c r="O27" i="36" s="1"/>
  <c r="O26" i="36"/>
  <c r="P26" i="36" s="1"/>
  <c r="L26" i="36"/>
  <c r="K26" i="36"/>
  <c r="I26" i="36"/>
  <c r="C26" i="36"/>
  <c r="F26" i="36" s="1" a="1"/>
  <c r="F26" i="36" s="1"/>
  <c r="O25" i="36"/>
  <c r="P25" i="36" s="1"/>
  <c r="L25" i="36"/>
  <c r="K25" i="36"/>
  <c r="I25" i="36"/>
  <c r="F25" i="36" a="1"/>
  <c r="F25" i="36" s="1"/>
  <c r="C25" i="36"/>
  <c r="D25" i="36" s="1"/>
  <c r="O24" i="36"/>
  <c r="P24" i="36" s="1"/>
  <c r="L24" i="36"/>
  <c r="K24" i="36"/>
  <c r="I24" i="36"/>
  <c r="F24" i="36"/>
  <c r="C24" i="36"/>
  <c r="F24" i="36" s="1" a="1"/>
  <c r="O23" i="36"/>
  <c r="P23" i="36" s="1"/>
  <c r="L23" i="36"/>
  <c r="K23" i="36"/>
  <c r="I23" i="36"/>
  <c r="F23" i="36" a="1"/>
  <c r="F23" i="36" s="1"/>
  <c r="D23" i="36"/>
  <c r="C23" i="36"/>
  <c r="L22" i="36"/>
  <c r="K22" i="36"/>
  <c r="I22" i="36"/>
  <c r="C22" i="36"/>
  <c r="D22" i="36" s="1"/>
  <c r="L21" i="36"/>
  <c r="K21" i="36"/>
  <c r="I21" i="36"/>
  <c r="C21" i="36"/>
  <c r="F21" i="36" s="1" a="1"/>
  <c r="F21" i="36" s="1"/>
  <c r="O20" i="36"/>
  <c r="P20"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D16" i="36"/>
  <c r="C16" i="36"/>
  <c r="F16" i="36" s="1" a="1"/>
  <c r="F16" i="36" s="1"/>
  <c r="L15" i="36"/>
  <c r="K15" i="36"/>
  <c r="I15" i="36"/>
  <c r="C15" i="36"/>
  <c r="F15" i="36" s="1" a="1"/>
  <c r="F15" i="36" s="1"/>
  <c r="L14" i="36"/>
  <c r="K14" i="36"/>
  <c r="I14" i="36"/>
  <c r="C14" i="36"/>
  <c r="D14" i="36" s="1"/>
  <c r="O13" i="36"/>
  <c r="P13" i="36" s="1"/>
  <c r="L13" i="36"/>
  <c r="K13" i="36"/>
  <c r="I13" i="36"/>
  <c r="C13" i="36"/>
  <c r="F13" i="36" s="1" a="1"/>
  <c r="F13" i="36" s="1"/>
  <c r="L12" i="36"/>
  <c r="K12" i="36"/>
  <c r="I12" i="36"/>
  <c r="C12" i="36"/>
  <c r="O12" i="36" s="1"/>
  <c r="P12" i="36" s="1"/>
  <c r="L11" i="36"/>
  <c r="K11" i="36"/>
  <c r="I11" i="36"/>
  <c r="C11" i="36"/>
  <c r="O11" i="36" s="1"/>
  <c r="P11" i="36" s="1"/>
  <c r="O10" i="36"/>
  <c r="P10" i="36" s="1"/>
  <c r="L10" i="36"/>
  <c r="K10" i="36"/>
  <c r="I10" i="36"/>
  <c r="F10" i="36" a="1"/>
  <c r="F10" i="36" s="1"/>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O7" i="25" l="1"/>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F97" i="34" a="1"/>
  <c r="F97" i="34" s="1"/>
  <c r="D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D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O83" i="34"/>
  <c r="P83" i="34" s="1"/>
  <c r="L83" i="34"/>
  <c r="K83" i="34"/>
  <c r="I83" i="34"/>
  <c r="C83" i="34"/>
  <c r="F83" i="34" s="1" a="1"/>
  <c r="F83" i="34" s="1"/>
  <c r="L82" i="34"/>
  <c r="K82" i="34"/>
  <c r="I82" i="34"/>
  <c r="C82" i="34"/>
  <c r="F82" i="34" s="1" a="1"/>
  <c r="F82" i="34" s="1"/>
  <c r="L81" i="34"/>
  <c r="K81" i="34"/>
  <c r="I81" i="34"/>
  <c r="F81" i="34" a="1"/>
  <c r="F81" i="34" s="1"/>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O75" i="34"/>
  <c r="P75" i="34" s="1"/>
  <c r="L75" i="34"/>
  <c r="K75" i="34"/>
  <c r="I75" i="34"/>
  <c r="C75" i="34"/>
  <c r="F75" i="34" s="1" a="1"/>
  <c r="F75" i="34" s="1"/>
  <c r="L74" i="34"/>
  <c r="K74" i="34"/>
  <c r="I74" i="34"/>
  <c r="C74" i="34"/>
  <c r="F74" i="34" s="1" a="1"/>
  <c r="F74" i="34" s="1"/>
  <c r="L73" i="34"/>
  <c r="K73" i="34"/>
  <c r="I73" i="34"/>
  <c r="F73" i="34" a="1"/>
  <c r="F73" i="34" s="1"/>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D61" i="34"/>
  <c r="C61" i="34"/>
  <c r="O61" i="34" s="1"/>
  <c r="P61" i="34" s="1"/>
  <c r="L60" i="34"/>
  <c r="K60" i="34"/>
  <c r="I60" i="34"/>
  <c r="C60" i="34"/>
  <c r="O60" i="34" s="1"/>
  <c r="P60" i="34" s="1"/>
  <c r="O59" i="34"/>
  <c r="P59" i="34" s="1"/>
  <c r="L59" i="34"/>
  <c r="K59" i="34"/>
  <c r="I59" i="34"/>
  <c r="C59" i="34"/>
  <c r="F59" i="34" s="1" a="1"/>
  <c r="F59" i="34" s="1"/>
  <c r="L58" i="34"/>
  <c r="K58" i="34"/>
  <c r="I58" i="34"/>
  <c r="C58" i="34"/>
  <c r="F58" i="34" s="1" a="1"/>
  <c r="F58" i="34" s="1"/>
  <c r="L57" i="34"/>
  <c r="K57" i="34"/>
  <c r="I57" i="34"/>
  <c r="F57" i="34" a="1"/>
  <c r="F57" i="34" s="1"/>
  <c r="C57" i="34"/>
  <c r="O57" i="34" s="1"/>
  <c r="P57" i="34" s="1"/>
  <c r="L56" i="34"/>
  <c r="K56" i="34"/>
  <c r="I56" i="34"/>
  <c r="C56" i="34"/>
  <c r="O56" i="34" s="1"/>
  <c r="P56" i="34" s="1"/>
  <c r="O55" i="34"/>
  <c r="P55" i="34" s="1"/>
  <c r="L55" i="34"/>
  <c r="K55" i="34"/>
  <c r="I55" i="34"/>
  <c r="C55" i="34"/>
  <c r="F55" i="34" s="1" a="1"/>
  <c r="F55" i="34" s="1"/>
  <c r="L54" i="34"/>
  <c r="K54" i="34"/>
  <c r="I54" i="34"/>
  <c r="C54" i="34"/>
  <c r="F54" i="34" s="1" a="1"/>
  <c r="F54" i="34" s="1"/>
  <c r="L53" i="34"/>
  <c r="K53" i="34"/>
  <c r="I53" i="34"/>
  <c r="F53" i="34" a="1"/>
  <c r="F53" i="34" s="1"/>
  <c r="D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D49" i="34"/>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F37" i="34" a="1"/>
  <c r="F37" i="34" s="1"/>
  <c r="D37" i="34"/>
  <c r="C37" i="34"/>
  <c r="O37" i="34" s="1"/>
  <c r="P37" i="34" s="1"/>
  <c r="L36" i="34"/>
  <c r="K36" i="34"/>
  <c r="I36" i="34"/>
  <c r="C36" i="34"/>
  <c r="O36" i="34" s="1"/>
  <c r="P36" i="34" s="1"/>
  <c r="O35" i="34"/>
  <c r="P35"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D97" i="33"/>
  <c r="C97" i="33"/>
  <c r="O97" i="33" s="1"/>
  <c r="P97" i="33" s="1"/>
  <c r="O96" i="33"/>
  <c r="P96" i="33" s="1"/>
  <c r="L96" i="33"/>
  <c r="I96" i="33"/>
  <c r="C96" i="33"/>
  <c r="F96" i="33" s="1" a="1"/>
  <c r="F96" i="33" s="1"/>
  <c r="O95" i="33"/>
  <c r="P95" i="33" s="1"/>
  <c r="L95" i="33"/>
  <c r="I95" i="33"/>
  <c r="C95" i="33"/>
  <c r="F95" i="33" s="1" a="1"/>
  <c r="F95" i="33" s="1"/>
  <c r="L94" i="33"/>
  <c r="I94" i="33"/>
  <c r="C94" i="33"/>
  <c r="O94" i="33" s="1"/>
  <c r="P94" i="33" s="1"/>
  <c r="L93" i="33"/>
  <c r="I93" i="33"/>
  <c r="F93" i="33" a="1"/>
  <c r="F93" i="33" s="1"/>
  <c r="D93" i="33"/>
  <c r="C93" i="33"/>
  <c r="O93" i="33" s="1"/>
  <c r="P93" i="33" s="1"/>
  <c r="L92" i="33"/>
  <c r="I92" i="33"/>
  <c r="C92" i="33"/>
  <c r="F92" i="33" s="1" a="1"/>
  <c r="F92" i="33" s="1"/>
  <c r="O91" i="33"/>
  <c r="P91" i="33" s="1"/>
  <c r="L91" i="33"/>
  <c r="I91" i="33"/>
  <c r="C91" i="33"/>
  <c r="F91" i="33" s="1" a="1"/>
  <c r="F91" i="33" s="1"/>
  <c r="L90" i="33"/>
  <c r="I90" i="33"/>
  <c r="F90" i="33" a="1"/>
  <c r="F90" i="33" s="1"/>
  <c r="D90" i="33"/>
  <c r="C90" i="33"/>
  <c r="O90" i="33" s="1"/>
  <c r="P90" i="33" s="1"/>
  <c r="L89" i="33"/>
  <c r="I89" i="33"/>
  <c r="F89" i="33" a="1"/>
  <c r="F89" i="33" s="1"/>
  <c r="D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O84" i="33"/>
  <c r="P84" i="33" s="1"/>
  <c r="L84" i="33"/>
  <c r="I84" i="33"/>
  <c r="C84" i="33"/>
  <c r="F84" i="33" s="1" a="1"/>
  <c r="F84" i="33" s="1"/>
  <c r="L83" i="33"/>
  <c r="I83" i="33"/>
  <c r="C83" i="33"/>
  <c r="F83" i="33" s="1" a="1"/>
  <c r="F83" i="33" s="1"/>
  <c r="L82" i="33"/>
  <c r="I82" i="33"/>
  <c r="F82" i="33" a="1"/>
  <c r="F82" i="33" s="1"/>
  <c r="D82" i="33"/>
  <c r="C82" i="33"/>
  <c r="O82" i="33" s="1"/>
  <c r="P82" i="33" s="1"/>
  <c r="L81" i="33"/>
  <c r="I81" i="33"/>
  <c r="C81" i="33"/>
  <c r="O81" i="33" s="1"/>
  <c r="P81" i="33" s="1"/>
  <c r="O80" i="33"/>
  <c r="P80" i="33" s="1"/>
  <c r="L80" i="33"/>
  <c r="I80" i="33"/>
  <c r="C80" i="33"/>
  <c r="F80" i="33" s="1" a="1"/>
  <c r="F80" i="33" s="1"/>
  <c r="L79" i="33"/>
  <c r="I79" i="33"/>
  <c r="C79" i="33"/>
  <c r="F79" i="33" s="1" a="1"/>
  <c r="F79" i="33" s="1"/>
  <c r="L78" i="33"/>
  <c r="I78" i="33"/>
  <c r="F78" i="33" a="1"/>
  <c r="F78" i="33" s="1"/>
  <c r="C78" i="33"/>
  <c r="O78" i="33" s="1"/>
  <c r="P78" i="33" s="1"/>
  <c r="L77" i="33"/>
  <c r="I77" i="33"/>
  <c r="F77" i="33" a="1"/>
  <c r="F77" i="33" s="1"/>
  <c r="C77" i="33"/>
  <c r="O77" i="33" s="1"/>
  <c r="P77" i="33" s="1"/>
  <c r="L76" i="33"/>
  <c r="I76" i="33"/>
  <c r="C76" i="33"/>
  <c r="F76" i="33" s="1" a="1"/>
  <c r="F76" i="33" s="1"/>
  <c r="O75" i="33"/>
  <c r="P75" i="33" s="1"/>
  <c r="L75" i="33"/>
  <c r="I75" i="33"/>
  <c r="C75" i="33"/>
  <c r="F75" i="33" s="1" a="1"/>
  <c r="F75" i="33" s="1"/>
  <c r="L74" i="33"/>
  <c r="I74" i="33"/>
  <c r="F74" i="33" a="1"/>
  <c r="F74" i="33" s="1"/>
  <c r="D74" i="33"/>
  <c r="C74" i="33"/>
  <c r="O74" i="33" s="1"/>
  <c r="P74" i="33" s="1"/>
  <c r="L73" i="33"/>
  <c r="I73" i="33"/>
  <c r="F73" i="33" a="1"/>
  <c r="F73" i="33" s="1"/>
  <c r="D73" i="33"/>
  <c r="C73" i="33"/>
  <c r="O73" i="33" s="1"/>
  <c r="P73" i="33" s="1"/>
  <c r="O72" i="33"/>
  <c r="P72" i="33" s="1"/>
  <c r="L72" i="33"/>
  <c r="I72" i="33"/>
  <c r="C72" i="33"/>
  <c r="F72" i="33" s="1" a="1"/>
  <c r="F72" i="33" s="1"/>
  <c r="L71" i="33"/>
  <c r="I71" i="33"/>
  <c r="C71" i="33"/>
  <c r="F71" i="33" s="1" a="1"/>
  <c r="F71" i="33" s="1"/>
  <c r="L70" i="33"/>
  <c r="I70" i="33"/>
  <c r="D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O63" i="33"/>
  <c r="P63" i="33" s="1"/>
  <c r="L63" i="33"/>
  <c r="I63" i="33"/>
  <c r="C63" i="33"/>
  <c r="F63" i="33" s="1" a="1"/>
  <c r="F63" i="33" s="1"/>
  <c r="L62" i="33"/>
  <c r="I62" i="33"/>
  <c r="F62" i="33" a="1"/>
  <c r="F62" i="33" s="1"/>
  <c r="D62" i="33"/>
  <c r="C62" i="33"/>
  <c r="O62" i="33" s="1"/>
  <c r="P62" i="33" s="1"/>
  <c r="L61" i="33"/>
  <c r="I61" i="33"/>
  <c r="F61" i="33" a="1"/>
  <c r="F61" i="33" s="1"/>
  <c r="C61" i="33"/>
  <c r="O61" i="33" s="1"/>
  <c r="P61" i="33" s="1"/>
  <c r="O60" i="33"/>
  <c r="P60" i="33" s="1"/>
  <c r="L60" i="33"/>
  <c r="I60" i="33"/>
  <c r="C60" i="33"/>
  <c r="F60" i="33" s="1" a="1"/>
  <c r="F60" i="33" s="1"/>
  <c r="O59" i="33"/>
  <c r="P59" i="33" s="1"/>
  <c r="L59" i="33"/>
  <c r="I59" i="33"/>
  <c r="C59" i="33"/>
  <c r="F59" i="33" s="1" a="1"/>
  <c r="F59" i="33" s="1"/>
  <c r="L58" i="33"/>
  <c r="I58" i="33"/>
  <c r="C58" i="33"/>
  <c r="O58" i="33" s="1"/>
  <c r="P58" i="33" s="1"/>
  <c r="L57" i="33"/>
  <c r="I57" i="33"/>
  <c r="F57" i="33" a="1"/>
  <c r="F57" i="33" s="1"/>
  <c r="D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F53" i="33" a="1"/>
  <c r="F53" i="33" s="1"/>
  <c r="C53" i="33"/>
  <c r="O53" i="33" s="1"/>
  <c r="P53" i="33" s="1"/>
  <c r="L52" i="33"/>
  <c r="I52" i="33"/>
  <c r="C52" i="33"/>
  <c r="F52" i="33" s="1" a="1"/>
  <c r="F52" i="33" s="1"/>
  <c r="O51" i="33"/>
  <c r="P51" i="33" s="1"/>
  <c r="L51" i="33"/>
  <c r="I51" i="33"/>
  <c r="C51" i="33"/>
  <c r="F51" i="33" s="1" a="1"/>
  <c r="F51" i="33" s="1"/>
  <c r="L50" i="33"/>
  <c r="I50" i="33"/>
  <c r="F50" i="33" a="1"/>
  <c r="F50" i="33" s="1"/>
  <c r="D50" i="33"/>
  <c r="C50" i="33"/>
  <c r="O50" i="33" s="1"/>
  <c r="P50" i="33" s="1"/>
  <c r="L49" i="33"/>
  <c r="I49" i="33"/>
  <c r="F49" i="33" a="1"/>
  <c r="F49" i="33" s="1"/>
  <c r="D49" i="33"/>
  <c r="C49" i="33"/>
  <c r="O49" i="33" s="1"/>
  <c r="P49" i="33" s="1"/>
  <c r="P48" i="33"/>
  <c r="O48" i="33"/>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O39" i="33"/>
  <c r="P39" i="33" s="1"/>
  <c r="L39" i="33"/>
  <c r="I39" i="33"/>
  <c r="C39" i="33"/>
  <c r="F39" i="33" s="1" a="1"/>
  <c r="F39" i="33" s="1"/>
  <c r="L38" i="33"/>
  <c r="I38" i="33"/>
  <c r="F38" i="33" a="1"/>
  <c r="F38" i="33" s="1"/>
  <c r="C38" i="33"/>
  <c r="O38" i="33" s="1"/>
  <c r="P38" i="33" s="1"/>
  <c r="L37" i="33"/>
  <c r="I37" i="33"/>
  <c r="F37" i="33" a="1"/>
  <c r="F37" i="33" s="1"/>
  <c r="D37" i="33"/>
  <c r="C37" i="33"/>
  <c r="O37" i="33" s="1"/>
  <c r="P37" i="33" s="1"/>
  <c r="P36" i="33"/>
  <c r="O36" i="33"/>
  <c r="L36" i="33"/>
  <c r="I36" i="33"/>
  <c r="C36" i="33"/>
  <c r="F36" i="33" s="1" a="1"/>
  <c r="F36" i="33" s="1"/>
  <c r="L35" i="33"/>
  <c r="I35" i="33"/>
  <c r="C35" i="33"/>
  <c r="F35" i="33" s="1" a="1"/>
  <c r="F35" i="33" s="1"/>
  <c r="L34" i="33"/>
  <c r="I34" i="33"/>
  <c r="F34" i="33" a="1"/>
  <c r="F34" i="33" s="1"/>
  <c r="D34" i="33"/>
  <c r="C34" i="33"/>
  <c r="O34" i="33" s="1"/>
  <c r="P34" i="33" s="1"/>
  <c r="L33" i="33"/>
  <c r="I33" i="33"/>
  <c r="C33" i="33"/>
  <c r="O33" i="33" s="1"/>
  <c r="P33" i="33" s="1"/>
  <c r="O32" i="33"/>
  <c r="P32" i="33" s="1"/>
  <c r="L32" i="33"/>
  <c r="I32" i="33"/>
  <c r="C32" i="33"/>
  <c r="F32" i="33" s="1" a="1"/>
  <c r="F32" i="33" s="1"/>
  <c r="L31" i="33"/>
  <c r="I31" i="33"/>
  <c r="C31" i="33"/>
  <c r="F31" i="33" s="1" a="1"/>
  <c r="F31" i="33" s="1"/>
  <c r="L30" i="33"/>
  <c r="I30" i="33"/>
  <c r="F30" i="33" a="1"/>
  <c r="F30" i="33" s="1"/>
  <c r="C30" i="33"/>
  <c r="O30" i="33" s="1"/>
  <c r="P30" i="33" s="1"/>
  <c r="L29" i="33"/>
  <c r="I29" i="33"/>
  <c r="F29" i="33" a="1"/>
  <c r="F29" i="33" s="1"/>
  <c r="C29" i="33"/>
  <c r="O29" i="33" s="1"/>
  <c r="P29" i="33" s="1"/>
  <c r="L28" i="33"/>
  <c r="I28" i="33"/>
  <c r="C28" i="33"/>
  <c r="F28" i="33" s="1" a="1"/>
  <c r="F28" i="33" s="1"/>
  <c r="O27" i="33"/>
  <c r="P27" i="33" s="1"/>
  <c r="L27" i="33"/>
  <c r="I27" i="33"/>
  <c r="C27" i="33"/>
  <c r="F27" i="33" s="1" a="1"/>
  <c r="F27" i="33" s="1"/>
  <c r="L26" i="33"/>
  <c r="I26" i="33"/>
  <c r="F26" i="33" a="1"/>
  <c r="F26" i="33" s="1"/>
  <c r="D26" i="33"/>
  <c r="C26" i="33"/>
  <c r="O26" i="33" s="1"/>
  <c r="P26" i="33" s="1"/>
  <c r="L25" i="33"/>
  <c r="I25" i="33"/>
  <c r="F25" i="33" a="1"/>
  <c r="F25" i="33" s="1"/>
  <c r="D25" i="33"/>
  <c r="C25" i="33"/>
  <c r="O25" i="33" s="1"/>
  <c r="P25" i="33" s="1"/>
  <c r="O24" i="33"/>
  <c r="P24"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O16" i="33"/>
  <c r="P16" i="33" s="1"/>
  <c r="L16" i="33"/>
  <c r="I16" i="33"/>
  <c r="C16" i="33"/>
  <c r="F16" i="33" s="1" a="1"/>
  <c r="F16" i="33" s="1"/>
  <c r="O15" i="33"/>
  <c r="P15" i="33" s="1"/>
  <c r="L15" i="33"/>
  <c r="I15" i="33"/>
  <c r="C15" i="33"/>
  <c r="F15" i="33" s="1" a="1"/>
  <c r="F15" i="33" s="1"/>
  <c r="L14" i="33"/>
  <c r="I14" i="33"/>
  <c r="C14" i="33"/>
  <c r="O14" i="33" s="1"/>
  <c r="P14" i="33" s="1"/>
  <c r="L13" i="33"/>
  <c r="I13" i="33"/>
  <c r="F13" i="33" a="1"/>
  <c r="F13" i="33" s="1"/>
  <c r="D13" i="33"/>
  <c r="C13" i="33"/>
  <c r="O13" i="33" s="1"/>
  <c r="P13" i="33" s="1"/>
  <c r="L12" i="33"/>
  <c r="I12" i="33"/>
  <c r="C12" i="33"/>
  <c r="F12" i="33" s="1" a="1"/>
  <c r="F12" i="33" s="1"/>
  <c r="O11" i="33"/>
  <c r="P11" i="33" s="1"/>
  <c r="L11" i="33"/>
  <c r="I11" i="33"/>
  <c r="C11" i="33"/>
  <c r="F11" i="33" s="1" a="1"/>
  <c r="F11" i="33" s="1"/>
  <c r="L10" i="33"/>
  <c r="I10" i="33"/>
  <c r="F10" i="33" a="1"/>
  <c r="F10" i="33" s="1"/>
  <c r="D10" i="33"/>
  <c r="C10" i="33"/>
  <c r="O10" i="33" s="1"/>
  <c r="P10" i="33" s="1"/>
  <c r="L9" i="33"/>
  <c r="I9" i="33"/>
  <c r="F9" i="33" a="1"/>
  <c r="F9" i="33" s="1"/>
  <c r="D9" i="33"/>
  <c r="C9" i="33"/>
  <c r="O9" i="33" s="1"/>
  <c r="P9" i="33" s="1"/>
  <c r="L8" i="33"/>
  <c r="I8" i="33"/>
  <c r="C8" i="33"/>
  <c r="F8" i="33" s="1" a="1"/>
  <c r="F8" i="33" s="1"/>
  <c r="L7" i="33"/>
  <c r="I7" i="33"/>
  <c r="C7" i="33"/>
  <c r="I6" i="33"/>
  <c r="F6" i="33" a="1"/>
  <c r="F6" i="33" s="1"/>
  <c r="C6" i="33"/>
  <c r="O6" i="33" s="1"/>
  <c r="P6" i="33" s="1"/>
  <c r="L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F97" i="32" a="1"/>
  <c r="F97" i="32" s="1"/>
  <c r="C97" i="32"/>
  <c r="O97" i="32" s="1"/>
  <c r="P97" i="32" s="1"/>
  <c r="O96" i="32"/>
  <c r="P96"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C90" i="32"/>
  <c r="F90" i="32" s="1" a="1"/>
  <c r="F90" i="32" s="1"/>
  <c r="L89" i="32"/>
  <c r="K89" i="32"/>
  <c r="I89" i="32"/>
  <c r="F89" i="32" a="1"/>
  <c r="F89" i="32" s="1"/>
  <c r="C89" i="32"/>
  <c r="O89" i="32" s="1"/>
  <c r="P89" i="32" s="1"/>
  <c r="O88" i="32"/>
  <c r="P88"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C82" i="32"/>
  <c r="F82" i="32" s="1" a="1"/>
  <c r="F82" i="32" s="1"/>
  <c r="L81" i="32"/>
  <c r="K81" i="32"/>
  <c r="I81" i="32"/>
  <c r="F81" i="32" a="1"/>
  <c r="F81" i="32" s="1"/>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C74" i="32"/>
  <c r="F74" i="32" s="1" a="1"/>
  <c r="F74" i="32" s="1"/>
  <c r="L73" i="32"/>
  <c r="K73" i="32"/>
  <c r="I73" i="32"/>
  <c r="F73" i="32" a="1"/>
  <c r="F73" i="32" s="1"/>
  <c r="C73" i="32"/>
  <c r="O73" i="32" s="1"/>
  <c r="P73" i="32" s="1"/>
  <c r="O72" i="32"/>
  <c r="P72"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C66" i="32"/>
  <c r="F66" i="32" s="1" a="1"/>
  <c r="F66" i="32" s="1"/>
  <c r="L65" i="32"/>
  <c r="K65" i="32"/>
  <c r="I65" i="32"/>
  <c r="C65" i="32"/>
  <c r="O65" i="32" s="1"/>
  <c r="P65" i="32" s="1"/>
  <c r="O64" i="32"/>
  <c r="P64"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C58" i="32"/>
  <c r="F58" i="32" s="1" a="1"/>
  <c r="F58" i="32" s="1"/>
  <c r="L57" i="32"/>
  <c r="K57" i="32"/>
  <c r="I57" i="32"/>
  <c r="F57" i="32" a="1"/>
  <c r="F57" i="32" s="1"/>
  <c r="C57" i="32"/>
  <c r="O57" i="32" s="1"/>
  <c r="P57" i="32" s="1"/>
  <c r="O56" i="32"/>
  <c r="P56" i="32" s="1"/>
  <c r="L56" i="32"/>
  <c r="K56" i="32"/>
  <c r="I56" i="32"/>
  <c r="C56" i="32"/>
  <c r="F56" i="32" s="1" a="1"/>
  <c r="F56" i="32" s="1"/>
  <c r="O55" i="32"/>
  <c r="P55" i="32" s="1"/>
  <c r="L55" i="32"/>
  <c r="K55" i="32"/>
  <c r="I55" i="32"/>
  <c r="C55" i="32"/>
  <c r="F55" i="32" s="1" a="1"/>
  <c r="F55" i="32" s="1"/>
  <c r="L54" i="32"/>
  <c r="K54" i="32"/>
  <c r="I54" i="32"/>
  <c r="C54" i="32"/>
  <c r="F54" i="32" s="1" a="1"/>
  <c r="F54" i="32" s="1"/>
  <c r="L53" i="32"/>
  <c r="K53" i="32"/>
  <c r="I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C42" i="32"/>
  <c r="F42" i="32" s="1" a="1"/>
  <c r="F42" i="32" s="1"/>
  <c r="L41" i="32"/>
  <c r="K41" i="32"/>
  <c r="I41" i="32"/>
  <c r="F41" i="32" a="1"/>
  <c r="F41" i="32" s="1"/>
  <c r="C41" i="32"/>
  <c r="O41" i="32" s="1"/>
  <c r="P41" i="32" s="1"/>
  <c r="O40" i="32"/>
  <c r="P40"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C34" i="32"/>
  <c r="F34" i="32" s="1" a="1"/>
  <c r="F34" i="32" s="1"/>
  <c r="L33" i="32"/>
  <c r="K33" i="32"/>
  <c r="I33" i="32"/>
  <c r="C33" i="32"/>
  <c r="O33" i="32" s="1"/>
  <c r="P33" i="32" s="1"/>
  <c r="O32" i="32"/>
  <c r="P32" i="32" s="1"/>
  <c r="L32" i="32"/>
  <c r="K32" i="32"/>
  <c r="I32" i="32"/>
  <c r="C32" i="32"/>
  <c r="F32" i="32" s="1" a="1"/>
  <c r="F32" i="32" s="1"/>
  <c r="L31" i="32"/>
  <c r="K31" i="32"/>
  <c r="I31" i="32"/>
  <c r="C31" i="32"/>
  <c r="F31" i="32" s="1" a="1"/>
  <c r="F31" i="32" s="1"/>
  <c r="L30" i="32"/>
  <c r="K30" i="32"/>
  <c r="I30" i="32"/>
  <c r="C30" i="32"/>
  <c r="F30" i="32" s="1" a="1"/>
  <c r="F30" i="32" s="1"/>
  <c r="L29" i="32"/>
  <c r="K29" i="32"/>
  <c r="I29" i="32"/>
  <c r="F29" i="32" a="1"/>
  <c r="F29" i="32" s="1"/>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O24" i="32"/>
  <c r="P24" i="32" s="1"/>
  <c r="L24" i="32"/>
  <c r="K24" i="32"/>
  <c r="I24" i="32"/>
  <c r="C24" i="32"/>
  <c r="F24" i="32" s="1" a="1"/>
  <c r="F24" i="32" s="1"/>
  <c r="O23" i="32"/>
  <c r="P23" i="32" s="1"/>
  <c r="L23" i="32"/>
  <c r="K23" i="32"/>
  <c r="I23" i="32"/>
  <c r="C23" i="32"/>
  <c r="F23" i="32" s="1" a="1"/>
  <c r="F23" i="32" s="1"/>
  <c r="L22" i="32"/>
  <c r="K22" i="32"/>
  <c r="I22" i="32"/>
  <c r="C22" i="32"/>
  <c r="F22" i="32" s="1" a="1"/>
  <c r="F22" i="32" s="1"/>
  <c r="L21" i="32"/>
  <c r="K21" i="32"/>
  <c r="I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C18" i="32"/>
  <c r="F18" i="32" s="1" a="1"/>
  <c r="F18" i="32" s="1"/>
  <c r="L17" i="32"/>
  <c r="K17" i="32"/>
  <c r="I17" i="32"/>
  <c r="C17" i="32"/>
  <c r="O17" i="32" s="1"/>
  <c r="P17" i="32" s="1"/>
  <c r="O16" i="32"/>
  <c r="P16"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O12" i="32"/>
  <c r="P12"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D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F87" i="31" a="1"/>
  <c r="F87" i="31" s="1"/>
  <c r="D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F79" i="31" a="1"/>
  <c r="F79" i="31" s="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F75" i="31" a="1"/>
  <c r="F75" i="31" s="1"/>
  <c r="D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D71" i="31"/>
  <c r="C71" i="31"/>
  <c r="O71" i="31" s="1"/>
  <c r="P71" i="31" s="1"/>
  <c r="L70" i="31"/>
  <c r="K70" i="31"/>
  <c r="I70" i="31"/>
  <c r="C70" i="31"/>
  <c r="F70" i="31" s="1" a="1"/>
  <c r="F70" i="31" s="1"/>
  <c r="O69" i="31"/>
  <c r="P69" i="31" s="1"/>
  <c r="L69" i="31"/>
  <c r="K69" i="31"/>
  <c r="I69" i="31"/>
  <c r="C69" i="31"/>
  <c r="F69" i="31" s="1" a="1"/>
  <c r="F69" i="31" s="1"/>
  <c r="L68" i="31"/>
  <c r="K68" i="31"/>
  <c r="I68" i="31"/>
  <c r="C68" i="31"/>
  <c r="F68" i="31" s="1" a="1"/>
  <c r="F68" i="31" s="1"/>
  <c r="L67" i="31"/>
  <c r="K67" i="31"/>
  <c r="I67" i="31"/>
  <c r="C67" i="31"/>
  <c r="O67" i="31" s="1"/>
  <c r="P67" i="31" s="1"/>
  <c r="O66" i="31"/>
  <c r="P66" i="31" s="1"/>
  <c r="L66" i="31"/>
  <c r="K66" i="31"/>
  <c r="I66" i="31"/>
  <c r="C66" i="31"/>
  <c r="F66" i="31" s="1" a="1"/>
  <c r="F66" i="31" s="1"/>
  <c r="L65" i="31"/>
  <c r="K65" i="31"/>
  <c r="I65" i="31"/>
  <c r="C65" i="31"/>
  <c r="F65" i="31" s="1" a="1"/>
  <c r="F65" i="31" s="1"/>
  <c r="L64" i="31"/>
  <c r="K64" i="31"/>
  <c r="I64" i="31"/>
  <c r="C64" i="31"/>
  <c r="F64" i="31" s="1" a="1"/>
  <c r="F64" i="31" s="1"/>
  <c r="L63" i="31"/>
  <c r="K63" i="31"/>
  <c r="I63" i="31"/>
  <c r="F63" i="31" a="1"/>
  <c r="F63" i="31" s="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F59" i="31" a="1"/>
  <c r="F59" i="31" s="1"/>
  <c r="C59" i="31"/>
  <c r="O59" i="31" s="1"/>
  <c r="P59" i="31" s="1"/>
  <c r="L58" i="31"/>
  <c r="K58" i="31"/>
  <c r="I58" i="31"/>
  <c r="C58" i="31"/>
  <c r="F58" i="31" s="1" a="1"/>
  <c r="F58" i="31" s="1"/>
  <c r="O57" i="31"/>
  <c r="P57" i="31" s="1"/>
  <c r="L57" i="31"/>
  <c r="K57" i="31"/>
  <c r="I57" i="31"/>
  <c r="C57" i="31"/>
  <c r="F57" i="31" s="1" a="1"/>
  <c r="F57" i="31" s="1"/>
  <c r="L56" i="31"/>
  <c r="K56" i="31"/>
  <c r="I56" i="31"/>
  <c r="C56" i="31"/>
  <c r="F56" i="31" s="1" a="1"/>
  <c r="F56" i="31" s="1"/>
  <c r="L55" i="31"/>
  <c r="K55" i="31"/>
  <c r="I55" i="31"/>
  <c r="F55" i="31" a="1"/>
  <c r="F55" i="31" s="1"/>
  <c r="C55" i="31"/>
  <c r="O55" i="31" s="1"/>
  <c r="P55" i="31" s="1"/>
  <c r="O54" i="31"/>
  <c r="P54" i="31" s="1"/>
  <c r="L54" i="31"/>
  <c r="K54" i="31"/>
  <c r="I54" i="31"/>
  <c r="C54" i="31"/>
  <c r="F54" i="31" s="1" a="1"/>
  <c r="F54" i="31" s="1"/>
  <c r="L53" i="31"/>
  <c r="K53" i="31"/>
  <c r="I53" i="31"/>
  <c r="C53" i="31"/>
  <c r="F53" i="31" s="1" a="1"/>
  <c r="F53" i="31" s="1"/>
  <c r="L52" i="31"/>
  <c r="K52" i="31"/>
  <c r="I52" i="31"/>
  <c r="C52" i="31"/>
  <c r="F52" i="31" s="1" a="1"/>
  <c r="F52" i="31" s="1"/>
  <c r="L51" i="31"/>
  <c r="K51" i="31"/>
  <c r="I51" i="31"/>
  <c r="F51" i="31" a="1"/>
  <c r="F51" i="31" s="1"/>
  <c r="D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D47" i="31"/>
  <c r="C47" i="31"/>
  <c r="O47" i="31" s="1"/>
  <c r="P47" i="31" s="1"/>
  <c r="L46" i="31"/>
  <c r="K46" i="31"/>
  <c r="I46" i="31"/>
  <c r="C46" i="31"/>
  <c r="F46" i="31" s="1" a="1"/>
  <c r="F46" i="31" s="1"/>
  <c r="O45" i="31"/>
  <c r="P45" i="31" s="1"/>
  <c r="L45" i="31"/>
  <c r="K45" i="31"/>
  <c r="I45" i="31"/>
  <c r="C45" i="31"/>
  <c r="F45" i="31" s="1" a="1"/>
  <c r="F45" i="31" s="1"/>
  <c r="L44" i="31"/>
  <c r="K44" i="31"/>
  <c r="I44" i="31"/>
  <c r="C44" i="31"/>
  <c r="F44" i="31" s="1" a="1"/>
  <c r="F44" i="31" s="1"/>
  <c r="L43" i="31"/>
  <c r="K43" i="31"/>
  <c r="I43" i="31"/>
  <c r="F43" i="31" a="1"/>
  <c r="F43" i="31" s="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D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F23" i="31" a="1"/>
  <c r="F23" i="31" s="1"/>
  <c r="D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F15" i="31" a="1"/>
  <c r="F15" i="31" s="1"/>
  <c r="D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D35" i="31" l="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D88" i="30"/>
  <c r="C88" i="30"/>
  <c r="F88" i="30" s="1" a="1"/>
  <c r="F88" i="30" s="1"/>
  <c r="L87" i="30"/>
  <c r="K87" i="30"/>
  <c r="I87" i="30"/>
  <c r="C87" i="30"/>
  <c r="O87" i="30" s="1"/>
  <c r="P87" i="30" s="1"/>
  <c r="L86" i="30"/>
  <c r="K86" i="30"/>
  <c r="I86" i="30"/>
  <c r="D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O80" i="30"/>
  <c r="P80" i="30" s="1"/>
  <c r="L80" i="30"/>
  <c r="K80" i="30"/>
  <c r="I80" i="30"/>
  <c r="F80" i="30" a="1"/>
  <c r="F80" i="30" s="1"/>
  <c r="D80" i="30"/>
  <c r="C80" i="30"/>
  <c r="L79" i="30"/>
  <c r="K79" i="30"/>
  <c r="I79" i="30"/>
  <c r="C79" i="30"/>
  <c r="O79" i="30" s="1"/>
  <c r="P79" i="30" s="1"/>
  <c r="L78" i="30"/>
  <c r="K78" i="30"/>
  <c r="I78" i="30"/>
  <c r="D78" i="30"/>
  <c r="C78" i="30"/>
  <c r="F78" i="30" s="1" a="1"/>
  <c r="F78" i="30" s="1"/>
  <c r="L77" i="30"/>
  <c r="K77" i="30"/>
  <c r="I77" i="30"/>
  <c r="C77" i="30"/>
  <c r="F77" i="30" s="1" a="1"/>
  <c r="F77" i="30" s="1"/>
  <c r="O76" i="30"/>
  <c r="P76" i="30" s="1"/>
  <c r="L76" i="30"/>
  <c r="K76" i="30"/>
  <c r="I76" i="30"/>
  <c r="D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F72" i="30" a="1"/>
  <c r="F72" i="30" s="1"/>
  <c r="C72" i="30"/>
  <c r="O72" i="30" s="1"/>
  <c r="P72" i="30" s="1"/>
  <c r="L71" i="30"/>
  <c r="K71" i="30"/>
  <c r="I71" i="30"/>
  <c r="C71" i="30"/>
  <c r="O71" i="30" s="1"/>
  <c r="P71" i="30" s="1"/>
  <c r="L70" i="30"/>
  <c r="K70" i="30"/>
  <c r="I70" i="30"/>
  <c r="C70" i="30"/>
  <c r="F70" i="30" s="1" a="1"/>
  <c r="F70" i="30" s="1"/>
  <c r="L69" i="30"/>
  <c r="K69" i="30"/>
  <c r="I69" i="30"/>
  <c r="C69" i="30"/>
  <c r="F69" i="30" s="1" a="1"/>
  <c r="F69" i="30" s="1"/>
  <c r="O68" i="30"/>
  <c r="P68" i="30" s="1"/>
  <c r="L68" i="30"/>
  <c r="K68" i="30"/>
  <c r="I68" i="30"/>
  <c r="D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D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O54" i="30"/>
  <c r="P54" i="30" s="1"/>
  <c r="L54" i="30"/>
  <c r="K54" i="30"/>
  <c r="I54" i="30"/>
  <c r="C54" i="30"/>
  <c r="F54" i="30" s="1" a="1"/>
  <c r="F54" i="30" s="1"/>
  <c r="L53" i="30"/>
  <c r="K53" i="30"/>
  <c r="I53" i="30"/>
  <c r="C53" i="30"/>
  <c r="F53" i="30" s="1" a="1"/>
  <c r="F53" i="30" s="1"/>
  <c r="L52" i="30"/>
  <c r="K52" i="30"/>
  <c r="I52" i="30"/>
  <c r="F52" i="30" a="1"/>
  <c r="F52" i="30" s="1"/>
  <c r="C52" i="30"/>
  <c r="D52" i="30" s="1"/>
  <c r="L51" i="30"/>
  <c r="K51" i="30"/>
  <c r="I51" i="30"/>
  <c r="C51" i="30"/>
  <c r="O51" i="30" s="1"/>
  <c r="P51" i="30" s="1"/>
  <c r="L50" i="30"/>
  <c r="K50" i="30"/>
  <c r="I50" i="30"/>
  <c r="C50" i="30"/>
  <c r="F50" i="30" s="1" a="1"/>
  <c r="F50" i="30" s="1"/>
  <c r="L49" i="30"/>
  <c r="K49" i="30"/>
  <c r="I49" i="30"/>
  <c r="C49" i="30"/>
  <c r="F49" i="30" s="1" a="1"/>
  <c r="F49" i="30" s="1"/>
  <c r="O48" i="30"/>
  <c r="P48" i="30" s="1"/>
  <c r="L48" i="30"/>
  <c r="K48" i="30"/>
  <c r="I48" i="30"/>
  <c r="D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O42" i="30"/>
  <c r="P42"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D36" i="30"/>
  <c r="C36" i="30"/>
  <c r="F36" i="30" s="1" a="1"/>
  <c r="F36" i="30" s="1"/>
  <c r="L35" i="30"/>
  <c r="K35" i="30"/>
  <c r="I35" i="30"/>
  <c r="C35" i="30"/>
  <c r="O35" i="30" s="1"/>
  <c r="P35" i="30" s="1"/>
  <c r="L34" i="30"/>
  <c r="K34" i="30"/>
  <c r="I34" i="30"/>
  <c r="C34" i="30"/>
  <c r="F34" i="30" s="1" a="1"/>
  <c r="F34" i="30" s="1"/>
  <c r="L33" i="30"/>
  <c r="K33" i="30"/>
  <c r="I33" i="30"/>
  <c r="C33" i="30"/>
  <c r="F33" i="30" s="1" a="1"/>
  <c r="F33" i="30" s="1"/>
  <c r="O32" i="30"/>
  <c r="P32"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D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D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O65" i="28"/>
  <c r="P65" i="28" s="1"/>
  <c r="L65" i="28"/>
  <c r="K65" i="28"/>
  <c r="I65" i="28"/>
  <c r="F65" i="28" a="1"/>
  <c r="F65" i="28" s="1"/>
  <c r="C65" i="28"/>
  <c r="D65" i="28" s="1"/>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F59" i="28" a="1"/>
  <c r="F59" i="28" s="1"/>
  <c r="C59" i="28"/>
  <c r="O59" i="28" s="1"/>
  <c r="P59" i="28" s="1"/>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D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O47" i="28"/>
  <c r="P47" i="28" s="1"/>
  <c r="L47" i="28"/>
  <c r="K47" i="28"/>
  <c r="I47" i="28"/>
  <c r="F47" i="28" a="1"/>
  <c r="F47" i="28" s="1"/>
  <c r="D47" i="28"/>
  <c r="C47" i="28"/>
  <c r="L46" i="28"/>
  <c r="K46" i="28"/>
  <c r="I46" i="28"/>
  <c r="C46" i="28"/>
  <c r="F46" i="28" s="1" a="1"/>
  <c r="F46" i="28" s="1"/>
  <c r="L45" i="28"/>
  <c r="K45" i="28"/>
  <c r="I45" i="28"/>
  <c r="D45" i="28"/>
  <c r="C45" i="28"/>
  <c r="O45" i="28" s="1"/>
  <c r="P45" i="28" s="1"/>
  <c r="L44" i="28"/>
  <c r="K44" i="28"/>
  <c r="I44" i="28"/>
  <c r="C44" i="28"/>
  <c r="O44" i="28" s="1"/>
  <c r="P44" i="28" s="1"/>
  <c r="L43" i="28"/>
  <c r="K43" i="28"/>
  <c r="I43" i="28"/>
  <c r="C43" i="28"/>
  <c r="O43" i="28" s="1"/>
  <c r="P43" i="28" s="1"/>
  <c r="L42" i="28"/>
  <c r="K42" i="28"/>
  <c r="I42" i="28"/>
  <c r="C42" i="28"/>
  <c r="F42" i="28" s="1" a="1"/>
  <c r="F42" i="28" s="1"/>
  <c r="O41" i="28"/>
  <c r="P41" i="28" s="1"/>
  <c r="L41" i="28"/>
  <c r="K41" i="28"/>
  <c r="I41" i="28"/>
  <c r="F41" i="28" a="1"/>
  <c r="F41" i="28" s="1"/>
  <c r="C41" i="28"/>
  <c r="D41" i="28" s="1"/>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C37" i="28"/>
  <c r="F37" i="28" s="1" a="1"/>
  <c r="F37" i="28" s="1"/>
  <c r="L36" i="28"/>
  <c r="K36" i="28"/>
  <c r="I36" i="28"/>
  <c r="C36" i="28"/>
  <c r="O36" i="28" s="1"/>
  <c r="P36" i="28" s="1"/>
  <c r="L35" i="28"/>
  <c r="K35" i="28"/>
  <c r="I35" i="28"/>
  <c r="F35" i="28" a="1"/>
  <c r="F35" i="28" s="1"/>
  <c r="C35" i="28"/>
  <c r="O35" i="28" s="1"/>
  <c r="P35" i="28" s="1"/>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O23" i="28"/>
  <c r="P23" i="28" s="1"/>
  <c r="L23" i="28"/>
  <c r="K23" i="28"/>
  <c r="I23" i="28"/>
  <c r="F23" i="28" a="1"/>
  <c r="F23" i="28" s="1"/>
  <c r="D23" i="28"/>
  <c r="C23" i="28"/>
  <c r="L22" i="28"/>
  <c r="K22" i="28"/>
  <c r="I22" i="28"/>
  <c r="C22" i="28"/>
  <c r="F22" i="28" s="1" a="1"/>
  <c r="F22" i="28" s="1"/>
  <c r="L21" i="28"/>
  <c r="K21" i="28"/>
  <c r="I21" i="28"/>
  <c r="D21" i="28"/>
  <c r="C21" i="28"/>
  <c r="O21" i="28" s="1"/>
  <c r="P21" i="28" s="1"/>
  <c r="L20" i="28"/>
  <c r="K20" i="28"/>
  <c r="I20" i="28"/>
  <c r="C20" i="28"/>
  <c r="D20" i="28" s="1"/>
  <c r="L19" i="28"/>
  <c r="K19" i="28"/>
  <c r="I19" i="28"/>
  <c r="C19" i="28"/>
  <c r="O19" i="28" s="1"/>
  <c r="P19" i="28" s="1"/>
  <c r="L18" i="28"/>
  <c r="K18" i="28"/>
  <c r="I18" i="28"/>
  <c r="C18" i="28"/>
  <c r="F18" i="28" s="1" a="1"/>
  <c r="F18" i="28" s="1"/>
  <c r="O17" i="28"/>
  <c r="P17" i="28" s="1"/>
  <c r="L17" i="28"/>
  <c r="K17" i="28"/>
  <c r="I17" i="28"/>
  <c r="F17" i="28" a="1"/>
  <c r="F17" i="28" s="1"/>
  <c r="C17" i="28"/>
  <c r="D17" i="28" s="1"/>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F11" i="28" a="1"/>
  <c r="F11" i="28" s="1"/>
  <c r="C11" i="28"/>
  <c r="O11" i="28" s="1"/>
  <c r="P11" i="28" s="1"/>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D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D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F55" i="26" a="1"/>
  <c r="F55" i="26" s="1"/>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F47" i="26" a="1"/>
  <c r="F47" i="26" s="1"/>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F39" i="26" a="1"/>
  <c r="F39" i="26" s="1"/>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D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D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F71" i="26" l="1"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O69" i="25"/>
  <c r="P69"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F62" i="25" a="1"/>
  <c r="F62" i="25" s="1"/>
  <c r="C62" i="25"/>
  <c r="O62" i="25" s="1"/>
  <c r="P62" i="25" s="1"/>
  <c r="O61" i="25"/>
  <c r="P61"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F48" i="25" a="1"/>
  <c r="F48" i="25" s="1"/>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O21" i="25"/>
  <c r="P21"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O13" i="25"/>
  <c r="P13"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56" i="25" l="1"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<sst xmlns="http://schemas.openxmlformats.org/spreadsheetml/2006/main" count="1005" uniqueCount="274">
  <si>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</si>
  <si>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</si>
  <si>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</si>
  <si>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</si>
  <si>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</si>
  <si>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</si>
  <si>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</si>
  <si>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</si>
  <si>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</si>
  <si>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</si>
  <si>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</si>
  <si>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</si>
  <si>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</si>
  <si>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</si>
  <si>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</si>
  <si>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</si>
  <si>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</si>
  <si>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</si>
  <si>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</si>
  <si>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</si>
  <si>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</si>
  <si>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</si>
  <si>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</si>
  <si>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</si>
  <si>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</si>
  <si>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</si>
  <si>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</si>
  <si>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</si>
  <si>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</si>
  <si>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</si>
  <si>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</si>
  <si>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</si>
  <si>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</si>
  <si>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</si>
  <si>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</si>
  <si>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</si>
  <si>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</si>
  <si>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</si>
  <si>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</si>
  <si>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</si>
  <si>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</si>
  <si>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</si>
  <si>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</si>
  <si>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</si>
  <si>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</si>
  <si>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</si>
  <si>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</si>
  <si>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</si>
  <si>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</si>
  <si>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</si>
  <si>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</si>
  <si>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</si>
  <si>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</si>
  <si>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</si>
  <si>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</si>
  <si>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</si>
  <si>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</si>
  <si>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</si>
  <si>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</si>
  <si>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</si>
  <si>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</si>
  <si>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</si>
  <si>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</si>
  <si>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</si>
  <si>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</si>
  <si>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</si>
  <si>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</si>
  <si>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</si>
  <si>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</si>
  <si>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</si>
  <si>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</si>
  <si>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</si>
  <si>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</si>
  <si>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</si>
  <si>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</si>
  <si>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</si>
  <si>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</si>
  <si>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</si>
  <si>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</si>
  <si>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</si>
  <si>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</si>
  <si>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</si>
  <si>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</si>
  <si>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</si>
  <si>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</si>
  <si>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</si>
  <si>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</si>
  <si>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</si>
  <si>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</si>
  <si>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</si>
  <si>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</si>
  <si>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</si>
  <si>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</si>
  <si>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</si>
  <si>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</si>
  <si>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</si>
  <si>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</si>
  <si>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</si>
  <si>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</si>
  <si>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</si>
  <si>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</si>
  <si>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</si>
  <si>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</si>
  <si>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</si>
  <si>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</si>
  <si>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</si>
  <si>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</si>
  <si>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</si>
  <si>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</si>
  <si>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</si>
  <si>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</si>
  <si>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</si>
  <si>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</si>
  <si>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</si>
  <si>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</si>
  <si>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</si>
  <si>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</si>
  <si>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</si>
  <si>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</si>
  <si>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</si>
  <si>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</si>
  <si>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</si>
  <si>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</si>
  <si>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</si>
  <si>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</si>
  <si>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</si>
  <si>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</si>
  <si>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</si>
  <si>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</si>
  <si>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</si>
  <si>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</si>
  <si>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</si>
  <si>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</si>
  <si>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</si>
  <si>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</si>
  <si>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</si>
  <si>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</si>
  <si>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</si>
  <si>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</si>
  <si>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</si>
  <si>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</si>
  <si>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</si>
  <si>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</si>
  <si>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</si>
  <si>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</si>
  <si>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</si>
  <si>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</si>
  <si>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</si>
  <si>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</si>
  <si>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</si>
  <si>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</si>
  <si>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</si>
  <si>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</si>
  <si>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</si>
  <si>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</si>
  <si>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</si>
  <si>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</si>
  <si>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</si>
  <si>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</si>
  <si>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</si>
  <si>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</si>
  <si>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</si>
  <si>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</si>
  <si>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</si>
  <si>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</si>
  <si>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</si>
  <si>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</si>
  <si>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</si>
  <si>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</si>
  <si>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</si>
  <si>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</si>
  <si>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</si>
  <si>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</si>
  <si>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</si>
  <si>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</si>
  <si>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</si>
  <si>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</si>
  <si>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</si>
  <si>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</si>
  <si>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</si>
  <si>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</si>
  <si>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</si>
  <si>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</si>
  <si>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</si>
  <si>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</si>
  <si>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</si>
  <si>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</si>
  <si>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</si>
  <si>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</si>
  <si>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</si>
  <si>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</si>
  <si>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</si>
  <si>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</si>
  <si>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</si>
  <si>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</si>
  <si>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</si>
  <si>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</si>
  <si>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</si>
  <si>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</si>
  <si>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</si>
  <si>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</si>
  <si>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</si>
  <si>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</si>
  <si>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</si>
  <si>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</si>
  <si>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</si>
  <si>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</si>
  <si>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</si>
  <si>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</si>
  <si>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</si>
  <si>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</si>
  <si>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</si>
  <si>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</si>
  <si>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</si>
  <si>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</si>
  <si>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</si>
  <si>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</si>
  <si>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</si>
  <si>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</si>
  <si>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</si>
  <si>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</si>
  <si>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</si>
  <si>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</si>
  <si>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</si>
  <si>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</si>
  <si>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</si>
  <si>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</si>
  <si>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</si>
  <si>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</si>
  <si>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</si>
  <si>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</si>
  <si>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</si>
  <si>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</si>
  <si>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</si>
  <si>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</si>
  <si>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</si>
  <si>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</si>
  <si>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</si>
  <si>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</si>
  <si>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</si>
  <si>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</si>
  <si>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</si>
  <si>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</si>
  <si>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</si>
  <si>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</si>
  <si>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</si>
  <si>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</si>
  <si>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</si>
  <si>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Main product</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</si>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</sst>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Resources'!$A$1:$F$1,'SI - Resources'!$A$2:$F$2, "")</calculatedColumnFormula>
    </tableColumn>
    <tableColumn id="4" xr3:uid="{443B29D1-51E9-4D93-B846-D8A924189223}" name="End Use" dataDxfId="229">
      <calculatedColumnFormula>IF(_xlfn.XLOOKUP($C5,'SI - End Use'!$B$2:$B$30,'SI - End Use'!$C$2:$C$30, "")="", "", _xlfn.XLOOKUP($C5,'SI - End Use'!$B$2:$B$30,'SI - End Use'!$C$2:$C$30,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Units'!$B$24:$B$51,'SI - Units'!$C$24:$C$51, ""),'SI - Units'!$A$2:$A$8,'SI - Units'!$B$2:$B$8, ""))</calculatedColumnFormula>
    </tableColumn>
    <tableColumn id="7" xr3:uid="{5480AB73-35A9-4C60-87E1-D62AAA364799}" name="Moisture" dataDxfId="226" dataCellStyle="Percent"/>
    <tableColumn id="8" xr3:uid="{CFFA6434-7B4D-4630-80C3-A05A5B443698}" name="Previous Process"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Payload'!$A$10:$A$33,'SI - Payload'!$B$10:$B$33,"",0),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Use'!$B$2:$B$30,'SI - End Use'!$C$2:$C$30, "")="", "", _xlfn.XLOOKUP($C5,'SI - End Use'!$B$2:$B$30,'SI - End Use'!$C$2:$C$30, ""))</calculatedColumnFormula>
    </tableColumn>
    <tableColumn id="18" xr3:uid="{009D8965-8CC9-4C2D-B80E-CFC1D1800BEA}" name="Sub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Resources'!$A$1:$F$1,'SI - Resources'!$A$2:$F$2, "")</calculatedColumnFormula>
    </tableColumn>
    <tableColumn id="4" xr3:uid="{C6B6FDFD-5FB3-4818-BB15-997A8A44A6A5}" name="End Use" dataDxfId="208">
      <calculatedColumnFormula>IF(_xlfn.XLOOKUP($C5,'SI - End Use'!$B$2:$B$30,'SI - End Use'!$C$2:$C$30, "")="", "", _xlfn.XLOOKUP($C5,'SI - End Use'!$B$2:$B$30,'SI - End Use'!$C$2:$C$30,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Units'!$B$24:$B$51,'SI - Units'!$C$24:$C$51, ""),'SI - Units'!$A$2:$A$8,'SI - Units'!$B$2:$B$8, ""))</calculatedColumnFormula>
    </tableColumn>
    <tableColumn id="7" xr3:uid="{51769122-B012-43F4-B206-77BDFB857216}" name="Moisture" dataDxfId="205" dataCellStyle="Percent"/>
    <tableColumn id="8" xr3:uid="{DD89DE0E-CC1B-4A33-A92E-27653BA23D3F}" name="Previous Process"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Payload'!$A$10:$A$33,'SI - Payload'!$B$10:$B$33,"",0),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Use'!$B$2:$B$30,'SI - End Use'!$C$2:$C$30, "")="", "", _xlfn.XLOOKUP($C5,'SI - End Use'!$B$2:$B$30,'SI - End Use'!$C$2:$C$30, ""))</calculatedColumnFormula>
    </tableColumn>
    <tableColumn id="18" xr3:uid="{7CA44602-BD09-4CAA-A7F1-6AA33B9A3ADB}" name="Sub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Resources'!$A$1:$F$1,'SI - Resources'!$A$2:$F$2, "")</calculatedColumnFormula>
    </tableColumn>
    <tableColumn id="4" xr3:uid="{F2E9F6C0-E9E2-4544-B6E0-0CB5C941DA32}" name="End Use" dataDxfId="187">
      <calculatedColumnFormula>IF(_xlfn.XLOOKUP($C5,'SI - End Use'!$B$2:$B$30,'SI - End Use'!$C$2:$C$30, "")="", "", _xlfn.XLOOKUP($C5,'SI - End Use'!$B$2:$B$30,'SI - End Use'!$C$2:$C$30,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Units'!$B$24:$B$51,'SI - Units'!$C$24:$C$51,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Process"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Payload'!$A$10:$A$33,'SI - Payload'!$B$10:$B$33,"",0),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Use'!$B$2:$B$30,'SI - End Use'!$C$2:$C$30, "")="", "", _xlfn.XLOOKUP($C5,'SI - End Use'!$B$2:$B$30,'SI - End Use'!$C$2:$C$30, ""))</calculatedColumnFormula>
    </tableColumn>
    <tableColumn id="18" xr3:uid="{1B1EDED5-D2D8-4C87-8D0A-29AD5172BA1B}" name="Sub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Resources'!$A$1:$F$1,'SI - Resources'!$A$2:$F$2, "")</calculatedColumnFormula>
    </tableColumn>
    <tableColumn id="4" xr3:uid="{3F19F5F2-BA47-4D27-9F53-76C6D29D9279}" name="End Use" dataDxfId="166">
      <calculatedColumnFormula>IF(_xlfn.XLOOKUP($C5,'SI - End Use'!$B$2:$B$30,'SI - End Use'!$C$2:$C$30, "")="", "", _xlfn.XLOOKUP($C5,'SI - End Use'!$B$2:$B$30,'SI - End Use'!$C$2:$C$30,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Units'!$B$24:$B$51,'SI - Units'!$C$24:$C$51, ""),'SI - Units'!$A$2:$A$8,'SI - Units'!$B$2:$B$8, ""))</calculatedColumnFormula>
    </tableColumn>
    <tableColumn id="7" xr3:uid="{36154FF0-5131-4197-B58D-90085C9AAD46}" name="Moisture" dataDxfId="163" dataCellStyle="Percent"/>
    <tableColumn id="8" xr3:uid="{0F7482D3-3310-439A-A32A-97ADBE2F75D0}" name="Previous Process"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Payload'!$A$10:$A$33,'SI - Payload'!$B$10:$B$33,"",0),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Use'!$B$2:$B$30,'SI - End Use'!$C$2:$C$30, "")="", "", _xlfn.XLOOKUP($C5,'SI - End Use'!$B$2:$B$30,'SI - End Use'!$C$2:$C$30, ""))</calculatedColumnFormula>
    </tableColumn>
    <tableColumn id="18" xr3:uid="{571B9315-51B0-494F-A194-11EA85562B63}" name="Sub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Resources'!$A$1:$F$1,'SI - Resources'!$A$2:$F$2, "")</calculatedColumnFormula>
    </tableColumn>
    <tableColumn id="4" xr3:uid="{8E4E532D-A480-40F3-A6BC-D745BBA110E8}" name="End Use" dataDxfId="145">
      <calculatedColumnFormula>IF(_xlfn.XLOOKUP($C5,'SI - End Use'!$B$2:$B$30,'SI - End Use'!$C$2:$C$30, "")="", "", _xlfn.XLOOKUP($C5,'SI - End Use'!$B$2:$B$30,'SI - End Use'!$C$2:$C$30,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Units'!$B$24:$B$51,'SI - Units'!$C$24:$C$51, ""),'SI - Units'!$A$2:$A$8,'SI - Units'!$B$2:$B$8, ""))</calculatedColumnFormula>
    </tableColumn>
    <tableColumn id="7" xr3:uid="{C01166FB-43C2-4792-9291-F11667322C4E}" name="Moisture" dataDxfId="142" dataCellStyle="Percent"/>
    <tableColumn id="8" xr3:uid="{C4E5D955-1F26-489B-8379-B81B7B927067}" name="Previous Process"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Payload'!$A$10:$A$33,'SI - Payload'!$B$10:$B$33,"",0),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Use'!$B$2:$B$30,'SI - End Use'!$C$2:$C$30, "")="", "", _xlfn.XLOOKUP($C5,'SI - End Use'!$B$2:$B$30,'SI - End Use'!$C$2:$C$30, ""))</calculatedColumnFormula>
    </tableColumn>
    <tableColumn id="18" xr3:uid="{15DAB267-74DB-4A82-BA58-2755FFD3A9CA}" name="Sub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Resources'!$A$1:$F$1,'SI - Resources'!$A$2:$F$2, "")</calculatedColumnFormula>
    </tableColumn>
    <tableColumn id="4" xr3:uid="{7463CA53-8CDB-4085-B25E-DE16DAD36ED9}" name="End Use" dataDxfId="124">
      <calculatedColumnFormula>IF(_xlfn.XLOOKUP($C5,'SI - End Use'!$B$2:$B$30,'SI - End Use'!$C$2:$C$30, "")="", "", _xlfn.XLOOKUP($C5,'SI - End Use'!$B$2:$B$30,'SI - End Use'!$C$2:$C$30,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Units'!$B$24:$B$51,'SI - Units'!$C$24:$C$51, ""),'SI - Units'!$A$2:$A$8,'SI - Units'!$B$2:$B$8, ""))</calculatedColumnFormula>
    </tableColumn>
    <tableColumn id="7" xr3:uid="{B69439E1-8CF2-4C64-B9C2-EE28EF51D966}" name="Moisture" dataDxfId="121" dataCellStyle="Percent"/>
    <tableColumn id="8" xr3:uid="{1E3E08AD-AA3A-4C03-812D-BED175B02091}" name="Previous Process"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Payload'!$A$10:$A$33,'SI - Payload'!$B$10:$B$33,"",0),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Use'!$B$2:$B$30,'SI - End Use'!$C$2:$C$30, "")="", "", _xlfn.XLOOKUP($C5,'SI - End Use'!$B$2:$B$30,'SI - End Use'!$C$2:$C$30, ""))</calculatedColumnFormula>
    </tableColumn>
    <tableColumn id="18" xr3:uid="{867ACA23-404B-4D5F-B940-B3E1E204D3F2}" name="Sub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Resources'!$A$1:$F$1,'SI - Resources'!$A$2:$F$2, "")</calculatedColumnFormula>
    </tableColumn>
    <tableColumn id="4" xr3:uid="{9A522C94-5E09-459C-B15A-A65D0C1BAFB3}" name="End Use" dataDxfId="103">
      <calculatedColumnFormula>IF(_xlfn.XLOOKUP($C5,'SI - End Use'!$B$2:$B$30,'SI - End Use'!$C$2:$C$30, "")="", "", _xlfn.XLOOKUP($C5,'SI - End Use'!$B$2:$B$30,'SI - End Use'!$C$2:$C$30,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Units'!$B$24:$B$51,'SI - Units'!$C$24:$C$51, ""),'SI - Units'!$A$2:$A$8,'SI - Units'!$B$2:$B$8, ""))</calculatedColumnFormula>
    </tableColumn>
    <tableColumn id="7" xr3:uid="{4EC2C958-E53A-4A68-BAB6-FD7E81C08FB3}" name="Moisture" dataDxfId="100" dataCellStyle="Percent"/>
    <tableColumn id="8" xr3:uid="{E680649C-648A-4560-85D0-7260F0A1220A}" name="Previous Process"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Payload'!$A$10:$A$33,'SI - Payload'!$B$10:$B$33,"",0),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Use'!$B$2:$B$30,'SI - End Use'!$C$2:$C$30, "")="", "", _xlfn.XLOOKUP($C5,'SI - End Use'!$B$2:$B$30,'SI - End Use'!$C$2:$C$30, ""))</calculatedColumnFormula>
    </tableColumn>
    <tableColumn id="18" xr3:uid="{767E2329-3418-4EFE-92BF-D29D921FB1ED}" name="Sub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Resources'!$A$1:$F$1,'SI - Resources'!$A$2:$F$2, "")</calculatedColumnFormula>
    </tableColumn>
    <tableColumn id="4" xr3:uid="{D2D51FC8-116B-425D-9B82-09F2BDE69C89}" name="End Use" dataDxfId="82">
      <calculatedColumnFormula>IF(_xlfn.XLOOKUP($C5,'SI - End Use'!$B$2:$B$30,'SI - End Use'!$C$2:$C$30, "")="", "", _xlfn.XLOOKUP($C5,'SI - End Use'!$B$2:$B$30,'SI - End Use'!$C$2:$C$30,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Units'!$B$24:$B$51,'SI - Units'!$C$24:$C$51,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Use'!$B$2:$B$30,'SI - End Use'!$C$2:$C$30, "")="", "", _xlfn.XLOOKUP($C5,'SI - End Use'!$B$2:$B$30,'SI - End Use'!$C$2:$C$30,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Resources'!$A$1:$F$1,'SI - Resources'!$A$2:$F$2, "")</calculatedColumnFormula>
    </tableColumn>
    <tableColumn id="4" xr3:uid="{39331533-F98B-4744-9974-CBE12A70CA65}" name="End Use" dataDxfId="61">
      <calculatedColumnFormula>IF(_xlfn.XLOOKUP($C5,'SI - End Use'!$B$2:$B$30,'SI - End Use'!$C$2:$C$30, "")="", "", _xlfn.XLOOKUP($C5,'SI - End Use'!$B$2:$B$30,'SI - End Use'!$C$2:$C$30,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Units'!$B$24:$B$51,'SI - Units'!$C$24:$C$51,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Payload'!$A$10:$A$33,'SI - Payload'!$B$10:$B$33,"",0),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Use'!$B$2:$B$30,'SI - End Use'!$C$2:$C$30, "")="", "", _xlfn.XLOOKUP($C5,'SI - End Use'!$B$2:$B$30,'SI - End Use'!$C$2:$C$30,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Resources'!$A$1:$F$1,'SI - Resources'!$A$2:$F$2, "")</calculatedColumnFormula>
    </tableColumn>
    <tableColumn id="4" xr3:uid="{A0B55D89-6640-4C29-88AC-93188C5097C5}" name="End Use" dataDxfId="40">
      <calculatedColumnFormula>IF(_xlfn.XLOOKUP($C5,'SI - End Use'!$B$2:$B$30,'SI - End Use'!$C$2:$C$30, "")="", "", _xlfn.XLOOKUP($C5,'SI - End Use'!$B$2:$B$30,'SI - End Use'!$C$2:$C$30,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Units'!$B$24:$B$51,'SI - Units'!$C$24:$C$51,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Payload'!$A$10:$A$33,'SI - Payload'!$B$10:$B$33,"",0),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Use'!$B$2:$B$30,'SI - End Use'!$C$2:$C$30, "")="", "", _xlfn.XLOOKUP($C5,'SI - End Use'!$B$2:$B$30,'SI - End Use'!$C$2:$C$30,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2" totalsRowShown="0" headerRowDxfId="25">
  <autoFilter ref="A1:F22"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24"/>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1">
  <autoFilter ref="B23:C51"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2" t="s">
        <v>142</v>
      </c>
      <c r="B2" s="92"/>
    </row>
    <row r="3" spans="1:3" ht="28" customHeight="1" x14ac:dyDescent="0.35">
      <c r="A3" s="33"/>
      <c r="B3" s="33"/>
    </row>
    <row r="4" spans="1:3" ht="28" customHeight="1" x14ac:dyDescent="0.35">
      <c r="A4" s="93" t="s">
        <v>137</v>
      </c>
      <c r="B4" s="93"/>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H11" sqref="H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35">
      <c r="A6" s="10" t="s">
        <v>0</v>
      </c>
      <c r="B6" s="10" t="s">
        <v>2</v>
      </c>
      <c r="C6" s="10" t="s">
        <v>3</v>
      </c>
      <c r="D6" s="27" t="s">
        <v>13</v>
      </c>
      <c r="E6" s="91">
        <f>'INL Data'!B2*1000*'INL Data'!D2</f>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35">
      <c r="A7" s="10" t="s">
        <v>0</v>
      </c>
      <c r="B7" s="10" t="s">
        <v>4</v>
      </c>
      <c r="C7" s="10" t="str">
        <f>_xlfn.XLOOKUP($B7,'SI - Resources'!$A$1:$F$1,'SI - Resources'!$A$2:$F$2, "")</f>
        <v>Electricity</v>
      </c>
      <c r="D7" s="27" t="str">
        <f>IF(_xlfn.XLOOKUP($C7,'SI - End Use'!$B$2:$B$30,'SI - End Use'!$C$2:$C$30, "")="", "", _xlfn.XLOOKUP($C7,'SI - End Use'!$B$2:$B$30,'SI - End Use'!$C$2:$C$30, ""))</f>
        <v>U.S. Mix</v>
      </c>
      <c r="E7" s="91">
        <f>'INL Data'!B3*1000*'INL Data'!E2</f>
        <v>0</v>
      </c>
      <c r="F7" s="27" t="s">
        <v>75</v>
      </c>
      <c r="G7" s="39"/>
      <c r="H7" s="39"/>
      <c r="I7" s="43" t="str">
        <f>IF(Table13[[#This Row],[Type]]="Co-product", "No", "")</f>
        <v/>
      </c>
      <c r="J7" s="10"/>
      <c r="K7" s="27" t="str">
        <f>IF(Table13[[#This Row],[Type]]="Transportation", _xlfn.XLOOKUP(Table13[[#This Row],[Resource]], 'SI - Payload'!$A$10:$A$33,'SI - Payload'!$B$10:$B$33,"",0), "")</f>
        <v/>
      </c>
      <c r="L7" s="27" t="str">
        <f>IF(Table13[[#This Row],[Type]]="Transportation", "ton", "")</f>
        <v/>
      </c>
      <c r="M7" s="10"/>
      <c r="N7" s="10"/>
      <c r="O7" s="27" t="str">
        <f>Table13[[#This Row],[Resource]]</f>
        <v>Electricity</v>
      </c>
      <c r="P7" s="27" t="str">
        <f>IF(_xlfn.XLOOKUP($O7,'SI - End Use'!$B$2:$B$30,'SI - End Use'!$C$2:$C$30, "")="", "", _xlfn.XLOOKUP($C7,'SI - End Use'!$B$2:$B$30,'SI - End Use'!$C$2:$C$30, ""))</f>
        <v>U.S. Mix</v>
      </c>
      <c r="Q7" s="10"/>
      <c r="R7" s="10"/>
    </row>
    <row r="8" spans="1:18" x14ac:dyDescent="0.35">
      <c r="A8" s="10" t="s">
        <v>0</v>
      </c>
      <c r="B8" s="10" t="s">
        <v>2</v>
      </c>
      <c r="C8" s="10" t="s">
        <v>25</v>
      </c>
      <c r="D8" s="27" t="str">
        <f>IF(_xlfn.XLOOKUP($C8,'SI - End Use'!$B$2:$B$30,'SI - End Use'!$C$2:$C$30, "")="", "", _xlfn.XLOOKUP($C8,'SI - End Use'!$B$2:$B$30,'SI - End Use'!$C$2:$C$30, ""))</f>
        <v>Utility/ Industrial Boiler (&gt;100 mmBtu/hr input)</v>
      </c>
      <c r="E8" s="91">
        <f>'INL Data'!B3*1000*'INL Data'!F3</f>
        <v>0</v>
      </c>
      <c r="F8" s="27" t="str" cm="1">
        <f t="array" ref="F8">IF($B8="Transportation",  'SI - Units'!$B$9:$B$9, _xlfn.XLOOKUP(_xlfn.XLOOKUP($C8,'SI - Units'!$B$24:$B$51,'SI - Units'!$C$24:$C$51, ""),'SI - Units'!$A$2:$A$8,'SI - Units'!$B$2:$B$8, ""))</f>
        <v>BTU</v>
      </c>
      <c r="G8" s="39"/>
      <c r="H8" s="39"/>
      <c r="I8" s="43" t="str">
        <f>IF(Table13[[#This Row],[Type]]="Co-product", "No", "")</f>
        <v/>
      </c>
      <c r="J8" s="10"/>
      <c r="K8" s="27" t="str">
        <f>IF(Table13[[#This Row],[Type]]="Transportation", _xlfn.XLOOKUP(Table13[[#This Row],[Resource]], 'SI - Payload'!$A$10:$A$33,'SI - Payload'!$B$10:$B$33,"",0), "")</f>
        <v/>
      </c>
      <c r="L8" s="27" t="str">
        <f>IF(Table13[[#This Row],[Type]]="Transportation", "ton", "")</f>
        <v/>
      </c>
      <c r="M8" s="10"/>
      <c r="N8" s="10"/>
      <c r="O8" s="27" t="str">
        <f>Table13[[#This Row],[Resource]]</f>
        <v>Natural Gas</v>
      </c>
      <c r="P8" s="27" t="str">
        <f>IF(_xlfn.XLOOKUP($O8,'SI - End Use'!$B$2:$B$30,'SI - End Use'!$C$2:$C$30, "")="", "", _xlfn.XLOOKUP($C8,'SI - End Use'!$B$2:$B$30,'SI - End Use'!$C$2:$C$30, ""))</f>
        <v>Utility/ Industrial Boiler (&gt;100 mmBtu/hr input)</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91">
        <f>1-'INL Data'!H2</f>
        <v>1</v>
      </c>
      <c r="F9" s="27" t="s">
        <v>12</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35">
      <c r="A96" s="10"/>
      <c r="B96" s="10"/>
      <c r="C96" s="10"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35">
      <c r="A97" s="10"/>
      <c r="B97" s="10"/>
      <c r="C97" s="10"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10" t="str">
        <f>Table13[[#This Row],[Resource]]</f>
        <v/>
      </c>
      <c r="P97" s="10" t="str">
        <f>IF(_xlfn.XLOOKUP($O97,'SI - End Use'!$B$2:$B$30,'SI - End Use'!$C$2:$C$30, "")="", "", _xlfn.XLOOKUP($C97,'SI - End Use'!$B$2:$B$30,'SI - End Use'!$C$2:$C$30, ""))</f>
        <v/>
      </c>
      <c r="Q97" s="10"/>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10" t="str">
        <f>Table13[[#This Row],[Resource]]</f>
        <v/>
      </c>
      <c r="P98" s="10" t="str">
        <f>IF(_xlfn.XLOOKUP($O98,'SI - End Use'!$B$2:$B$30,'SI - End Use'!$C$2:$C$30, "")="", "", _xlfn.XLOOKUP($C98,'SI - End Use'!$B$2:$B$30,'SI - End Use'!$C$2:$C$30, ""))</f>
        <v/>
      </c>
      <c r="Q98" s="10"/>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27" t="str">
        <f>IF(_xlfn.XLOOKUP($O99,'SI - End Use'!$B$2:$B$30,'SI - End Use'!$C$2:$C$30, "")="", "", _xlfn.XLOOKUP($C99,'SI - End Use'!$B$2:$B$30,'SI - End Use'!$C$2:$C$30, ""))</f>
        <v/>
      </c>
      <c r="Q99" s="27"/>
      <c r="R99" s="10"/>
    </row>
    <row r="100" spans="1:18" x14ac:dyDescent="0.35">
      <c r="A100" s="10"/>
      <c r="B100" s="10"/>
      <c r="C100" s="27" t="str">
        <f>_xlfn.XLOOKUP($B100,'SI - Resources'!$A$1:$F$1,'SI - Resources'!$A$2:$F$2, "")</f>
        <v/>
      </c>
      <c r="D100" s="27" t="str">
        <f>IF(_xlfn.XLOOKUP($C100,'SI - End Use'!$B$2:$B$30,'SI - End Use'!$C$2:$C$30, "")="", "", _xlfn.XLOOKUP($C100,'SI - End Use'!$B$2:$B$30,'SI - End Use'!$C$2:$C$30, ""))</f>
        <v/>
      </c>
      <c r="E100" s="23"/>
      <c r="F100" s="27" t="str" cm="1">
        <f t="array" ref="F100">IF($B100="Transportation",  'SI - Units'!$B$9:$B$9, _xlfn.XLOOKUP(_xlfn.XLOOKUP($C100,'SI - Units'!$B$24:$B$51,'SI - Units'!$C$24:$C$51, ""),'SI - Units'!$A$2:$A$8,'SI - Units'!$B$2:$B$8, ""))</f>
        <v/>
      </c>
      <c r="G100" s="39"/>
      <c r="H100" s="39"/>
      <c r="I100" s="43" t="str">
        <f>IF(Table13[[#This Row],[Type]]="Co-product", "No", "")</f>
        <v/>
      </c>
      <c r="J100" s="10"/>
      <c r="K100" s="10" t="str">
        <f>IF(Table13[[#This Row],[Type]]="Transportation", _xlfn.XLOOKUP(Table13[[#This Row],[Resource]], 'SI - Payload'!$A$10:$A$33,'SI - Payload'!$B$10:$B$33,"",0), "")</f>
        <v/>
      </c>
      <c r="L100" s="10" t="str">
        <f>IF(Table13[[#This Row],[Type]]="Transportation", "ton", "")</f>
        <v/>
      </c>
      <c r="M100" s="10"/>
      <c r="N100" s="10"/>
      <c r="O100" s="27" t="str">
        <f>Table13[[#This Row],[Resource]]</f>
        <v/>
      </c>
      <c r="P100" s="27" t="str">
        <f>IF(_xlfn.XLOOKUP($O100,'SI - End Use'!$B$2:$B$30,'SI - End Use'!$C$2:$C$30, "")="", "", _xlfn.XLOOKUP($C100,'SI - End Use'!$B$2:$B$30,'SI - End Use'!$C$2:$C$30, ""))</f>
        <v/>
      </c>
      <c r="Q100" s="27"/>
      <c r="R100" s="10"/>
    </row>
    <row r="101" spans="1:18" x14ac:dyDescent="0.35">
      <c r="A101" s="10"/>
      <c r="B101" s="10"/>
      <c r="C101" s="27" t="str">
        <f>_xlfn.XLOOKUP($B101,'SI - Resources'!$A$1:$F$1,'SI - Resources'!$A$2:$F$2, "")</f>
        <v/>
      </c>
      <c r="D101" s="27" t="str">
        <f>IF(_xlfn.XLOOKUP($C101,'SI - End Use'!$B$2:$B$30,'SI - End Use'!$C$2:$C$30, "")="", "", _xlfn.XLOOKUP($C101,'SI - End Use'!$B$2:$B$30,'SI - End Use'!$C$2:$C$30, ""))</f>
        <v/>
      </c>
      <c r="E101" s="23"/>
      <c r="F101" s="27" t="str" cm="1">
        <f t="array" ref="F101">IF($B101="Transportation",  'SI - Units'!$B$9:$B$9, _xlfn.XLOOKUP(_xlfn.XLOOKUP($C101,'SI - Units'!$B$24:$B$51,'SI - Units'!$C$24:$C$51, ""),'SI - Units'!$A$2:$A$8,'SI - Units'!$B$2:$B$8, ""))</f>
        <v/>
      </c>
      <c r="G101" s="39"/>
      <c r="H101" s="39"/>
      <c r="I101" s="43" t="str">
        <f>IF(Table13[[#This Row],[Type]]="Co-product", "No", "")</f>
        <v/>
      </c>
      <c r="J101" s="10"/>
      <c r="K101" s="10" t="str">
        <f>IF(Table13[[#This Row],[Type]]="Transportation", _xlfn.XLOOKUP(Table13[[#This Row],[Resource]], 'SI - Payload'!$A$10:$A$33,'SI - Payload'!$B$10:$B$33,"",0), "")</f>
        <v/>
      </c>
      <c r="L101" s="10" t="str">
        <f>IF(Table13[[#This Row],[Type]]="Transportation", "ton", "")</f>
        <v/>
      </c>
      <c r="M101" s="10"/>
      <c r="N101" s="10"/>
      <c r="O101" s="27" t="str">
        <f>Table13[[#This Row],[Resource]]</f>
        <v/>
      </c>
      <c r="P101" s="10" t="str">
        <f>IF(_xlfn.XLOOKUP($O101,'SI - End Use'!$B$2:$B$30,'SI - End Use'!$C$2:$C$30, "")="", "", _xlfn.XLOOKUP($C101,'SI - End Use'!$B$2:$B$30,'SI - End Use'!$C$2:$C$30, ""))</f>
        <v/>
      </c>
      <c r="Q101" s="10"/>
      <c r="R101" s="10"/>
    </row>
    <row r="102" spans="1:18" x14ac:dyDescent="0.35">
      <c r="A102" s="42"/>
      <c r="B102" s="26"/>
      <c r="C102" s="26" t="str">
        <f>_xlfn.XLOOKUP($B102,'SI - Resources'!$A$1:$F$1,'SI - Resources'!$A$2:$F$2, "")</f>
        <v/>
      </c>
      <c r="D102" s="28" t="str">
        <f>IF(_xlfn.XLOOKUP($C102,'SI - End Use'!$B$2:$B$30,'SI - End Use'!$C$2:$C$30, "")="", "", _xlfn.XLOOKUP($C102,'SI - End Use'!$B$2:$B$30,'SI - End Use'!$C$2:$C$30, ""))</f>
        <v/>
      </c>
      <c r="E102" s="40"/>
      <c r="F102" s="28" t="str" cm="1">
        <f t="array" ref="F102">IF($B102="Transportation",  'SI - Units'!$B$9:$B$9, _xlfn.XLOOKUP(_xlfn.XLOOKUP($C102,'SI - Units'!$B$24:$B$51,'SI - Units'!$C$24:$C$51, ""),'SI - Units'!$A$2:$A$8,'SI - Units'!$B$2:$B$8, ""))</f>
        <v/>
      </c>
      <c r="G102" s="41"/>
      <c r="H102" s="41"/>
      <c r="I102" s="44" t="str">
        <f>IF(Table13[[#This Row],[Type]]="Co-product", "No", "")</f>
        <v/>
      </c>
      <c r="J102" s="26"/>
      <c r="K102" s="26" t="str">
        <f>IF(Table13[[#This Row],[Type]]="Transportation", _xlfn.XLOOKUP(Table13[[#This Row],[Resource]], 'SI - Payload'!$A$10:$A$33,'SI - Payload'!$B$10:$B$33,"",0), "")</f>
        <v/>
      </c>
      <c r="L102" s="26" t="str">
        <f>IF(Table13[[#This Row],[Type]]="Transportation", "ton", "")</f>
        <v/>
      </c>
      <c r="M102" s="26"/>
      <c r="N102" s="26"/>
      <c r="O102" s="26" t="str">
        <f>Table13[[#This Row],[Resource]]</f>
        <v/>
      </c>
      <c r="P102" s="26" t="str">
        <f>IF(_xlfn.XLOOKUP($O102,'SI - End Use'!$B$2:$B$30,'SI - End Use'!$C$2:$C$30, "")="", "", _xlfn.XLOOKUP($C102,'SI - End Use'!$B$2:$B$30,'SI - End Use'!$C$2:$C$30,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F5:F102</xm:sqref>
        </x14:dataValidation>
        <x14:dataValidation type="list" allowBlank="1" showInputMessage="1" showErrorMessage="1" xr:uid="{83927B38-12EE-4827-83A1-EAA366BD5A01}">
          <x14:formula1>
            <xm:f>'SI - Units'!$B$10:$F$10</xm:f>
          </x14:formula1>
          <xm:sqref>L5:L102</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N5:N102</xm:sqref>
        </x14:dataValidation>
        <x14:dataValidation type="list" allowBlank="1" showInputMessage="1" showErrorMessage="1" xr:uid="{F8AB591C-5404-4AA0-9B34-76E876B4A9DA}">
          <x14:formula1>
            <xm:f>_xlfn.XLOOKUP($O5,'SI - End Use'!$B$2:$B$30,'SI - End Use'!$C$2:$N$30)</xm:f>
          </x14:formula1>
          <xm:sqref>P5:P102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xr:uid="{C7402193-A05E-44B8-BA58-88EADF18A439}">
          <x14:formula1>
            <xm:f>_xlfn.XLOOKUP($C5,'SI - End Use'!$B$2:$B$30,'SI - End Use'!$C$2:$N$30)</xm:f>
          </x14:formula1>
          <xm:sqref>D5:D102</xm:sqref>
        </x14:dataValidation>
        <x14:dataValidation type="list" allowBlank="1" showInputMessage="1" showErrorMessage="1" xr:uid="{F39AF279-6F6A-4537-BB89-555134B609F5}">
          <x14:formula1>
            <xm:f>_xlfn.XLOOKUP($B5,'SI - Resources'!$A$1:$F$1,INDIRECT("Resource"))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Resources'!$A$1:$F$1</xm:f>
          </x14:formula1>
          <xm:sqref>B5:B102</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E5" sqref="E5:E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91">
        <f>'INL Data'!B3*1000*'INL Data'!E3</f>
        <v>23190</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tr">
        <f>IF(_xlfn.XLOOKUP($C7,'SI - End Use'!$B$2:$B$30,'SI - End Use'!$C$2:$C$30, "")="", "", _xlfn.XLOOKUP($C7,'SI - End Use'!$B$2:$B$30,'SI - End Use'!$C$2:$C$30, ""))</f>
        <v>Industrial Boiler</v>
      </c>
      <c r="E7" s="91">
        <f>'INL Data'!B3*1000*'INL Data'!D3</f>
        <v>0</v>
      </c>
      <c r="F7" s="27" t="str" cm="1">
        <f t="array" ref="F7">IF($B7="Transportation",  'SI - Units'!$B$9:$B$9, _xlfn.XLOOKUP(_xlfn.XLOOKUP($C7,'SI - Units'!$B$24:$B$51,'SI - Units'!$C$24:$C$51, ""),'SI - Units'!$A$2:$A$8,'SI - Units'!$B$2:$B$8, ""))</f>
        <v>BTU</v>
      </c>
      <c r="G7" s="39"/>
      <c r="H7" s="39"/>
      <c r="I7" s="43" t="str">
        <f>IF(Table16[[#This Row],[Type]]="Co-product", "No", "")</f>
        <v/>
      </c>
      <c r="J7" s="10"/>
      <c r="K7" s="27" t="str">
        <f>IF(Table16[[#This Row],[Type]]="Transportation", _xlfn.XLOOKUP(Table16[[#This Row],[Resource]], 'SI - Payload'!$A$10:$A$33,'SI - Payload'!$B$10:$B$33,"",0), "")</f>
        <v/>
      </c>
      <c r="L7" s="27" t="str">
        <f>IF(Table16[[#This Row],[Type]]="Transportation", "ton", "")</f>
        <v/>
      </c>
      <c r="M7" s="10"/>
      <c r="N7" s="10"/>
      <c r="O7" s="27" t="str">
        <f>Table16[[#This Row],[Resource]]</f>
        <v>Diesel</v>
      </c>
      <c r="P7" s="27" t="str">
        <f>IF(_xlfn.XLOOKUP($O7,'SI - End Use'!$B$2:$B$30,'SI - End Use'!$C$2:$C$30, "")="", "", _xlfn.XLOOKUP($C7,'SI - End Use'!$B$2:$B$30,'SI - End Use'!$C$2:$C$30, ""))</f>
        <v>Industrial Boiler</v>
      </c>
      <c r="Q7" s="10"/>
      <c r="R7" s="10"/>
    </row>
    <row r="8" spans="1:18" x14ac:dyDescent="0.35">
      <c r="A8" s="10" t="s">
        <v>0</v>
      </c>
      <c r="B8" s="10" t="s">
        <v>2</v>
      </c>
      <c r="C8" s="10" t="s">
        <v>25</v>
      </c>
      <c r="D8" s="27" t="str">
        <f>IF(_xlfn.XLOOKUP($C8,'SI - End Use'!$B$2:$B$30,'SI - End Use'!$C$2:$C$30, "")="", "", _xlfn.XLOOKUP($C8,'SI - End Use'!$B$2:$B$30,'SI - End Use'!$C$2:$C$30, ""))</f>
        <v>Utility/ Industrial Boiler (&gt;100 mmBtu/hr input)</v>
      </c>
      <c r="E8" s="91">
        <f>'INL Data'!B3*1000*'INL Data'!F3</f>
        <v>0</v>
      </c>
      <c r="F8" s="27" t="str" cm="1">
        <f t="array" ref="F8">IF($B8="Transportation",  'SI - Units'!$B$9:$B$9, _xlfn.XLOOKUP(_xlfn.XLOOKUP($C8,'SI - Units'!$B$24:$B$51,'SI - Units'!$C$24:$C$51, ""),'SI - Units'!$A$2:$A$8,'SI - Units'!$B$2:$B$8, ""))</f>
        <v>BTU</v>
      </c>
      <c r="G8" s="39"/>
      <c r="H8" s="39"/>
      <c r="I8" s="43" t="str">
        <f>IF(Table16[[#This Row],[Type]]="Co-product", "No", "")</f>
        <v/>
      </c>
      <c r="J8" s="10"/>
      <c r="K8" s="27" t="str">
        <f>IF(Table16[[#This Row],[Type]]="Transportation", _xlfn.XLOOKUP(Table16[[#This Row],[Resource]], 'SI - Payload'!$A$10:$A$33,'SI - Payload'!$B$10:$B$33,"",0), "")</f>
        <v/>
      </c>
      <c r="L8" s="27" t="str">
        <f>IF(Table16[[#This Row],[Type]]="Transportation", "ton", "")</f>
        <v/>
      </c>
      <c r="M8" s="10"/>
      <c r="N8" s="10"/>
      <c r="O8" s="27" t="str">
        <f>Table16[[#This Row],[Resource]]</f>
        <v>Natural Gas</v>
      </c>
      <c r="P8" s="27" t="str">
        <f>IF(_xlfn.XLOOKUP($O8,'SI - End Use'!$B$2:$B$30,'SI - End Use'!$C$2:$C$30, "")="", "", _xlfn.XLOOKUP($C8,'SI - End Use'!$B$2:$B$30,'SI - End Use'!$C$2:$C$30, ""))</f>
        <v>Utility/ Industrial Boiler (&gt;100 mmBtu/hr input)</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91">
        <f>1-'INL Data'!H3</f>
        <v>0.91200000000000003</v>
      </c>
      <c r="F9" s="27" t="s">
        <v>12</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35">
      <c r="A96" s="10"/>
      <c r="B96" s="10"/>
      <c r="C96" s="10"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35">
      <c r="A97" s="10"/>
      <c r="B97" s="10"/>
      <c r="C97" s="10"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10" t="str">
        <f>Table16[[#This Row],[Resource]]</f>
        <v/>
      </c>
      <c r="P97" s="10" t="str">
        <f>IF(_xlfn.XLOOKUP($O97,'SI - End Use'!$B$2:$B$30,'SI - End Use'!$C$2:$C$30, "")="", "", _xlfn.XLOOKUP($C97,'SI - End Use'!$B$2:$B$30,'SI - End Use'!$C$2:$C$30, ""))</f>
        <v/>
      </c>
      <c r="Q97" s="10"/>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10" t="str">
        <f>Table16[[#This Row],[Resource]]</f>
        <v/>
      </c>
      <c r="P98" s="10" t="str">
        <f>IF(_xlfn.XLOOKUP($O98,'SI - End Use'!$B$2:$B$30,'SI - End Use'!$C$2:$C$30, "")="", "", _xlfn.XLOOKUP($C98,'SI - End Use'!$B$2:$B$30,'SI - End Use'!$C$2:$C$30, ""))</f>
        <v/>
      </c>
      <c r="Q98" s="10"/>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27" t="str">
        <f>IF(_xlfn.XLOOKUP($O99,'SI - End Use'!$B$2:$B$30,'SI - End Use'!$C$2:$C$30, "")="", "", _xlfn.XLOOKUP($C99,'SI - End Use'!$B$2:$B$30,'SI - End Use'!$C$2:$C$30, ""))</f>
        <v/>
      </c>
      <c r="Q99" s="27"/>
      <c r="R99" s="10"/>
    </row>
    <row r="100" spans="1:18" x14ac:dyDescent="0.35">
      <c r="A100" s="10"/>
      <c r="B100" s="10"/>
      <c r="C100" s="27" t="str">
        <f>_xlfn.XLOOKUP($B100,'SI - Resources'!$A$1:$F$1,'SI - Resources'!$A$2:$F$2, "")</f>
        <v/>
      </c>
      <c r="D100" s="27" t="str">
        <f>IF(_xlfn.XLOOKUP($C100,'SI - End Use'!$B$2:$B$30,'SI - End Use'!$C$2:$C$30, "")="", "", _xlfn.XLOOKUP($C100,'SI - End Use'!$B$2:$B$30,'SI - End Use'!$C$2:$C$30, ""))</f>
        <v/>
      </c>
      <c r="E100" s="23"/>
      <c r="F100" s="27" t="str" cm="1">
        <f t="array" ref="F100">IF($B100="Transportation",  'SI - Units'!$B$9:$B$9, _xlfn.XLOOKUP(_xlfn.XLOOKUP($C100,'SI - Units'!$B$24:$B$51,'SI - Units'!$C$24:$C$51, ""),'SI - Units'!$A$2:$A$8,'SI - Units'!$B$2:$B$8, ""))</f>
        <v/>
      </c>
      <c r="G100" s="39"/>
      <c r="H100" s="39"/>
      <c r="I100" s="43" t="str">
        <f>IF(Table16[[#This Row],[Type]]="Co-product", "No", "")</f>
        <v/>
      </c>
      <c r="J100" s="10"/>
      <c r="K100" s="10" t="str">
        <f>IF(Table16[[#This Row],[Type]]="Transportation", _xlfn.XLOOKUP(Table16[[#This Row],[Resource]], 'SI - Payload'!$A$10:$A$33,'SI - Payload'!$B$10:$B$33,"",0), "")</f>
        <v/>
      </c>
      <c r="L100" s="10" t="str">
        <f>IF(Table16[[#This Row],[Type]]="Transportation", "ton", "")</f>
        <v/>
      </c>
      <c r="M100" s="10"/>
      <c r="N100" s="10"/>
      <c r="O100" s="27" t="str">
        <f>Table16[[#This Row],[Resource]]</f>
        <v/>
      </c>
      <c r="P100" s="27" t="str">
        <f>IF(_xlfn.XLOOKUP($O100,'SI - End Use'!$B$2:$B$30,'SI - End Use'!$C$2:$C$30, "")="", "", _xlfn.XLOOKUP($C100,'SI - End Use'!$B$2:$B$30,'SI - End Use'!$C$2:$C$30, ""))</f>
        <v/>
      </c>
      <c r="Q100" s="27"/>
      <c r="R100" s="10"/>
    </row>
    <row r="101" spans="1:18" x14ac:dyDescent="0.35">
      <c r="A101" s="10"/>
      <c r="B101" s="10"/>
      <c r="C101" s="27" t="str">
        <f>_xlfn.XLOOKUP($B101,'SI - Resources'!$A$1:$F$1,'SI - Resources'!$A$2:$F$2, "")</f>
        <v/>
      </c>
      <c r="D101" s="27" t="str">
        <f>IF(_xlfn.XLOOKUP($C101,'SI - End Use'!$B$2:$B$30,'SI - End Use'!$C$2:$C$30, "")="", "", _xlfn.XLOOKUP($C101,'SI - End Use'!$B$2:$B$30,'SI - End Use'!$C$2:$C$30, ""))</f>
        <v/>
      </c>
      <c r="E101" s="23"/>
      <c r="F101" s="27" t="str" cm="1">
        <f t="array" ref="F101">IF($B101="Transportation",  'SI - Units'!$B$9:$B$9, _xlfn.XLOOKUP(_xlfn.XLOOKUP($C101,'SI - Units'!$B$24:$B$51,'SI - Units'!$C$24:$C$51, ""),'SI - Units'!$A$2:$A$8,'SI - Units'!$B$2:$B$8, ""))</f>
        <v/>
      </c>
      <c r="G101" s="39"/>
      <c r="H101" s="39"/>
      <c r="I101" s="43" t="str">
        <f>IF(Table16[[#This Row],[Type]]="Co-product", "No", "")</f>
        <v/>
      </c>
      <c r="J101" s="10"/>
      <c r="K101" s="10" t="str">
        <f>IF(Table16[[#This Row],[Type]]="Transportation", _xlfn.XLOOKUP(Table16[[#This Row],[Resource]], 'SI - Payload'!$A$10:$A$33,'SI - Payload'!$B$10:$B$33,"",0), "")</f>
        <v/>
      </c>
      <c r="L101" s="10" t="str">
        <f>IF(Table16[[#This Row],[Type]]="Transportation", "ton", "")</f>
        <v/>
      </c>
      <c r="M101" s="10"/>
      <c r="N101" s="10"/>
      <c r="O101" s="27" t="str">
        <f>Table16[[#This Row],[Resource]]</f>
        <v/>
      </c>
      <c r="P101" s="10" t="str">
        <f>IF(_xlfn.XLOOKUP($O101,'SI - End Use'!$B$2:$B$30,'SI - End Use'!$C$2:$C$30, "")="", "", _xlfn.XLOOKUP($C101,'SI - End Use'!$B$2:$B$30,'SI - End Use'!$C$2:$C$30, ""))</f>
        <v/>
      </c>
      <c r="Q101" s="10"/>
      <c r="R101" s="10"/>
    </row>
    <row r="102" spans="1:18" x14ac:dyDescent="0.35">
      <c r="A102" s="42"/>
      <c r="B102" s="26"/>
      <c r="C102" s="26" t="str">
        <f>_xlfn.XLOOKUP($B102,'SI - Resources'!$A$1:$F$1,'SI - Resources'!$A$2:$F$2, "")</f>
        <v/>
      </c>
      <c r="D102" s="28" t="str">
        <f>IF(_xlfn.XLOOKUP($C102,'SI - End Use'!$B$2:$B$30,'SI - End Use'!$C$2:$C$30, "")="", "", _xlfn.XLOOKUP($C102,'SI - End Use'!$B$2:$B$30,'SI - End Use'!$C$2:$C$30, ""))</f>
        <v/>
      </c>
      <c r="E102" s="40"/>
      <c r="F102" s="28" t="str" cm="1">
        <f t="array" ref="F102">IF($B102="Transportation",  'SI - Units'!$B$9:$B$9, _xlfn.XLOOKUP(_xlfn.XLOOKUP($C102,'SI - Units'!$B$24:$B$51,'SI - Units'!$C$24:$C$51, ""),'SI - Units'!$A$2:$A$8,'SI - Units'!$B$2:$B$8, ""))</f>
        <v/>
      </c>
      <c r="G102" s="41"/>
      <c r="H102" s="41"/>
      <c r="I102" s="44" t="str">
        <f>IF(Table16[[#This Row],[Type]]="Co-product", "No", "")</f>
        <v/>
      </c>
      <c r="J102" s="26"/>
      <c r="K102" s="26" t="str">
        <f>IF(Table16[[#This Row],[Type]]="Transportation", _xlfn.XLOOKUP(Table16[[#This Row],[Resource]], 'SI - Payload'!$A$10:$A$33,'SI - Payload'!$B$10:$B$33,"",0), "")</f>
        <v/>
      </c>
      <c r="L102" s="26" t="str">
        <f>IF(Table16[[#This Row],[Type]]="Transportation", "ton", "")</f>
        <v/>
      </c>
      <c r="M102" s="26"/>
      <c r="N102" s="26"/>
      <c r="O102" s="26" t="str">
        <f>Table16[[#This Row],[Resource]]</f>
        <v/>
      </c>
      <c r="P102" s="26" t="str">
        <f>IF(_xlfn.XLOOKUP($O102,'SI - End Use'!$B$2:$B$30,'SI - End Use'!$C$2:$C$30, "")="", "", _xlfn.XLOOKUP($C102,'SI - End Use'!$B$2:$B$30,'SI - End Use'!$C$2:$C$30,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F5:F102</xm:sqref>
        </x14:dataValidation>
        <x14:dataValidation type="list" allowBlank="1" showInputMessage="1" showErrorMessage="1" xr:uid="{C8FD36E0-BAC6-41B2-A918-EC4BC0884C5E}">
          <x14:formula1>
            <xm:f>'SI - Units'!$B$10:$F$10</xm:f>
          </x14:formula1>
          <xm:sqref>L5:L102</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N5:N102</xm:sqref>
        </x14:dataValidation>
        <x14:dataValidation type="list" allowBlank="1" showInputMessage="1" showErrorMessage="1" xr:uid="{B2B03DC3-46D0-4E30-B31F-F42448762D3F}">
          <x14:formula1>
            <xm:f>_xlfn.XLOOKUP($O5,'SI - End Use'!$B$2:$B$30,'SI - End Use'!$C$2:$N$30)</xm:f>
          </x14:formula1>
          <xm:sqref>P5:P102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xr:uid="{B5830DD7-E70A-40BD-876C-3C2C77DB8455}">
          <x14:formula1>
            <xm:f>_xlfn.XLOOKUP($C5,'SI - End Use'!$B$2:$B$30,'SI - End Use'!$C$2:$N$30)</xm:f>
          </x14:formula1>
          <xm:sqref>D5:D102</xm:sqref>
        </x14:dataValidation>
        <x14:dataValidation type="list" allowBlank="1" showInputMessage="1" showErrorMessage="1" xr:uid="{5C1D6611-AE75-4B55-8115-1D3658A1E179}">
          <x14:formula1>
            <xm:f>_xlfn.XLOOKUP($B5,'SI - Resources'!$A$1:$F$1,INDIRECT("Resource"))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Resources'!$A$1:$F$1</xm:f>
          </x14:formula1>
          <xm:sqref>B5:B102</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tabSelected="1" workbookViewId="0">
      <pane ySplit="4" topLeftCell="A5" activePane="bottomLeft" state="frozen"/>
      <selection pane="bottomLeft" activeCell="G12" sqref="G1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69">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23">
        <f>'INL Data'!B6</f>
        <v>34.840000000000003</v>
      </c>
      <c r="F6" s="27" t="str" cm="1">
        <f t="array" ref="F6">IF($B6="Transportation",  'SI - Units'!$B$9:$B$9, _xlfn.XLOOKUP(_xlfn.XLOOKUP($C6,'SI - Units'!$B$24:$B$51,'SI - Units'!$C$24:$C$51, ""),'SI - Units'!$A$2:$A$8,'SI - Units'!$B$2:$B$8, ""))</f>
        <v>mi</v>
      </c>
      <c r="G6" s="39">
        <f>'INL Data'!G6</f>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1-'INL Data'!H6</f>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H9" sqref="H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91">
        <f>'INL Data'!B9*1000*'INL Data'!E9</f>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tr">
        <f>IF(_xlfn.XLOOKUP($C7,'SI - End Use'!$B$2:$B$30,'SI - End Use'!$C$2:$C$30, "")="", "", _xlfn.XLOOKUP($C7,'SI - End Use'!$B$2:$B$30,'SI - End Use'!$C$2:$C$30, ""))</f>
        <v>Industrial Boiler</v>
      </c>
      <c r="E7" s="91">
        <f>'INL Data'!B9*1000*'INL Data'!D9</f>
        <v>0</v>
      </c>
      <c r="F7" s="27" t="str" cm="1">
        <f t="array" ref="F7">IF($B7="Transportation",  'SI - Units'!$B$9:$B$9, _xlfn.XLOOKUP(_xlfn.XLOOKUP($C7,'SI - Units'!$B$24:$B$51,'SI - Units'!$C$24:$C$51, ""),'SI - Units'!$A$2:$A$8,'SI - Units'!$B$2:$B$8, ""))</f>
        <v>BTU</v>
      </c>
      <c r="G7" s="39"/>
      <c r="H7" s="39"/>
      <c r="I7" s="43" t="str">
        <f>IF(Table111[[#This Row],[Type]]="Co-product", "No", "")</f>
        <v/>
      </c>
      <c r="J7" s="10"/>
      <c r="K7" s="27" t="str">
        <f>IF(Table111[[#This Row],[Type]]="Transportation", _xlfn.XLOOKUP(Table111[[#This Row],[Resource]], 'SI - Payload'!$A$10:$A$33,'SI - Payload'!$B$10:$B$33,"",0), "")</f>
        <v/>
      </c>
      <c r="L7" s="27" t="str">
        <f>IF(Table111[[#This Row],[Type]]="Transportation", "ton", "")</f>
        <v/>
      </c>
      <c r="M7" s="10"/>
      <c r="N7" s="10"/>
      <c r="O7" s="27" t="str">
        <f>Table111[[#This Row],[Resource]]</f>
        <v>Diesel</v>
      </c>
      <c r="P7" s="27" t="str">
        <f>IF(_xlfn.XLOOKUP($O7,'SI - End Use'!$B$2:$B$30,'SI - End Use'!$C$2:$C$30, "")="", "", _xlfn.XLOOKUP($C7,'SI - End Use'!$B$2:$B$30,'SI - End Use'!$C$2:$C$30, ""))</f>
        <v>Industrial Boiler</v>
      </c>
      <c r="Q7" s="10"/>
      <c r="R7" s="10"/>
    </row>
    <row r="8" spans="1:18" x14ac:dyDescent="0.35">
      <c r="A8" s="10" t="s">
        <v>0</v>
      </c>
      <c r="B8" s="10" t="s">
        <v>2</v>
      </c>
      <c r="C8" s="10" t="s">
        <v>25</v>
      </c>
      <c r="D8" s="27" t="str">
        <f>IF(_xlfn.XLOOKUP($C8,'SI - End Use'!$B$2:$B$30,'SI - End Use'!$C$2:$C$30, "")="", "", _xlfn.XLOOKUP($C8,'SI - End Use'!$B$2:$B$30,'SI - End Use'!$C$2:$C$30, ""))</f>
        <v>Utility/ Industrial Boiler (&gt;100 mmBtu/hr input)</v>
      </c>
      <c r="E8" s="91">
        <f>'INL Data'!B9*1000*'INL Data'!F9</f>
        <v>0</v>
      </c>
      <c r="F8" s="27" t="str" cm="1">
        <f t="array" ref="F8">IF($B8="Transportation",  'SI - Units'!$B$9:$B$9, _xlfn.XLOOKUP(_xlfn.XLOOKUP($C8,'SI - Units'!$B$24:$B$51,'SI - Units'!$C$24:$C$51, ""),'SI - Units'!$A$2:$A$8,'SI - Units'!$B$2:$B$8, ""))</f>
        <v>BTU</v>
      </c>
      <c r="G8" s="39"/>
      <c r="H8" s="39"/>
      <c r="I8" s="43" t="str">
        <f>IF(Table111[[#This Row],[Type]]="Co-product", "No", "")</f>
        <v/>
      </c>
      <c r="J8" s="10"/>
      <c r="K8" s="27" t="str">
        <f>IF(Table111[[#This Row],[Type]]="Transportation", _xlfn.XLOOKUP(Table111[[#This Row],[Resource]], 'SI - Payload'!$A$10:$A$33,'SI - Payload'!$B$10:$B$33,"",0), "")</f>
        <v/>
      </c>
      <c r="L8" s="27" t="str">
        <f>IF(Table111[[#This Row],[Type]]="Transportation", "ton", "")</f>
        <v/>
      </c>
      <c r="M8" s="10"/>
      <c r="N8" s="10"/>
      <c r="O8" s="27" t="str">
        <f>Table111[[#This Row],[Resource]]</f>
        <v>Natural Gas</v>
      </c>
      <c r="P8" s="27" t="str">
        <f>IF(_xlfn.XLOOKUP($O8,'SI - End Use'!$B$2:$B$30,'SI - End Use'!$C$2:$C$30, "")="", "", _xlfn.XLOOKUP($C8,'SI - End Use'!$B$2:$B$30,'SI - End Use'!$C$2:$C$30, ""))</f>
        <v>Utility/ Industrial Boiler (&gt;100 mmBtu/hr input)</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91">
        <f>1-'INL Data'!H9</f>
        <v>0.91844232182218954</v>
      </c>
      <c r="F9" s="27" t="s">
        <v>12</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35">
      <c r="A96" s="10"/>
      <c r="B96" s="10"/>
      <c r="C96" s="10"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35">
      <c r="A97" s="10"/>
      <c r="B97" s="10"/>
      <c r="C97" s="10"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10" t="str">
        <f>Table111[[#This Row],[Resource]]</f>
        <v/>
      </c>
      <c r="P97" s="10" t="str">
        <f>IF(_xlfn.XLOOKUP($O97,'SI - End Use'!$B$2:$B$30,'SI - End Use'!$C$2:$C$30, "")="", "", _xlfn.XLOOKUP($C97,'SI - End Use'!$B$2:$B$30,'SI - End Use'!$C$2:$C$30, ""))</f>
        <v/>
      </c>
      <c r="Q97" s="10"/>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10" t="str">
        <f>Table111[[#This Row],[Resource]]</f>
        <v/>
      </c>
      <c r="P98" s="10" t="str">
        <f>IF(_xlfn.XLOOKUP($O98,'SI - End Use'!$B$2:$B$30,'SI - End Use'!$C$2:$C$30, "")="", "", _xlfn.XLOOKUP($C98,'SI - End Use'!$B$2:$B$30,'SI - End Use'!$C$2:$C$30, ""))</f>
        <v/>
      </c>
      <c r="Q98" s="10"/>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27" t="str">
        <f>IF(_xlfn.XLOOKUP($O99,'SI - End Use'!$B$2:$B$30,'SI - End Use'!$C$2:$C$30, "")="", "", _xlfn.XLOOKUP($C99,'SI - End Use'!$B$2:$B$30,'SI - End Use'!$C$2:$C$30, ""))</f>
        <v/>
      </c>
      <c r="Q99" s="27"/>
      <c r="R99" s="10"/>
    </row>
    <row r="100" spans="1:18" x14ac:dyDescent="0.35">
      <c r="A100" s="10"/>
      <c r="B100" s="10"/>
      <c r="C100" s="27" t="str">
        <f>_xlfn.XLOOKUP($B100,'SI - Resources'!$A$1:$F$1,'SI - Resources'!$A$2:$F$2, "")</f>
        <v/>
      </c>
      <c r="D100" s="27" t="str">
        <f>IF(_xlfn.XLOOKUP($C100,'SI - End Use'!$B$2:$B$30,'SI - End Use'!$C$2:$C$30, "")="", "", _xlfn.XLOOKUP($C100,'SI - End Use'!$B$2:$B$30,'SI - End Use'!$C$2:$C$30, ""))</f>
        <v/>
      </c>
      <c r="E100" s="23"/>
      <c r="F100" s="27" t="str" cm="1">
        <f t="array" ref="F100">IF($B100="Transportation",  'SI - Units'!$B$9:$B$9, _xlfn.XLOOKUP(_xlfn.XLOOKUP($C100,'SI - Units'!$B$24:$B$51,'SI - Units'!$C$24:$C$51, ""),'SI - Units'!$A$2:$A$8,'SI - Units'!$B$2:$B$8, ""))</f>
        <v/>
      </c>
      <c r="G100" s="39"/>
      <c r="H100" s="39"/>
      <c r="I100" s="43" t="str">
        <f>IF(Table111[[#This Row],[Type]]="Co-product", "No", "")</f>
        <v/>
      </c>
      <c r="J100" s="10"/>
      <c r="K100" s="10" t="str">
        <f>IF(Table111[[#This Row],[Type]]="Transportation", _xlfn.XLOOKUP(Table111[[#This Row],[Resource]], 'SI - Payload'!$A$10:$A$33,'SI - Payload'!$B$10:$B$33,"",0), "")</f>
        <v/>
      </c>
      <c r="L100" s="10" t="str">
        <f>IF(Table111[[#This Row],[Type]]="Transportation", "ton", "")</f>
        <v/>
      </c>
      <c r="M100" s="10"/>
      <c r="N100" s="10"/>
      <c r="O100" s="27" t="str">
        <f>Table111[[#This Row],[Resource]]</f>
        <v/>
      </c>
      <c r="P100" s="27" t="str">
        <f>IF(_xlfn.XLOOKUP($O100,'SI - End Use'!$B$2:$B$30,'SI - End Use'!$C$2:$C$30, "")="", "", _xlfn.XLOOKUP($C100,'SI - End Use'!$B$2:$B$30,'SI - End Use'!$C$2:$C$30, ""))</f>
        <v/>
      </c>
      <c r="Q100" s="27"/>
      <c r="R100" s="10"/>
    </row>
    <row r="101" spans="1:18" x14ac:dyDescent="0.35">
      <c r="A101" s="10"/>
      <c r="B101" s="10"/>
      <c r="C101" s="27" t="str">
        <f>_xlfn.XLOOKUP($B101,'SI - Resources'!$A$1:$F$1,'SI - Resources'!$A$2:$F$2, "")</f>
        <v/>
      </c>
      <c r="D101" s="27" t="str">
        <f>IF(_xlfn.XLOOKUP($C101,'SI - End Use'!$B$2:$B$30,'SI - End Use'!$C$2:$C$30, "")="", "", _xlfn.XLOOKUP($C101,'SI - End Use'!$B$2:$B$30,'SI - End Use'!$C$2:$C$30, ""))</f>
        <v/>
      </c>
      <c r="E101" s="23"/>
      <c r="F101" s="27" t="str" cm="1">
        <f t="array" ref="F101">IF($B101="Transportation",  'SI - Units'!$B$9:$B$9, _xlfn.XLOOKUP(_xlfn.XLOOKUP($C101,'SI - Units'!$B$24:$B$51,'SI - Units'!$C$24:$C$51, ""),'SI - Units'!$A$2:$A$8,'SI - Units'!$B$2:$B$8, ""))</f>
        <v/>
      </c>
      <c r="G101" s="39"/>
      <c r="H101" s="39"/>
      <c r="I101" s="43" t="str">
        <f>IF(Table111[[#This Row],[Type]]="Co-product", "No", "")</f>
        <v/>
      </c>
      <c r="J101" s="10"/>
      <c r="K101" s="10" t="str">
        <f>IF(Table111[[#This Row],[Type]]="Transportation", _xlfn.XLOOKUP(Table111[[#This Row],[Resource]], 'SI - Payload'!$A$10:$A$33,'SI - Payload'!$B$10:$B$33,"",0), "")</f>
        <v/>
      </c>
      <c r="L101" s="10" t="str">
        <f>IF(Table111[[#This Row],[Type]]="Transportation", "ton", "")</f>
        <v/>
      </c>
      <c r="M101" s="10"/>
      <c r="N101" s="10"/>
      <c r="O101" s="27" t="str">
        <f>Table111[[#This Row],[Resource]]</f>
        <v/>
      </c>
      <c r="P101" s="10" t="str">
        <f>IF(_xlfn.XLOOKUP($O101,'SI - End Use'!$B$2:$B$30,'SI - End Use'!$C$2:$C$30, "")="", "", _xlfn.XLOOKUP($C101,'SI - End Use'!$B$2:$B$30,'SI - End Use'!$C$2:$C$30, ""))</f>
        <v/>
      </c>
      <c r="Q101" s="10"/>
      <c r="R101" s="10"/>
    </row>
    <row r="102" spans="1:18" x14ac:dyDescent="0.35">
      <c r="A102" s="42"/>
      <c r="B102" s="26"/>
      <c r="C102" s="26" t="str">
        <f>_xlfn.XLOOKUP($B102,'SI - Resources'!$A$1:$F$1,'SI - Resources'!$A$2:$F$2, "")</f>
        <v/>
      </c>
      <c r="D102" s="28" t="str">
        <f>IF(_xlfn.XLOOKUP($C102,'SI - End Use'!$B$2:$B$30,'SI - End Use'!$C$2:$C$30, "")="", "", _xlfn.XLOOKUP($C102,'SI - End Use'!$B$2:$B$30,'SI - End Use'!$C$2:$C$30, ""))</f>
        <v/>
      </c>
      <c r="E102" s="40"/>
      <c r="F102" s="28" t="str" cm="1">
        <f t="array" ref="F102">IF($B102="Transportation",  'SI - Units'!$B$9:$B$9, _xlfn.XLOOKUP(_xlfn.XLOOKUP($C102,'SI - Units'!$B$24:$B$51,'SI - Units'!$C$24:$C$51, ""),'SI - Units'!$A$2:$A$8,'SI - Units'!$B$2:$B$8, ""))</f>
        <v/>
      </c>
      <c r="G102" s="41"/>
      <c r="H102" s="41"/>
      <c r="I102" s="44" t="str">
        <f>IF(Table111[[#This Row],[Type]]="Co-product", "No", "")</f>
        <v/>
      </c>
      <c r="J102" s="26"/>
      <c r="K102" s="26" t="str">
        <f>IF(Table111[[#This Row],[Type]]="Transportation", _xlfn.XLOOKUP(Table111[[#This Row],[Resource]], 'SI - Payload'!$A$10:$A$33,'SI - Payload'!$B$10:$B$33,"",0), "")</f>
        <v/>
      </c>
      <c r="L102" s="26" t="str">
        <f>IF(Table111[[#This Row],[Type]]="Transportation", "ton", "")</f>
        <v/>
      </c>
      <c r="M102" s="26"/>
      <c r="N102" s="26"/>
      <c r="O102" s="26" t="str">
        <f>Table111[[#This Row],[Resource]]</f>
        <v/>
      </c>
      <c r="P102" s="26" t="str">
        <f>IF(_xlfn.XLOOKUP($O102,'SI - End Use'!$B$2:$B$30,'SI - End Use'!$C$2:$C$30, "")="", "", _xlfn.XLOOKUP($C102,'SI - End Use'!$B$2:$B$30,'SI - End Use'!$C$2:$C$30,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F5:F102</xm:sqref>
        </x14:dataValidation>
        <x14:dataValidation type="list" allowBlank="1" showInputMessage="1" showErrorMessage="1" xr:uid="{2921ED2D-C405-4264-980C-9653D7DBCB14}">
          <x14:formula1>
            <xm:f>'SI - Units'!$B$10:$F$10</xm:f>
          </x14:formula1>
          <xm:sqref>L5:L102</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N5:N102</xm:sqref>
        </x14:dataValidation>
        <x14:dataValidation type="list" allowBlank="1" showInputMessage="1" showErrorMessage="1" xr:uid="{7BDC4CF0-FFCB-4920-96DE-4CDB2D52EA19}">
          <x14:formula1>
            <xm:f>_xlfn.XLOOKUP($O5,'SI - End Use'!$B$2:$B$30,'SI - End Use'!$C$2:$N$30)</xm:f>
          </x14:formula1>
          <xm:sqref>P5:P102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xr:uid="{2354ECA0-4071-46C5-A165-9F4899BB68B0}">
          <x14:formula1>
            <xm:f>_xlfn.XLOOKUP($C5,'SI - End Use'!$B$2:$B$30,'SI - End Use'!$C$2:$N$30)</xm:f>
          </x14:formula1>
          <xm:sqref>D5:D102</xm:sqref>
        </x14:dataValidation>
        <x14:dataValidation type="list" allowBlank="1" showInputMessage="1" showErrorMessage="1" xr:uid="{CA5E6131-53F1-4751-BF5C-FC5D7BF0598E}">
          <x14:formula1>
            <xm:f>_xlfn.XLOOKUP($B5,'SI - Resources'!$A$1:$F$1,INDIRECT("Resource"))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Resources'!$A$1:$F$1</xm:f>
          </x14:formula1>
          <xm:sqref>B5:B102</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G12" sqref="G1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91">
        <f>'INL Data'!B10*1000*'INL Data'!E10</f>
        <v>289150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tr">
        <f>IF(_xlfn.XLOOKUP($C7,'SI - End Use'!$B$2:$B$30,'SI - End Use'!$C$2:$C$30, "")="", "", _xlfn.XLOOKUP($C7,'SI - End Use'!$B$2:$B$30,'SI - End Use'!$C$2:$C$30, ""))</f>
        <v>Industrial Boiler</v>
      </c>
      <c r="E7" s="91">
        <f>'INL Data'!B10*1000*'INL Data'!D10</f>
        <v>0</v>
      </c>
      <c r="F7" s="27" t="str" cm="1">
        <f t="array" ref="F7">IF($B7="Transportation",  'SI - Units'!$B$9:$B$9, _xlfn.XLOOKUP(_xlfn.XLOOKUP($C7,'SI - Units'!$B$24:$B$51,'SI - Units'!$C$24:$C$51, ""),'SI - Units'!$A$2:$A$8,'SI - Units'!$B$2:$B$8, ""))</f>
        <v>BTU</v>
      </c>
      <c r="G7" s="39"/>
      <c r="H7" s="39"/>
      <c r="I7" s="43" t="str">
        <f>IF(Table112[[#This Row],[Type]]="Co-product", "No", "")</f>
        <v/>
      </c>
      <c r="J7" s="10"/>
      <c r="K7" s="27" t="str">
        <f>IF(Table112[[#This Row],[Type]]="Transportation", _xlfn.XLOOKUP(Table112[[#This Row],[Resource]], 'SI - Payload'!$A$10:$A$33,'SI - Payload'!$B$10:$B$33,"",0), "")</f>
        <v/>
      </c>
      <c r="L7" s="27" t="str">
        <f>IF(Table112[[#This Row],[Type]]="Transportation", "ton", "")</f>
        <v/>
      </c>
      <c r="M7" s="10"/>
      <c r="N7" s="10"/>
      <c r="O7" s="27" t="str">
        <f>Table112[[#This Row],[Resource]]</f>
        <v>Diesel</v>
      </c>
      <c r="P7" s="27" t="str">
        <f>IF(_xlfn.XLOOKUP($O7,'SI - End Use'!$B$2:$B$30,'SI - End Use'!$C$2:$C$30, "")="", "", _xlfn.XLOOKUP($C7,'SI - End Use'!$B$2:$B$30,'SI - End Use'!$C$2:$C$30, ""))</f>
        <v>Industrial Boiler</v>
      </c>
      <c r="Q7" s="10"/>
      <c r="R7" s="10"/>
    </row>
    <row r="8" spans="1:18" x14ac:dyDescent="0.35">
      <c r="A8" s="10" t="s">
        <v>0</v>
      </c>
      <c r="B8" s="10" t="s">
        <v>2</v>
      </c>
      <c r="C8" s="10" t="s">
        <v>25</v>
      </c>
      <c r="D8" s="27" t="str">
        <f>IF(_xlfn.XLOOKUP($C8,'SI - End Use'!$B$2:$B$30,'SI - End Use'!$C$2:$C$30, "")="", "", _xlfn.XLOOKUP($C8,'SI - End Use'!$B$2:$B$30,'SI - End Use'!$C$2:$C$30, ""))</f>
        <v>Utility/ Industrial Boiler (&gt;100 mmBtu/hr input)</v>
      </c>
      <c r="E8" s="91">
        <f>'INL Data'!B10*1000*'INL Data'!F10</f>
        <v>0</v>
      </c>
      <c r="F8" s="27" t="str" cm="1">
        <f t="array" ref="F8">IF($B8="Transportation",  'SI - Units'!$B$9:$B$9, _xlfn.XLOOKUP(_xlfn.XLOOKUP($C8,'SI - Units'!$B$24:$B$51,'SI - Units'!$C$24:$C$51, ""),'SI - Units'!$A$2:$A$8,'SI - Units'!$B$2:$B$8, ""))</f>
        <v>BTU</v>
      </c>
      <c r="G8" s="39"/>
      <c r="H8" s="39"/>
      <c r="I8" s="43" t="str">
        <f>IF(Table112[[#This Row],[Type]]="Co-product", "No", "")</f>
        <v/>
      </c>
      <c r="J8" s="10"/>
      <c r="K8" s="27" t="str">
        <f>IF(Table112[[#This Row],[Type]]="Transportation", _xlfn.XLOOKUP(Table112[[#This Row],[Resource]], 'SI - Payload'!$A$10:$A$33,'SI - Payload'!$B$10:$B$33,"",0), "")</f>
        <v/>
      </c>
      <c r="L8" s="27" t="str">
        <f>IF(Table112[[#This Row],[Type]]="Transportation", "ton", "")</f>
        <v/>
      </c>
      <c r="M8" s="10"/>
      <c r="N8" s="10"/>
      <c r="O8" s="27" t="str">
        <f>Table112[[#This Row],[Resource]]</f>
        <v>Natural Gas</v>
      </c>
      <c r="P8" s="27" t="str">
        <f>IF(_xlfn.XLOOKUP($O8,'SI - End Use'!$B$2:$B$30,'SI - End Use'!$C$2:$C$30, "")="", "", _xlfn.XLOOKUP($C8,'SI - End Use'!$B$2:$B$30,'SI - End Use'!$C$2:$C$30, ""))</f>
        <v>Utility/ Industrial Boiler (&gt;100 mmBtu/hr input)</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91">
        <f>1-'INL Data'!H10</f>
        <v>0.98</v>
      </c>
      <c r="F9" s="27" t="s">
        <v>12</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35">
      <c r="A96" s="10"/>
      <c r="B96" s="10"/>
      <c r="C96" s="10"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35">
      <c r="A97" s="10"/>
      <c r="B97" s="10"/>
      <c r="C97" s="10"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10" t="str">
        <f>Table112[[#This Row],[Resource]]</f>
        <v/>
      </c>
      <c r="P97" s="10" t="str">
        <f>IF(_xlfn.XLOOKUP($O97,'SI - End Use'!$B$2:$B$30,'SI - End Use'!$C$2:$C$30, "")="", "", _xlfn.XLOOKUP($C97,'SI - End Use'!$B$2:$B$30,'SI - End Use'!$C$2:$C$30, ""))</f>
        <v/>
      </c>
      <c r="Q97" s="10"/>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10" t="str">
        <f>Table112[[#This Row],[Resource]]</f>
        <v/>
      </c>
      <c r="P98" s="10" t="str">
        <f>IF(_xlfn.XLOOKUP($O98,'SI - End Use'!$B$2:$B$30,'SI - End Use'!$C$2:$C$30, "")="", "", _xlfn.XLOOKUP($C98,'SI - End Use'!$B$2:$B$30,'SI - End Use'!$C$2:$C$30, ""))</f>
        <v/>
      </c>
      <c r="Q98" s="10"/>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27" t="str">
        <f>IF(_xlfn.XLOOKUP($O99,'SI - End Use'!$B$2:$B$30,'SI - End Use'!$C$2:$C$30, "")="", "", _xlfn.XLOOKUP($C99,'SI - End Use'!$B$2:$B$30,'SI - End Use'!$C$2:$C$30, ""))</f>
        <v/>
      </c>
      <c r="Q99" s="27"/>
      <c r="R99" s="10"/>
    </row>
    <row r="100" spans="1:18" x14ac:dyDescent="0.35">
      <c r="A100" s="10"/>
      <c r="B100" s="10"/>
      <c r="C100" s="27" t="str">
        <f>_xlfn.XLOOKUP($B100,'SI - Resources'!$A$1:$F$1,'SI - Resources'!$A$2:$F$2, "")</f>
        <v/>
      </c>
      <c r="D100" s="27" t="str">
        <f>IF(_xlfn.XLOOKUP($C100,'SI - End Use'!$B$2:$B$30,'SI - End Use'!$C$2:$C$30, "")="", "", _xlfn.XLOOKUP($C100,'SI - End Use'!$B$2:$B$30,'SI - End Use'!$C$2:$C$30, ""))</f>
        <v/>
      </c>
      <c r="E100" s="23"/>
      <c r="F100" s="27" t="str" cm="1">
        <f t="array" ref="F100">IF($B100="Transportation",  'SI - Units'!$B$9:$B$9, _xlfn.XLOOKUP(_xlfn.XLOOKUP($C100,'SI - Units'!$B$24:$B$51,'SI - Units'!$C$24:$C$51, ""),'SI - Units'!$A$2:$A$8,'SI - Units'!$B$2:$B$8, ""))</f>
        <v/>
      </c>
      <c r="G100" s="39"/>
      <c r="H100" s="39"/>
      <c r="I100" s="43" t="str">
        <f>IF(Table112[[#This Row],[Type]]="Co-product", "No", "")</f>
        <v/>
      </c>
      <c r="J100" s="10"/>
      <c r="K100" s="10" t="str">
        <f>IF(Table112[[#This Row],[Type]]="Transportation", _xlfn.XLOOKUP(Table112[[#This Row],[Resource]], 'SI - Payload'!$A$10:$A$33,'SI - Payload'!$B$10:$B$33,"",0), "")</f>
        <v/>
      </c>
      <c r="L100" s="10" t="str">
        <f>IF(Table112[[#This Row],[Type]]="Transportation", "ton", "")</f>
        <v/>
      </c>
      <c r="M100" s="10"/>
      <c r="N100" s="10"/>
      <c r="O100" s="27" t="str">
        <f>Table112[[#This Row],[Resource]]</f>
        <v/>
      </c>
      <c r="P100" s="27" t="str">
        <f>IF(_xlfn.XLOOKUP($O100,'SI - End Use'!$B$2:$B$30,'SI - End Use'!$C$2:$C$30, "")="", "", _xlfn.XLOOKUP($C100,'SI - End Use'!$B$2:$B$30,'SI - End Use'!$C$2:$C$30, ""))</f>
        <v/>
      </c>
      <c r="Q100" s="27"/>
      <c r="R100" s="10"/>
    </row>
    <row r="101" spans="1:18" x14ac:dyDescent="0.35">
      <c r="A101" s="10"/>
      <c r="B101" s="10"/>
      <c r="C101" s="27" t="str">
        <f>_xlfn.XLOOKUP($B101,'SI - Resources'!$A$1:$F$1,'SI - Resources'!$A$2:$F$2, "")</f>
        <v/>
      </c>
      <c r="D101" s="27" t="str">
        <f>IF(_xlfn.XLOOKUP($C101,'SI - End Use'!$B$2:$B$30,'SI - End Use'!$C$2:$C$30, "")="", "", _xlfn.XLOOKUP($C101,'SI - End Use'!$B$2:$B$30,'SI - End Use'!$C$2:$C$30, ""))</f>
        <v/>
      </c>
      <c r="E101" s="23"/>
      <c r="F101" s="27" t="str" cm="1">
        <f t="array" ref="F101">IF($B101="Transportation",  'SI - Units'!$B$9:$B$9, _xlfn.XLOOKUP(_xlfn.XLOOKUP($C101,'SI - Units'!$B$24:$B$51,'SI - Units'!$C$24:$C$51, ""),'SI - Units'!$A$2:$A$8,'SI - Units'!$B$2:$B$8, ""))</f>
        <v/>
      </c>
      <c r="G101" s="39"/>
      <c r="H101" s="39"/>
      <c r="I101" s="43" t="str">
        <f>IF(Table112[[#This Row],[Type]]="Co-product", "No", "")</f>
        <v/>
      </c>
      <c r="J101" s="10"/>
      <c r="K101" s="10" t="str">
        <f>IF(Table112[[#This Row],[Type]]="Transportation", _xlfn.XLOOKUP(Table112[[#This Row],[Resource]], 'SI - Payload'!$A$10:$A$33,'SI - Payload'!$B$10:$B$33,"",0), "")</f>
        <v/>
      </c>
      <c r="L101" s="10" t="str">
        <f>IF(Table112[[#This Row],[Type]]="Transportation", "ton", "")</f>
        <v/>
      </c>
      <c r="M101" s="10"/>
      <c r="N101" s="10"/>
      <c r="O101" s="27" t="str">
        <f>Table112[[#This Row],[Resource]]</f>
        <v/>
      </c>
      <c r="P101" s="10" t="str">
        <f>IF(_xlfn.XLOOKUP($O101,'SI - End Use'!$B$2:$B$30,'SI - End Use'!$C$2:$C$30, "")="", "", _xlfn.XLOOKUP($C101,'SI - End Use'!$B$2:$B$30,'SI - End Use'!$C$2:$C$30, ""))</f>
        <v/>
      </c>
      <c r="Q101" s="10"/>
      <c r="R101" s="10"/>
    </row>
    <row r="102" spans="1:18" x14ac:dyDescent="0.35">
      <c r="A102" s="42"/>
      <c r="B102" s="26"/>
      <c r="C102" s="26" t="str">
        <f>_xlfn.XLOOKUP($B102,'SI - Resources'!$A$1:$F$1,'SI - Resources'!$A$2:$F$2, "")</f>
        <v/>
      </c>
      <c r="D102" s="28" t="str">
        <f>IF(_xlfn.XLOOKUP($C102,'SI - End Use'!$B$2:$B$30,'SI - End Use'!$C$2:$C$30, "")="", "", _xlfn.XLOOKUP($C102,'SI - End Use'!$B$2:$B$30,'SI - End Use'!$C$2:$C$30, ""))</f>
        <v/>
      </c>
      <c r="E102" s="40"/>
      <c r="F102" s="28" t="str" cm="1">
        <f t="array" ref="F102">IF($B102="Transportation",  'SI - Units'!$B$9:$B$9, _xlfn.XLOOKUP(_xlfn.XLOOKUP($C102,'SI - Units'!$B$24:$B$51,'SI - Units'!$C$24:$C$51, ""),'SI - Units'!$A$2:$A$8,'SI - Units'!$B$2:$B$8, ""))</f>
        <v/>
      </c>
      <c r="G102" s="41"/>
      <c r="H102" s="41"/>
      <c r="I102" s="44" t="str">
        <f>IF(Table112[[#This Row],[Type]]="Co-product", "No", "")</f>
        <v/>
      </c>
      <c r="J102" s="26"/>
      <c r="K102" s="26" t="str">
        <f>IF(Table112[[#This Row],[Type]]="Transportation", _xlfn.XLOOKUP(Table112[[#This Row],[Resource]], 'SI - Payload'!$A$10:$A$33,'SI - Payload'!$B$10:$B$33,"",0), "")</f>
        <v/>
      </c>
      <c r="L102" s="26" t="str">
        <f>IF(Table112[[#This Row],[Type]]="Transportation", "ton", "")</f>
        <v/>
      </c>
      <c r="M102" s="26"/>
      <c r="N102" s="26"/>
      <c r="O102" s="26" t="str">
        <f>Table112[[#This Row],[Resource]]</f>
        <v/>
      </c>
      <c r="P102" s="26" t="str">
        <f>IF(_xlfn.XLOOKUP($O102,'SI - End Use'!$B$2:$B$30,'SI - End Use'!$C$2:$C$30, "")="", "", _xlfn.XLOOKUP($C102,'SI - End Use'!$B$2:$B$30,'SI - End Use'!$C$2:$C$30,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F5:F102</xm:sqref>
        </x14:dataValidation>
        <x14:dataValidation type="list" allowBlank="1" showInputMessage="1" showErrorMessage="1" xr:uid="{6C354C04-D714-4C4E-A10E-523C3A943774}">
          <x14:formula1>
            <xm:f>'SI - Units'!$B$10:$F$10</xm:f>
          </x14:formula1>
          <xm:sqref>L5:L102</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N5:N102</xm:sqref>
        </x14:dataValidation>
        <x14:dataValidation type="list" allowBlank="1" showInputMessage="1" showErrorMessage="1" xr:uid="{E12A1D54-C667-4F99-98E7-8EDF3CCB95E3}">
          <x14:formula1>
            <xm:f>_xlfn.XLOOKUP($O5,'SI - End Use'!$B$2:$B$30,'SI - End Use'!$C$2:$N$30)</xm:f>
          </x14:formula1>
          <xm:sqref>P5:P102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xr:uid="{3BDDB4AE-4D3B-41CE-99F9-2C851F0043B8}">
          <x14:formula1>
            <xm:f>_xlfn.XLOOKUP($C5,'SI - End Use'!$B$2:$B$30,'SI - End Use'!$C$2:$N$30)</xm:f>
          </x14:formula1>
          <xm:sqref>D5:D102</xm:sqref>
        </x14:dataValidation>
        <x14:dataValidation type="list" allowBlank="1" showInputMessage="1" showErrorMessage="1" xr:uid="{0E8622B0-34B6-4C26-BA30-7D96AF95BACE}">
          <x14:formula1>
            <xm:f>_xlfn.XLOOKUP($B5,'SI - Resources'!$A$1:$F$1,INDIRECT("Resource"))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Resources'!$A$1:$F$1</xm:f>
          </x14:formula1>
          <xm:sqref>B5:B102</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F9" sqref="F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91">
        <f>'INL Data'!B11*1000*'INL Data'!E11</f>
        <v>810.59999999999991</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
        <v>10</v>
      </c>
      <c r="E7" s="91">
        <f>'INL Data'!B11*1000*'INL Data'!D11</f>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35">
      <c r="A8" s="10" t="s">
        <v>0</v>
      </c>
      <c r="B8" s="10" t="s">
        <v>2</v>
      </c>
      <c r="C8" s="10" t="s">
        <v>25</v>
      </c>
      <c r="D8" s="27" t="str">
        <f>IF(_xlfn.XLOOKUP($C8,'SI - End Use'!$B$2:$B$30,'SI - End Use'!$C$2:$C$30, "")="", "", _xlfn.XLOOKUP($C8,'SI - End Use'!$B$2:$B$30,'SI - End Use'!$C$2:$C$30, ""))</f>
        <v>Utility/ Industrial Boiler (&gt;100 mmBtu/hr input)</v>
      </c>
      <c r="E8" s="91">
        <f>'INL Data'!B11*1000*'INL Data'!F11</f>
        <v>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Natural Gas</v>
      </c>
      <c r="P8" s="10" t="str">
        <f>IF(_xlfn.XLOOKUP($O8,'SI - End Use'!$B$2:$B$30,'SI - End Use'!$C$2:$C$30, "")="", "", _xlfn.XLOOKUP($C8,'SI - End Use'!$B$2:$B$30,'SI - End Use'!$C$2:$C$30, ""))</f>
        <v>Utility/ Industrial Boiler (&gt;100 mmBtu/hr input)</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91">
        <f>1-'INL Data'!H11</f>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E5" sqref="E5:E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t="s">
        <v>273</v>
      </c>
      <c r="I5" s="43" t="str">
        <f>IF(Table116[[#This Row],[Type]]="Co-product", "No", "")</f>
        <v/>
      </c>
      <c r="J5" s="10"/>
      <c r="K5" s="10" t="str">
        <f>IF(Table116[[#This Row],[Type]]="Transportation", _xlfn.XLOOKUP(Table116[[#This Row],[Resource]], 'SI - Payload'!$A$10:$A$33,'SI - Payload'!$B$10:$B$33,"",0), "")</f>
        <v/>
      </c>
      <c r="L5" s="10" t="str">
        <f>IF(Table116[[#This Row],[Type]]="Transportation", "ton", "")</f>
        <v/>
      </c>
      <c r="M5" s="10"/>
      <c r="N5" s="10"/>
      <c r="O5" s="10" t="str">
        <f>Table116[[#This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91">
        <f>'INL Data'!B12*1000*'INL Data'!E12</f>
        <v>0</v>
      </c>
      <c r="F6" s="27" t="s">
        <v>75</v>
      </c>
      <c r="G6" s="39"/>
      <c r="H6" s="39"/>
      <c r="I6" s="43" t="str">
        <f>IF(Table116[[#This Row],[Type]]="Co-product", "No", "")</f>
        <v/>
      </c>
      <c r="J6" s="10"/>
      <c r="K6" s="10" t="str">
        <f>IF(Table116[[#This Row],[Type]]="Transportation", _xlfn.XLOOKUP(Table116[[#This Row],[Resource]], 'SI - Payload'!$A$10:$A$33,'SI - Payload'!$B$10:$B$33,"",0), "")</f>
        <v/>
      </c>
      <c r="L6" s="10" t="str">
        <f>IF(Table116[[#This Row],[Type]]="Transportation", "ton", "")</f>
        <v/>
      </c>
      <c r="M6" s="10"/>
      <c r="N6" s="10"/>
      <c r="O6" s="10" t="str">
        <f>Table116[[#This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tr">
        <f>IF(_xlfn.XLOOKUP($C7,'SI - End Use'!$B$2:$B$30,'SI - End Use'!$C$2:$C$30, "")="", "", _xlfn.XLOOKUP($C7,'SI - End Use'!$B$2:$B$30,'SI - End Use'!$C$2:$C$30, ""))</f>
        <v>Industrial Boiler</v>
      </c>
      <c r="E7" s="91">
        <f>'INL Data'!B12*1000*'INL Data'!D12</f>
        <v>0</v>
      </c>
      <c r="F7" s="27" t="str" cm="1">
        <f t="array" ref="F7">IF($B7="Transportation",  'SI - Units'!$B$9:$B$9, _xlfn.XLOOKUP(_xlfn.XLOOKUP($C7,'SI - Units'!$B$24:$B$51,'SI - Units'!$C$24:$C$51, ""),'SI - Units'!$A$2:$A$8,'SI - Units'!$B$2:$B$8, ""))</f>
        <v>BTU</v>
      </c>
      <c r="G7" s="39"/>
      <c r="H7" s="39"/>
      <c r="I7" s="43" t="str">
        <f>IF(Table116[[#This Row],[Type]]="Co-product", "No", "")</f>
        <v/>
      </c>
      <c r="J7" s="10"/>
      <c r="K7" s="10" t="str">
        <f>IF(Table116[[#This Row],[Type]]="Transportation", _xlfn.XLOOKUP(Table116[[#This Row],[Resource]], 'SI - Payload'!$A$10:$A$33,'SI - Payload'!$B$10:$B$33,"",0), "")</f>
        <v/>
      </c>
      <c r="L7" s="10" t="str">
        <f>IF(Table116[[#This Row],[Type]]="Transportation", "ton", "")</f>
        <v/>
      </c>
      <c r="M7" s="10"/>
      <c r="N7" s="10"/>
      <c r="O7" s="10" t="str">
        <f>Table116[[#This Row],[Resource]]</f>
        <v>Diesel</v>
      </c>
      <c r="P7" s="10" t="str">
        <f>IF(_xlfn.XLOOKUP($O7,'SI - End Use'!$B$2:$B$30,'SI - End Use'!$C$2:$C$30, "")="", "", _xlfn.XLOOKUP($C7,'SI - End Use'!$B$2:$B$30,'SI - End Use'!$C$2:$C$30, ""))</f>
        <v>Industrial Boiler</v>
      </c>
      <c r="Q7" s="10"/>
      <c r="R7" s="10"/>
    </row>
    <row r="8" spans="1:18" x14ac:dyDescent="0.35">
      <c r="A8" s="10" t="s">
        <v>0</v>
      </c>
      <c r="B8" s="10" t="s">
        <v>2</v>
      </c>
      <c r="C8" s="10" t="s">
        <v>25</v>
      </c>
      <c r="D8" s="27" t="str">
        <f>IF(_xlfn.XLOOKUP($C8,'SI - End Use'!$B$2:$B$30,'SI - End Use'!$C$2:$C$30, "")="", "", _xlfn.XLOOKUP($C8,'SI - End Use'!$B$2:$B$30,'SI - End Use'!$C$2:$C$30, ""))</f>
        <v>Utility/ Industrial Boiler (&gt;100 mmBtu/hr input)</v>
      </c>
      <c r="E8" s="91">
        <f>'INL Data'!B12*1000*'INL Data'!F12</f>
        <v>0</v>
      </c>
      <c r="F8" s="27" t="str" cm="1">
        <f t="array" ref="F8">IF($B8="Transportation",  'SI - Units'!$B$9:$B$9, _xlfn.XLOOKUP(_xlfn.XLOOKUP($C8,'SI - Units'!$B$24:$B$51,'SI - Units'!$C$24:$C$51, ""),'SI - Units'!$A$2:$A$8,'SI - Units'!$B$2:$B$8, ""))</f>
        <v>BTU</v>
      </c>
      <c r="G8" s="39"/>
      <c r="H8" s="39"/>
      <c r="I8" s="43" t="str">
        <f>IF(Table116[[#This Row],[Type]]="Co-product", "No", "")</f>
        <v/>
      </c>
      <c r="J8" s="10"/>
      <c r="K8" s="10" t="str">
        <f>IF(Table116[[#This Row],[Type]]="Transportation", _xlfn.XLOOKUP(Table116[[#This Row],[Resource]], 'SI - Payload'!$A$10:$A$33,'SI - Payload'!$B$10:$B$33,"",0), "")</f>
        <v/>
      </c>
      <c r="L8" s="10" t="str">
        <f>IF(Table116[[#This Row],[Type]]="Transportation", "ton", "")</f>
        <v/>
      </c>
      <c r="M8" s="10"/>
      <c r="N8" s="10"/>
      <c r="O8" s="10" t="str">
        <f>Table116[[#This Row],[Resource]]</f>
        <v>Natural Gas</v>
      </c>
      <c r="P8" s="10" t="str">
        <f>IF(_xlfn.XLOOKUP($O8,'SI - End Use'!$B$2:$B$30,'SI - End Use'!$C$2:$C$30, "")="", "", _xlfn.XLOOKUP($C8,'SI - End Use'!$B$2:$B$30,'SI - End Use'!$C$2:$C$30, ""))</f>
        <v>Utility/ Industrial Boiler (&gt;100 mmBtu/hr input)</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91">
        <f>1-'INL Data'!H12</f>
        <v>1</v>
      </c>
      <c r="F9" s="27" t="s">
        <v>12</v>
      </c>
      <c r="G9" s="39"/>
      <c r="H9" s="39"/>
      <c r="I9" s="43" t="str">
        <f>IF(Table116[[#This Row],[Type]]="Co-product", "No", "")</f>
        <v/>
      </c>
      <c r="J9" s="10"/>
      <c r="K9" s="10" t="str">
        <f>IF(Table116[[#This Row],[Type]]="Transportation", _xlfn.XLOOKUP(Table116[[#This Row],[Resource]], 'SI - Payload'!$A$10:$A$33,'SI - Payload'!$B$10:$B$33,"",0), "")</f>
        <v/>
      </c>
      <c r="L9" s="10" t="str">
        <f>IF(Table116[[#This Row],[Type]]="Transportation", "ton", "")</f>
        <v/>
      </c>
      <c r="M9" s="10"/>
      <c r="N9" s="10"/>
      <c r="O9" s="10" t="str">
        <f>Table116[[#This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IF(Table116[[#This Row],[Type]]="Co-product", "No", "")</f>
        <v/>
      </c>
      <c r="J10" s="10"/>
      <c r="K10" s="10" t="str">
        <f>IF(Table116[[#This Row],[Type]]="Transportation", _xlfn.XLOOKUP(Table116[[#This Row],[Resource]], 'SI - Payload'!$A$10:$A$33,'SI - Payload'!$B$10:$B$33,"",0), "")</f>
        <v/>
      </c>
      <c r="L10" s="10" t="str">
        <f>IF(Table116[[#This Row],[Type]]="Transportation", "ton", "")</f>
        <v/>
      </c>
      <c r="M10" s="10"/>
      <c r="N10" s="10"/>
      <c r="O10" s="10" t="str">
        <f>Table116[[#This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IF(Table116[[#This Row],[Type]]="Co-product", "No", "")</f>
        <v/>
      </c>
      <c r="J11" s="10"/>
      <c r="K11" s="10" t="str">
        <f>IF(Table116[[#This Row],[Type]]="Transportation", _xlfn.XLOOKUP(Table116[[#This Row],[Resource]], 'SI - Payload'!$A$10:$A$33,'SI - Payload'!$B$10:$B$33,"",0), "")</f>
        <v/>
      </c>
      <c r="L11" s="10" t="str">
        <f>IF(Table116[[#This Row],[Type]]="Transportation", "ton", "")</f>
        <v/>
      </c>
      <c r="M11" s="10"/>
      <c r="N11" s="10"/>
      <c r="O11" s="10" t="str">
        <f>Table116[[#This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IF(Table116[[#This Row],[Type]]="Co-product", "No", "")</f>
        <v/>
      </c>
      <c r="J12" s="10"/>
      <c r="K12" s="10" t="str">
        <f>IF(Table116[[#This Row],[Type]]="Transportation", _xlfn.XLOOKUP(Table116[[#This Row],[Resource]], 'SI - Payload'!$A$10:$A$33,'SI - Payload'!$B$10:$B$33,"",0), "")</f>
        <v/>
      </c>
      <c r="L12" s="10" t="str">
        <f>IF(Table116[[#This Row],[Type]]="Transportation", "ton", "")</f>
        <v/>
      </c>
      <c r="M12" s="10"/>
      <c r="N12" s="10"/>
      <c r="O12" s="10" t="str">
        <f>Table116[[#This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IF(Table116[[#This Row],[Type]]="Co-product", "No", "")</f>
        <v/>
      </c>
      <c r="J13" s="10"/>
      <c r="K13" s="10" t="str">
        <f>IF(Table116[[#This Row],[Type]]="Transportation", _xlfn.XLOOKUP(Table116[[#This Row],[Resource]], 'SI - Payload'!$A$10:$A$33,'SI - Payload'!$B$10:$B$33,"",0), "")</f>
        <v/>
      </c>
      <c r="L13" s="10" t="str">
        <f>IF(Table116[[#This Row],[Type]]="Transportation", "ton", "")</f>
        <v/>
      </c>
      <c r="M13" s="10"/>
      <c r="N13" s="10"/>
      <c r="O13" s="10" t="str">
        <f>Table116[[#This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IF(Table116[[#This Row],[Type]]="Co-product", "No", "")</f>
        <v/>
      </c>
      <c r="J14" s="10"/>
      <c r="K14" s="10" t="str">
        <f>IF(Table116[[#This Row],[Type]]="Transportation", _xlfn.XLOOKUP(Table116[[#This Row],[Resource]], 'SI - Payload'!$A$10:$A$33,'SI - Payload'!$B$10:$B$33,"",0), "")</f>
        <v/>
      </c>
      <c r="L14" s="10" t="str">
        <f>IF(Table116[[#This Row],[Type]]="Transportation", "ton", "")</f>
        <v/>
      </c>
      <c r="M14" s="10"/>
      <c r="N14" s="10"/>
      <c r="O14" s="10" t="str">
        <f>Table116[[#This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IF(Table116[[#This Row],[Type]]="Co-product", "No", "")</f>
        <v/>
      </c>
      <c r="J15" s="10"/>
      <c r="K15" s="10" t="str">
        <f>IF(Table116[[#This Row],[Type]]="Transportation", _xlfn.XLOOKUP(Table116[[#This Row],[Resource]], 'SI - Payload'!$A$10:$A$33,'SI - Payload'!$B$10:$B$33,"",0), "")</f>
        <v/>
      </c>
      <c r="L15" s="10" t="str">
        <f>IF(Table116[[#This Row],[Type]]="Transportation", "ton", "")</f>
        <v/>
      </c>
      <c r="M15" s="10"/>
      <c r="N15" s="10"/>
      <c r="O15" s="10" t="str">
        <f>Table116[[#This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IF(Table116[[#This Row],[Type]]="Co-product", "No", "")</f>
        <v/>
      </c>
      <c r="J16" s="10"/>
      <c r="K16" s="10" t="str">
        <f>IF(Table116[[#This Row],[Type]]="Transportation", _xlfn.XLOOKUP(Table116[[#This Row],[Resource]], 'SI - Payload'!$A$10:$A$33,'SI - Payload'!$B$10:$B$33,"",0), "")</f>
        <v/>
      </c>
      <c r="L16" s="10" t="str">
        <f>IF(Table116[[#This Row],[Type]]="Transportation", "ton", "")</f>
        <v/>
      </c>
      <c r="M16" s="10"/>
      <c r="N16" s="10"/>
      <c r="O16" s="10" t="str">
        <f>Table116[[#This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IF(Table116[[#This Row],[Type]]="Co-product", "No", "")</f>
        <v/>
      </c>
      <c r="J17" s="10"/>
      <c r="K17" s="10" t="str">
        <f>IF(Table116[[#This Row],[Type]]="Transportation", _xlfn.XLOOKUP(Table116[[#This Row],[Resource]], 'SI - Payload'!$A$10:$A$33,'SI - Payload'!$B$10:$B$33,"",0), "")</f>
        <v/>
      </c>
      <c r="L17" s="10" t="str">
        <f>IF(Table116[[#This Row],[Type]]="Transportation", "ton", "")</f>
        <v/>
      </c>
      <c r="M17" s="10"/>
      <c r="N17" s="10"/>
      <c r="O17" s="10" t="str">
        <f>Table116[[#This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IF(Table116[[#This Row],[Type]]="Co-product", "No", "")</f>
        <v/>
      </c>
      <c r="J18" s="10"/>
      <c r="K18" s="10" t="str">
        <f>IF(Table116[[#This Row],[Type]]="Transportation", _xlfn.XLOOKUP(Table116[[#This Row],[Resource]], 'SI - Payload'!$A$10:$A$33,'SI - Payload'!$B$10:$B$33,"",0), "")</f>
        <v/>
      </c>
      <c r="L18" s="10" t="str">
        <f>IF(Table116[[#This Row],[Type]]="Transportation", "ton", "")</f>
        <v/>
      </c>
      <c r="M18" s="10"/>
      <c r="N18" s="10"/>
      <c r="O18" s="10" t="str">
        <f>Table116[[#This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IF(Table116[[#This Row],[Type]]="Co-product", "No", "")</f>
        <v/>
      </c>
      <c r="J19" s="10"/>
      <c r="K19" s="10" t="str">
        <f>IF(Table116[[#This Row],[Type]]="Transportation", _xlfn.XLOOKUP(Table116[[#This Row],[Resource]], 'SI - Payload'!$A$10:$A$33,'SI - Payload'!$B$10:$B$33,"",0), "")</f>
        <v/>
      </c>
      <c r="L19" s="10" t="str">
        <f>IF(Table116[[#This Row],[Type]]="Transportation", "ton", "")</f>
        <v/>
      </c>
      <c r="M19" s="10"/>
      <c r="N19" s="10"/>
      <c r="O19" s="10" t="str">
        <f>Table116[[#This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IF(Table116[[#This Row],[Type]]="Co-product", "No", "")</f>
        <v/>
      </c>
      <c r="J20" s="10"/>
      <c r="K20" s="10" t="str">
        <f>IF(Table116[[#This Row],[Type]]="Transportation", _xlfn.XLOOKUP(Table116[[#This Row],[Resource]], 'SI - Payload'!$A$10:$A$33,'SI - Payload'!$B$10:$B$33,"",0), "")</f>
        <v/>
      </c>
      <c r="L20" s="10" t="str">
        <f>IF(Table116[[#This Row],[Type]]="Transportation", "ton", "")</f>
        <v/>
      </c>
      <c r="M20" s="10"/>
      <c r="N20" s="10"/>
      <c r="O20" s="10" t="str">
        <f>Table116[[#This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IF(Table116[[#This Row],[Type]]="Co-product", "No", "")</f>
        <v/>
      </c>
      <c r="J21" s="10"/>
      <c r="K21" s="10" t="str">
        <f>IF(Table116[[#This Row],[Type]]="Transportation", _xlfn.XLOOKUP(Table116[[#This Row],[Resource]], 'SI - Payload'!$A$10:$A$33,'SI - Payload'!$B$10:$B$33,"",0), "")</f>
        <v/>
      </c>
      <c r="L21" s="10" t="str">
        <f>IF(Table116[[#This Row],[Type]]="Transportation", "ton", "")</f>
        <v/>
      </c>
      <c r="M21" s="10"/>
      <c r="N21" s="10"/>
      <c r="O21" s="10" t="str">
        <f>Table116[[#This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IF(Table116[[#This Row],[Type]]="Co-product", "No", "")</f>
        <v/>
      </c>
      <c r="J22" s="10"/>
      <c r="K22" s="10" t="str">
        <f>IF(Table116[[#This Row],[Type]]="Transportation", _xlfn.XLOOKUP(Table116[[#This Row],[Resource]], 'SI - Payload'!$A$10:$A$33,'SI - Payload'!$B$10:$B$33,"",0), "")</f>
        <v/>
      </c>
      <c r="L22" s="10" t="str">
        <f>IF(Table116[[#This Row],[Type]]="Transportation", "ton", "")</f>
        <v/>
      </c>
      <c r="M22" s="10"/>
      <c r="N22" s="10"/>
      <c r="O22" s="10" t="str">
        <f>Table116[[#This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IF(Table116[[#This Row],[Type]]="Co-product", "No", "")</f>
        <v/>
      </c>
      <c r="J23" s="10"/>
      <c r="K23" s="10" t="str">
        <f>IF(Table116[[#This Row],[Type]]="Transportation", _xlfn.XLOOKUP(Table116[[#This Row],[Resource]], 'SI - Payload'!$A$10:$A$33,'SI - Payload'!$B$10:$B$33,"",0), "")</f>
        <v/>
      </c>
      <c r="L23" s="10" t="str">
        <f>IF(Table116[[#This Row],[Type]]="Transportation", "ton", "")</f>
        <v/>
      </c>
      <c r="M23" s="10"/>
      <c r="N23" s="10"/>
      <c r="O23" s="10" t="str">
        <f>Table116[[#This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IF(Table116[[#This Row],[Type]]="Co-product", "No", "")</f>
        <v/>
      </c>
      <c r="J24" s="10"/>
      <c r="K24" s="10" t="str">
        <f>IF(Table116[[#This Row],[Type]]="Transportation", _xlfn.XLOOKUP(Table116[[#This Row],[Resource]], 'SI - Payload'!$A$10:$A$33,'SI - Payload'!$B$10:$B$33,"",0), "")</f>
        <v/>
      </c>
      <c r="L24" s="10" t="str">
        <f>IF(Table116[[#This Row],[Type]]="Transportation", "ton", "")</f>
        <v/>
      </c>
      <c r="M24" s="10"/>
      <c r="N24" s="10"/>
      <c r="O24" s="10" t="str">
        <f>Table116[[#This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IF(Table116[[#This Row],[Type]]="Co-product", "No", "")</f>
        <v/>
      </c>
      <c r="J25" s="10"/>
      <c r="K25" s="10" t="str">
        <f>IF(Table116[[#This Row],[Type]]="Transportation", _xlfn.XLOOKUP(Table116[[#This Row],[Resource]], 'SI - Payload'!$A$10:$A$33,'SI - Payload'!$B$10:$B$33,"",0), "")</f>
        <v/>
      </c>
      <c r="L25" s="10" t="str">
        <f>IF(Table116[[#This Row],[Type]]="Transportation", "ton", "")</f>
        <v/>
      </c>
      <c r="M25" s="10"/>
      <c r="N25" s="10"/>
      <c r="O25" s="10" t="str">
        <f>Table116[[#This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IF(Table116[[#This Row],[Type]]="Co-product", "No", "")</f>
        <v/>
      </c>
      <c r="J26" s="10"/>
      <c r="K26" s="10" t="str">
        <f>IF(Table116[[#This Row],[Type]]="Transportation", _xlfn.XLOOKUP(Table116[[#This Row],[Resource]], 'SI - Payload'!$A$10:$A$33,'SI - Payload'!$B$10:$B$33,"",0), "")</f>
        <v/>
      </c>
      <c r="L26" s="10" t="str">
        <f>IF(Table116[[#This Row],[Type]]="Transportation", "ton", "")</f>
        <v/>
      </c>
      <c r="M26" s="10"/>
      <c r="N26" s="10"/>
      <c r="O26" s="10" t="str">
        <f>Table116[[#This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IF(Table116[[#This Row],[Type]]="Co-product", "No", "")</f>
        <v/>
      </c>
      <c r="J27" s="10"/>
      <c r="K27" s="10" t="str">
        <f>IF(Table116[[#This Row],[Type]]="Transportation", _xlfn.XLOOKUP(Table116[[#This Row],[Resource]], 'SI - Payload'!$A$10:$A$33,'SI - Payload'!$B$10:$B$33,"",0), "")</f>
        <v/>
      </c>
      <c r="L27" s="10" t="str">
        <f>IF(Table116[[#This Row],[Type]]="Transportation", "ton", "")</f>
        <v/>
      </c>
      <c r="M27" s="10"/>
      <c r="N27" s="10"/>
      <c r="O27" s="10" t="str">
        <f>Table116[[#This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IF(Table116[[#This Row],[Type]]="Co-product", "No", "")</f>
        <v/>
      </c>
      <c r="J28" s="10"/>
      <c r="K28" s="10" t="str">
        <f>IF(Table116[[#This Row],[Type]]="Transportation", _xlfn.XLOOKUP(Table116[[#This Row],[Resource]], 'SI - Payload'!$A$10:$A$33,'SI - Payload'!$B$10:$B$33,"",0), "")</f>
        <v/>
      </c>
      <c r="L28" s="10" t="str">
        <f>IF(Table116[[#This Row],[Type]]="Transportation", "ton", "")</f>
        <v/>
      </c>
      <c r="M28" s="10"/>
      <c r="N28" s="10"/>
      <c r="O28" s="10" t="str">
        <f>Table116[[#This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IF(Table116[[#This Row],[Type]]="Co-product", "No", "")</f>
        <v/>
      </c>
      <c r="J29" s="10"/>
      <c r="K29" s="10" t="str">
        <f>IF(Table116[[#This Row],[Type]]="Transportation", _xlfn.XLOOKUP(Table116[[#This Row],[Resource]], 'SI - Payload'!$A$10:$A$33,'SI - Payload'!$B$10:$B$33,"",0), "")</f>
        <v/>
      </c>
      <c r="L29" s="10" t="str">
        <f>IF(Table116[[#This Row],[Type]]="Transportation", "ton", "")</f>
        <v/>
      </c>
      <c r="M29" s="10"/>
      <c r="N29" s="10"/>
      <c r="O29" s="10" t="str">
        <f>Table116[[#This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IF(Table116[[#This Row],[Type]]="Co-product", "No", "")</f>
        <v/>
      </c>
      <c r="J30" s="10"/>
      <c r="K30" s="10" t="str">
        <f>IF(Table116[[#This Row],[Type]]="Transportation", _xlfn.XLOOKUP(Table116[[#This Row],[Resource]], 'SI - Payload'!$A$10:$A$33,'SI - Payload'!$B$10:$B$33,"",0), "")</f>
        <v/>
      </c>
      <c r="L30" s="10" t="str">
        <f>IF(Table116[[#This Row],[Type]]="Transportation", "ton", "")</f>
        <v/>
      </c>
      <c r="M30" s="10"/>
      <c r="N30" s="10"/>
      <c r="O30" s="10" t="str">
        <f>Table116[[#This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IF(Table116[[#This Row],[Type]]="Co-product", "No", "")</f>
        <v/>
      </c>
      <c r="J31" s="10"/>
      <c r="K31" s="10" t="str">
        <f>IF(Table116[[#This Row],[Type]]="Transportation", _xlfn.XLOOKUP(Table116[[#This Row],[Resource]], 'SI - Payload'!$A$10:$A$33,'SI - Payload'!$B$10:$B$33,"",0), "")</f>
        <v/>
      </c>
      <c r="L31" s="10" t="str">
        <f>IF(Table116[[#This Row],[Type]]="Transportation", "ton", "")</f>
        <v/>
      </c>
      <c r="M31" s="10"/>
      <c r="N31" s="10"/>
      <c r="O31" s="10" t="str">
        <f>Table116[[#This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IF(Table116[[#This Row],[Type]]="Co-product", "No", "")</f>
        <v/>
      </c>
      <c r="J32" s="10"/>
      <c r="K32" s="10" t="str">
        <f>IF(Table116[[#This Row],[Type]]="Transportation", _xlfn.XLOOKUP(Table116[[#This Row],[Resource]], 'SI - Payload'!$A$10:$A$33,'SI - Payload'!$B$10:$B$33,"",0), "")</f>
        <v/>
      </c>
      <c r="L32" s="10" t="str">
        <f>IF(Table116[[#This Row],[Type]]="Transportation", "ton", "")</f>
        <v/>
      </c>
      <c r="M32" s="10"/>
      <c r="N32" s="10"/>
      <c r="O32" s="10" t="str">
        <f>Table116[[#This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IF(Table116[[#This Row],[Type]]="Co-product", "No", "")</f>
        <v/>
      </c>
      <c r="J33" s="10"/>
      <c r="K33" s="10" t="str">
        <f>IF(Table116[[#This Row],[Type]]="Transportation", _xlfn.XLOOKUP(Table116[[#This Row],[Resource]], 'SI - Payload'!$A$10:$A$33,'SI - Payload'!$B$10:$B$33,"",0), "")</f>
        <v/>
      </c>
      <c r="L33" s="10" t="str">
        <f>IF(Table116[[#This Row],[Type]]="Transportation", "ton", "")</f>
        <v/>
      </c>
      <c r="M33" s="10"/>
      <c r="N33" s="10"/>
      <c r="O33" s="10" t="str">
        <f>Table116[[#This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IF(Table116[[#This Row],[Type]]="Co-product", "No", "")</f>
        <v/>
      </c>
      <c r="J34" s="10"/>
      <c r="K34" s="10" t="str">
        <f>IF(Table116[[#This Row],[Type]]="Transportation", _xlfn.XLOOKUP(Table116[[#This Row],[Resource]], 'SI - Payload'!$A$10:$A$33,'SI - Payload'!$B$10:$B$33,"",0), "")</f>
        <v/>
      </c>
      <c r="L34" s="10" t="str">
        <f>IF(Table116[[#This Row],[Type]]="Transportation", "ton", "")</f>
        <v/>
      </c>
      <c r="M34" s="10"/>
      <c r="N34" s="10"/>
      <c r="O34" s="10" t="str">
        <f>Table116[[#This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IF(Table116[[#This Row],[Type]]="Co-product", "No", "")</f>
        <v/>
      </c>
      <c r="J35" s="10"/>
      <c r="K35" s="10" t="str">
        <f>IF(Table116[[#This Row],[Type]]="Transportation", _xlfn.XLOOKUP(Table116[[#This Row],[Resource]], 'SI - Payload'!$A$10:$A$33,'SI - Payload'!$B$10:$B$33,"",0), "")</f>
        <v/>
      </c>
      <c r="L35" s="10" t="str">
        <f>IF(Table116[[#This Row],[Type]]="Transportation", "ton", "")</f>
        <v/>
      </c>
      <c r="M35" s="10"/>
      <c r="N35" s="10"/>
      <c r="O35" s="10" t="str">
        <f>Table116[[#This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IF(Table116[[#This Row],[Type]]="Co-product", "No", "")</f>
        <v/>
      </c>
      <c r="J36" s="10"/>
      <c r="K36" s="10" t="str">
        <f>IF(Table116[[#This Row],[Type]]="Transportation", _xlfn.XLOOKUP(Table116[[#This Row],[Resource]], 'SI - Payload'!$A$10:$A$33,'SI - Payload'!$B$10:$B$33,"",0), "")</f>
        <v/>
      </c>
      <c r="L36" s="10" t="str">
        <f>IF(Table116[[#This Row],[Type]]="Transportation", "ton", "")</f>
        <v/>
      </c>
      <c r="M36" s="10"/>
      <c r="N36" s="10"/>
      <c r="O36" s="10" t="str">
        <f>Table116[[#This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IF(Table116[[#This Row],[Type]]="Co-product", "No", "")</f>
        <v/>
      </c>
      <c r="J37" s="10"/>
      <c r="K37" s="10" t="str">
        <f>IF(Table116[[#This Row],[Type]]="Transportation", _xlfn.XLOOKUP(Table116[[#This Row],[Resource]], 'SI - Payload'!$A$10:$A$33,'SI - Payload'!$B$10:$B$33,"",0), "")</f>
        <v/>
      </c>
      <c r="L37" s="10" t="str">
        <f>IF(Table116[[#This Row],[Type]]="Transportation", "ton", "")</f>
        <v/>
      </c>
      <c r="M37" s="10"/>
      <c r="N37" s="10"/>
      <c r="O37" s="10" t="str">
        <f>Table116[[#This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IF(Table116[[#This Row],[Type]]="Co-product", "No", "")</f>
        <v/>
      </c>
      <c r="J38" s="10"/>
      <c r="K38" s="10" t="str">
        <f>IF(Table116[[#This Row],[Type]]="Transportation", _xlfn.XLOOKUP(Table116[[#This Row],[Resource]], 'SI - Payload'!$A$10:$A$33,'SI - Payload'!$B$10:$B$33,"",0), "")</f>
        <v/>
      </c>
      <c r="L38" s="10" t="str">
        <f>IF(Table116[[#This Row],[Type]]="Transportation", "ton", "")</f>
        <v/>
      </c>
      <c r="M38" s="10"/>
      <c r="N38" s="10"/>
      <c r="O38" s="10" t="str">
        <f>Table116[[#This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IF(Table116[[#This Row],[Type]]="Co-product", "No", "")</f>
        <v/>
      </c>
      <c r="J39" s="10"/>
      <c r="K39" s="10" t="str">
        <f>IF(Table116[[#This Row],[Type]]="Transportation", _xlfn.XLOOKUP(Table116[[#This Row],[Resource]], 'SI - Payload'!$A$10:$A$33,'SI - Payload'!$B$10:$B$33,"",0), "")</f>
        <v/>
      </c>
      <c r="L39" s="10" t="str">
        <f>IF(Table116[[#This Row],[Type]]="Transportation", "ton", "")</f>
        <v/>
      </c>
      <c r="M39" s="10"/>
      <c r="N39" s="10"/>
      <c r="O39" s="10" t="str">
        <f>Table116[[#This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IF(Table116[[#This Row],[Type]]="Co-product", "No", "")</f>
        <v/>
      </c>
      <c r="J40" s="10"/>
      <c r="K40" s="10" t="str">
        <f>IF(Table116[[#This Row],[Type]]="Transportation", _xlfn.XLOOKUP(Table116[[#This Row],[Resource]], 'SI - Payload'!$A$10:$A$33,'SI - Payload'!$B$10:$B$33,"",0), "")</f>
        <v/>
      </c>
      <c r="L40" s="10" t="str">
        <f>IF(Table116[[#This Row],[Type]]="Transportation", "ton", "")</f>
        <v/>
      </c>
      <c r="M40" s="10"/>
      <c r="N40" s="10"/>
      <c r="O40" s="10" t="str">
        <f>Table116[[#This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IF(Table116[[#This Row],[Type]]="Co-product", "No", "")</f>
        <v/>
      </c>
      <c r="J41" s="10"/>
      <c r="K41" s="10" t="str">
        <f>IF(Table116[[#This Row],[Type]]="Transportation", _xlfn.XLOOKUP(Table116[[#This Row],[Resource]], 'SI - Payload'!$A$10:$A$33,'SI - Payload'!$B$10:$B$33,"",0), "")</f>
        <v/>
      </c>
      <c r="L41" s="10" t="str">
        <f>IF(Table116[[#This Row],[Type]]="Transportation", "ton", "")</f>
        <v/>
      </c>
      <c r="M41" s="10"/>
      <c r="N41" s="10"/>
      <c r="O41" s="10" t="str">
        <f>Table116[[#This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IF(Table116[[#This Row],[Type]]="Co-product", "No", "")</f>
        <v/>
      </c>
      <c r="J42" s="10"/>
      <c r="K42" s="10" t="str">
        <f>IF(Table116[[#This Row],[Type]]="Transportation", _xlfn.XLOOKUP(Table116[[#This Row],[Resource]], 'SI - Payload'!$A$10:$A$33,'SI - Payload'!$B$10:$B$33,"",0), "")</f>
        <v/>
      </c>
      <c r="L42" s="10" t="str">
        <f>IF(Table116[[#This Row],[Type]]="Transportation", "ton", "")</f>
        <v/>
      </c>
      <c r="M42" s="10"/>
      <c r="N42" s="10"/>
      <c r="O42" s="10" t="str">
        <f>Table116[[#This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IF(Table116[[#This Row],[Type]]="Co-product", "No", "")</f>
        <v/>
      </c>
      <c r="J43" s="10"/>
      <c r="K43" s="10" t="str">
        <f>IF(Table116[[#This Row],[Type]]="Transportation", _xlfn.XLOOKUP(Table116[[#This Row],[Resource]], 'SI - Payload'!$A$10:$A$33,'SI - Payload'!$B$10:$B$33,"",0), "")</f>
        <v/>
      </c>
      <c r="L43" s="10" t="str">
        <f>IF(Table116[[#This Row],[Type]]="Transportation", "ton", "")</f>
        <v/>
      </c>
      <c r="M43" s="10"/>
      <c r="N43" s="10"/>
      <c r="O43" s="10" t="str">
        <f>Table116[[#This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IF(Table116[[#This Row],[Type]]="Co-product", "No", "")</f>
        <v/>
      </c>
      <c r="J44" s="10"/>
      <c r="K44" s="10" t="str">
        <f>IF(Table116[[#This Row],[Type]]="Transportation", _xlfn.XLOOKUP(Table116[[#This Row],[Resource]], 'SI - Payload'!$A$10:$A$33,'SI - Payload'!$B$10:$B$33,"",0), "")</f>
        <v/>
      </c>
      <c r="L44" s="10" t="str">
        <f>IF(Table116[[#This Row],[Type]]="Transportation", "ton", "")</f>
        <v/>
      </c>
      <c r="M44" s="10"/>
      <c r="N44" s="10"/>
      <c r="O44" s="10" t="str">
        <f>Table116[[#This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IF(Table116[[#This Row],[Type]]="Co-product", "No", "")</f>
        <v/>
      </c>
      <c r="J45" s="10"/>
      <c r="K45" s="10" t="str">
        <f>IF(Table116[[#This Row],[Type]]="Transportation", _xlfn.XLOOKUP(Table116[[#This Row],[Resource]], 'SI - Payload'!$A$10:$A$33,'SI - Payload'!$B$10:$B$33,"",0), "")</f>
        <v/>
      </c>
      <c r="L45" s="10" t="str">
        <f>IF(Table116[[#This Row],[Type]]="Transportation", "ton", "")</f>
        <v/>
      </c>
      <c r="M45" s="10"/>
      <c r="N45" s="10"/>
      <c r="O45" s="10" t="str">
        <f>Table116[[#This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IF(Table116[[#This Row],[Type]]="Co-product", "No", "")</f>
        <v/>
      </c>
      <c r="J46" s="10"/>
      <c r="K46" s="10" t="str">
        <f>IF(Table116[[#This Row],[Type]]="Transportation", _xlfn.XLOOKUP(Table116[[#This Row],[Resource]], 'SI - Payload'!$A$10:$A$33,'SI - Payload'!$B$10:$B$33,"",0), "")</f>
        <v/>
      </c>
      <c r="L46" s="10" t="str">
        <f>IF(Table116[[#This Row],[Type]]="Transportation", "ton", "")</f>
        <v/>
      </c>
      <c r="M46" s="10"/>
      <c r="N46" s="10"/>
      <c r="O46" s="10" t="str">
        <f>Table116[[#This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IF(Table116[[#This Row],[Type]]="Co-product", "No", "")</f>
        <v/>
      </c>
      <c r="J47" s="10"/>
      <c r="K47" s="10" t="str">
        <f>IF(Table116[[#This Row],[Type]]="Transportation", _xlfn.XLOOKUP(Table116[[#This Row],[Resource]], 'SI - Payload'!$A$10:$A$33,'SI - Payload'!$B$10:$B$33,"",0), "")</f>
        <v/>
      </c>
      <c r="L47" s="10" t="str">
        <f>IF(Table116[[#This Row],[Type]]="Transportation", "ton", "")</f>
        <v/>
      </c>
      <c r="M47" s="10"/>
      <c r="N47" s="10"/>
      <c r="O47" s="10" t="str">
        <f>Table116[[#This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IF(Table116[[#This Row],[Type]]="Co-product", "No", "")</f>
        <v/>
      </c>
      <c r="J48" s="10"/>
      <c r="K48" s="10" t="str">
        <f>IF(Table116[[#This Row],[Type]]="Transportation", _xlfn.XLOOKUP(Table116[[#This Row],[Resource]], 'SI - Payload'!$A$10:$A$33,'SI - Payload'!$B$10:$B$33,"",0), "")</f>
        <v/>
      </c>
      <c r="L48" s="10" t="str">
        <f>IF(Table116[[#This Row],[Type]]="Transportation", "ton", "")</f>
        <v/>
      </c>
      <c r="M48" s="10"/>
      <c r="N48" s="10"/>
      <c r="O48" s="10" t="str">
        <f>Table116[[#This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IF(Table116[[#This Row],[Type]]="Co-product", "No", "")</f>
        <v/>
      </c>
      <c r="J49" s="10"/>
      <c r="K49" s="10" t="str">
        <f>IF(Table116[[#This Row],[Type]]="Transportation", _xlfn.XLOOKUP(Table116[[#This Row],[Resource]], 'SI - Payload'!$A$10:$A$33,'SI - Payload'!$B$10:$B$33,"",0), "")</f>
        <v/>
      </c>
      <c r="L49" s="10" t="str">
        <f>IF(Table116[[#This Row],[Type]]="Transportation", "ton", "")</f>
        <v/>
      </c>
      <c r="M49" s="10"/>
      <c r="N49" s="10"/>
      <c r="O49" s="10" t="str">
        <f>Table116[[#This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IF(Table116[[#This Row],[Type]]="Co-product", "No", "")</f>
        <v/>
      </c>
      <c r="J50" s="10"/>
      <c r="K50" s="10" t="str">
        <f>IF(Table116[[#This Row],[Type]]="Transportation", _xlfn.XLOOKUP(Table116[[#This Row],[Resource]], 'SI - Payload'!$A$10:$A$33,'SI - Payload'!$B$10:$B$33,"",0), "")</f>
        <v/>
      </c>
      <c r="L50" s="10" t="str">
        <f>IF(Table116[[#This Row],[Type]]="Transportation", "ton", "")</f>
        <v/>
      </c>
      <c r="M50" s="10"/>
      <c r="N50" s="10"/>
      <c r="O50" s="10" t="str">
        <f>Table116[[#This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IF(Table116[[#This Row],[Type]]="Co-product", "No", "")</f>
        <v/>
      </c>
      <c r="J51" s="10"/>
      <c r="K51" s="10" t="str">
        <f>IF(Table116[[#This Row],[Type]]="Transportation", _xlfn.XLOOKUP(Table116[[#This Row],[Resource]], 'SI - Payload'!$A$10:$A$33,'SI - Payload'!$B$10:$B$33,"",0), "")</f>
        <v/>
      </c>
      <c r="L51" s="10" t="str">
        <f>IF(Table116[[#This Row],[Type]]="Transportation", "ton", "")</f>
        <v/>
      </c>
      <c r="M51" s="10"/>
      <c r="N51" s="10"/>
      <c r="O51" s="10" t="str">
        <f>Table116[[#This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IF(Table116[[#This Row],[Type]]="Co-product", "No", "")</f>
        <v/>
      </c>
      <c r="J52" s="10"/>
      <c r="K52" s="10" t="str">
        <f>IF(Table116[[#This Row],[Type]]="Transportation", _xlfn.XLOOKUP(Table116[[#This Row],[Resource]], 'SI - Payload'!$A$10:$A$33,'SI - Payload'!$B$10:$B$33,"",0), "")</f>
        <v/>
      </c>
      <c r="L52" s="10" t="str">
        <f>IF(Table116[[#This Row],[Type]]="Transportation", "ton", "")</f>
        <v/>
      </c>
      <c r="M52" s="10"/>
      <c r="N52" s="10"/>
      <c r="O52" s="10" t="str">
        <f>Table116[[#This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IF(Table116[[#This Row],[Type]]="Co-product", "No", "")</f>
        <v/>
      </c>
      <c r="J53" s="10"/>
      <c r="K53" s="10" t="str">
        <f>IF(Table116[[#This Row],[Type]]="Transportation", _xlfn.XLOOKUP(Table116[[#This Row],[Resource]], 'SI - Payload'!$A$10:$A$33,'SI - Payload'!$B$10:$B$33,"",0), "")</f>
        <v/>
      </c>
      <c r="L53" s="10" t="str">
        <f>IF(Table116[[#This Row],[Type]]="Transportation", "ton", "")</f>
        <v/>
      </c>
      <c r="M53" s="10"/>
      <c r="N53" s="10"/>
      <c r="O53" s="10" t="str">
        <f>Table116[[#This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IF(Table116[[#This Row],[Type]]="Co-product", "No", "")</f>
        <v/>
      </c>
      <c r="J54" s="10"/>
      <c r="K54" s="10" t="str">
        <f>IF(Table116[[#This Row],[Type]]="Transportation", _xlfn.XLOOKUP(Table116[[#This Row],[Resource]], 'SI - Payload'!$A$10:$A$33,'SI - Payload'!$B$10:$B$33,"",0), "")</f>
        <v/>
      </c>
      <c r="L54" s="10" t="str">
        <f>IF(Table116[[#This Row],[Type]]="Transportation", "ton", "")</f>
        <v/>
      </c>
      <c r="M54" s="10"/>
      <c r="N54" s="10"/>
      <c r="O54" s="10" t="str">
        <f>Table116[[#This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IF(Table116[[#This Row],[Type]]="Co-product", "No", "")</f>
        <v/>
      </c>
      <c r="J55" s="10"/>
      <c r="K55" s="10" t="str">
        <f>IF(Table116[[#This Row],[Type]]="Transportation", _xlfn.XLOOKUP(Table116[[#This Row],[Resource]], 'SI - Payload'!$A$10:$A$33,'SI - Payload'!$B$10:$B$33,"",0), "")</f>
        <v/>
      </c>
      <c r="L55" s="10" t="str">
        <f>IF(Table116[[#This Row],[Type]]="Transportation", "ton", "")</f>
        <v/>
      </c>
      <c r="M55" s="10"/>
      <c r="N55" s="10"/>
      <c r="O55" s="10" t="str">
        <f>Table116[[#This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IF(Table116[[#This Row],[Type]]="Co-product", "No", "")</f>
        <v/>
      </c>
      <c r="J56" s="10"/>
      <c r="K56" s="10" t="str">
        <f>IF(Table116[[#This Row],[Type]]="Transportation", _xlfn.XLOOKUP(Table116[[#This Row],[Resource]], 'SI - Payload'!$A$10:$A$33,'SI - Payload'!$B$10:$B$33,"",0), "")</f>
        <v/>
      </c>
      <c r="L56" s="10" t="str">
        <f>IF(Table116[[#This Row],[Type]]="Transportation", "ton", "")</f>
        <v/>
      </c>
      <c r="M56" s="10"/>
      <c r="N56" s="10"/>
      <c r="O56" s="10" t="str">
        <f>Table116[[#This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IF(Table116[[#This Row],[Type]]="Co-product", "No", "")</f>
        <v/>
      </c>
      <c r="J57" s="10"/>
      <c r="K57" s="10" t="str">
        <f>IF(Table116[[#This Row],[Type]]="Transportation", _xlfn.XLOOKUP(Table116[[#This Row],[Resource]], 'SI - Payload'!$A$10:$A$33,'SI - Payload'!$B$10:$B$33,"",0), "")</f>
        <v/>
      </c>
      <c r="L57" s="10" t="str">
        <f>IF(Table116[[#This Row],[Type]]="Transportation", "ton", "")</f>
        <v/>
      </c>
      <c r="M57" s="10"/>
      <c r="N57" s="10"/>
      <c r="O57" s="10" t="str">
        <f>Table116[[#This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IF(Table116[[#This Row],[Type]]="Co-product", "No", "")</f>
        <v/>
      </c>
      <c r="J58" s="10"/>
      <c r="K58" s="10" t="str">
        <f>IF(Table116[[#This Row],[Type]]="Transportation", _xlfn.XLOOKUP(Table116[[#This Row],[Resource]], 'SI - Payload'!$A$10:$A$33,'SI - Payload'!$B$10:$B$33,"",0), "")</f>
        <v/>
      </c>
      <c r="L58" s="10" t="str">
        <f>IF(Table116[[#This Row],[Type]]="Transportation", "ton", "")</f>
        <v/>
      </c>
      <c r="M58" s="10"/>
      <c r="N58" s="10"/>
      <c r="O58" s="10" t="str">
        <f>Table116[[#This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IF(Table116[[#This Row],[Type]]="Co-product", "No", "")</f>
        <v/>
      </c>
      <c r="J59" s="10"/>
      <c r="K59" s="10" t="str">
        <f>IF(Table116[[#This Row],[Type]]="Transportation", _xlfn.XLOOKUP(Table116[[#This Row],[Resource]], 'SI - Payload'!$A$10:$A$33,'SI - Payload'!$B$10:$B$33,"",0), "")</f>
        <v/>
      </c>
      <c r="L59" s="10" t="str">
        <f>IF(Table116[[#This Row],[Type]]="Transportation", "ton", "")</f>
        <v/>
      </c>
      <c r="M59" s="10"/>
      <c r="N59" s="10"/>
      <c r="O59" s="10" t="str">
        <f>Table116[[#This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IF(Table116[[#This Row],[Type]]="Co-product", "No", "")</f>
        <v/>
      </c>
      <c r="J60" s="10"/>
      <c r="K60" s="10" t="str">
        <f>IF(Table116[[#This Row],[Type]]="Transportation", _xlfn.XLOOKUP(Table116[[#This Row],[Resource]], 'SI - Payload'!$A$10:$A$33,'SI - Payload'!$B$10:$B$33,"",0), "")</f>
        <v/>
      </c>
      <c r="L60" s="10" t="str">
        <f>IF(Table116[[#This Row],[Type]]="Transportation", "ton", "")</f>
        <v/>
      </c>
      <c r="M60" s="10"/>
      <c r="N60" s="10"/>
      <c r="O60" s="10" t="str">
        <f>Table116[[#This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IF(Table116[[#This Row],[Type]]="Co-product", "No", "")</f>
        <v/>
      </c>
      <c r="J61" s="10"/>
      <c r="K61" s="10" t="str">
        <f>IF(Table116[[#This Row],[Type]]="Transportation", _xlfn.XLOOKUP(Table116[[#This Row],[Resource]], 'SI - Payload'!$A$10:$A$33,'SI - Payload'!$B$10:$B$33,"",0), "")</f>
        <v/>
      </c>
      <c r="L61" s="10" t="str">
        <f>IF(Table116[[#This Row],[Type]]="Transportation", "ton", "")</f>
        <v/>
      </c>
      <c r="M61" s="10"/>
      <c r="N61" s="10"/>
      <c r="O61" s="10" t="str">
        <f>Table116[[#This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IF(Table116[[#This Row],[Type]]="Co-product", "No", "")</f>
        <v/>
      </c>
      <c r="J62" s="10"/>
      <c r="K62" s="10" t="str">
        <f>IF(Table116[[#This Row],[Type]]="Transportation", _xlfn.XLOOKUP(Table116[[#This Row],[Resource]], 'SI - Payload'!$A$10:$A$33,'SI - Payload'!$B$10:$B$33,"",0), "")</f>
        <v/>
      </c>
      <c r="L62" s="10" t="str">
        <f>IF(Table116[[#This Row],[Type]]="Transportation", "ton", "")</f>
        <v/>
      </c>
      <c r="M62" s="10"/>
      <c r="N62" s="10"/>
      <c r="O62" s="10" t="str">
        <f>Table116[[#This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IF(Table116[[#This Row],[Type]]="Co-product", "No", "")</f>
        <v/>
      </c>
      <c r="J63" s="10"/>
      <c r="K63" s="10" t="str">
        <f>IF(Table116[[#This Row],[Type]]="Transportation", _xlfn.XLOOKUP(Table116[[#This Row],[Resource]], 'SI - Payload'!$A$10:$A$33,'SI - Payload'!$B$10:$B$33,"",0), "")</f>
        <v/>
      </c>
      <c r="L63" s="10" t="str">
        <f>IF(Table116[[#This Row],[Type]]="Transportation", "ton", "")</f>
        <v/>
      </c>
      <c r="M63" s="10"/>
      <c r="N63" s="10"/>
      <c r="O63" s="10" t="str">
        <f>Table116[[#This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IF(Table116[[#This Row],[Type]]="Co-product", "No", "")</f>
        <v/>
      </c>
      <c r="J64" s="10"/>
      <c r="K64" s="10" t="str">
        <f>IF(Table116[[#This Row],[Type]]="Transportation", _xlfn.XLOOKUP(Table116[[#This Row],[Resource]], 'SI - Payload'!$A$10:$A$33,'SI - Payload'!$B$10:$B$33,"",0), "")</f>
        <v/>
      </c>
      <c r="L64" s="10" t="str">
        <f>IF(Table116[[#This Row],[Type]]="Transportation", "ton", "")</f>
        <v/>
      </c>
      <c r="M64" s="10"/>
      <c r="N64" s="10"/>
      <c r="O64" s="10" t="str">
        <f>Table116[[#This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IF(Table116[[#This Row],[Type]]="Co-product", "No", "")</f>
        <v/>
      </c>
      <c r="J65" s="10"/>
      <c r="K65" s="10" t="str">
        <f>IF(Table116[[#This Row],[Type]]="Transportation", _xlfn.XLOOKUP(Table116[[#This Row],[Resource]], 'SI - Payload'!$A$10:$A$33,'SI - Payload'!$B$10:$B$33,"",0), "")</f>
        <v/>
      </c>
      <c r="L65" s="10" t="str">
        <f>IF(Table116[[#This Row],[Type]]="Transportation", "ton", "")</f>
        <v/>
      </c>
      <c r="M65" s="10"/>
      <c r="N65" s="10"/>
      <c r="O65" s="10" t="str">
        <f>Table116[[#This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IF(Table116[[#This Row],[Type]]="Co-product", "No", "")</f>
        <v/>
      </c>
      <c r="J66" s="10"/>
      <c r="K66" s="10" t="str">
        <f>IF(Table116[[#This Row],[Type]]="Transportation", _xlfn.XLOOKUP(Table116[[#This Row],[Resource]], 'SI - Payload'!$A$10:$A$33,'SI - Payload'!$B$10:$B$33,"",0), "")</f>
        <v/>
      </c>
      <c r="L66" s="10" t="str">
        <f>IF(Table116[[#This Row],[Type]]="Transportation", "ton", "")</f>
        <v/>
      </c>
      <c r="M66" s="10"/>
      <c r="N66" s="10"/>
      <c r="O66" s="10" t="str">
        <f>Table116[[#This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IF(Table116[[#This Row],[Type]]="Co-product", "No", "")</f>
        <v/>
      </c>
      <c r="J67" s="10"/>
      <c r="K67" s="10" t="str">
        <f>IF(Table116[[#This Row],[Type]]="Transportation", _xlfn.XLOOKUP(Table116[[#This Row],[Resource]], 'SI - Payload'!$A$10:$A$33,'SI - Payload'!$B$10:$B$33,"",0), "")</f>
        <v/>
      </c>
      <c r="L67" s="10" t="str">
        <f>IF(Table116[[#This Row],[Type]]="Transportation", "ton", "")</f>
        <v/>
      </c>
      <c r="M67" s="10"/>
      <c r="N67" s="10"/>
      <c r="O67" s="10" t="str">
        <f>Table116[[#This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IF(Table116[[#This Row],[Type]]="Co-product", "No", "")</f>
        <v/>
      </c>
      <c r="J68" s="10"/>
      <c r="K68" s="10" t="str">
        <f>IF(Table116[[#This Row],[Type]]="Transportation", _xlfn.XLOOKUP(Table116[[#This Row],[Resource]], 'SI - Payload'!$A$10:$A$33,'SI - Payload'!$B$10:$B$33,"",0), "")</f>
        <v/>
      </c>
      <c r="L68" s="10" t="str">
        <f>IF(Table116[[#This Row],[Type]]="Transportation", "ton", "")</f>
        <v/>
      </c>
      <c r="M68" s="10"/>
      <c r="N68" s="10"/>
      <c r="O68" s="10" t="str">
        <f>Table116[[#This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IF(Table116[[#This Row],[Type]]="Co-product", "No", "")</f>
        <v/>
      </c>
      <c r="J69" s="10"/>
      <c r="K69" s="10" t="str">
        <f>IF(Table116[[#This Row],[Type]]="Transportation", _xlfn.XLOOKUP(Table116[[#This Row],[Resource]], 'SI - Payload'!$A$10:$A$33,'SI - Payload'!$B$10:$B$33,"",0), "")</f>
        <v/>
      </c>
      <c r="L69" s="10" t="str">
        <f>IF(Table116[[#This Row],[Type]]="Transportation", "ton", "")</f>
        <v/>
      </c>
      <c r="M69" s="10"/>
      <c r="N69" s="10"/>
      <c r="O69" s="10" t="str">
        <f>Table116[[#This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IF(Table116[[#This Row],[Type]]="Co-product", "No", "")</f>
        <v/>
      </c>
      <c r="J70" s="10"/>
      <c r="K70" s="10" t="str">
        <f>IF(Table116[[#This Row],[Type]]="Transportation", _xlfn.XLOOKUP(Table116[[#This Row],[Resource]], 'SI - Payload'!$A$10:$A$33,'SI - Payload'!$B$10:$B$33,"",0), "")</f>
        <v/>
      </c>
      <c r="L70" s="10" t="str">
        <f>IF(Table116[[#This Row],[Type]]="Transportation", "ton", "")</f>
        <v/>
      </c>
      <c r="M70" s="10"/>
      <c r="N70" s="10"/>
      <c r="O70" s="10" t="str">
        <f>Table116[[#This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IF(Table116[[#This Row],[Type]]="Co-product", "No", "")</f>
        <v/>
      </c>
      <c r="J71" s="10"/>
      <c r="K71" s="10" t="str">
        <f>IF(Table116[[#This Row],[Type]]="Transportation", _xlfn.XLOOKUP(Table116[[#This Row],[Resource]], 'SI - Payload'!$A$10:$A$33,'SI - Payload'!$B$10:$B$33,"",0), "")</f>
        <v/>
      </c>
      <c r="L71" s="10" t="str">
        <f>IF(Table116[[#This Row],[Type]]="Transportation", "ton", "")</f>
        <v/>
      </c>
      <c r="M71" s="10"/>
      <c r="N71" s="10"/>
      <c r="O71" s="10" t="str">
        <f>Table116[[#This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IF(Table116[[#This Row],[Type]]="Co-product", "No", "")</f>
        <v/>
      </c>
      <c r="J72" s="10"/>
      <c r="K72" s="10" t="str">
        <f>IF(Table116[[#This Row],[Type]]="Transportation", _xlfn.XLOOKUP(Table116[[#This Row],[Resource]], 'SI - Payload'!$A$10:$A$33,'SI - Payload'!$B$10:$B$33,"",0), "")</f>
        <v/>
      </c>
      <c r="L72" s="10" t="str">
        <f>IF(Table116[[#This Row],[Type]]="Transportation", "ton", "")</f>
        <v/>
      </c>
      <c r="M72" s="10"/>
      <c r="N72" s="10"/>
      <c r="O72" s="10" t="str">
        <f>Table116[[#This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IF(Table116[[#This Row],[Type]]="Co-product", "No", "")</f>
        <v/>
      </c>
      <c r="J73" s="10"/>
      <c r="K73" s="10" t="str">
        <f>IF(Table116[[#This Row],[Type]]="Transportation", _xlfn.XLOOKUP(Table116[[#This Row],[Resource]], 'SI - Payload'!$A$10:$A$33,'SI - Payload'!$B$10:$B$33,"",0), "")</f>
        <v/>
      </c>
      <c r="L73" s="10" t="str">
        <f>IF(Table116[[#This Row],[Type]]="Transportation", "ton", "")</f>
        <v/>
      </c>
      <c r="M73" s="10"/>
      <c r="N73" s="10"/>
      <c r="O73" s="10" t="str">
        <f>Table116[[#This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IF(Table116[[#This Row],[Type]]="Co-product", "No", "")</f>
        <v/>
      </c>
      <c r="J74" s="10"/>
      <c r="K74" s="10" t="str">
        <f>IF(Table116[[#This Row],[Type]]="Transportation", _xlfn.XLOOKUP(Table116[[#This Row],[Resource]], 'SI - Payload'!$A$10:$A$33,'SI - Payload'!$B$10:$B$33,"",0), "")</f>
        <v/>
      </c>
      <c r="L74" s="10" t="str">
        <f>IF(Table116[[#This Row],[Type]]="Transportation", "ton", "")</f>
        <v/>
      </c>
      <c r="M74" s="10"/>
      <c r="N74" s="10"/>
      <c r="O74" s="10" t="str">
        <f>Table116[[#This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IF(Table116[[#This Row],[Type]]="Co-product", "No", "")</f>
        <v/>
      </c>
      <c r="J75" s="10"/>
      <c r="K75" s="10" t="str">
        <f>IF(Table116[[#This Row],[Type]]="Transportation", _xlfn.XLOOKUP(Table116[[#This Row],[Resource]], 'SI - Payload'!$A$10:$A$33,'SI - Payload'!$B$10:$B$33,"",0), "")</f>
        <v/>
      </c>
      <c r="L75" s="10" t="str">
        <f>IF(Table116[[#This Row],[Type]]="Transportation", "ton", "")</f>
        <v/>
      </c>
      <c r="M75" s="10"/>
      <c r="N75" s="10"/>
      <c r="O75" s="10" t="str">
        <f>Table116[[#This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IF(Table116[[#This Row],[Type]]="Co-product", "No", "")</f>
        <v/>
      </c>
      <c r="J76" s="10"/>
      <c r="K76" s="10" t="str">
        <f>IF(Table116[[#This Row],[Type]]="Transportation", _xlfn.XLOOKUP(Table116[[#This Row],[Resource]], 'SI - Payload'!$A$10:$A$33,'SI - Payload'!$B$10:$B$33,"",0), "")</f>
        <v/>
      </c>
      <c r="L76" s="10" t="str">
        <f>IF(Table116[[#This Row],[Type]]="Transportation", "ton", "")</f>
        <v/>
      </c>
      <c r="M76" s="10"/>
      <c r="N76" s="10"/>
      <c r="O76" s="10" t="str">
        <f>Table116[[#This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IF(Table116[[#This Row],[Type]]="Co-product", "No", "")</f>
        <v/>
      </c>
      <c r="J77" s="10"/>
      <c r="K77" s="10" t="str">
        <f>IF(Table116[[#This Row],[Type]]="Transportation", _xlfn.XLOOKUP(Table116[[#This Row],[Resource]], 'SI - Payload'!$A$10:$A$33,'SI - Payload'!$B$10:$B$33,"",0), "")</f>
        <v/>
      </c>
      <c r="L77" s="10" t="str">
        <f>IF(Table116[[#This Row],[Type]]="Transportation", "ton", "")</f>
        <v/>
      </c>
      <c r="M77" s="10"/>
      <c r="N77" s="10"/>
      <c r="O77" s="10" t="str">
        <f>Table116[[#This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IF(Table116[[#This Row],[Type]]="Co-product", "No", "")</f>
        <v/>
      </c>
      <c r="J78" s="10"/>
      <c r="K78" s="10" t="str">
        <f>IF(Table116[[#This Row],[Type]]="Transportation", _xlfn.XLOOKUP(Table116[[#This Row],[Resource]], 'SI - Payload'!$A$10:$A$33,'SI - Payload'!$B$10:$B$33,"",0), "")</f>
        <v/>
      </c>
      <c r="L78" s="10" t="str">
        <f>IF(Table116[[#This Row],[Type]]="Transportation", "ton", "")</f>
        <v/>
      </c>
      <c r="M78" s="10"/>
      <c r="N78" s="10"/>
      <c r="O78" s="10" t="str">
        <f>Table116[[#This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IF(Table116[[#This Row],[Type]]="Co-product", "No", "")</f>
        <v/>
      </c>
      <c r="J79" s="10"/>
      <c r="K79" s="10" t="str">
        <f>IF(Table116[[#This Row],[Type]]="Transportation", _xlfn.XLOOKUP(Table116[[#This Row],[Resource]], 'SI - Payload'!$A$10:$A$33,'SI - Payload'!$B$10:$B$33,"",0), "")</f>
        <v/>
      </c>
      <c r="L79" s="10" t="str">
        <f>IF(Table116[[#This Row],[Type]]="Transportation", "ton", "")</f>
        <v/>
      </c>
      <c r="M79" s="10"/>
      <c r="N79" s="10"/>
      <c r="O79" s="10" t="str">
        <f>Table116[[#This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IF(Table116[[#This Row],[Type]]="Co-product", "No", "")</f>
        <v/>
      </c>
      <c r="J80" s="10"/>
      <c r="K80" s="10" t="str">
        <f>IF(Table116[[#This Row],[Type]]="Transportation", _xlfn.XLOOKUP(Table116[[#This Row],[Resource]], 'SI - Payload'!$A$10:$A$33,'SI - Payload'!$B$10:$B$33,"",0), "")</f>
        <v/>
      </c>
      <c r="L80" s="10" t="str">
        <f>IF(Table116[[#This Row],[Type]]="Transportation", "ton", "")</f>
        <v/>
      </c>
      <c r="M80" s="10"/>
      <c r="N80" s="10"/>
      <c r="O80" s="10" t="str">
        <f>Table116[[#This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IF(Table116[[#This Row],[Type]]="Co-product", "No", "")</f>
        <v/>
      </c>
      <c r="J81" s="10"/>
      <c r="K81" s="10" t="str">
        <f>IF(Table116[[#This Row],[Type]]="Transportation", _xlfn.XLOOKUP(Table116[[#This Row],[Resource]], 'SI - Payload'!$A$10:$A$33,'SI - Payload'!$B$10:$B$33,"",0), "")</f>
        <v/>
      </c>
      <c r="L81" s="10" t="str">
        <f>IF(Table116[[#This Row],[Type]]="Transportation", "ton", "")</f>
        <v/>
      </c>
      <c r="M81" s="10"/>
      <c r="N81" s="10"/>
      <c r="O81" s="10" t="str">
        <f>Table116[[#This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IF(Table116[[#This Row],[Type]]="Co-product", "No", "")</f>
        <v/>
      </c>
      <c r="J82" s="10"/>
      <c r="K82" s="10" t="str">
        <f>IF(Table116[[#This Row],[Type]]="Transportation", _xlfn.XLOOKUP(Table116[[#This Row],[Resource]], 'SI - Payload'!$A$10:$A$33,'SI - Payload'!$B$10:$B$33,"",0), "")</f>
        <v/>
      </c>
      <c r="L82" s="10" t="str">
        <f>IF(Table116[[#This Row],[Type]]="Transportation", "ton", "")</f>
        <v/>
      </c>
      <c r="M82" s="10"/>
      <c r="N82" s="10"/>
      <c r="O82" s="10" t="str">
        <f>Table116[[#This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IF(Table116[[#This Row],[Type]]="Co-product", "No", "")</f>
        <v/>
      </c>
      <c r="J83" s="10"/>
      <c r="K83" s="10" t="str">
        <f>IF(Table116[[#This Row],[Type]]="Transportation", _xlfn.XLOOKUP(Table116[[#This Row],[Resource]], 'SI - Payload'!$A$10:$A$33,'SI - Payload'!$B$10:$B$33,"",0), "")</f>
        <v/>
      </c>
      <c r="L83" s="10" t="str">
        <f>IF(Table116[[#This Row],[Type]]="Transportation", "ton", "")</f>
        <v/>
      </c>
      <c r="M83" s="10"/>
      <c r="N83" s="10"/>
      <c r="O83" s="10" t="str">
        <f>Table116[[#This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IF(Table116[[#This Row],[Type]]="Co-product", "No", "")</f>
        <v/>
      </c>
      <c r="J84" s="10"/>
      <c r="K84" s="10" t="str">
        <f>IF(Table116[[#This Row],[Type]]="Transportation", _xlfn.XLOOKUP(Table116[[#This Row],[Resource]], 'SI - Payload'!$A$10:$A$33,'SI - Payload'!$B$10:$B$33,"",0), "")</f>
        <v/>
      </c>
      <c r="L84" s="10" t="str">
        <f>IF(Table116[[#This Row],[Type]]="Transportation", "ton", "")</f>
        <v/>
      </c>
      <c r="M84" s="10"/>
      <c r="N84" s="10"/>
      <c r="O84" s="10" t="str">
        <f>Table116[[#This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IF(Table116[[#This Row],[Type]]="Co-product", "No", "")</f>
        <v/>
      </c>
      <c r="J85" s="10"/>
      <c r="K85" s="10" t="str">
        <f>IF(Table116[[#This Row],[Type]]="Transportation", _xlfn.XLOOKUP(Table116[[#This Row],[Resource]], 'SI - Payload'!$A$10:$A$33,'SI - Payload'!$B$10:$B$33,"",0), "")</f>
        <v/>
      </c>
      <c r="L85" s="10" t="str">
        <f>IF(Table116[[#This Row],[Type]]="Transportation", "ton", "")</f>
        <v/>
      </c>
      <c r="M85" s="10"/>
      <c r="N85" s="10"/>
      <c r="O85" s="10" t="str">
        <f>Table116[[#This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IF(Table116[[#This Row],[Type]]="Co-product", "No", "")</f>
        <v/>
      </c>
      <c r="J86" s="10"/>
      <c r="K86" s="10" t="str">
        <f>IF(Table116[[#This Row],[Type]]="Transportation", _xlfn.XLOOKUP(Table116[[#This Row],[Resource]], 'SI - Payload'!$A$10:$A$33,'SI - Payload'!$B$10:$B$33,"",0), "")</f>
        <v/>
      </c>
      <c r="L86" s="10" t="str">
        <f>IF(Table116[[#This Row],[Type]]="Transportation", "ton", "")</f>
        <v/>
      </c>
      <c r="M86" s="10"/>
      <c r="N86" s="10"/>
      <c r="O86" s="10" t="str">
        <f>Table116[[#This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IF(Table116[[#This Row],[Type]]="Co-product", "No", "")</f>
        <v/>
      </c>
      <c r="J87" s="10"/>
      <c r="K87" s="10" t="str">
        <f>IF(Table116[[#This Row],[Type]]="Transportation", _xlfn.XLOOKUP(Table116[[#This Row],[Resource]], 'SI - Payload'!$A$10:$A$33,'SI - Payload'!$B$10:$B$33,"",0), "")</f>
        <v/>
      </c>
      <c r="L87" s="10" t="str">
        <f>IF(Table116[[#This Row],[Type]]="Transportation", "ton", "")</f>
        <v/>
      </c>
      <c r="M87" s="10"/>
      <c r="N87" s="10"/>
      <c r="O87" s="10" t="str">
        <f>Table116[[#This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IF(Table116[[#This Row],[Type]]="Co-product", "No", "")</f>
        <v/>
      </c>
      <c r="J88" s="10"/>
      <c r="K88" s="10" t="str">
        <f>IF(Table116[[#This Row],[Type]]="Transportation", _xlfn.XLOOKUP(Table116[[#This Row],[Resource]], 'SI - Payload'!$A$10:$A$33,'SI - Payload'!$B$10:$B$33,"",0), "")</f>
        <v/>
      </c>
      <c r="L88" s="10" t="str">
        <f>IF(Table116[[#This Row],[Type]]="Transportation", "ton", "")</f>
        <v/>
      </c>
      <c r="M88" s="10"/>
      <c r="N88" s="10"/>
      <c r="O88" s="10" t="str">
        <f>Table116[[#This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IF(Table116[[#This Row],[Type]]="Co-product", "No", "")</f>
        <v/>
      </c>
      <c r="J89" s="10"/>
      <c r="K89" s="10" t="str">
        <f>IF(Table116[[#This Row],[Type]]="Transportation", _xlfn.XLOOKUP(Table116[[#This Row],[Resource]], 'SI - Payload'!$A$10:$A$33,'SI - Payload'!$B$10:$B$33,"",0), "")</f>
        <v/>
      </c>
      <c r="L89" s="10" t="str">
        <f>IF(Table116[[#This Row],[Type]]="Transportation", "ton", "")</f>
        <v/>
      </c>
      <c r="M89" s="10"/>
      <c r="N89" s="10"/>
      <c r="O89" s="10" t="str">
        <f>Table116[[#This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IF(Table116[[#This Row],[Type]]="Co-product", "No", "")</f>
        <v/>
      </c>
      <c r="J90" s="10"/>
      <c r="K90" s="10" t="str">
        <f>IF(Table116[[#This Row],[Type]]="Transportation", _xlfn.XLOOKUP(Table116[[#This Row],[Resource]], 'SI - Payload'!$A$10:$A$33,'SI - Payload'!$B$10:$B$33,"",0), "")</f>
        <v/>
      </c>
      <c r="L90" s="10" t="str">
        <f>IF(Table116[[#This Row],[Type]]="Transportation", "ton", "")</f>
        <v/>
      </c>
      <c r="M90" s="10"/>
      <c r="N90" s="10"/>
      <c r="O90" s="10" t="str">
        <f>Table116[[#This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IF(Table116[[#This Row],[Type]]="Co-product", "No", "")</f>
        <v/>
      </c>
      <c r="J91" s="10"/>
      <c r="K91" s="10" t="str">
        <f>IF(Table116[[#This Row],[Type]]="Transportation", _xlfn.XLOOKUP(Table116[[#This Row],[Resource]], 'SI - Payload'!$A$10:$A$33,'SI - Payload'!$B$10:$B$33,"",0), "")</f>
        <v/>
      </c>
      <c r="L91" s="10" t="str">
        <f>IF(Table116[[#This Row],[Type]]="Transportation", "ton", "")</f>
        <v/>
      </c>
      <c r="M91" s="10"/>
      <c r="N91" s="10"/>
      <c r="O91" s="10" t="str">
        <f>Table116[[#This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IF(Table116[[#This Row],[Type]]="Co-product", "No", "")</f>
        <v/>
      </c>
      <c r="J92" s="10"/>
      <c r="K92" s="10" t="str">
        <f>IF(Table116[[#This Row],[Type]]="Transportation", _xlfn.XLOOKUP(Table116[[#This Row],[Resource]], 'SI - Payload'!$A$10:$A$33,'SI - Payload'!$B$10:$B$33,"",0), "")</f>
        <v/>
      </c>
      <c r="L92" s="10" t="str">
        <f>IF(Table116[[#This Row],[Type]]="Transportation", "ton", "")</f>
        <v/>
      </c>
      <c r="M92" s="10"/>
      <c r="N92" s="10"/>
      <c r="O92" s="10" t="str">
        <f>Table116[[#This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IF(Table116[[#This Row],[Type]]="Co-product", "No", "")</f>
        <v/>
      </c>
      <c r="J93" s="10"/>
      <c r="K93" s="10" t="str">
        <f>IF(Table116[[#This Row],[Type]]="Transportation", _xlfn.XLOOKUP(Table116[[#This Row],[Resource]], 'SI - Payload'!$A$10:$A$33,'SI - Payload'!$B$10:$B$33,"",0), "")</f>
        <v/>
      </c>
      <c r="L93" s="10" t="str">
        <f>IF(Table116[[#This Row],[Type]]="Transportation", "ton", "")</f>
        <v/>
      </c>
      <c r="M93" s="10"/>
      <c r="N93" s="10"/>
      <c r="O93" s="10" t="str">
        <f>Table116[[#This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IF(Table116[[#This Row],[Type]]="Co-product", "No", "")</f>
        <v/>
      </c>
      <c r="J94" s="10"/>
      <c r="K94" s="10" t="str">
        <f>IF(Table116[[#This Row],[Type]]="Transportation", _xlfn.XLOOKUP(Table116[[#This Row],[Resource]], 'SI - Payload'!$A$10:$A$33,'SI - Payload'!$B$10:$B$33,"",0), "")</f>
        <v/>
      </c>
      <c r="L94" s="10" t="str">
        <f>IF(Table116[[#This Row],[Type]]="Transportation", "ton", "")</f>
        <v/>
      </c>
      <c r="M94" s="10"/>
      <c r="N94" s="10"/>
      <c r="O94" s="10" t="str">
        <f>Table116[[#This Row],[Resource]]</f>
        <v/>
      </c>
      <c r="P94" s="10" t="str">
        <f>IF(_xlfn.XLOOKUP($O94,'SI - End Use'!$B$2:$B$30,'SI - End Use'!$C$2:$C$30, "")="", "", _xlfn.XLOOKUP($C94,'SI - End Use'!$B$2:$B$30,'SI - End Use'!$C$2:$C$30, ""))</f>
        <v/>
      </c>
      <c r="Q94" s="10"/>
      <c r="R94" s="10"/>
    </row>
    <row r="95" spans="1:18" x14ac:dyDescent="0.35">
      <c r="A95" s="10"/>
      <c r="B95" s="10"/>
      <c r="C95" s="27"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IF(Table116[[#This Row],[Type]]="Co-product", "No", "")</f>
        <v/>
      </c>
      <c r="J95" s="10"/>
      <c r="K95" s="10" t="str">
        <f>IF(Table116[[#This Row],[Type]]="Transportation", _xlfn.XLOOKUP(Table116[[#This Row],[Resource]], 'SI - Payload'!$A$10:$A$33,'SI - Payload'!$B$10:$B$33,"",0), "")</f>
        <v/>
      </c>
      <c r="L95" s="10" t="str">
        <f>IF(Table116[[#This Row],[Type]]="Transportation", "ton", "")</f>
        <v/>
      </c>
      <c r="M95" s="10"/>
      <c r="N95" s="10"/>
      <c r="O95" s="10" t="str">
        <f>Table116[[#This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IF(Table116[[#This Row],[Type]]="Co-product", "No", "")</f>
        <v/>
      </c>
      <c r="J96" s="10"/>
      <c r="K96" s="10" t="str">
        <f>IF(Table116[[#This Row],[Type]]="Transportation", _xlfn.XLOOKUP(Table116[[#This Row],[Resource]], 'SI - Payload'!$A$10:$A$33,'SI - Payload'!$B$10:$B$33,"",0), "")</f>
        <v/>
      </c>
      <c r="L96" s="10" t="str">
        <f>IF(Table116[[#This Row],[Type]]="Transportation", "ton", "")</f>
        <v/>
      </c>
      <c r="M96" s="10"/>
      <c r="N96" s="10"/>
      <c r="O96" s="27" t="str">
        <f>Table116[[#This Row],[Resource]]</f>
        <v/>
      </c>
      <c r="P96" s="27" t="str">
        <f>IF(_xlfn.XLOOKUP($O96,'SI - End Use'!$B$2:$B$30,'SI - End Use'!$C$2:$C$30, "")="", "", _xlfn.XLOOKUP($C96,'SI - End Use'!$B$2:$B$30,'SI - End Use'!$C$2:$C$30, ""))</f>
        <v/>
      </c>
      <c r="Q96" s="27"/>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IF(Table116[[#This Row],[Type]]="Co-product", "No", "")</f>
        <v/>
      </c>
      <c r="J97" s="10"/>
      <c r="K97" s="10" t="str">
        <f>IF(Table116[[#This Row],[Type]]="Transportation", _xlfn.XLOOKUP(Table116[[#This Row],[Resource]], 'SI - Payload'!$A$10:$A$33,'SI - Payload'!$B$10:$B$33,"",0), "")</f>
        <v/>
      </c>
      <c r="L97" s="10" t="str">
        <f>IF(Table116[[#This Row],[Type]]="Transportation", "ton", "")</f>
        <v/>
      </c>
      <c r="M97" s="10"/>
      <c r="N97" s="10"/>
      <c r="O97" s="27" t="str">
        <f>Table116[[#This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IF(Table116[[#This Row],[Type]]="Co-product", "No", "")</f>
        <v/>
      </c>
      <c r="J98" s="10"/>
      <c r="K98" s="10" t="str">
        <f>IF(Table116[[#This Row],[Type]]="Transportation", _xlfn.XLOOKUP(Table116[[#This Row],[Resource]], 'SI - Payload'!$A$10:$A$33,'SI - Payload'!$B$10:$B$33,"",0), "")</f>
        <v/>
      </c>
      <c r="L98" s="10" t="str">
        <f>IF(Table116[[#This Row],[Type]]="Transportation", "ton", "")</f>
        <v/>
      </c>
      <c r="M98" s="10"/>
      <c r="N98" s="10"/>
      <c r="O98" s="27" t="str">
        <f>Table116[[#This Row],[Resource]]</f>
        <v/>
      </c>
      <c r="P98" s="10" t="str">
        <f>IF(_xlfn.XLOOKUP($O98,'SI - End Use'!$B$2:$B$30,'SI - End Use'!$C$2:$C$30, "")="", "", _xlfn.XLOOKUP($C98,'SI - End Use'!$B$2:$B$30,'SI - End Use'!$C$2:$C$30, ""))</f>
        <v/>
      </c>
      <c r="Q98" s="10"/>
      <c r="R98" s="10"/>
    </row>
    <row r="99" spans="1:18" x14ac:dyDescent="0.35">
      <c r="A99" s="42"/>
      <c r="B99" s="26"/>
      <c r="C99" s="26" t="str">
        <f>_xlfn.XLOOKUP($B99,'SI - Resources'!$A$1:$F$1,'SI - Resources'!$A$2:$F$2, "")</f>
        <v/>
      </c>
      <c r="D99" s="28" t="str">
        <f>IF(_xlfn.XLOOKUP($C99,'SI - End Use'!$B$2:$B$30,'SI - End Use'!$C$2:$C$30, "")="", "", _xlfn.XLOOKUP($C99,'SI - End Use'!$B$2:$B$30,'SI - End Use'!$C$2:$C$30, ""))</f>
        <v/>
      </c>
      <c r="E99" s="40"/>
      <c r="F99" s="28" t="str" cm="1">
        <f t="array" ref="F99">IF($B99="Transportation",  'SI - Units'!$B$9:$B$9, _xlfn.XLOOKUP(_xlfn.XLOOKUP($C99,'SI - Units'!$B$24:$B$51,'SI - Units'!$C$24:$C$51, ""),'SI - Units'!$A$2:$A$8,'SI - Units'!$B$2:$B$8, ""))</f>
        <v/>
      </c>
      <c r="G99" s="41"/>
      <c r="H99" s="41"/>
      <c r="I99" s="44" t="str">
        <f>IF(Table116[[#This Row],[Type]]="Co-product", "No", "")</f>
        <v/>
      </c>
      <c r="J99" s="26"/>
      <c r="K99" s="26" t="str">
        <f>IF(Table116[[#This Row],[Type]]="Transportation", _xlfn.XLOOKUP(Table116[[#This Row],[Resource]], 'SI - Payload'!$A$10:$A$33,'SI - Payload'!$B$10:$B$33,"",0), "")</f>
        <v/>
      </c>
      <c r="L99" s="26" t="str">
        <f>IF(Table116[[#This Row],[Type]]="Transportation", "ton", "")</f>
        <v/>
      </c>
      <c r="M99" s="26"/>
      <c r="N99" s="26"/>
      <c r="O99" s="26" t="str">
        <f>Table116[[#This Row],[Resource]]</f>
        <v/>
      </c>
      <c r="P99" s="26" t="str">
        <f>IF(_xlfn.XLOOKUP($O99,'SI - End Use'!$B$2:$B$30,'SI - End Use'!$C$2:$C$30, "")="", "", _xlfn.XLOOKUP($C99,'SI - End Use'!$B$2:$B$30,'SI - End Use'!$C$2:$C$30,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F37D08A-FBB1-4508-8ADA-B8CC7BD8768A}">
          <x14:formula1>
            <xm:f>_xlfn.XLOOKUP(_xlfn.XLOOKUP(#REF!,'SI - Units'!$B$24:$B$51,'SI - Units'!$C$24:$C$51),'SI - Units'!$A$2:$A$8,'SI - Units'!$B$2:$R$8)</xm:f>
          </x14:formula1>
          <xm:sqref>F4</xm:sqref>
        </x14:dataValidation>
        <x14:dataValidation type="list" allowBlank="1" showInputMessage="1" showErrorMessage="1" xr:uid="{9CAD08AB-B554-41E4-A33A-551951AA27E5}">
          <x14:formula1>
            <xm:f>'SI - Co-products'!$D$2:$D$8</xm:f>
          </x14:formula1>
          <xm:sqref>C1</xm:sqref>
        </x14:dataValidation>
        <x14:dataValidation type="list" allowBlank="1" showInputMessage="1" showErrorMessage="1" xr:uid="{08276C32-7248-419B-BF79-8F4904443F43}">
          <x14:formula1>
            <xm:f>IF($B5="Transportation",  'SI - Units'!$B$9:$E$9, _xlfn.XLOOKUP(_xlfn.XLOOKUP($C5,'SI - Units'!$B$24:$B$51,'SI - Units'!$C$24:$C$51),'SI - Units'!$A$2:$A$8,'SI - Units'!$B$2:$R$8))</xm:f>
          </x14:formula1>
          <xm:sqref>F5:F99</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D2F5A42F-EE0F-46D8-B096-A93D97949DDA}">
          <x14:formula1>
            <xm:f>IF($B5="Transportation",  'SI - Units'!$B$20:$E$20, _xlfn.XLOOKUP(_xlfn.XLOOKUP($C5,'SI - Units'!$B$24:$B$51,'SI - Units'!$C$24:$C$51),'SI - Units'!$A$13:$A$19,'SI - Units'!$B$13:$R$19))</xm:f>
          </x14:formula1>
          <xm:sqref>N5:N99</xm:sqref>
        </x14:dataValidation>
        <x14:dataValidation type="list" allowBlank="1" showInputMessage="1" showErrorMessage="1" xr:uid="{AB020E61-E722-41C7-84C9-BDA685C10DCB}">
          <x14:formula1>
            <xm:f>_xlfn.XLOOKUP($O5,'SI - End Use'!$B$2:$B$30,'SI - End Use'!$C$2:$N$30)</xm:f>
          </x14:formula1>
          <xm:sqref>P5:P99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xr:uid="{975D0F62-8785-4F06-8784-AAD0009EB9FF}">
          <x14:formula1>
            <xm:f>_xlfn.XLOOKUP($C5,'SI - End Use'!$B$2:$B$30,'SI - End Use'!$C$2:$N$30)</xm:f>
          </x14:formula1>
          <xm:sqref>D5:D99</xm:sqref>
        </x14:dataValidation>
        <x14:dataValidation type="list" allowBlank="1" showInputMessage="1" showErrorMessage="1" xr:uid="{865795D2-CD77-42EE-9BCD-F4A84D2E25FC}">
          <x14:formula1>
            <xm:f>_xlfn.XLOOKUP($B5,'SI - Resources'!$A$1:$F$1,INDIRECT("Resource"))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Resources'!$A$1:$F$1</xm:f>
          </x14:formula1>
          <xm:sqref>B5:B99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topLeftCell="C1" workbookViewId="0">
      <pane ySplit="4" topLeftCell="A5" activePane="bottomLeft" state="frozen"/>
      <selection pane="bottomLeft" activeCell="K6" sqref="K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91">
        <v>1</v>
      </c>
      <c r="F5" s="27" t="s">
        <v>12</v>
      </c>
      <c r="G5" s="39"/>
      <c r="H5" s="39" t="s">
        <v>270</v>
      </c>
      <c r="I5" s="43" t="str">
        <f>IF(Table114[[#This Row],[Type]]="Co-product", "No", "")</f>
        <v/>
      </c>
      <c r="J5" s="10"/>
      <c r="K5" s="89"/>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91">
        <f>'INL Data'!B15</f>
        <v>51.7</v>
      </c>
      <c r="F6" s="27" t="str" cm="1">
        <f t="array" ref="F6">IF($B6="Transportation",  'SI - Units'!$B$9:$B$9, _xlfn.XLOOKUP(_xlfn.XLOOKUP($C6,'SI - Units'!$B$24:$B$51,'SI - Units'!$C$24:$C$51, ""),'SI - Units'!$A$2:$A$8,'SI - Units'!$B$2:$B$8, ""))</f>
        <v>mi</v>
      </c>
      <c r="G6" s="39">
        <f>'INL Data'!G15</f>
        <v>0.11409999999999999</v>
      </c>
      <c r="H6" s="39"/>
      <c r="I6" s="43" t="str">
        <f>IF(Table114[[#This Row],[Type]]="Co-product", "No", "")</f>
        <v/>
      </c>
      <c r="J6" s="10"/>
      <c r="K6" s="89">
        <f>'INL Data'!C15</f>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91">
        <f>1-'INL Data'!H15</f>
        <v>1</v>
      </c>
      <c r="F7" s="27" t="s">
        <v>12</v>
      </c>
      <c r="G7" s="39"/>
      <c r="H7" s="39"/>
      <c r="I7" s="43" t="str">
        <f>IF(Table114[[#This Row],[Type]]="Co-product", "No", "")</f>
        <v/>
      </c>
      <c r="J7" s="10"/>
      <c r="K7" s="89"/>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89"/>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89"/>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89"/>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89"/>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89"/>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89"/>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89"/>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89"/>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89"/>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89"/>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89"/>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89"/>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89"/>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89"/>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89"/>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89"/>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89"/>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89"/>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89"/>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89"/>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89"/>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89"/>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89"/>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89"/>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89"/>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89"/>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89"/>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89"/>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89"/>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89"/>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89"/>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89"/>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89"/>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89"/>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89"/>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89"/>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89"/>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89"/>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89"/>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89"/>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89"/>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89"/>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89"/>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89"/>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89"/>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89"/>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89"/>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89"/>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89"/>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89"/>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89"/>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89"/>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89"/>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89"/>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89"/>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89"/>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89"/>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89"/>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89"/>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89"/>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89"/>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89"/>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89"/>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89"/>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89"/>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89"/>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89"/>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89"/>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89"/>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89"/>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89"/>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89"/>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89"/>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89"/>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89"/>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89"/>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89"/>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89"/>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89"/>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89"/>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89"/>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89"/>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89"/>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89"/>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89"/>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89"/>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89"/>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89"/>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89"/>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89"/>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89"/>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89"/>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90"/>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workbookViewId="0">
      <pane ySplit="4" topLeftCell="A5" activePane="bottomLeft" state="frozen"/>
      <selection pane="bottomLeft" activeCell="G5" sqref="G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152</v>
      </c>
    </row>
    <row r="2" spans="1:18" x14ac:dyDescent="0.35">
      <c r="A2" s="24" t="s">
        <v>123</v>
      </c>
      <c r="B2" s="24"/>
      <c r="C2" s="25" t="s">
        <v>149</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70" t="s">
        <v>40</v>
      </c>
      <c r="C5" s="70" t="s">
        <v>34</v>
      </c>
      <c r="D5" s="70"/>
      <c r="E5" s="71">
        <v>104166.667</v>
      </c>
      <c r="F5" s="70" t="s">
        <v>63</v>
      </c>
      <c r="G5" s="72">
        <v>0.2</v>
      </c>
      <c r="H5" s="72" t="s">
        <v>249</v>
      </c>
      <c r="I5" s="43" t="str">
        <f>IF(Table115[[#This Row],[Type]]="Co-product", "No", "")</f>
        <v/>
      </c>
      <c r="J5" s="70" t="s">
        <v>92</v>
      </c>
      <c r="K5" s="10" t="str">
        <f>IF(Table115[[#This Row],[Type]]="Transportation", _xlfn.XLOOKUP(Table115[[#This Row],[Resource]], 'SI - Payload'!$A$10:$A$33,'SI - Payload'!$B$10:$B$33,"",0), "")</f>
        <v/>
      </c>
      <c r="L5" s="10" t="str">
        <f>IF(Table115[[#This Row],[Type]]="Transportation", "ton", "")</f>
        <v/>
      </c>
      <c r="M5" s="10"/>
      <c r="N5" s="10"/>
      <c r="O5" s="10" t="str">
        <f>Table115[[#This Row],[Resource]]</f>
        <v>Corn Stover</v>
      </c>
      <c r="P5" s="10" t="str">
        <f>IF(_xlfn.XLOOKUP($O5,'SI - End Use'!$B$2:$B$30,'SI - End Use'!$C$2:$C$30, "")="", "", _xlfn.XLOOKUP($C5,'SI - End Use'!$B$2:$B$30,'SI - End Use'!$C$2:$C$30, ""))</f>
        <v/>
      </c>
      <c r="Q5" s="10"/>
      <c r="R5" s="10"/>
    </row>
    <row r="6" spans="1:18" x14ac:dyDescent="0.35">
      <c r="A6" s="73" t="s">
        <v>0</v>
      </c>
      <c r="B6" s="73" t="s">
        <v>39</v>
      </c>
      <c r="C6" s="73" t="s">
        <v>113</v>
      </c>
      <c r="D6" s="73"/>
      <c r="E6" s="23">
        <v>10521.436400000001</v>
      </c>
      <c r="F6" s="73" t="s">
        <v>63</v>
      </c>
      <c r="G6" s="74">
        <v>7.0000000000000007E-2</v>
      </c>
      <c r="H6" s="74"/>
      <c r="I6" s="43" t="str">
        <f>IF(Table115[[#This Row],[Type]]="Co-product", "No", "")</f>
        <v/>
      </c>
      <c r="J6" s="73" t="s">
        <v>91</v>
      </c>
      <c r="K6" s="10" t="str">
        <f>IF(Table115[[#This Row],[Type]]="Transportation", _xlfn.XLOOKUP(Table115[[#This Row],[Resource]], 'SI - Payload'!$A$10:$A$33,'SI - Payload'!$B$10:$B$33,"",0), "")</f>
        <v/>
      </c>
      <c r="L6" s="10" t="str">
        <f>IF(Table115[[#This Row],[Type]]="Transportation", "ton", "")</f>
        <v/>
      </c>
      <c r="M6" s="10"/>
      <c r="N6" s="10"/>
      <c r="O6" s="10" t="str">
        <f>Table115[[#This Row],[Resource]]</f>
        <v>Sulfuric Acid</v>
      </c>
      <c r="P6" s="10" t="str">
        <f>IF(_xlfn.XLOOKUP($O6,'SI - End Use'!$B$2:$B$30,'SI - End Use'!$C$2:$C$30, "")="", "", _xlfn.XLOOKUP($C6,'SI - End Use'!$B$2:$B$30,'SI - End Use'!$C$2:$C$30, ""))</f>
        <v/>
      </c>
      <c r="Q6" s="10"/>
      <c r="R6" s="10"/>
    </row>
    <row r="7" spans="1:18" x14ac:dyDescent="0.35">
      <c r="A7" s="70" t="s">
        <v>0</v>
      </c>
      <c r="B7" s="70" t="s">
        <v>39</v>
      </c>
      <c r="C7" s="70" t="s">
        <v>14</v>
      </c>
      <c r="D7" s="70"/>
      <c r="E7" s="71">
        <v>1582</v>
      </c>
      <c r="F7" s="70" t="s">
        <v>63</v>
      </c>
      <c r="G7" s="70"/>
      <c r="H7" s="70"/>
      <c r="I7" s="43" t="str">
        <f>IF(Table115[[#This Row],[Type]]="Co-product", "No", "")</f>
        <v/>
      </c>
      <c r="J7" s="70" t="s">
        <v>91</v>
      </c>
      <c r="K7" s="10" t="str">
        <f>IF(Table115[[#This Row],[Type]]="Transportation", _xlfn.XLOOKUP(Table115[[#This Row],[Resource]], 'SI - Payload'!$A$10:$A$33,'SI - Payload'!$B$10:$B$33,"",0), "")</f>
        <v/>
      </c>
      <c r="L7" s="10" t="str">
        <f>IF(Table115[[#This Row],[Type]]="Transportation", "ton", "")</f>
        <v/>
      </c>
      <c r="M7" s="10"/>
      <c r="N7" s="10"/>
      <c r="O7" s="10" t="str">
        <f>Table115[[#This Row],[Resource]]</f>
        <v>Caustic</v>
      </c>
      <c r="P7" s="10" t="str">
        <f>IF(_xlfn.XLOOKUP($O7,'SI - End Use'!$B$2:$B$30,'SI - End Use'!$C$2:$C$30, "")="", "", _xlfn.XLOOKUP($C7,'SI - End Use'!$B$2:$B$30,'SI - End Use'!$C$2:$C$30, ""))</f>
        <v/>
      </c>
      <c r="Q7" s="10"/>
      <c r="R7" s="10"/>
    </row>
    <row r="8" spans="1:18" x14ac:dyDescent="0.35">
      <c r="A8" s="73" t="s">
        <v>0</v>
      </c>
      <c r="B8" s="73" t="s">
        <v>39</v>
      </c>
      <c r="C8" s="73" t="s">
        <v>14</v>
      </c>
      <c r="D8" s="73" t="s">
        <v>253</v>
      </c>
      <c r="E8" s="23">
        <v>2000</v>
      </c>
      <c r="F8" s="73" t="s">
        <v>63</v>
      </c>
      <c r="G8" s="73"/>
      <c r="H8" s="73"/>
      <c r="I8" s="43" t="str">
        <f>IF(Table115[[#This Row],[Type]]="Co-product", "No", "")</f>
        <v/>
      </c>
      <c r="J8" s="73" t="s">
        <v>92</v>
      </c>
      <c r="K8" s="10" t="str">
        <f>IF(Table115[[#This Row],[Type]]="Transportation", _xlfn.XLOOKUP(Table115[[#This Row],[Resource]], 'SI - Payload'!$A$10:$A$33,'SI - Payload'!$B$10:$B$33,"",0), "")</f>
        <v/>
      </c>
      <c r="L8" s="10" t="str">
        <f>IF(Table115[[#This Row],[Type]]="Transportation", "ton", "")</f>
        <v/>
      </c>
      <c r="M8" s="10"/>
      <c r="N8" s="10"/>
      <c r="O8" s="10" t="str">
        <f>Table115[[#This Row],[Resource]]</f>
        <v>Caustic</v>
      </c>
      <c r="P8" s="10" t="str">
        <f>IF(_xlfn.XLOOKUP($O8,'SI - End Use'!$B$2:$B$30,'SI - End Use'!$C$2:$C$30, "")="", "", _xlfn.XLOOKUP($C8,'SI - End Use'!$B$2:$B$30,'SI - End Use'!$C$2:$C$30, ""))</f>
        <v/>
      </c>
      <c r="Q8" s="10"/>
      <c r="R8" s="10"/>
    </row>
    <row r="9" spans="1:18" x14ac:dyDescent="0.35">
      <c r="A9" s="70" t="s">
        <v>0</v>
      </c>
      <c r="B9" s="70" t="s">
        <v>39</v>
      </c>
      <c r="C9" s="70" t="s">
        <v>27</v>
      </c>
      <c r="D9" s="70" t="s">
        <v>33</v>
      </c>
      <c r="E9" s="71">
        <v>6666.6666699999996</v>
      </c>
      <c r="F9" s="70" t="s">
        <v>63</v>
      </c>
      <c r="G9" s="70"/>
      <c r="H9" s="70"/>
      <c r="I9" s="43" t="str">
        <f>IF(Table115[[#This Row],[Type]]="Co-product", "No", "")</f>
        <v/>
      </c>
      <c r="J9" s="70" t="s">
        <v>92</v>
      </c>
      <c r="K9" s="10" t="str">
        <f>IF(Table115[[#This Row],[Type]]="Transportation", _xlfn.XLOOKUP(Table115[[#This Row],[Resource]], 'SI - Payload'!$A$10:$A$33,'SI - Payload'!$B$10:$B$33,"",0), "")</f>
        <v/>
      </c>
      <c r="L9" s="10" t="str">
        <f>IF(Table115[[#This Row],[Type]]="Transportation", "ton", "")</f>
        <v/>
      </c>
      <c r="M9" s="10"/>
      <c r="N9" s="10"/>
      <c r="O9" s="10" t="str">
        <f>Table115[[#This Row],[Resource]]</f>
        <v>Sodium carbonate</v>
      </c>
      <c r="P9" s="10" t="str">
        <f>IF(_xlfn.XLOOKUP($O9,'SI - End Use'!$B$2:$B$30,'SI - End Use'!$C$2:$C$30, "")="", "", _xlfn.XLOOKUP($C9,'SI - End Use'!$B$2:$B$30,'SI - End Use'!$C$2:$C$30, ""))</f>
        <v>Use</v>
      </c>
      <c r="Q9" s="10"/>
      <c r="R9" s="10"/>
    </row>
    <row r="10" spans="1:18" x14ac:dyDescent="0.35">
      <c r="A10" s="73" t="s">
        <v>0</v>
      </c>
      <c r="B10" s="73" t="s">
        <v>39</v>
      </c>
      <c r="C10" s="73" t="s">
        <v>15</v>
      </c>
      <c r="D10" s="73" t="s">
        <v>253</v>
      </c>
      <c r="E10" s="23">
        <v>62</v>
      </c>
      <c r="F10" s="73" t="s">
        <v>63</v>
      </c>
      <c r="G10" s="73"/>
      <c r="H10" s="73"/>
      <c r="I10" s="43" t="str">
        <f>IF(Table115[[#This Row],[Type]]="Co-product", "No", "")</f>
        <v/>
      </c>
      <c r="J10" s="73" t="s">
        <v>248</v>
      </c>
      <c r="K10" s="10" t="str">
        <f>IF(Table115[[#This Row],[Type]]="Transportation", _xlfn.XLOOKUP(Table115[[#This Row],[Resource]], 'SI - Payload'!$A$10:$A$33,'SI - Payload'!$B$10:$B$33,"",0), "")</f>
        <v/>
      </c>
      <c r="L10" s="10" t="str">
        <f>IF(Table115[[#This Row],[Type]]="Transportation", "ton", "")</f>
        <v/>
      </c>
      <c r="M10" s="10"/>
      <c r="N10" s="10"/>
      <c r="O10" s="10" t="str">
        <f>Table115[[#This Row],[Resource]]</f>
        <v>Ammonia</v>
      </c>
      <c r="P10" s="10" t="str">
        <f>IF(_xlfn.XLOOKUP($O10,'SI - End Use'!$B$2:$B$30,'SI - End Use'!$C$2:$C$30, "")="", "", _xlfn.XLOOKUP($C10,'SI - End Use'!$B$2:$B$30,'SI - End Use'!$C$2:$C$30, ""))</f>
        <v/>
      </c>
      <c r="Q10" s="10"/>
      <c r="R10" s="10"/>
    </row>
    <row r="11" spans="1:18" x14ac:dyDescent="0.35">
      <c r="A11" s="70" t="s">
        <v>0</v>
      </c>
      <c r="B11" s="70" t="s">
        <v>39</v>
      </c>
      <c r="C11" s="70" t="s">
        <v>15</v>
      </c>
      <c r="D11" s="70" t="s">
        <v>253</v>
      </c>
      <c r="E11" s="71">
        <v>17</v>
      </c>
      <c r="F11" s="70" t="s">
        <v>63</v>
      </c>
      <c r="G11" s="70"/>
      <c r="H11" s="70"/>
      <c r="I11" s="43" t="str">
        <f>IF(Table115[[#This Row],[Type]]="Co-product", "No", "")</f>
        <v/>
      </c>
      <c r="J11" s="70" t="s">
        <v>91</v>
      </c>
      <c r="K11" s="10" t="str">
        <f>IF(Table115[[#This Row],[Type]]="Transportation", _xlfn.XLOOKUP(Table115[[#This Row],[Resource]], 'SI - Payload'!$A$10:$A$33,'SI - Payload'!$B$10:$B$33,"",0), "")</f>
        <v/>
      </c>
      <c r="L11" s="10" t="str">
        <f>IF(Table115[[#This Row],[Type]]="Transportation", "ton", "")</f>
        <v/>
      </c>
      <c r="M11" s="10"/>
      <c r="N11" s="10"/>
      <c r="O11" s="10" t="str">
        <f>Table115[[#This Row],[Resource]]</f>
        <v>Ammonia</v>
      </c>
      <c r="P11" s="10" t="str">
        <f>IF(_xlfn.XLOOKUP($O11,'SI - End Use'!$B$2:$B$30,'SI - End Use'!$C$2:$C$30, "")="", "", _xlfn.XLOOKUP($C11,'SI - End Use'!$B$2:$B$30,'SI - End Use'!$C$2:$C$30, ""))</f>
        <v/>
      </c>
      <c r="Q11" s="10"/>
      <c r="R11" s="10"/>
    </row>
    <row r="12" spans="1:18" x14ac:dyDescent="0.35">
      <c r="A12" s="73" t="s">
        <v>0</v>
      </c>
      <c r="B12" s="73" t="s">
        <v>39</v>
      </c>
      <c r="C12" s="73" t="s">
        <v>15</v>
      </c>
      <c r="D12" s="73" t="s">
        <v>253</v>
      </c>
      <c r="E12" s="23">
        <v>2110.0486116671268</v>
      </c>
      <c r="F12" s="73" t="s">
        <v>63</v>
      </c>
      <c r="G12" s="73"/>
      <c r="H12" s="73"/>
      <c r="I12" s="43" t="str">
        <f>IF(Table115[[#This Row],[Type]]="Co-product", "No", "")</f>
        <v/>
      </c>
      <c r="J12" s="73" t="s">
        <v>92</v>
      </c>
      <c r="K12" s="10" t="str">
        <f>IF(Table115[[#This Row],[Type]]="Transportation", _xlfn.XLOOKUP(Table115[[#This Row],[Resource]], 'SI - Payload'!$A$10:$A$33,'SI - Payload'!$B$10:$B$33,"",0), "")</f>
        <v/>
      </c>
      <c r="L12" s="10" t="str">
        <f>IF(Table115[[#This Row],[Type]]="Transportation", "ton", "")</f>
        <v/>
      </c>
      <c r="M12" s="10"/>
      <c r="N12" s="10"/>
      <c r="O12" s="10" t="str">
        <f>Table115[[#This Row],[Resource]]</f>
        <v>Ammonia</v>
      </c>
      <c r="P12" s="10" t="str">
        <f>IF(_xlfn.XLOOKUP($O12,'SI - End Use'!$B$2:$B$30,'SI - End Use'!$C$2:$C$30, "")="", "", _xlfn.XLOOKUP($C12,'SI - End Use'!$B$2:$B$30,'SI - End Use'!$C$2:$C$30, ""))</f>
        <v/>
      </c>
      <c r="Q12" s="10"/>
      <c r="R12" s="10"/>
    </row>
    <row r="13" spans="1:18" x14ac:dyDescent="0.35">
      <c r="A13" s="70" t="s">
        <v>0</v>
      </c>
      <c r="B13" s="70" t="s">
        <v>39</v>
      </c>
      <c r="C13" s="70" t="s">
        <v>20</v>
      </c>
      <c r="D13" s="70" t="s">
        <v>253</v>
      </c>
      <c r="E13" s="71">
        <v>1311.6449</v>
      </c>
      <c r="F13" s="70" t="s">
        <v>63</v>
      </c>
      <c r="G13" s="70"/>
      <c r="H13" s="70"/>
      <c r="I13" s="43" t="str">
        <f>IF(Table115[[#This Row],[Type]]="Co-product", "No", "")</f>
        <v/>
      </c>
      <c r="J13" s="70" t="s">
        <v>248</v>
      </c>
      <c r="K13" s="10" t="str">
        <f>IF(Table115[[#This Row],[Type]]="Transportation", _xlfn.XLOOKUP(Table115[[#This Row],[Resource]], 'SI - Payload'!$A$10:$A$33,'SI - Payload'!$B$10:$B$33,"",0), "")</f>
        <v/>
      </c>
      <c r="L13" s="10" t="str">
        <f>IF(Table115[[#This Row],[Type]]="Transportation", "ton", "")</f>
        <v/>
      </c>
      <c r="M13" s="10"/>
      <c r="N13" s="10"/>
      <c r="O13" s="10" t="str">
        <f>Table115[[#This Row],[Resource]]</f>
        <v>Glucose</v>
      </c>
      <c r="P13" s="10" t="str">
        <f>IF(_xlfn.XLOOKUP($O13,'SI - End Use'!$B$2:$B$30,'SI - End Use'!$C$2:$C$30, "")="", "", _xlfn.XLOOKUP($C13,'SI - End Use'!$B$2:$B$30,'SI - End Use'!$C$2:$C$30, ""))</f>
        <v/>
      </c>
      <c r="Q13" s="10"/>
      <c r="R13" s="10"/>
    </row>
    <row r="14" spans="1:18" x14ac:dyDescent="0.35">
      <c r="A14" s="73" t="s">
        <v>0</v>
      </c>
      <c r="B14" s="73" t="s">
        <v>39</v>
      </c>
      <c r="C14" s="73" t="s">
        <v>16</v>
      </c>
      <c r="D14" s="73" t="s">
        <v>253</v>
      </c>
      <c r="E14" s="23">
        <v>918.3483933</v>
      </c>
      <c r="F14" s="73" t="s">
        <v>63</v>
      </c>
      <c r="G14" s="73"/>
      <c r="H14" s="73"/>
      <c r="I14" s="43" t="str">
        <f>IF(Table115[[#This Row],[Type]]="Co-product", "No", "")</f>
        <v/>
      </c>
      <c r="J14" s="73" t="s">
        <v>248</v>
      </c>
      <c r="K14" s="10" t="str">
        <f>IF(Table115[[#This Row],[Type]]="Transportation", _xlfn.XLOOKUP(Table115[[#This Row],[Resource]], 'SI - Payload'!$A$10:$A$33,'SI - Payload'!$B$10:$B$33,"",0), "")</f>
        <v/>
      </c>
      <c r="L14" s="10" t="str">
        <f>IF(Table115[[#This Row],[Type]]="Transportation", "ton", "")</f>
        <v/>
      </c>
      <c r="M14" s="10"/>
      <c r="N14" s="10"/>
      <c r="O14" s="10" t="str">
        <f>Table115[[#This Row],[Resource]]</f>
        <v>Corn Steep Liquor</v>
      </c>
      <c r="P14" s="10" t="str">
        <f>IF(_xlfn.XLOOKUP($O14,'SI - End Use'!$B$2:$B$30,'SI - End Use'!$C$2:$C$30, "")="", "", _xlfn.XLOOKUP($C14,'SI - End Use'!$B$2:$B$30,'SI - End Use'!$C$2:$C$30, ""))</f>
        <v/>
      </c>
      <c r="Q14" s="10"/>
      <c r="R14" s="10"/>
    </row>
    <row r="15" spans="1:18" x14ac:dyDescent="0.35">
      <c r="A15" s="70" t="s">
        <v>0</v>
      </c>
      <c r="B15" s="70" t="s">
        <v>39</v>
      </c>
      <c r="C15" s="70" t="s">
        <v>18</v>
      </c>
      <c r="D15" s="70" t="s">
        <v>253</v>
      </c>
      <c r="E15" s="71">
        <v>7.2460908700000006</v>
      </c>
      <c r="F15" s="70" t="s">
        <v>63</v>
      </c>
      <c r="G15" s="70"/>
      <c r="H15" s="70"/>
      <c r="I15" s="43" t="str">
        <f>IF(Table115[[#This Row],[Type]]="Co-product", "No", "")</f>
        <v/>
      </c>
      <c r="J15" s="70" t="s">
        <v>248</v>
      </c>
      <c r="K15" s="10" t="str">
        <f>IF(Table115[[#This Row],[Type]]="Transportation", _xlfn.XLOOKUP(Table115[[#This Row],[Resource]], 'SI - Payload'!$A$10:$A$33,'SI - Payload'!$B$10:$B$33,"",0), "")</f>
        <v/>
      </c>
      <c r="L15" s="10" t="str">
        <f>IF(Table115[[#This Row],[Type]]="Transportation", "ton", "")</f>
        <v/>
      </c>
      <c r="M15" s="10"/>
      <c r="N15" s="10"/>
      <c r="O15" s="10" t="str">
        <f>Table115[[#This Row],[Resource]]</f>
        <v>Corn oil</v>
      </c>
      <c r="P15" s="10" t="str">
        <f>IF(_xlfn.XLOOKUP($O15,'SI - End Use'!$B$2:$B$30,'SI - End Use'!$C$2:$C$30, "")="", "", _xlfn.XLOOKUP($C15,'SI - End Use'!$B$2:$B$30,'SI - End Use'!$C$2:$C$30, ""))</f>
        <v/>
      </c>
      <c r="Q15" s="10"/>
      <c r="R15" s="10"/>
    </row>
    <row r="16" spans="1:18" x14ac:dyDescent="0.35">
      <c r="A16" s="73" t="s">
        <v>0</v>
      </c>
      <c r="B16" s="73" t="s">
        <v>39</v>
      </c>
      <c r="C16" s="73" t="s">
        <v>21</v>
      </c>
      <c r="D16" s="73" t="s">
        <v>253</v>
      </c>
      <c r="E16" s="23">
        <v>36.535699700000002</v>
      </c>
      <c r="F16" s="73" t="s">
        <v>63</v>
      </c>
      <c r="G16" s="73"/>
      <c r="H16" s="73"/>
      <c r="I16" s="43" t="str">
        <f>IF(Table115[[#This Row],[Type]]="Co-product", "No", "")</f>
        <v/>
      </c>
      <c r="J16" s="73" t="s">
        <v>248</v>
      </c>
      <c r="K16" s="10" t="str">
        <f>IF(Table115[[#This Row],[Type]]="Transportation", _xlfn.XLOOKUP(Table115[[#This Row],[Resource]], 'SI - Payload'!$A$10:$A$33,'SI - Payload'!$B$10:$B$33,"",0), "")</f>
        <v/>
      </c>
      <c r="L16" s="10" t="str">
        <f>IF(Table115[[#This Row],[Type]]="Transportation", "ton", "")</f>
        <v/>
      </c>
      <c r="M16" s="10"/>
      <c r="N16" s="10"/>
      <c r="O16" s="10" t="str">
        <f>Table115[[#This Row],[Resource]]</f>
        <v>Host nutrients</v>
      </c>
      <c r="P16" s="10" t="str">
        <f>IF(_xlfn.XLOOKUP($O16,'SI - End Use'!$B$2:$B$30,'SI - End Use'!$C$2:$C$30, "")="", "", _xlfn.XLOOKUP($C16,'SI - End Use'!$B$2:$B$30,'SI - End Use'!$C$2:$C$30, ""))</f>
        <v/>
      </c>
      <c r="Q16" s="10"/>
      <c r="R16" s="10"/>
    </row>
    <row r="17" spans="1:18" x14ac:dyDescent="0.35">
      <c r="A17" s="70" t="s">
        <v>0</v>
      </c>
      <c r="B17" s="70" t="s">
        <v>39</v>
      </c>
      <c r="C17" s="70" t="s">
        <v>22</v>
      </c>
      <c r="D17" s="70" t="s">
        <v>253</v>
      </c>
      <c r="E17" s="71">
        <v>8.9047192000000006</v>
      </c>
      <c r="F17" s="70" t="s">
        <v>63</v>
      </c>
      <c r="G17" s="70"/>
      <c r="H17" s="70"/>
      <c r="I17" s="43" t="str">
        <f>IF(Table115[[#This Row],[Type]]="Co-product", "No", "")</f>
        <v/>
      </c>
      <c r="J17" s="70" t="s">
        <v>248</v>
      </c>
      <c r="K17" s="10" t="str">
        <f>IF(Table115[[#This Row],[Type]]="Transportation", _xlfn.XLOOKUP(Table115[[#This Row],[Resource]], 'SI - Payload'!$A$10:$A$33,'SI - Payload'!$B$10:$B$33,"",0), "")</f>
        <v/>
      </c>
      <c r="L17" s="10" t="str">
        <f>IF(Table115[[#This Row],[Type]]="Transportation", "ton", "")</f>
        <v/>
      </c>
      <c r="M17" s="10"/>
      <c r="N17" s="10"/>
      <c r="O17" s="10" t="str">
        <f>Table115[[#This Row],[Resource]]</f>
        <v>Sulfur Dioxide</v>
      </c>
      <c r="P17" s="10" t="str">
        <f>IF(_xlfn.XLOOKUP($O17,'SI - End Use'!$B$2:$B$30,'SI - End Use'!$C$2:$C$30, "")="", "", _xlfn.XLOOKUP($C17,'SI - End Use'!$B$2:$B$30,'SI - End Use'!$C$2:$C$30, ""))</f>
        <v/>
      </c>
      <c r="Q17" s="10"/>
      <c r="R17" s="10"/>
    </row>
    <row r="18" spans="1:18" x14ac:dyDescent="0.35">
      <c r="A18" s="73" t="s">
        <v>0</v>
      </c>
      <c r="B18" s="73" t="s">
        <v>39</v>
      </c>
      <c r="C18" s="73" t="s">
        <v>17</v>
      </c>
      <c r="D18" s="73" t="s">
        <v>253</v>
      </c>
      <c r="E18" s="23">
        <v>102.55750299710999</v>
      </c>
      <c r="F18" s="73" t="s">
        <v>63</v>
      </c>
      <c r="G18" s="73"/>
      <c r="H18" s="73"/>
      <c r="I18" s="43" t="str">
        <f>IF(Table115[[#This Row],[Type]]="Co-product", "No", "")</f>
        <v/>
      </c>
      <c r="J18" s="73" t="s">
        <v>248</v>
      </c>
      <c r="K18" s="10" t="str">
        <f>IF(Table115[[#This Row],[Type]]="Transportation", _xlfn.XLOOKUP(Table115[[#This Row],[Resource]], 'SI - Payload'!$A$10:$A$33,'SI - Payload'!$B$10:$B$33,"",0), "")</f>
        <v/>
      </c>
      <c r="L18" s="10" t="str">
        <f>IF(Table115[[#This Row],[Type]]="Transportation", "ton", "")</f>
        <v/>
      </c>
      <c r="M18" s="10"/>
      <c r="N18" s="10"/>
      <c r="O18" s="10" t="str">
        <f>Table115[[#This Row],[Resource]]</f>
        <v>Diammonium Phosphate</v>
      </c>
      <c r="P18" s="10" t="str">
        <f>IF(_xlfn.XLOOKUP($O18,'SI - End Use'!$B$2:$B$30,'SI - End Use'!$C$2:$C$30, "")="", "", _xlfn.XLOOKUP($C18,'SI - End Use'!$B$2:$B$30,'SI - End Use'!$C$2:$C$30, ""))</f>
        <v/>
      </c>
      <c r="Q18" s="10"/>
      <c r="R18" s="10"/>
    </row>
    <row r="19" spans="1:18" x14ac:dyDescent="0.35">
      <c r="A19" s="70" t="s">
        <v>0</v>
      </c>
      <c r="B19" s="70" t="s">
        <v>39</v>
      </c>
      <c r="C19" s="70" t="s">
        <v>19</v>
      </c>
      <c r="D19" s="70" t="s">
        <v>253</v>
      </c>
      <c r="E19" s="71">
        <v>435.59718999999996</v>
      </c>
      <c r="F19" s="70" t="s">
        <v>63</v>
      </c>
      <c r="G19" s="70"/>
      <c r="H19" s="70"/>
      <c r="I19" s="43" t="str">
        <f>IF(Table115[[#This Row],[Type]]="Co-product", "No", "")</f>
        <v/>
      </c>
      <c r="J19" s="70" t="s">
        <v>248</v>
      </c>
      <c r="K19" s="10" t="str">
        <f>IF(Table115[[#This Row],[Type]]="Transportation", _xlfn.XLOOKUP(Table115[[#This Row],[Resource]], 'SI - Payload'!$A$10:$A$33,'SI - Payload'!$B$10:$B$33,"",0), "")</f>
        <v/>
      </c>
      <c r="L19" s="10" t="str">
        <f>IF(Table115[[#This Row],[Type]]="Transportation", "ton", "")</f>
        <v/>
      </c>
      <c r="M19" s="10"/>
      <c r="N19" s="10"/>
      <c r="O19" s="10" t="str">
        <f>Table115[[#This Row],[Resource]]</f>
        <v>Flocculant</v>
      </c>
      <c r="P19" s="10" t="str">
        <f>IF(_xlfn.XLOOKUP($O19,'SI - End Use'!$B$2:$B$30,'SI - End Use'!$C$2:$C$30, "")="", "", _xlfn.XLOOKUP($C19,'SI - End Use'!$B$2:$B$30,'SI - End Use'!$C$2:$C$30, ""))</f>
        <v/>
      </c>
      <c r="Q19" s="10"/>
      <c r="R19" s="10"/>
    </row>
    <row r="20" spans="1:18" x14ac:dyDescent="0.35">
      <c r="A20" s="73" t="s">
        <v>0</v>
      </c>
      <c r="B20" s="73" t="s">
        <v>2</v>
      </c>
      <c r="C20" s="73" t="s">
        <v>23</v>
      </c>
      <c r="D20" s="73" t="s">
        <v>253</v>
      </c>
      <c r="E20" s="23">
        <v>864.97422300000005</v>
      </c>
      <c r="F20" s="73" t="s">
        <v>63</v>
      </c>
      <c r="G20" s="73"/>
      <c r="H20" s="73"/>
      <c r="I20" s="43" t="str">
        <f>IF(Table115[[#This Row],[Type]]="Co-product", "No", "")</f>
        <v/>
      </c>
      <c r="J20" s="73" t="s">
        <v>248</v>
      </c>
      <c r="K20" s="10" t="str">
        <f>IF(Table115[[#This Row],[Type]]="Transportation", _xlfn.XLOOKUP(Table115[[#This Row],[Resource]], 'SI - Payload'!$A$10:$A$33,'SI - Payload'!$B$10:$B$33,"",0), "")</f>
        <v/>
      </c>
      <c r="L20" s="10" t="str">
        <f>IF(Table115[[#This Row],[Type]]="Transportation", "ton", "")</f>
        <v/>
      </c>
      <c r="M20" s="10"/>
      <c r="N20" s="10"/>
      <c r="O20" s="10" t="str">
        <f>Table115[[#This Row],[Resource]]</f>
        <v>Hydrogen</v>
      </c>
      <c r="P20" s="10" t="str">
        <f>IF(_xlfn.XLOOKUP($O20,'SI - End Use'!$B$2:$B$30,'SI - End Use'!$C$2:$C$30, "")="", "", _xlfn.XLOOKUP($C20,'SI - End Use'!$B$2:$B$30,'SI - End Use'!$C$2:$C$30, ""))</f>
        <v/>
      </c>
      <c r="Q20" s="10"/>
      <c r="R20" s="10"/>
    </row>
    <row r="21" spans="1:18" x14ac:dyDescent="0.35">
      <c r="A21" s="70" t="s">
        <v>0</v>
      </c>
      <c r="B21" s="70" t="s">
        <v>39</v>
      </c>
      <c r="C21" s="70" t="s">
        <v>38</v>
      </c>
      <c r="D21" s="70" t="s">
        <v>253</v>
      </c>
      <c r="E21" s="71">
        <v>0.54659266399999995</v>
      </c>
      <c r="F21" s="70" t="s">
        <v>63</v>
      </c>
      <c r="G21" s="70"/>
      <c r="H21" s="70"/>
      <c r="I21" s="43" t="str">
        <f>IF(Table115[[#This Row],[Type]]="Co-product", "No", "")</f>
        <v/>
      </c>
      <c r="J21" s="70" t="s">
        <v>92</v>
      </c>
      <c r="K21" s="10" t="str">
        <f>IF(Table115[[#This Row],[Type]]="Transportation", _xlfn.XLOOKUP(Table115[[#This Row],[Resource]], 'SI - Payload'!$A$10:$A$33,'SI - Payload'!$B$10:$B$33,"",0), "")</f>
        <v/>
      </c>
      <c r="L21" s="10" t="str">
        <f>IF(Table115[[#This Row],[Type]]="Transportation", "ton", "")</f>
        <v/>
      </c>
      <c r="M21" s="10"/>
      <c r="N21" s="10"/>
      <c r="O21" s="10" t="str">
        <f>Table115[[#This Row],[Resource]]</f>
        <v>Boiler Chemicals</v>
      </c>
      <c r="P21" s="10" t="str">
        <f>IF(_xlfn.XLOOKUP($O21,'SI - End Use'!$B$2:$B$30,'SI - End Use'!$C$2:$C$30, "")="", "", _xlfn.XLOOKUP($C21,'SI - End Use'!$B$2:$B$30,'SI - End Use'!$C$2:$C$30, ""))</f>
        <v/>
      </c>
      <c r="Q21" s="10"/>
      <c r="R21" s="10"/>
    </row>
    <row r="22" spans="1:18" x14ac:dyDescent="0.35">
      <c r="A22" s="73" t="s">
        <v>0</v>
      </c>
      <c r="B22" s="73" t="s">
        <v>39</v>
      </c>
      <c r="C22" s="73" t="s">
        <v>24</v>
      </c>
      <c r="D22" s="73" t="s">
        <v>253</v>
      </c>
      <c r="E22" s="23">
        <v>183.150814</v>
      </c>
      <c r="F22" s="73" t="s">
        <v>63</v>
      </c>
      <c r="G22" s="73"/>
      <c r="H22" s="73"/>
      <c r="I22" s="43" t="str">
        <f>IF(Table115[[#This Row],[Type]]="Co-product", "No", "")</f>
        <v/>
      </c>
      <c r="J22" s="73" t="s">
        <v>92</v>
      </c>
      <c r="K22" s="10" t="str">
        <f>IF(Table115[[#This Row],[Type]]="Transportation", _xlfn.XLOOKUP(Table115[[#This Row],[Resource]], 'SI - Payload'!$A$10:$A$33,'SI - Payload'!$B$10:$B$33,"",0), "")</f>
        <v/>
      </c>
      <c r="L22" s="10" t="str">
        <f>IF(Table115[[#This Row],[Type]]="Transportation", "ton", "")</f>
        <v/>
      </c>
      <c r="M22" s="10"/>
      <c r="N22" s="10"/>
      <c r="O22" s="10" t="str">
        <f>Table115[[#This Row],[Resource]]</f>
        <v>FGD Lime</v>
      </c>
      <c r="P22" s="10" t="str">
        <f>IF(_xlfn.XLOOKUP($O22,'SI - End Use'!$B$2:$B$30,'SI - End Use'!$C$2:$C$30, "")="", "", _xlfn.XLOOKUP($C22,'SI - End Use'!$B$2:$B$30,'SI - End Use'!$C$2:$C$30, ""))</f>
        <v/>
      </c>
      <c r="Q22" s="10"/>
      <c r="R22" s="10"/>
    </row>
    <row r="23" spans="1:18" x14ac:dyDescent="0.35">
      <c r="A23" s="73" t="s">
        <v>0</v>
      </c>
      <c r="B23" s="70" t="s">
        <v>39</v>
      </c>
      <c r="C23" s="70" t="s">
        <v>26</v>
      </c>
      <c r="D23" s="70" t="s">
        <v>253</v>
      </c>
      <c r="E23" s="71">
        <v>1.27822462</v>
      </c>
      <c r="F23" s="70" t="s">
        <v>63</v>
      </c>
      <c r="G23" s="70"/>
      <c r="H23" s="70"/>
      <c r="I23" s="43" t="str">
        <f>IF(Table115[[#This Row],[Type]]="Co-product", "No", "")</f>
        <v/>
      </c>
      <c r="J23" s="70" t="s">
        <v>92</v>
      </c>
      <c r="K23" s="10" t="str">
        <f>IF(Table115[[#This Row],[Type]]="Transportation", _xlfn.XLOOKUP(Table115[[#This Row],[Resource]], 'SI - Payload'!$A$10:$A$33,'SI - Payload'!$B$10:$B$33,"",0), "")</f>
        <v/>
      </c>
      <c r="L23" s="10" t="str">
        <f>IF(Table115[[#This Row],[Type]]="Transportation", "ton", "")</f>
        <v/>
      </c>
      <c r="M23" s="10"/>
      <c r="N23" s="10"/>
      <c r="O23" s="10" t="str">
        <f>Table115[[#This Row],[Resource]]</f>
        <v>Cooling Tower Chemicals</v>
      </c>
      <c r="P23" s="10" t="str">
        <f>IF(_xlfn.XLOOKUP($O23,'SI - End Use'!$B$2:$B$30,'SI - End Use'!$C$2:$C$30, "")="", "", _xlfn.XLOOKUP($C23,'SI - End Use'!$B$2:$B$30,'SI - End Use'!$C$2:$C$30, ""))</f>
        <v/>
      </c>
      <c r="Q23" s="10"/>
      <c r="R23" s="10"/>
    </row>
    <row r="24" spans="1:18" x14ac:dyDescent="0.35">
      <c r="A24" s="73" t="s">
        <v>0</v>
      </c>
      <c r="B24" s="73" t="s">
        <v>30</v>
      </c>
      <c r="C24" s="73" t="s">
        <v>30</v>
      </c>
      <c r="D24" s="73" t="s">
        <v>253</v>
      </c>
      <c r="E24" s="23">
        <v>150469.15700000001</v>
      </c>
      <c r="F24" s="73" t="s">
        <v>63</v>
      </c>
      <c r="G24" s="73"/>
      <c r="H24" s="73"/>
      <c r="I24" s="43" t="str">
        <f>IF(Table115[[#This Row],[Type]]="Co-product", "No", "")</f>
        <v/>
      </c>
      <c r="J24" s="73" t="s">
        <v>92</v>
      </c>
      <c r="K24" s="10" t="str">
        <f>IF(Table115[[#This Row],[Type]]="Transportation", _xlfn.XLOOKUP(Table115[[#This Row],[Resource]], 'SI - Payload'!$A$10:$A$33,'SI - Payload'!$B$10:$B$33,"",0), "")</f>
        <v/>
      </c>
      <c r="L24" s="10" t="str">
        <f>IF(Table115[[#This Row],[Type]]="Transportation", "ton", "")</f>
        <v/>
      </c>
      <c r="M24" s="10"/>
      <c r="N24" s="10"/>
      <c r="O24" s="10" t="str">
        <f>Table115[[#This Row],[Resource]]</f>
        <v>Water</v>
      </c>
      <c r="P24" s="10" t="str">
        <f>IF(_xlfn.XLOOKUP($O24,'SI - End Use'!$B$2:$B$30,'SI - End Use'!$C$2:$C$30, "")="", "", _xlfn.XLOOKUP($C24,'SI - End Use'!$B$2:$B$30,'SI - End Use'!$C$2:$C$30, ""))</f>
        <v/>
      </c>
      <c r="Q24" s="10"/>
      <c r="R24" s="10"/>
    </row>
    <row r="25" spans="1:18" x14ac:dyDescent="0.35">
      <c r="A25" s="73" t="s">
        <v>0</v>
      </c>
      <c r="B25" s="70" t="s">
        <v>2</v>
      </c>
      <c r="C25" s="70" t="s">
        <v>25</v>
      </c>
      <c r="D25" s="70" t="s">
        <v>32</v>
      </c>
      <c r="E25" s="71">
        <v>6400</v>
      </c>
      <c r="F25" s="70" t="s">
        <v>63</v>
      </c>
      <c r="G25" s="70"/>
      <c r="H25" s="70"/>
      <c r="I25" s="43" t="str">
        <f>IF(Table115[[#This Row],[Type]]="Co-product", "No", "")</f>
        <v/>
      </c>
      <c r="J25" s="70" t="s">
        <v>92</v>
      </c>
      <c r="K25" s="10" t="str">
        <f>IF(Table115[[#This Row],[Type]]="Transportation", _xlfn.XLOOKUP(Table115[[#This Row],[Resource]], 'SI - Payload'!$A$10:$A$33,'SI - Payload'!$B$10:$B$33,"",0), "")</f>
        <v/>
      </c>
      <c r="L25" s="10" t="str">
        <f>IF(Table115[[#This Row],[Type]]="Transportation", "ton", "")</f>
        <v/>
      </c>
      <c r="M25" s="10"/>
      <c r="N25" s="10"/>
      <c r="O25" s="10" t="str">
        <f>Table115[[#This Row],[Resource]]</f>
        <v>Natural Gas</v>
      </c>
      <c r="P25" s="10" t="str">
        <f>IF(_xlfn.XLOOKUP($O25,'SI - End Use'!$B$2:$B$30,'SI - End Use'!$C$2:$C$30, "")="", "", _xlfn.XLOOKUP($C25,'SI - End Use'!$B$2:$B$30,'SI - End Use'!$C$2:$C$30, ""))</f>
        <v>Utility/ Industrial Boiler (&gt;100 mmBtu/hr input)</v>
      </c>
      <c r="Q25" s="10"/>
      <c r="R25" s="10"/>
    </row>
    <row r="26" spans="1:18" x14ac:dyDescent="0.35">
      <c r="A26" s="73" t="s">
        <v>0</v>
      </c>
      <c r="B26" s="73" t="s">
        <v>4</v>
      </c>
      <c r="C26" s="73" t="s">
        <v>4</v>
      </c>
      <c r="D26" s="73" t="s">
        <v>11</v>
      </c>
      <c r="E26" s="23">
        <v>17904</v>
      </c>
      <c r="F26" s="73" t="s">
        <v>74</v>
      </c>
      <c r="G26" s="73"/>
      <c r="H26" s="73"/>
      <c r="I26" s="43" t="str">
        <f>IF(Table115[[#This Row],[Type]]="Co-product", "No", "")</f>
        <v/>
      </c>
      <c r="J26" s="73" t="s">
        <v>248</v>
      </c>
      <c r="K26" s="10" t="str">
        <f>IF(Table115[[#This Row],[Type]]="Transportation", _xlfn.XLOOKUP(Table115[[#This Row],[Resource]], 'SI - Payload'!$A$10:$A$33,'SI - Payload'!$B$10:$B$33,"",0), "")</f>
        <v/>
      </c>
      <c r="L26" s="10" t="str">
        <f>IF(Table115[[#This Row],[Type]]="Transportation", "ton", "")</f>
        <v/>
      </c>
      <c r="M26" s="10"/>
      <c r="N26" s="10"/>
      <c r="O26" s="10" t="str">
        <f>Table115[[#This Row],[Resource]]</f>
        <v>Electricity</v>
      </c>
      <c r="P26" s="10" t="str">
        <f>IF(_xlfn.XLOOKUP($O26,'SI - End Use'!$B$2:$B$30,'SI - End Use'!$C$2:$C$30, "")="", "", _xlfn.XLOOKUP($C26,'SI - End Use'!$B$2:$B$30,'SI - End Use'!$C$2:$C$30, ""))</f>
        <v>U.S. Mix</v>
      </c>
      <c r="Q26" s="10"/>
      <c r="R26" s="10"/>
    </row>
    <row r="27" spans="1:18" x14ac:dyDescent="0.35">
      <c r="A27" s="73" t="s">
        <v>0</v>
      </c>
      <c r="B27" s="73" t="s">
        <v>4</v>
      </c>
      <c r="C27" s="73" t="s">
        <v>4</v>
      </c>
      <c r="D27" s="73" t="s">
        <v>11</v>
      </c>
      <c r="E27" s="23">
        <v>3303</v>
      </c>
      <c r="F27" s="73" t="s">
        <v>74</v>
      </c>
      <c r="G27" s="73"/>
      <c r="H27" s="73"/>
      <c r="I27" s="43" t="str">
        <f>IF(Table115[[#This Row],[Type]]="Co-product", "No", "")</f>
        <v/>
      </c>
      <c r="J27" s="73" t="s">
        <v>91</v>
      </c>
      <c r="K27" s="10" t="str">
        <f>IF(Table115[[#This Row],[Type]]="Transportation", _xlfn.XLOOKUP(Table115[[#This Row],[Resource]], 'SI - Payload'!$A$10:$A$33,'SI - Payload'!$B$10:$B$33,"",0), "")</f>
        <v/>
      </c>
      <c r="L27" s="10" t="str">
        <f>IF(Table115[[#This Row],[Type]]="Transportation", "ton", "")</f>
        <v/>
      </c>
      <c r="M27" s="10"/>
      <c r="N27" s="10"/>
      <c r="O27" s="10" t="str">
        <f>Table115[[#This Row],[Resource]]</f>
        <v>Electricity</v>
      </c>
      <c r="P27" s="10" t="str">
        <f>IF(_xlfn.XLOOKUP($O27,'SI - End Use'!$B$2:$B$30,'SI - End Use'!$C$2:$C$30, "")="", "", _xlfn.XLOOKUP($C27,'SI - End Use'!$B$2:$B$30,'SI - End Use'!$C$2:$C$30, ""))</f>
        <v>U.S. Mix</v>
      </c>
      <c r="Q27" s="10"/>
      <c r="R27" s="10"/>
    </row>
    <row r="28" spans="1:18" x14ac:dyDescent="0.35">
      <c r="A28" s="73" t="s">
        <v>0</v>
      </c>
      <c r="B28" s="73" t="s">
        <v>4</v>
      </c>
      <c r="C28" s="73" t="s">
        <v>4</v>
      </c>
      <c r="D28" s="73" t="s">
        <v>11</v>
      </c>
      <c r="E28" s="23">
        <v>19865.607596999995</v>
      </c>
      <c r="F28" s="73" t="s">
        <v>74</v>
      </c>
      <c r="G28" s="73"/>
      <c r="H28" s="73"/>
      <c r="I28" s="43" t="str">
        <f>IF(Table115[[#This Row],[Type]]="Co-product", "No", "")</f>
        <v/>
      </c>
      <c r="J28" s="73" t="s">
        <v>92</v>
      </c>
      <c r="K28" s="10" t="str">
        <f>IF(Table115[[#This Row],[Type]]="Transportation", _xlfn.XLOOKUP(Table115[[#This Row],[Resource]], 'SI - Payload'!$A$10:$A$33,'SI - Payload'!$B$10:$B$33,"",0), "")</f>
        <v/>
      </c>
      <c r="L28" s="10" t="str">
        <f>IF(Table115[[#This Row],[Type]]="Transportation", "ton", "")</f>
        <v/>
      </c>
      <c r="M28" s="10"/>
      <c r="N28" s="10"/>
      <c r="O28" s="10" t="str">
        <f>Table115[[#This Row],[Resource]]</f>
        <v>Electricity</v>
      </c>
      <c r="P28" s="10" t="str">
        <f>IF(_xlfn.XLOOKUP($O28,'SI - End Use'!$B$2:$B$30,'SI - End Use'!$C$2:$C$30, "")="", "", _xlfn.XLOOKUP($C28,'SI - End Use'!$B$2:$B$30,'SI - End Use'!$C$2:$C$30, ""))</f>
        <v>U.S. Mix</v>
      </c>
      <c r="Q28" s="10"/>
      <c r="R28" s="10"/>
    </row>
    <row r="29" spans="1:18" x14ac:dyDescent="0.35">
      <c r="A29" s="73" t="s">
        <v>121</v>
      </c>
      <c r="B29" s="73" t="s">
        <v>2</v>
      </c>
      <c r="C29" s="73" t="s">
        <v>77</v>
      </c>
      <c r="D29" s="73" t="s">
        <v>255</v>
      </c>
      <c r="E29" s="23">
        <v>456.83276908311399</v>
      </c>
      <c r="F29" s="73" t="s">
        <v>76</v>
      </c>
      <c r="G29" s="73"/>
      <c r="H29" s="73"/>
      <c r="I29" s="43" t="str">
        <f>IF(Table115[[#This Row],[Type]]="Co-product", "No", "")</f>
        <v/>
      </c>
      <c r="J29" s="73" t="s">
        <v>248</v>
      </c>
      <c r="K29" s="10" t="str">
        <f>IF(Table115[[#This Row],[Type]]="Transportation", _xlfn.XLOOKUP(Table115[[#This Row],[Resource]], 'SI - Payload'!$A$10:$A$33,'SI - Payload'!$B$10:$B$33,"",0), "")</f>
        <v/>
      </c>
      <c r="L29" s="10" t="str">
        <f>IF(Table115[[#This Row],[Type]]="Transportation", "ton", "")</f>
        <v/>
      </c>
      <c r="M29" s="10">
        <v>21.535015935911794</v>
      </c>
      <c r="N29" s="10" t="s">
        <v>252</v>
      </c>
      <c r="O29" s="10" t="s">
        <v>3</v>
      </c>
      <c r="P29" s="10" t="s">
        <v>89</v>
      </c>
      <c r="Q29" s="10"/>
      <c r="R29" s="10"/>
    </row>
    <row r="30" spans="1:18" x14ac:dyDescent="0.35">
      <c r="A30" s="73" t="s">
        <v>91</v>
      </c>
      <c r="B30" s="73" t="s">
        <v>39</v>
      </c>
      <c r="C30" s="73" t="s">
        <v>54</v>
      </c>
      <c r="D30" s="10" t="s">
        <v>56</v>
      </c>
      <c r="E30" s="23">
        <v>1968.0218600000001</v>
      </c>
      <c r="F30" s="73" t="s">
        <v>63</v>
      </c>
      <c r="G30" s="39"/>
      <c r="H30" s="39"/>
      <c r="I30" s="43" t="str">
        <f>IF(Table115[[#This Row],[Type]]="Co-product", "No", "")</f>
        <v>No</v>
      </c>
      <c r="J30" s="73" t="s">
        <v>91</v>
      </c>
      <c r="K30" s="10" t="str">
        <f>IF(Table115[[#This Row],[Type]]="Transportation", _xlfn.XLOOKUP(Table115[[#This Row],[Resource]], 'SI - Payload'!$A$10:$A$33,'SI - Payload'!$B$10:$B$33,"",0), "")</f>
        <v/>
      </c>
      <c r="L30" s="10" t="str">
        <f>IF(Table115[[#This Row],[Type]]="Transportation", "ton", "")</f>
        <v/>
      </c>
      <c r="M30" s="10">
        <v>1.8739390198196608</v>
      </c>
      <c r="N30" s="10" t="s">
        <v>251</v>
      </c>
      <c r="O30" s="10" t="s">
        <v>250</v>
      </c>
      <c r="P30" s="10"/>
      <c r="Q30" s="10"/>
      <c r="R30" s="10"/>
    </row>
    <row r="31" spans="1:18" x14ac:dyDescent="0.35">
      <c r="A31" s="10" t="s">
        <v>91</v>
      </c>
      <c r="B31" s="10" t="s">
        <v>39</v>
      </c>
      <c r="C31" s="10" t="s">
        <v>31</v>
      </c>
      <c r="D31" s="27" t="str">
        <f>IF(_xlfn.XLOOKUP($C31,'SI - End Use'!$B$2:$B$30,'SI - End Use'!$C$2:$C$30, "")="", "", _xlfn.XLOOKUP($C31,'SI - End Use'!$B$2:$B$30,'SI - End Use'!$C$2:$C$30, ""))</f>
        <v/>
      </c>
      <c r="E31" s="23">
        <v>13810.361000000001</v>
      </c>
      <c r="F31" s="27" t="str" cm="1">
        <f t="array" ref="F31">IF($B31="Transportation",  'SI - Units'!$B$9:$B$9, _xlfn.XLOOKUP(_xlfn.XLOOKUP($C31,'SI - Units'!$B$24:$B$51,'SI - Units'!$C$24:$C$51, ""),'SI - Units'!$A$2:$A$8,'SI - Units'!$B$2:$B$8, ""))</f>
        <v>kg</v>
      </c>
      <c r="G31" s="39"/>
      <c r="H31" s="39"/>
      <c r="I31" s="43" t="s">
        <v>149</v>
      </c>
      <c r="J31" s="10" t="s">
        <v>92</v>
      </c>
      <c r="K31" s="10" t="str">
        <f>IF(Table115[[#This Row],[Type]]="Transportation", _xlfn.XLOOKUP(Table115[[#This Row],[Resource]], 'SI - Payload'!$A$10:$A$33,'SI - Payload'!$B$10:$B$33,"",0), "")</f>
        <v/>
      </c>
      <c r="L31" s="10" t="str">
        <f>IF(Table115[[#This Row],[Type]]="Transportation", "ton", "")</f>
        <v/>
      </c>
      <c r="M31" s="10"/>
      <c r="N31" s="10"/>
      <c r="O31" s="10" t="str">
        <f>Table115[[#This Row],[Resource]]</f>
        <v>Sodium sulfate salt</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75"/>
      <c r="F32" s="27" t="str" cm="1">
        <f t="array" ref="F32">IF($B32="Transportation",  'SI - Units'!$B$9:$B$9, _xlfn.XLOOKUP(_xlfn.XLOOKUP($C32,'SI - Units'!$B$24:$B$51,'SI - Units'!$C$24:$C$51, ""),'SI - Units'!$A$2:$A$8,'SI - Units'!$B$2:$B$8, ""))</f>
        <v/>
      </c>
      <c r="G32" s="39"/>
      <c r="H32" s="39"/>
      <c r="I32" s="43" t="str">
        <f>IF(Table115[[#This Row],[Type]]="Co-product", "No", "")</f>
        <v/>
      </c>
      <c r="J32" s="10"/>
      <c r="K32" s="10" t="str">
        <f>IF(Table115[[#This Row],[Type]]="Transportation", _xlfn.XLOOKUP(Table115[[#This Row],[Resource]], 'SI - Payload'!$A$10:$A$33,'SI - Payload'!$B$10:$B$33,"",0), "")</f>
        <v/>
      </c>
      <c r="L32" s="10" t="str">
        <f>IF(Table115[[#This Row],[Type]]="Transportation", "ton", "")</f>
        <v/>
      </c>
      <c r="M32" s="10"/>
      <c r="N32" s="10"/>
      <c r="O32" s="10" t="str">
        <f>Table115[[#This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IF(Table115[[#This Row],[Type]]="Co-product", "No", "")</f>
        <v/>
      </c>
      <c r="J33" s="10"/>
      <c r="K33" s="10" t="str">
        <f>IF(Table115[[#This Row],[Type]]="Transportation", _xlfn.XLOOKUP(Table115[[#This Row],[Resource]], 'SI - Payload'!$A$10:$A$33,'SI - Payload'!$B$10:$B$33,"",0), "")</f>
        <v/>
      </c>
      <c r="L33" s="10" t="str">
        <f>IF(Table115[[#This Row],[Type]]="Transportation", "ton", "")</f>
        <v/>
      </c>
      <c r="M33" s="10"/>
      <c r="N33" s="10"/>
      <c r="O33" s="10" t="str">
        <f>Table115[[#This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IF(Table115[[#This Row],[Type]]="Co-product", "No", "")</f>
        <v/>
      </c>
      <c r="J34" s="10"/>
      <c r="K34" s="10" t="str">
        <f>IF(Table115[[#This Row],[Type]]="Transportation", _xlfn.XLOOKUP(Table115[[#This Row],[Resource]], 'SI - Payload'!$A$10:$A$33,'SI - Payload'!$B$10:$B$33,"",0), "")</f>
        <v/>
      </c>
      <c r="L34" s="10" t="str">
        <f>IF(Table115[[#This Row],[Type]]="Transportation", "ton", "")</f>
        <v/>
      </c>
      <c r="M34" s="10"/>
      <c r="N34" s="10"/>
      <c r="O34" s="10" t="str">
        <f>Table115[[#This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IF(Table115[[#This Row],[Type]]="Co-product", "No", "")</f>
        <v/>
      </c>
      <c r="J35" s="10"/>
      <c r="K35" s="10" t="str">
        <f>IF(Table115[[#This Row],[Type]]="Transportation", _xlfn.XLOOKUP(Table115[[#This Row],[Resource]], 'SI - Payload'!$A$10:$A$33,'SI - Payload'!$B$10:$B$33,"",0), "")</f>
        <v/>
      </c>
      <c r="L35" s="10" t="str">
        <f>IF(Table115[[#This Row],[Type]]="Transportation", "ton", "")</f>
        <v/>
      </c>
      <c r="M35" s="10"/>
      <c r="N35" s="10"/>
      <c r="O35" s="10" t="str">
        <f>Table115[[#This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IF(Table115[[#This Row],[Type]]="Co-product", "No", "")</f>
        <v/>
      </c>
      <c r="J36" s="10"/>
      <c r="K36" s="10" t="str">
        <f>IF(Table115[[#This Row],[Type]]="Transportation", _xlfn.XLOOKUP(Table115[[#This Row],[Resource]], 'SI - Payload'!$A$10:$A$33,'SI - Payload'!$B$10:$B$33,"",0), "")</f>
        <v/>
      </c>
      <c r="L36" s="10" t="str">
        <f>IF(Table115[[#This Row],[Type]]="Transportation", "ton", "")</f>
        <v/>
      </c>
      <c r="M36" s="10"/>
      <c r="N36" s="10"/>
      <c r="O36" s="10" t="str">
        <f>Table115[[#This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IF(Table115[[#This Row],[Type]]="Co-product", "No", "")</f>
        <v/>
      </c>
      <c r="J37" s="10"/>
      <c r="K37" s="10" t="str">
        <f>IF(Table115[[#This Row],[Type]]="Transportation", _xlfn.XLOOKUP(Table115[[#This Row],[Resource]], 'SI - Payload'!$A$10:$A$33,'SI - Payload'!$B$10:$B$33,"",0), "")</f>
        <v/>
      </c>
      <c r="L37" s="10" t="str">
        <f>IF(Table115[[#This Row],[Type]]="Transportation", "ton", "")</f>
        <v/>
      </c>
      <c r="M37" s="10"/>
      <c r="N37" s="10"/>
      <c r="O37" s="10" t="str">
        <f>Table115[[#This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IF(Table115[[#This Row],[Type]]="Co-product", "No", "")</f>
        <v/>
      </c>
      <c r="J38" s="10"/>
      <c r="K38" s="10" t="str">
        <f>IF(Table115[[#This Row],[Type]]="Transportation", _xlfn.XLOOKUP(Table115[[#This Row],[Resource]], 'SI - Payload'!$A$10:$A$33,'SI - Payload'!$B$10:$B$33,"",0), "")</f>
        <v/>
      </c>
      <c r="L38" s="10" t="str">
        <f>IF(Table115[[#This Row],[Type]]="Transportation", "ton", "")</f>
        <v/>
      </c>
      <c r="M38" s="10"/>
      <c r="N38" s="10"/>
      <c r="O38" s="10" t="str">
        <f>Table115[[#This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IF(Table115[[#This Row],[Type]]="Co-product", "No", "")</f>
        <v/>
      </c>
      <c r="J39" s="10"/>
      <c r="K39" s="10" t="str">
        <f>IF(Table115[[#This Row],[Type]]="Transportation", _xlfn.XLOOKUP(Table115[[#This Row],[Resource]], 'SI - Payload'!$A$10:$A$33,'SI - Payload'!$B$10:$B$33,"",0), "")</f>
        <v/>
      </c>
      <c r="L39" s="10" t="str">
        <f>IF(Table115[[#This Row],[Type]]="Transportation", "ton", "")</f>
        <v/>
      </c>
      <c r="M39" s="10"/>
      <c r="N39" s="10"/>
      <c r="O39" s="10" t="str">
        <f>Table115[[#This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IF(Table115[[#This Row],[Type]]="Co-product", "No", "")</f>
        <v/>
      </c>
      <c r="J40" s="10"/>
      <c r="K40" s="10" t="str">
        <f>IF(Table115[[#This Row],[Type]]="Transportation", _xlfn.XLOOKUP(Table115[[#This Row],[Resource]], 'SI - Payload'!$A$10:$A$33,'SI - Payload'!$B$10:$B$33,"",0), "")</f>
        <v/>
      </c>
      <c r="L40" s="10" t="str">
        <f>IF(Table115[[#This Row],[Type]]="Transportation", "ton", "")</f>
        <v/>
      </c>
      <c r="M40" s="10"/>
      <c r="N40" s="10"/>
      <c r="O40" s="10" t="str">
        <f>Table115[[#This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IF(Table115[[#This Row],[Type]]="Co-product", "No", "")</f>
        <v/>
      </c>
      <c r="J41" s="10"/>
      <c r="K41" s="10" t="str">
        <f>IF(Table115[[#This Row],[Type]]="Transportation", _xlfn.XLOOKUP(Table115[[#This Row],[Resource]], 'SI - Payload'!$A$10:$A$33,'SI - Payload'!$B$10:$B$33,"",0), "")</f>
        <v/>
      </c>
      <c r="L41" s="10" t="str">
        <f>IF(Table115[[#This Row],[Type]]="Transportation", "ton", "")</f>
        <v/>
      </c>
      <c r="M41" s="10"/>
      <c r="N41" s="10"/>
      <c r="O41" s="10" t="str">
        <f>Table115[[#This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IF(Table115[[#This Row],[Type]]="Co-product", "No", "")</f>
        <v/>
      </c>
      <c r="J42" s="10"/>
      <c r="K42" s="10" t="str">
        <f>IF(Table115[[#This Row],[Type]]="Transportation", _xlfn.XLOOKUP(Table115[[#This Row],[Resource]], 'SI - Payload'!$A$10:$A$33,'SI - Payload'!$B$10:$B$33,"",0), "")</f>
        <v/>
      </c>
      <c r="L42" s="10" t="str">
        <f>IF(Table115[[#This Row],[Type]]="Transportation", "ton", "")</f>
        <v/>
      </c>
      <c r="M42" s="10"/>
      <c r="N42" s="10"/>
      <c r="O42" s="10" t="str">
        <f>Table115[[#This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IF(Table115[[#This Row],[Type]]="Co-product", "No", "")</f>
        <v/>
      </c>
      <c r="J43" s="10"/>
      <c r="K43" s="10" t="str">
        <f>IF(Table115[[#This Row],[Type]]="Transportation", _xlfn.XLOOKUP(Table115[[#This Row],[Resource]], 'SI - Payload'!$A$10:$A$33,'SI - Payload'!$B$10:$B$33,"",0), "")</f>
        <v/>
      </c>
      <c r="L43" s="10" t="str">
        <f>IF(Table115[[#This Row],[Type]]="Transportation", "ton", "")</f>
        <v/>
      </c>
      <c r="M43" s="10"/>
      <c r="N43" s="10"/>
      <c r="O43" s="10" t="str">
        <f>Table115[[#This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IF(Table115[[#This Row],[Type]]="Co-product", "No", "")</f>
        <v/>
      </c>
      <c r="J44" s="10"/>
      <c r="K44" s="10" t="str">
        <f>IF(Table115[[#This Row],[Type]]="Transportation", _xlfn.XLOOKUP(Table115[[#This Row],[Resource]], 'SI - Payload'!$A$10:$A$33,'SI - Payload'!$B$10:$B$33,"",0), "")</f>
        <v/>
      </c>
      <c r="L44" s="10" t="str">
        <f>IF(Table115[[#This Row],[Type]]="Transportation", "ton", "")</f>
        <v/>
      </c>
      <c r="M44" s="10"/>
      <c r="N44" s="10"/>
      <c r="O44" s="10" t="str">
        <f>Table115[[#This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IF(Table115[[#This Row],[Type]]="Co-product", "No", "")</f>
        <v/>
      </c>
      <c r="J45" s="10"/>
      <c r="K45" s="10" t="str">
        <f>IF(Table115[[#This Row],[Type]]="Transportation", _xlfn.XLOOKUP(Table115[[#This Row],[Resource]], 'SI - Payload'!$A$10:$A$33,'SI - Payload'!$B$10:$B$33,"",0), "")</f>
        <v/>
      </c>
      <c r="L45" s="10" t="str">
        <f>IF(Table115[[#This Row],[Type]]="Transportation", "ton", "")</f>
        <v/>
      </c>
      <c r="M45" s="10"/>
      <c r="N45" s="10"/>
      <c r="O45" s="10" t="str">
        <f>Table115[[#This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IF(Table115[[#This Row],[Type]]="Co-product", "No", "")</f>
        <v/>
      </c>
      <c r="J46" s="10"/>
      <c r="K46" s="10" t="str">
        <f>IF(Table115[[#This Row],[Type]]="Transportation", _xlfn.XLOOKUP(Table115[[#This Row],[Resource]], 'SI - Payload'!$A$10:$A$33,'SI - Payload'!$B$10:$B$33,"",0), "")</f>
        <v/>
      </c>
      <c r="L46" s="10" t="str">
        <f>IF(Table115[[#This Row],[Type]]="Transportation", "ton", "")</f>
        <v/>
      </c>
      <c r="M46" s="10"/>
      <c r="N46" s="10"/>
      <c r="O46" s="10" t="str">
        <f>Table115[[#This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IF(Table115[[#This Row],[Type]]="Co-product", "No", "")</f>
        <v/>
      </c>
      <c r="J47" s="10"/>
      <c r="K47" s="10" t="str">
        <f>IF(Table115[[#This Row],[Type]]="Transportation", _xlfn.XLOOKUP(Table115[[#This Row],[Resource]], 'SI - Payload'!$A$10:$A$33,'SI - Payload'!$B$10:$B$33,"",0), "")</f>
        <v/>
      </c>
      <c r="L47" s="10" t="str">
        <f>IF(Table115[[#This Row],[Type]]="Transportation", "ton", "")</f>
        <v/>
      </c>
      <c r="M47" s="10"/>
      <c r="N47" s="10"/>
      <c r="O47" s="10" t="str">
        <f>Table115[[#This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IF(Table115[[#This Row],[Type]]="Co-product", "No", "")</f>
        <v/>
      </c>
      <c r="J48" s="10"/>
      <c r="K48" s="10" t="str">
        <f>IF(Table115[[#This Row],[Type]]="Transportation", _xlfn.XLOOKUP(Table115[[#This Row],[Resource]], 'SI - Payload'!$A$10:$A$33,'SI - Payload'!$B$10:$B$33,"",0), "")</f>
        <v/>
      </c>
      <c r="L48" s="10" t="str">
        <f>IF(Table115[[#This Row],[Type]]="Transportation", "ton", "")</f>
        <v/>
      </c>
      <c r="M48" s="10"/>
      <c r="N48" s="10"/>
      <c r="O48" s="10" t="str">
        <f>Table115[[#This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IF(Table115[[#This Row],[Type]]="Co-product", "No", "")</f>
        <v/>
      </c>
      <c r="J49" s="10"/>
      <c r="K49" s="10" t="str">
        <f>IF(Table115[[#This Row],[Type]]="Transportation", _xlfn.XLOOKUP(Table115[[#This Row],[Resource]], 'SI - Payload'!$A$10:$A$33,'SI - Payload'!$B$10:$B$33,"",0), "")</f>
        <v/>
      </c>
      <c r="L49" s="10" t="str">
        <f>IF(Table115[[#This Row],[Type]]="Transportation", "ton", "")</f>
        <v/>
      </c>
      <c r="M49" s="10"/>
      <c r="N49" s="10"/>
      <c r="O49" s="10" t="str">
        <f>Table115[[#This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IF(Table115[[#This Row],[Type]]="Co-product", "No", "")</f>
        <v/>
      </c>
      <c r="J50" s="10"/>
      <c r="K50" s="10" t="str">
        <f>IF(Table115[[#This Row],[Type]]="Transportation", _xlfn.XLOOKUP(Table115[[#This Row],[Resource]], 'SI - Payload'!$A$10:$A$33,'SI - Payload'!$B$10:$B$33,"",0), "")</f>
        <v/>
      </c>
      <c r="L50" s="10" t="str">
        <f>IF(Table115[[#This Row],[Type]]="Transportation", "ton", "")</f>
        <v/>
      </c>
      <c r="M50" s="10"/>
      <c r="N50" s="10"/>
      <c r="O50" s="10" t="str">
        <f>Table115[[#This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IF(Table115[[#This Row],[Type]]="Co-product", "No", "")</f>
        <v/>
      </c>
      <c r="J51" s="10"/>
      <c r="K51" s="10" t="str">
        <f>IF(Table115[[#This Row],[Type]]="Transportation", _xlfn.XLOOKUP(Table115[[#This Row],[Resource]], 'SI - Payload'!$A$10:$A$33,'SI - Payload'!$B$10:$B$33,"",0), "")</f>
        <v/>
      </c>
      <c r="L51" s="10" t="str">
        <f>IF(Table115[[#This Row],[Type]]="Transportation", "ton", "")</f>
        <v/>
      </c>
      <c r="M51" s="10"/>
      <c r="N51" s="10"/>
      <c r="O51" s="10" t="str">
        <f>Table115[[#This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IF(Table115[[#This Row],[Type]]="Co-product", "No", "")</f>
        <v/>
      </c>
      <c r="J52" s="10"/>
      <c r="K52" s="10" t="str">
        <f>IF(Table115[[#This Row],[Type]]="Transportation", _xlfn.XLOOKUP(Table115[[#This Row],[Resource]], 'SI - Payload'!$A$10:$A$33,'SI - Payload'!$B$10:$B$33,"",0), "")</f>
        <v/>
      </c>
      <c r="L52" s="10" t="str">
        <f>IF(Table115[[#This Row],[Type]]="Transportation", "ton", "")</f>
        <v/>
      </c>
      <c r="M52" s="10"/>
      <c r="N52" s="10"/>
      <c r="O52" s="10" t="str">
        <f>Table115[[#This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IF(Table115[[#This Row],[Type]]="Co-product", "No", "")</f>
        <v/>
      </c>
      <c r="J53" s="10"/>
      <c r="K53" s="10" t="str">
        <f>IF(Table115[[#This Row],[Type]]="Transportation", _xlfn.XLOOKUP(Table115[[#This Row],[Resource]], 'SI - Payload'!$A$10:$A$33,'SI - Payload'!$B$10:$B$33,"",0), "")</f>
        <v/>
      </c>
      <c r="L53" s="10" t="str">
        <f>IF(Table115[[#This Row],[Type]]="Transportation", "ton", "")</f>
        <v/>
      </c>
      <c r="M53" s="10"/>
      <c r="N53" s="10"/>
      <c r="O53" s="10" t="str">
        <f>Table115[[#This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IF(Table115[[#This Row],[Type]]="Co-product", "No", "")</f>
        <v/>
      </c>
      <c r="J54" s="10"/>
      <c r="K54" s="10" t="str">
        <f>IF(Table115[[#This Row],[Type]]="Transportation", _xlfn.XLOOKUP(Table115[[#This Row],[Resource]], 'SI - Payload'!$A$10:$A$33,'SI - Payload'!$B$10:$B$33,"",0), "")</f>
        <v/>
      </c>
      <c r="L54" s="10" t="str">
        <f>IF(Table115[[#This Row],[Type]]="Transportation", "ton", "")</f>
        <v/>
      </c>
      <c r="M54" s="10"/>
      <c r="N54" s="10"/>
      <c r="O54" s="10" t="str">
        <f>Table115[[#This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IF(Table115[[#This Row],[Type]]="Co-product", "No", "")</f>
        <v/>
      </c>
      <c r="J55" s="10"/>
      <c r="K55" s="10" t="str">
        <f>IF(Table115[[#This Row],[Type]]="Transportation", _xlfn.XLOOKUP(Table115[[#This Row],[Resource]], 'SI - Payload'!$A$10:$A$33,'SI - Payload'!$B$10:$B$33,"",0), "")</f>
        <v/>
      </c>
      <c r="L55" s="10" t="str">
        <f>IF(Table115[[#This Row],[Type]]="Transportation", "ton", "")</f>
        <v/>
      </c>
      <c r="M55" s="10"/>
      <c r="N55" s="10"/>
      <c r="O55" s="10" t="str">
        <f>Table115[[#This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IF(Table115[[#This Row],[Type]]="Co-product", "No", "")</f>
        <v/>
      </c>
      <c r="J56" s="10"/>
      <c r="K56" s="10" t="str">
        <f>IF(Table115[[#This Row],[Type]]="Transportation", _xlfn.XLOOKUP(Table115[[#This Row],[Resource]], 'SI - Payload'!$A$10:$A$33,'SI - Payload'!$B$10:$B$33,"",0), "")</f>
        <v/>
      </c>
      <c r="L56" s="10" t="str">
        <f>IF(Table115[[#This Row],[Type]]="Transportation", "ton", "")</f>
        <v/>
      </c>
      <c r="M56" s="10"/>
      <c r="N56" s="10"/>
      <c r="O56" s="10" t="str">
        <f>Table115[[#This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IF(Table115[[#This Row],[Type]]="Co-product", "No", "")</f>
        <v/>
      </c>
      <c r="J57" s="10"/>
      <c r="K57" s="10" t="str">
        <f>IF(Table115[[#This Row],[Type]]="Transportation", _xlfn.XLOOKUP(Table115[[#This Row],[Resource]], 'SI - Payload'!$A$10:$A$33,'SI - Payload'!$B$10:$B$33,"",0), "")</f>
        <v/>
      </c>
      <c r="L57" s="10" t="str">
        <f>IF(Table115[[#This Row],[Type]]="Transportation", "ton", "")</f>
        <v/>
      </c>
      <c r="M57" s="10"/>
      <c r="N57" s="10"/>
      <c r="O57" s="10" t="str">
        <f>Table115[[#This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IF(Table115[[#This Row],[Type]]="Co-product", "No", "")</f>
        <v/>
      </c>
      <c r="J58" s="10"/>
      <c r="K58" s="10" t="str">
        <f>IF(Table115[[#This Row],[Type]]="Transportation", _xlfn.XLOOKUP(Table115[[#This Row],[Resource]], 'SI - Payload'!$A$10:$A$33,'SI - Payload'!$B$10:$B$33,"",0), "")</f>
        <v/>
      </c>
      <c r="L58" s="10" t="str">
        <f>IF(Table115[[#This Row],[Type]]="Transportation", "ton", "")</f>
        <v/>
      </c>
      <c r="M58" s="10"/>
      <c r="N58" s="10"/>
      <c r="O58" s="10" t="str">
        <f>Table115[[#This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IF(Table115[[#This Row],[Type]]="Co-product", "No", "")</f>
        <v/>
      </c>
      <c r="J59" s="10"/>
      <c r="K59" s="10" t="str">
        <f>IF(Table115[[#This Row],[Type]]="Transportation", _xlfn.XLOOKUP(Table115[[#This Row],[Resource]], 'SI - Payload'!$A$10:$A$33,'SI - Payload'!$B$10:$B$33,"",0), "")</f>
        <v/>
      </c>
      <c r="L59" s="10" t="str">
        <f>IF(Table115[[#This Row],[Type]]="Transportation", "ton", "")</f>
        <v/>
      </c>
      <c r="M59" s="10"/>
      <c r="N59" s="10"/>
      <c r="O59" s="10" t="str">
        <f>Table115[[#This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IF(Table115[[#This Row],[Type]]="Co-product", "No", "")</f>
        <v/>
      </c>
      <c r="J60" s="10"/>
      <c r="K60" s="10" t="str">
        <f>IF(Table115[[#This Row],[Type]]="Transportation", _xlfn.XLOOKUP(Table115[[#This Row],[Resource]], 'SI - Payload'!$A$10:$A$33,'SI - Payload'!$B$10:$B$33,"",0), "")</f>
        <v/>
      </c>
      <c r="L60" s="10" t="str">
        <f>IF(Table115[[#This Row],[Type]]="Transportation", "ton", "")</f>
        <v/>
      </c>
      <c r="M60" s="10"/>
      <c r="N60" s="10"/>
      <c r="O60" s="10" t="str">
        <f>Table115[[#This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IF(Table115[[#This Row],[Type]]="Co-product", "No", "")</f>
        <v/>
      </c>
      <c r="J61" s="10"/>
      <c r="K61" s="10" t="str">
        <f>IF(Table115[[#This Row],[Type]]="Transportation", _xlfn.XLOOKUP(Table115[[#This Row],[Resource]], 'SI - Payload'!$A$10:$A$33,'SI - Payload'!$B$10:$B$33,"",0), "")</f>
        <v/>
      </c>
      <c r="L61" s="10" t="str">
        <f>IF(Table115[[#This Row],[Type]]="Transportation", "ton", "")</f>
        <v/>
      </c>
      <c r="M61" s="10"/>
      <c r="N61" s="10"/>
      <c r="O61" s="10" t="str">
        <f>Table115[[#This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IF(Table115[[#This Row],[Type]]="Co-product", "No", "")</f>
        <v/>
      </c>
      <c r="J62" s="10"/>
      <c r="K62" s="10" t="str">
        <f>IF(Table115[[#This Row],[Type]]="Transportation", _xlfn.XLOOKUP(Table115[[#This Row],[Resource]], 'SI - Payload'!$A$10:$A$33,'SI - Payload'!$B$10:$B$33,"",0), "")</f>
        <v/>
      </c>
      <c r="L62" s="10" t="str">
        <f>IF(Table115[[#This Row],[Type]]="Transportation", "ton", "")</f>
        <v/>
      </c>
      <c r="M62" s="10"/>
      <c r="N62" s="10"/>
      <c r="O62" s="10" t="str">
        <f>Table115[[#This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IF(Table115[[#This Row],[Type]]="Co-product", "No", "")</f>
        <v/>
      </c>
      <c r="J63" s="10"/>
      <c r="K63" s="10" t="str">
        <f>IF(Table115[[#This Row],[Type]]="Transportation", _xlfn.XLOOKUP(Table115[[#This Row],[Resource]], 'SI - Payload'!$A$10:$A$33,'SI - Payload'!$B$10:$B$33,"",0), "")</f>
        <v/>
      </c>
      <c r="L63" s="10" t="str">
        <f>IF(Table115[[#This Row],[Type]]="Transportation", "ton", "")</f>
        <v/>
      </c>
      <c r="M63" s="10"/>
      <c r="N63" s="10"/>
      <c r="O63" s="10" t="str">
        <f>Table115[[#This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IF(Table115[[#This Row],[Type]]="Co-product", "No", "")</f>
        <v/>
      </c>
      <c r="J64" s="10"/>
      <c r="K64" s="10" t="str">
        <f>IF(Table115[[#This Row],[Type]]="Transportation", _xlfn.XLOOKUP(Table115[[#This Row],[Resource]], 'SI - Payload'!$A$10:$A$33,'SI - Payload'!$B$10:$B$33,"",0), "")</f>
        <v/>
      </c>
      <c r="L64" s="10" t="str">
        <f>IF(Table115[[#This Row],[Type]]="Transportation", "ton", "")</f>
        <v/>
      </c>
      <c r="M64" s="10"/>
      <c r="N64" s="10"/>
      <c r="O64" s="10" t="str">
        <f>Table115[[#This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IF(Table115[[#This Row],[Type]]="Co-product", "No", "")</f>
        <v/>
      </c>
      <c r="J65" s="10"/>
      <c r="K65" s="10" t="str">
        <f>IF(Table115[[#This Row],[Type]]="Transportation", _xlfn.XLOOKUP(Table115[[#This Row],[Resource]], 'SI - Payload'!$A$10:$A$33,'SI - Payload'!$B$10:$B$33,"",0), "")</f>
        <v/>
      </c>
      <c r="L65" s="10" t="str">
        <f>IF(Table115[[#This Row],[Type]]="Transportation", "ton", "")</f>
        <v/>
      </c>
      <c r="M65" s="10"/>
      <c r="N65" s="10"/>
      <c r="O65" s="10" t="str">
        <f>Table115[[#This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IF(Table115[[#This Row],[Type]]="Co-product", "No", "")</f>
        <v/>
      </c>
      <c r="J66" s="10"/>
      <c r="K66" s="10" t="str">
        <f>IF(Table115[[#This Row],[Type]]="Transportation", _xlfn.XLOOKUP(Table115[[#This Row],[Resource]], 'SI - Payload'!$A$10:$A$33,'SI - Payload'!$B$10:$B$33,"",0), "")</f>
        <v/>
      </c>
      <c r="L66" s="10" t="str">
        <f>IF(Table115[[#This Row],[Type]]="Transportation", "ton", "")</f>
        <v/>
      </c>
      <c r="M66" s="10"/>
      <c r="N66" s="10"/>
      <c r="O66" s="10" t="str">
        <f>Table115[[#This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IF(Table115[[#This Row],[Type]]="Co-product", "No", "")</f>
        <v/>
      </c>
      <c r="J67" s="10"/>
      <c r="K67" s="10" t="str">
        <f>IF(Table115[[#This Row],[Type]]="Transportation", _xlfn.XLOOKUP(Table115[[#This Row],[Resource]], 'SI - Payload'!$A$10:$A$33,'SI - Payload'!$B$10:$B$33,"",0), "")</f>
        <v/>
      </c>
      <c r="L67" s="10" t="str">
        <f>IF(Table115[[#This Row],[Type]]="Transportation", "ton", "")</f>
        <v/>
      </c>
      <c r="M67" s="10"/>
      <c r="N67" s="10"/>
      <c r="O67" s="10" t="str">
        <f>Table115[[#This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IF(Table115[[#This Row],[Type]]="Co-product", "No", "")</f>
        <v/>
      </c>
      <c r="J68" s="10"/>
      <c r="K68" s="10" t="str">
        <f>IF(Table115[[#This Row],[Type]]="Transportation", _xlfn.XLOOKUP(Table115[[#This Row],[Resource]], 'SI - Payload'!$A$10:$A$33,'SI - Payload'!$B$10:$B$33,"",0), "")</f>
        <v/>
      </c>
      <c r="L68" s="10" t="str">
        <f>IF(Table115[[#This Row],[Type]]="Transportation", "ton", "")</f>
        <v/>
      </c>
      <c r="M68" s="10"/>
      <c r="N68" s="10"/>
      <c r="O68" s="10" t="str">
        <f>Table115[[#This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IF(Table115[[#This Row],[Type]]="Co-product", "No", "")</f>
        <v/>
      </c>
      <c r="J69" s="10"/>
      <c r="K69" s="10" t="str">
        <f>IF(Table115[[#This Row],[Type]]="Transportation", _xlfn.XLOOKUP(Table115[[#This Row],[Resource]], 'SI - Payload'!$A$10:$A$33,'SI - Payload'!$B$10:$B$33,"",0), "")</f>
        <v/>
      </c>
      <c r="L69" s="10" t="str">
        <f>IF(Table115[[#This Row],[Type]]="Transportation", "ton", "")</f>
        <v/>
      </c>
      <c r="M69" s="10"/>
      <c r="N69" s="10"/>
      <c r="O69" s="10" t="str">
        <f>Table115[[#This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IF(Table115[[#This Row],[Type]]="Co-product", "No", "")</f>
        <v/>
      </c>
      <c r="J70" s="10"/>
      <c r="K70" s="10" t="str">
        <f>IF(Table115[[#This Row],[Type]]="Transportation", _xlfn.XLOOKUP(Table115[[#This Row],[Resource]], 'SI - Payload'!$A$10:$A$33,'SI - Payload'!$B$10:$B$33,"",0), "")</f>
        <v/>
      </c>
      <c r="L70" s="10" t="str">
        <f>IF(Table115[[#This Row],[Type]]="Transportation", "ton", "")</f>
        <v/>
      </c>
      <c r="M70" s="10"/>
      <c r="N70" s="10"/>
      <c r="O70" s="10" t="str">
        <f>Table115[[#This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IF(Table115[[#This Row],[Type]]="Co-product", "No", "")</f>
        <v/>
      </c>
      <c r="J71" s="10"/>
      <c r="K71" s="10" t="str">
        <f>IF(Table115[[#This Row],[Type]]="Transportation", _xlfn.XLOOKUP(Table115[[#This Row],[Resource]], 'SI - Payload'!$A$10:$A$33,'SI - Payload'!$B$10:$B$33,"",0), "")</f>
        <v/>
      </c>
      <c r="L71" s="10" t="str">
        <f>IF(Table115[[#This Row],[Type]]="Transportation", "ton", "")</f>
        <v/>
      </c>
      <c r="M71" s="10"/>
      <c r="N71" s="10"/>
      <c r="O71" s="10" t="str">
        <f>Table115[[#This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IF(Table115[[#This Row],[Type]]="Co-product", "No", "")</f>
        <v/>
      </c>
      <c r="J72" s="10"/>
      <c r="K72" s="10" t="str">
        <f>IF(Table115[[#This Row],[Type]]="Transportation", _xlfn.XLOOKUP(Table115[[#This Row],[Resource]], 'SI - Payload'!$A$10:$A$33,'SI - Payload'!$B$10:$B$33,"",0), "")</f>
        <v/>
      </c>
      <c r="L72" s="10" t="str">
        <f>IF(Table115[[#This Row],[Type]]="Transportation", "ton", "")</f>
        <v/>
      </c>
      <c r="M72" s="10"/>
      <c r="N72" s="10"/>
      <c r="O72" s="10" t="str">
        <f>Table115[[#This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IF(Table115[[#This Row],[Type]]="Co-product", "No", "")</f>
        <v/>
      </c>
      <c r="J73" s="10"/>
      <c r="K73" s="10" t="str">
        <f>IF(Table115[[#This Row],[Type]]="Transportation", _xlfn.XLOOKUP(Table115[[#This Row],[Resource]], 'SI - Payload'!$A$10:$A$33,'SI - Payload'!$B$10:$B$33,"",0), "")</f>
        <v/>
      </c>
      <c r="L73" s="10" t="str">
        <f>IF(Table115[[#This Row],[Type]]="Transportation", "ton", "")</f>
        <v/>
      </c>
      <c r="M73" s="10"/>
      <c r="N73" s="10"/>
      <c r="O73" s="10" t="str">
        <f>Table115[[#This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IF(Table115[[#This Row],[Type]]="Co-product", "No", "")</f>
        <v/>
      </c>
      <c r="J74" s="10"/>
      <c r="K74" s="10" t="str">
        <f>IF(Table115[[#This Row],[Type]]="Transportation", _xlfn.XLOOKUP(Table115[[#This Row],[Resource]], 'SI - Payload'!$A$10:$A$33,'SI - Payload'!$B$10:$B$33,"",0), "")</f>
        <v/>
      </c>
      <c r="L74" s="10" t="str">
        <f>IF(Table115[[#This Row],[Type]]="Transportation", "ton", "")</f>
        <v/>
      </c>
      <c r="M74" s="10"/>
      <c r="N74" s="10"/>
      <c r="O74" s="10" t="str">
        <f>Table115[[#This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IF(Table115[[#This Row],[Type]]="Co-product", "No", "")</f>
        <v/>
      </c>
      <c r="J75" s="10"/>
      <c r="K75" s="10" t="str">
        <f>IF(Table115[[#This Row],[Type]]="Transportation", _xlfn.XLOOKUP(Table115[[#This Row],[Resource]], 'SI - Payload'!$A$10:$A$33,'SI - Payload'!$B$10:$B$33,"",0), "")</f>
        <v/>
      </c>
      <c r="L75" s="10" t="str">
        <f>IF(Table115[[#This Row],[Type]]="Transportation", "ton", "")</f>
        <v/>
      </c>
      <c r="M75" s="10"/>
      <c r="N75" s="10"/>
      <c r="O75" s="10" t="str">
        <f>Table115[[#This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IF(Table115[[#This Row],[Type]]="Co-product", "No", "")</f>
        <v/>
      </c>
      <c r="J76" s="10"/>
      <c r="K76" s="10" t="str">
        <f>IF(Table115[[#This Row],[Type]]="Transportation", _xlfn.XLOOKUP(Table115[[#This Row],[Resource]], 'SI - Payload'!$A$10:$A$33,'SI - Payload'!$B$10:$B$33,"",0), "")</f>
        <v/>
      </c>
      <c r="L76" s="10" t="str">
        <f>IF(Table115[[#This Row],[Type]]="Transportation", "ton", "")</f>
        <v/>
      </c>
      <c r="M76" s="10"/>
      <c r="N76" s="10"/>
      <c r="O76" s="10" t="str">
        <f>Table115[[#This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IF(Table115[[#This Row],[Type]]="Co-product", "No", "")</f>
        <v/>
      </c>
      <c r="J77" s="10"/>
      <c r="K77" s="10" t="str">
        <f>IF(Table115[[#This Row],[Type]]="Transportation", _xlfn.XLOOKUP(Table115[[#This Row],[Resource]], 'SI - Payload'!$A$10:$A$33,'SI - Payload'!$B$10:$B$33,"",0), "")</f>
        <v/>
      </c>
      <c r="L77" s="10" t="str">
        <f>IF(Table115[[#This Row],[Type]]="Transportation", "ton", "")</f>
        <v/>
      </c>
      <c r="M77" s="10"/>
      <c r="N77" s="10"/>
      <c r="O77" s="10" t="str">
        <f>Table115[[#This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IF(Table115[[#This Row],[Type]]="Co-product", "No", "")</f>
        <v/>
      </c>
      <c r="J78" s="10"/>
      <c r="K78" s="10" t="str">
        <f>IF(Table115[[#This Row],[Type]]="Transportation", _xlfn.XLOOKUP(Table115[[#This Row],[Resource]], 'SI - Payload'!$A$10:$A$33,'SI - Payload'!$B$10:$B$33,"",0), "")</f>
        <v/>
      </c>
      <c r="L78" s="10" t="str">
        <f>IF(Table115[[#This Row],[Type]]="Transportation", "ton", "")</f>
        <v/>
      </c>
      <c r="M78" s="10"/>
      <c r="N78" s="10"/>
      <c r="O78" s="10" t="str">
        <f>Table115[[#This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IF(Table115[[#This Row],[Type]]="Co-product", "No", "")</f>
        <v/>
      </c>
      <c r="J79" s="10"/>
      <c r="K79" s="10" t="str">
        <f>IF(Table115[[#This Row],[Type]]="Transportation", _xlfn.XLOOKUP(Table115[[#This Row],[Resource]], 'SI - Payload'!$A$10:$A$33,'SI - Payload'!$B$10:$B$33,"",0), "")</f>
        <v/>
      </c>
      <c r="L79" s="10" t="str">
        <f>IF(Table115[[#This Row],[Type]]="Transportation", "ton", "")</f>
        <v/>
      </c>
      <c r="M79" s="10"/>
      <c r="N79" s="10"/>
      <c r="O79" s="10" t="str">
        <f>Table115[[#This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IF(Table115[[#This Row],[Type]]="Co-product", "No", "")</f>
        <v/>
      </c>
      <c r="J80" s="10"/>
      <c r="K80" s="10" t="str">
        <f>IF(Table115[[#This Row],[Type]]="Transportation", _xlfn.XLOOKUP(Table115[[#This Row],[Resource]], 'SI - Payload'!$A$10:$A$33,'SI - Payload'!$B$10:$B$33,"",0), "")</f>
        <v/>
      </c>
      <c r="L80" s="10" t="str">
        <f>IF(Table115[[#This Row],[Type]]="Transportation", "ton", "")</f>
        <v/>
      </c>
      <c r="M80" s="10"/>
      <c r="N80" s="10"/>
      <c r="O80" s="10" t="str">
        <f>Table115[[#This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IF(Table115[[#This Row],[Type]]="Co-product", "No", "")</f>
        <v/>
      </c>
      <c r="J81" s="10"/>
      <c r="K81" s="10" t="str">
        <f>IF(Table115[[#This Row],[Type]]="Transportation", _xlfn.XLOOKUP(Table115[[#This Row],[Resource]], 'SI - Payload'!$A$10:$A$33,'SI - Payload'!$B$10:$B$33,"",0), "")</f>
        <v/>
      </c>
      <c r="L81" s="10" t="str">
        <f>IF(Table115[[#This Row],[Type]]="Transportation", "ton", "")</f>
        <v/>
      </c>
      <c r="M81" s="10"/>
      <c r="N81" s="10"/>
      <c r="O81" s="10" t="str">
        <f>Table115[[#This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IF(Table115[[#This Row],[Type]]="Co-product", "No", "")</f>
        <v/>
      </c>
      <c r="J82" s="10"/>
      <c r="K82" s="10" t="str">
        <f>IF(Table115[[#This Row],[Type]]="Transportation", _xlfn.XLOOKUP(Table115[[#This Row],[Resource]], 'SI - Payload'!$A$10:$A$33,'SI - Payload'!$B$10:$B$33,"",0), "")</f>
        <v/>
      </c>
      <c r="L82" s="10" t="str">
        <f>IF(Table115[[#This Row],[Type]]="Transportation", "ton", "")</f>
        <v/>
      </c>
      <c r="M82" s="10"/>
      <c r="N82" s="10"/>
      <c r="O82" s="10" t="str">
        <f>Table115[[#This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IF(Table115[[#This Row],[Type]]="Co-product", "No", "")</f>
        <v/>
      </c>
      <c r="J83" s="10"/>
      <c r="K83" s="10" t="str">
        <f>IF(Table115[[#This Row],[Type]]="Transportation", _xlfn.XLOOKUP(Table115[[#This Row],[Resource]], 'SI - Payload'!$A$10:$A$33,'SI - Payload'!$B$10:$B$33,"",0), "")</f>
        <v/>
      </c>
      <c r="L83" s="10" t="str">
        <f>IF(Table115[[#This Row],[Type]]="Transportation", "ton", "")</f>
        <v/>
      </c>
      <c r="M83" s="10"/>
      <c r="N83" s="10"/>
      <c r="O83" s="10" t="str">
        <f>Table115[[#This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IF(Table115[[#This Row],[Type]]="Co-product", "No", "")</f>
        <v/>
      </c>
      <c r="J84" s="10"/>
      <c r="K84" s="10" t="str">
        <f>IF(Table115[[#This Row],[Type]]="Transportation", _xlfn.XLOOKUP(Table115[[#This Row],[Resource]], 'SI - Payload'!$A$10:$A$33,'SI - Payload'!$B$10:$B$33,"",0), "")</f>
        <v/>
      </c>
      <c r="L84" s="10" t="str">
        <f>IF(Table115[[#This Row],[Type]]="Transportation", "ton", "")</f>
        <v/>
      </c>
      <c r="M84" s="10"/>
      <c r="N84" s="10"/>
      <c r="O84" s="10" t="str">
        <f>Table115[[#This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IF(Table115[[#This Row],[Type]]="Co-product", "No", "")</f>
        <v/>
      </c>
      <c r="J85" s="10"/>
      <c r="K85" s="10" t="str">
        <f>IF(Table115[[#This Row],[Type]]="Transportation", _xlfn.XLOOKUP(Table115[[#This Row],[Resource]], 'SI - Payload'!$A$10:$A$33,'SI - Payload'!$B$10:$B$33,"",0), "")</f>
        <v/>
      </c>
      <c r="L85" s="10" t="str">
        <f>IF(Table115[[#This Row],[Type]]="Transportation", "ton", "")</f>
        <v/>
      </c>
      <c r="M85" s="10"/>
      <c r="N85" s="10"/>
      <c r="O85" s="10" t="str">
        <f>Table115[[#This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IF(Table115[[#This Row],[Type]]="Co-product", "No", "")</f>
        <v/>
      </c>
      <c r="J86" s="10"/>
      <c r="K86" s="10" t="str">
        <f>IF(Table115[[#This Row],[Type]]="Transportation", _xlfn.XLOOKUP(Table115[[#This Row],[Resource]], 'SI - Payload'!$A$10:$A$33,'SI - Payload'!$B$10:$B$33,"",0), "")</f>
        <v/>
      </c>
      <c r="L86" s="10" t="str">
        <f>IF(Table115[[#This Row],[Type]]="Transportation", "ton", "")</f>
        <v/>
      </c>
      <c r="M86" s="10"/>
      <c r="N86" s="10"/>
      <c r="O86" s="10" t="str">
        <f>Table115[[#This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IF(Table115[[#This Row],[Type]]="Co-product", "No", "")</f>
        <v/>
      </c>
      <c r="J87" s="10"/>
      <c r="K87" s="10" t="str">
        <f>IF(Table115[[#This Row],[Type]]="Transportation", _xlfn.XLOOKUP(Table115[[#This Row],[Resource]], 'SI - Payload'!$A$10:$A$33,'SI - Payload'!$B$10:$B$33,"",0), "")</f>
        <v/>
      </c>
      <c r="L87" s="10" t="str">
        <f>IF(Table115[[#This Row],[Type]]="Transportation", "ton", "")</f>
        <v/>
      </c>
      <c r="M87" s="10"/>
      <c r="N87" s="10"/>
      <c r="O87" s="10" t="str">
        <f>Table115[[#This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IF(Table115[[#This Row],[Type]]="Co-product", "No", "")</f>
        <v/>
      </c>
      <c r="J88" s="10"/>
      <c r="K88" s="10" t="str">
        <f>IF(Table115[[#This Row],[Type]]="Transportation", _xlfn.XLOOKUP(Table115[[#This Row],[Resource]], 'SI - Payload'!$A$10:$A$33,'SI - Payload'!$B$10:$B$33,"",0), "")</f>
        <v/>
      </c>
      <c r="L88" s="10" t="str">
        <f>IF(Table115[[#This Row],[Type]]="Transportation", "ton", "")</f>
        <v/>
      </c>
      <c r="M88" s="10"/>
      <c r="N88" s="10"/>
      <c r="O88" s="10" t="str">
        <f>Table115[[#This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IF(Table115[[#This Row],[Type]]="Co-product", "No", "")</f>
        <v/>
      </c>
      <c r="J89" s="10"/>
      <c r="K89" s="10" t="str">
        <f>IF(Table115[[#This Row],[Type]]="Transportation", _xlfn.XLOOKUP(Table115[[#This Row],[Resource]], 'SI - Payload'!$A$10:$A$33,'SI - Payload'!$B$10:$B$33,"",0), "")</f>
        <v/>
      </c>
      <c r="L89" s="10" t="str">
        <f>IF(Table115[[#This Row],[Type]]="Transportation", "ton", "")</f>
        <v/>
      </c>
      <c r="M89" s="10"/>
      <c r="N89" s="10"/>
      <c r="O89" s="10" t="str">
        <f>Table115[[#This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IF(Table115[[#This Row],[Type]]="Co-product", "No", "")</f>
        <v/>
      </c>
      <c r="J90" s="10"/>
      <c r="K90" s="10" t="str">
        <f>IF(Table115[[#This Row],[Type]]="Transportation", _xlfn.XLOOKUP(Table115[[#This Row],[Resource]], 'SI - Payload'!$A$10:$A$33,'SI - Payload'!$B$10:$B$33,"",0), "")</f>
        <v/>
      </c>
      <c r="L90" s="10" t="str">
        <f>IF(Table115[[#This Row],[Type]]="Transportation", "ton", "")</f>
        <v/>
      </c>
      <c r="M90" s="10"/>
      <c r="N90" s="10"/>
      <c r="O90" s="10" t="str">
        <f>Table115[[#This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IF(Table115[[#This Row],[Type]]="Co-product", "No", "")</f>
        <v/>
      </c>
      <c r="J91" s="10"/>
      <c r="K91" s="10" t="str">
        <f>IF(Table115[[#This Row],[Type]]="Transportation", _xlfn.XLOOKUP(Table115[[#This Row],[Resource]], 'SI - Payload'!$A$10:$A$33,'SI - Payload'!$B$10:$B$33,"",0), "")</f>
        <v/>
      </c>
      <c r="L91" s="10" t="str">
        <f>IF(Table115[[#This Row],[Type]]="Transportation", "ton", "")</f>
        <v/>
      </c>
      <c r="M91" s="10"/>
      <c r="N91" s="10"/>
      <c r="O91" s="10" t="str">
        <f>Table115[[#This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IF(Table115[[#This Row],[Type]]="Co-product", "No", "")</f>
        <v/>
      </c>
      <c r="J92" s="10"/>
      <c r="K92" s="10" t="str">
        <f>IF(Table115[[#This Row],[Type]]="Transportation", _xlfn.XLOOKUP(Table115[[#This Row],[Resource]], 'SI - Payload'!$A$10:$A$33,'SI - Payload'!$B$10:$B$33,"",0), "")</f>
        <v/>
      </c>
      <c r="L92" s="10" t="str">
        <f>IF(Table115[[#This Row],[Type]]="Transportation", "ton", "")</f>
        <v/>
      </c>
      <c r="M92" s="10"/>
      <c r="N92" s="10"/>
      <c r="O92" s="10" t="str">
        <f>Table115[[#This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IF(Table115[[#This Row],[Type]]="Co-product", "No", "")</f>
        <v/>
      </c>
      <c r="J93" s="10"/>
      <c r="K93" s="10" t="str">
        <f>IF(Table115[[#This Row],[Type]]="Transportation", _xlfn.XLOOKUP(Table115[[#This Row],[Resource]], 'SI - Payload'!$A$10:$A$33,'SI - Payload'!$B$10:$B$33,"",0), "")</f>
        <v/>
      </c>
      <c r="L93" s="10" t="str">
        <f>IF(Table115[[#This Row],[Type]]="Transportation", "ton", "")</f>
        <v/>
      </c>
      <c r="M93" s="10"/>
      <c r="N93" s="10"/>
      <c r="O93" s="10" t="str">
        <f>Table115[[#This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IF(Table115[[#This Row],[Type]]="Co-product", "No", "")</f>
        <v/>
      </c>
      <c r="J94" s="10"/>
      <c r="K94" s="10" t="str">
        <f>IF(Table115[[#This Row],[Type]]="Transportation", _xlfn.XLOOKUP(Table115[[#This Row],[Resource]], 'SI - Payload'!$A$10:$A$33,'SI - Payload'!$B$10:$B$33,"",0), "")</f>
        <v/>
      </c>
      <c r="L94" s="10" t="str">
        <f>IF(Table115[[#This Row],[Type]]="Transportation", "ton", "")</f>
        <v/>
      </c>
      <c r="M94" s="10"/>
      <c r="N94" s="10"/>
      <c r="O94" s="10" t="str">
        <f>Table115[[#This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IF(Table115[[#This Row],[Type]]="Co-product", "No", "")</f>
        <v/>
      </c>
      <c r="J95" s="10"/>
      <c r="K95" s="10" t="str">
        <f>IF(Table115[[#This Row],[Type]]="Transportation", _xlfn.XLOOKUP(Table115[[#This Row],[Resource]], 'SI - Payload'!$A$10:$A$33,'SI - Payload'!$B$10:$B$33,"",0), "")</f>
        <v/>
      </c>
      <c r="L95" s="10" t="str">
        <f>IF(Table115[[#This Row],[Type]]="Transportation", "ton", "")</f>
        <v/>
      </c>
      <c r="M95" s="10"/>
      <c r="N95" s="10"/>
      <c r="O95" s="10" t="str">
        <f>Table115[[#This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IF(Table115[[#This Row],[Type]]="Co-product", "No", "")</f>
        <v/>
      </c>
      <c r="J96" s="10"/>
      <c r="K96" s="10" t="str">
        <f>IF(Table115[[#This Row],[Type]]="Transportation", _xlfn.XLOOKUP(Table115[[#This Row],[Resource]], 'SI - Payload'!$A$10:$A$33,'SI - Payload'!$B$10:$B$33,"",0), "")</f>
        <v/>
      </c>
      <c r="L96" s="10" t="str">
        <f>IF(Table115[[#This Row],[Type]]="Transportation", "ton", "")</f>
        <v/>
      </c>
      <c r="M96" s="10"/>
      <c r="N96" s="10"/>
      <c r="O96" s="10" t="str">
        <f>Table115[[#This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IF(Table115[[#This Row],[Type]]="Co-product", "No", "")</f>
        <v/>
      </c>
      <c r="J97" s="10"/>
      <c r="K97" s="10" t="str">
        <f>IF(Table115[[#This Row],[Type]]="Transportation", _xlfn.XLOOKUP(Table115[[#This Row],[Resource]], 'SI - Payload'!$A$10:$A$33,'SI - Payload'!$B$10:$B$33,"",0), "")</f>
        <v/>
      </c>
      <c r="L97" s="10" t="str">
        <f>IF(Table115[[#This Row],[Type]]="Transportation", "ton", "")</f>
        <v/>
      </c>
      <c r="M97" s="10"/>
      <c r="N97" s="10"/>
      <c r="O97" s="27" t="str">
        <f>Table115[[#This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IF(Table115[[#This Row],[Type]]="Co-product", "No", "")</f>
        <v/>
      </c>
      <c r="J98" s="10"/>
      <c r="K98" s="10" t="str">
        <f>IF(Table115[[#This Row],[Type]]="Transportation", _xlfn.XLOOKUP(Table115[[#This Row],[Resource]], 'SI - Payload'!$A$10:$A$33,'SI - Payload'!$B$10:$B$33,"",0), "")</f>
        <v/>
      </c>
      <c r="L98" s="10" t="str">
        <f>IF(Table115[[#This Row],[Type]]="Transportation", "ton", "")</f>
        <v/>
      </c>
      <c r="M98" s="10"/>
      <c r="N98" s="10"/>
      <c r="O98" s="27" t="str">
        <f>Table115[[#This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IF(Table115[[#This Row],[Type]]="Co-product", "No", "")</f>
        <v/>
      </c>
      <c r="J99" s="10"/>
      <c r="K99" s="10" t="str">
        <f>IF(Table115[[#This Row],[Type]]="Transportation", _xlfn.XLOOKUP(Table115[[#This Row],[Resource]], 'SI - Payload'!$A$10:$A$33,'SI - Payload'!$B$10:$B$33,"",0), "")</f>
        <v/>
      </c>
      <c r="L99" s="10" t="str">
        <f>IF(Table115[[#This Row],[Type]]="Transportation", "ton", "")</f>
        <v/>
      </c>
      <c r="M99" s="10"/>
      <c r="N99" s="10"/>
      <c r="O99" s="27" t="str">
        <f>Table115[[#This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IF(Table115[[#This Row],[Type]]="Co-product", "No", "")</f>
        <v/>
      </c>
      <c r="J100" s="26"/>
      <c r="K100" s="26" t="str">
        <f>IF(Table115[[#This Row],[Type]]="Transportation", _xlfn.XLOOKUP(Table115[[#This Row],[Resource]], 'SI - Payload'!$A$10:$A$33,'SI - Payload'!$B$10:$B$33,"",0), "")</f>
        <v/>
      </c>
      <c r="L100" s="26" t="str">
        <f>IF(Table115[[#This Row],[Type]]="Transportation", "ton", "")</f>
        <v/>
      </c>
      <c r="M100" s="26"/>
      <c r="N100" s="26"/>
      <c r="O100" s="26" t="str">
        <f>Table115[[#This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B588AF-1EB5-4E26-94B9-F6C9F2C13BD0}">
          <x14:formula1>
            <xm:f>IF($B31="Transportation",  'SI - Units'!$B$9:$E$9, _xlfn.XLOOKUP(_xlfn.XLOOKUP($C31,'SI - Units'!$B$24:$B$51,'SI - Units'!$C$24:$C$51),'SI - Units'!$A$2:$A$8,'SI - Units'!$B$2:$R$8))</xm:f>
          </x14:formula1>
          <xm:sqref>F31:F100</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67101DDC-4C0C-4C69-97BD-FF8C45E12F68}">
          <x14:formula1>
            <xm:f>IF($B5="Transportation",  'SI - Units'!$B$20:$E$20, _xlfn.XLOOKUP(_xlfn.XLOOKUP($C5,'SI - Units'!$B$24:$B$51,'SI - Units'!$C$24:$C$51),'SI - Units'!$A$13:$A$19,'SI - Units'!$B$13:$R$19))</xm:f>
          </x14:formula1>
          <xm:sqref>N5:N100</xm:sqref>
        </x14:dataValidation>
        <x14:dataValidation type="list" allowBlank="1" showInputMessage="1" showErrorMessage="1" xr:uid="{B144AD70-9C26-4376-8243-80FB156F73E4}">
          <x14:formula1>
            <xm:f>_xlfn.XLOOKUP($O5,'SI - End Use'!$B$2:$B$30,'SI - End Use'!$C$2:$N$30)</xm:f>
          </x14:formula1>
          <xm:sqref>P5:P100 D30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xr:uid="{96341945-2C59-4741-99DA-D2FF20BF46EA}">
          <x14:formula1>
            <xm:f>_xlfn.XLOOKUP($C31,'SI - End Use'!$B$2:$B$30,'SI - End Use'!$C$2:$N$30)</xm:f>
          </x14:formula1>
          <xm:sqref>D31:D100</xm:sqref>
        </x14:dataValidation>
        <x14:dataValidation type="list" allowBlank="1" showInputMessage="1" showErrorMessage="1" xr:uid="{7D9AEBDD-9805-4953-9B70-C8FDCD9B9729}">
          <x14:formula1>
            <xm:f>_xlfn.XLOOKUP($B5,'SI - Resources'!$A$1:$F$1,INDIRECT("Resource"))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Resources'!$A$1:$F$1</xm:f>
          </x14:formula1>
          <xm:sqref>B31:B100</xm:sqref>
        </x14:dataValidation>
        <x14:dataValidation type="list" allowBlank="1" showInputMessage="1" showErrorMessage="1" xr:uid="{6BA18916-D1D7-459D-8F2F-D2569EE02782}">
          <x14:formula1>
            <xm:f>_xlfn.XLOOKUP(_xlfn.XLOOKUP(#REF!,'SI - Units'!$B$24:$B$51,'SI - Units'!$C$24:$C$51),'SI - Units'!$A$2:$A$8,'SI - Units'!$B$2:$R$8)</xm:f>
          </x14:formula1>
          <xm:sqref>F4</xm:sqref>
        </x14:dataValidation>
        <x14:dataValidation type="list" allowBlank="1" showInputMessage="1" showErrorMessage="1" xr:uid="{5011BE00-1652-4828-828E-89FA2F82A3CF}">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3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3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3"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54</v>
      </c>
      <c r="B33" s="68">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2"/>
  <sheetViews>
    <sheetView workbookViewId="0">
      <selection activeCell="D22" sqref="D22"/>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40</v>
      </c>
      <c r="B1" s="4" t="s">
        <v>2</v>
      </c>
      <c r="C1" s="4" t="s">
        <v>4</v>
      </c>
      <c r="D1" s="4" t="s">
        <v>39</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77</v>
      </c>
      <c r="C5" s="3"/>
      <c r="D5" s="3" t="s">
        <v>17</v>
      </c>
    </row>
    <row r="6" spans="1:6" x14ac:dyDescent="0.35">
      <c r="D6" s="3" t="s">
        <v>18</v>
      </c>
    </row>
    <row r="7" spans="1:6" x14ac:dyDescent="0.35">
      <c r="D7" s="3" t="s">
        <v>19</v>
      </c>
    </row>
    <row r="8" spans="1:6" x14ac:dyDescent="0.35">
      <c r="D8" s="3" t="s">
        <v>20</v>
      </c>
    </row>
    <row r="9" spans="1:6" x14ac:dyDescent="0.35">
      <c r="D9" s="3" t="s">
        <v>114</v>
      </c>
    </row>
    <row r="10" spans="1:6" x14ac:dyDescent="0.35">
      <c r="D10" s="3" t="s">
        <v>113</v>
      </c>
    </row>
    <row r="11" spans="1:6" x14ac:dyDescent="0.35">
      <c r="D11" s="3" t="s">
        <v>22</v>
      </c>
    </row>
    <row r="12" spans="1:6" x14ac:dyDescent="0.35">
      <c r="D12" s="3" t="s">
        <v>38</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4" t="s">
        <v>22</v>
      </c>
    </row>
    <row r="18" spans="4:4" x14ac:dyDescent="0.35">
      <c r="D18" s="14" t="s">
        <v>21</v>
      </c>
    </row>
    <row r="19" spans="4:4" x14ac:dyDescent="0.35">
      <c r="D19" s="14" t="s">
        <v>38</v>
      </c>
    </row>
    <row r="20" spans="4:4" x14ac:dyDescent="0.35">
      <c r="D20" s="14" t="s">
        <v>26</v>
      </c>
    </row>
    <row r="21" spans="4:4" x14ac:dyDescent="0.35">
      <c r="D21" s="14" t="s">
        <v>250</v>
      </c>
    </row>
    <row r="22" spans="4:4" x14ac:dyDescent="0.35">
      <c r="D22" s="14" t="s">
        <v>54</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E6" sqref="E6"/>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t="s">
        <v>89</v>
      </c>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c r="M4" s="7"/>
      <c r="N4" s="7"/>
    </row>
    <row r="5" spans="1:14" x14ac:dyDescent="0.35">
      <c r="B5" s="7" t="s">
        <v>23</v>
      </c>
      <c r="C5" s="9"/>
      <c r="D5" s="9"/>
      <c r="E5" s="9"/>
      <c r="F5" s="9"/>
      <c r="G5" s="9"/>
      <c r="H5" s="9"/>
      <c r="I5" s="9"/>
      <c r="J5" s="9"/>
      <c r="K5" s="9"/>
      <c r="L5" s="7"/>
      <c r="M5" s="7"/>
      <c r="N5" s="7"/>
    </row>
    <row r="6" spans="1:14" x14ac:dyDescent="0.35">
      <c r="B6" s="7" t="s">
        <v>77</v>
      </c>
      <c r="C6" s="9" t="s">
        <v>89</v>
      </c>
      <c r="D6" s="9" t="s">
        <v>254</v>
      </c>
      <c r="E6" s="9" t="s">
        <v>255</v>
      </c>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113</v>
      </c>
    </row>
    <row r="21" spans="1:3" x14ac:dyDescent="0.35">
      <c r="B21" s="7" t="s">
        <v>38</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38</v>
      </c>
    </row>
    <row r="28" spans="1:3" x14ac:dyDescent="0.35">
      <c r="B28" t="s">
        <v>26</v>
      </c>
    </row>
    <row r="29" spans="1:3" x14ac:dyDescent="0.35">
      <c r="B29" s="2" t="s">
        <v>54</v>
      </c>
      <c r="C29" t="s">
        <v>56</v>
      </c>
    </row>
    <row r="30" spans="1:3" x14ac:dyDescent="0.35">
      <c r="A30" s="4" t="s">
        <v>30</v>
      </c>
      <c r="B30" t="s">
        <v>30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dimension ref="A1:H15"/>
  <sheetViews>
    <sheetView workbookViewId="0">
      <selection activeCell="E5" sqref="E5"/>
    </sheetView>
  </sheetViews>
  <sheetFormatPr defaultRowHeight="14.5" x14ac:dyDescent="0.35"/>
  <cols>
    <col min="1" max="1" width="20.54296875" bestFit="1" customWidth="1"/>
    <col min="8" max="8" width="14.1796875" bestFit="1" customWidth="1"/>
  </cols>
  <sheetData>
    <row r="1" spans="1:8" x14ac:dyDescent="0.35">
      <c r="A1" s="76"/>
      <c r="B1" s="95" t="s">
        <v>256</v>
      </c>
      <c r="C1" s="95"/>
      <c r="D1" s="77" t="s">
        <v>257</v>
      </c>
      <c r="E1" s="77" t="s">
        <v>258</v>
      </c>
      <c r="F1" s="77" t="s">
        <v>259</v>
      </c>
      <c r="G1" s="77" t="s">
        <v>264</v>
      </c>
      <c r="H1" s="77" t="s">
        <v>272</v>
      </c>
    </row>
    <row r="2" spans="1:8" x14ac:dyDescent="0.35">
      <c r="A2" s="77" t="s">
        <v>260</v>
      </c>
      <c r="B2" s="94">
        <v>89.04</v>
      </c>
      <c r="C2" s="94"/>
      <c r="D2" s="78">
        <v>1</v>
      </c>
      <c r="E2" s="79"/>
      <c r="F2" s="79"/>
      <c r="G2" s="80">
        <v>0.3</v>
      </c>
      <c r="H2" s="80">
        <v>0</v>
      </c>
    </row>
    <row r="3" spans="1:8" x14ac:dyDescent="0.35">
      <c r="A3" s="77" t="s">
        <v>261</v>
      </c>
      <c r="B3" s="96">
        <v>23.19</v>
      </c>
      <c r="C3" s="97"/>
      <c r="D3" s="81"/>
      <c r="E3" s="82">
        <v>1</v>
      </c>
      <c r="F3" s="81"/>
      <c r="G3" s="83">
        <v>0.2</v>
      </c>
      <c r="H3" s="83">
        <v>8.7999999999999995E-2</v>
      </c>
    </row>
    <row r="4" spans="1:8" x14ac:dyDescent="0.35">
      <c r="A4" s="77"/>
      <c r="B4" s="79"/>
      <c r="C4" s="79"/>
      <c r="D4" s="79"/>
      <c r="E4" s="79"/>
      <c r="F4" s="79"/>
      <c r="G4" s="79"/>
      <c r="H4" s="79"/>
    </row>
    <row r="5" spans="1:8" x14ac:dyDescent="0.35">
      <c r="A5" s="77"/>
      <c r="B5" s="84" t="s">
        <v>262</v>
      </c>
      <c r="C5" s="84" t="s">
        <v>263</v>
      </c>
      <c r="D5" s="84" t="s">
        <v>257</v>
      </c>
      <c r="E5" s="84" t="s">
        <v>258</v>
      </c>
      <c r="F5" s="84" t="s">
        <v>259</v>
      </c>
      <c r="G5" s="84" t="s">
        <v>264</v>
      </c>
      <c r="H5" s="77" t="s">
        <v>272</v>
      </c>
    </row>
    <row r="6" spans="1:8" x14ac:dyDescent="0.35">
      <c r="A6" s="77" t="s">
        <v>265</v>
      </c>
      <c r="B6" s="85">
        <v>34.840000000000003</v>
      </c>
      <c r="C6" s="79">
        <v>17.684999999999999</v>
      </c>
      <c r="D6" s="78">
        <v>1</v>
      </c>
      <c r="E6" s="81"/>
      <c r="F6" s="81"/>
      <c r="G6" s="86">
        <v>0.2</v>
      </c>
      <c r="H6" s="86">
        <v>0</v>
      </c>
    </row>
    <row r="7" spans="1:8" x14ac:dyDescent="0.35">
      <c r="A7" s="76"/>
      <c r="B7" s="79"/>
      <c r="C7" s="78"/>
      <c r="D7" s="78"/>
      <c r="E7" s="79"/>
      <c r="F7" s="79"/>
      <c r="G7" s="79"/>
      <c r="H7" s="79"/>
    </row>
    <row r="8" spans="1:8" x14ac:dyDescent="0.35">
      <c r="A8" s="76"/>
      <c r="B8" s="98" t="s">
        <v>266</v>
      </c>
      <c r="C8" s="98"/>
      <c r="D8" s="84" t="s">
        <v>257</v>
      </c>
      <c r="E8" s="84" t="s">
        <v>258</v>
      </c>
      <c r="F8" s="84" t="s">
        <v>259</v>
      </c>
      <c r="G8" s="84" t="s">
        <v>264</v>
      </c>
      <c r="H8" s="77" t="s">
        <v>272</v>
      </c>
    </row>
    <row r="9" spans="1:8" x14ac:dyDescent="0.35">
      <c r="A9" s="77" t="s">
        <v>267</v>
      </c>
      <c r="B9" s="94">
        <v>10.92</v>
      </c>
      <c r="C9" s="94"/>
      <c r="D9" s="79"/>
      <c r="E9" s="78">
        <v>1</v>
      </c>
      <c r="F9" s="79"/>
      <c r="G9" s="86">
        <v>0.11409999999999999</v>
      </c>
      <c r="H9" s="86">
        <v>8.1557678177810455E-2</v>
      </c>
    </row>
    <row r="10" spans="1:8" x14ac:dyDescent="0.35">
      <c r="A10" s="77" t="s">
        <v>268</v>
      </c>
      <c r="B10" s="94">
        <v>289.14999999999998</v>
      </c>
      <c r="C10" s="94"/>
      <c r="D10" s="79"/>
      <c r="E10" s="78">
        <v>1</v>
      </c>
      <c r="F10" s="79"/>
      <c r="G10" s="86">
        <v>0.11409999999999999</v>
      </c>
      <c r="H10" s="86">
        <v>0.02</v>
      </c>
    </row>
    <row r="11" spans="1:8" x14ac:dyDescent="0.35">
      <c r="A11" s="77" t="s">
        <v>269</v>
      </c>
      <c r="B11" s="94">
        <v>7.72</v>
      </c>
      <c r="C11" s="94"/>
      <c r="D11" s="87">
        <v>0.89500000000000002</v>
      </c>
      <c r="E11" s="87">
        <f>1-D11</f>
        <v>0.10499999999999998</v>
      </c>
      <c r="F11" s="79"/>
      <c r="G11" s="86">
        <v>0.11409999999999999</v>
      </c>
      <c r="H11" s="86">
        <v>0</v>
      </c>
    </row>
    <row r="12" spans="1:8" x14ac:dyDescent="0.35">
      <c r="A12" s="77" t="s">
        <v>270</v>
      </c>
      <c r="B12" s="94">
        <v>0</v>
      </c>
      <c r="C12" s="94"/>
      <c r="D12" s="79"/>
      <c r="E12" s="78">
        <v>1</v>
      </c>
      <c r="F12" s="79"/>
      <c r="G12" s="86">
        <v>0.11409999999999999</v>
      </c>
      <c r="H12" s="86">
        <v>0</v>
      </c>
    </row>
    <row r="13" spans="1:8" x14ac:dyDescent="0.35">
      <c r="A13" s="76"/>
      <c r="B13" s="79"/>
      <c r="C13" s="79"/>
      <c r="D13" s="79"/>
      <c r="E13" s="79"/>
      <c r="F13" s="79"/>
      <c r="G13" s="79"/>
      <c r="H13" s="79"/>
    </row>
    <row r="14" spans="1:8" x14ac:dyDescent="0.35">
      <c r="A14" s="77"/>
      <c r="B14" s="84" t="s">
        <v>262</v>
      </c>
      <c r="C14" s="84" t="s">
        <v>263</v>
      </c>
      <c r="D14" s="84" t="s">
        <v>257</v>
      </c>
      <c r="E14" s="84" t="s">
        <v>258</v>
      </c>
      <c r="F14" s="84" t="s">
        <v>259</v>
      </c>
      <c r="G14" s="84" t="s">
        <v>264</v>
      </c>
      <c r="H14" s="77" t="s">
        <v>272</v>
      </c>
    </row>
    <row r="15" spans="1:8" x14ac:dyDescent="0.35">
      <c r="A15" s="77" t="s">
        <v>271</v>
      </c>
      <c r="B15" s="88">
        <v>51.7</v>
      </c>
      <c r="C15" s="88">
        <v>20.889521999999999</v>
      </c>
      <c r="D15" s="78">
        <v>1</v>
      </c>
      <c r="E15" s="79"/>
      <c r="F15" s="79"/>
      <c r="G15" s="80">
        <v>0.11409999999999999</v>
      </c>
      <c r="H15" s="80">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17" t="s">
        <v>2</v>
      </c>
      <c r="B25" s="18" t="s">
        <v>3</v>
      </c>
      <c r="C25" s="18" t="s">
        <v>57</v>
      </c>
    </row>
    <row r="26" spans="1:23" x14ac:dyDescent="0.35">
      <c r="A26" s="17"/>
      <c r="B26" s="18" t="s">
        <v>4</v>
      </c>
      <c r="C26" s="18" t="s">
        <v>4</v>
      </c>
    </row>
    <row r="27" spans="1:23" x14ac:dyDescent="0.35">
      <c r="A27" s="17"/>
      <c r="B27" s="20" t="s">
        <v>25</v>
      </c>
      <c r="C27" s="18" t="s">
        <v>57</v>
      </c>
      <c r="H27" s="5"/>
      <c r="I27" s="5"/>
      <c r="J27" s="5"/>
      <c r="K27" s="5"/>
      <c r="L27" s="5"/>
    </row>
    <row r="28" spans="1:23" x14ac:dyDescent="0.35">
      <c r="A28" s="17"/>
      <c r="B28" s="20" t="s">
        <v>23</v>
      </c>
      <c r="C28" s="18" t="s">
        <v>57</v>
      </c>
      <c r="H28" s="5"/>
      <c r="I28" s="5"/>
      <c r="J28" s="5"/>
      <c r="K28" s="5"/>
      <c r="L28" s="5"/>
    </row>
    <row r="29" spans="1:23" x14ac:dyDescent="0.35">
      <c r="A29" s="17"/>
      <c r="B29" s="20" t="s">
        <v>77</v>
      </c>
      <c r="C29" s="18" t="s">
        <v>57</v>
      </c>
    </row>
    <row r="30" spans="1:23" x14ac:dyDescent="0.35">
      <c r="A30" s="17"/>
      <c r="B30" s="20" t="s">
        <v>93</v>
      </c>
      <c r="C30" s="18" t="s">
        <v>57</v>
      </c>
    </row>
    <row r="31" spans="1:23" x14ac:dyDescent="0.35">
      <c r="A31" s="17" t="s">
        <v>39</v>
      </c>
      <c r="B31" s="18" t="s">
        <v>14</v>
      </c>
      <c r="C31" s="18" t="s">
        <v>61</v>
      </c>
    </row>
    <row r="32" spans="1:23" x14ac:dyDescent="0.35">
      <c r="A32" s="17"/>
      <c r="B32" s="20" t="s">
        <v>15</v>
      </c>
      <c r="C32" s="18" t="s">
        <v>61</v>
      </c>
    </row>
    <row r="33" spans="1:3" x14ac:dyDescent="0.35">
      <c r="A33" s="17"/>
      <c r="B33" s="20" t="s">
        <v>16</v>
      </c>
      <c r="C33" s="18" t="s">
        <v>61</v>
      </c>
    </row>
    <row r="34" spans="1:3" x14ac:dyDescent="0.35">
      <c r="A34" s="17"/>
      <c r="B34" s="20" t="s">
        <v>17</v>
      </c>
      <c r="C34" s="18" t="s">
        <v>61</v>
      </c>
    </row>
    <row r="35" spans="1:3" x14ac:dyDescent="0.35">
      <c r="A35" s="17"/>
      <c r="B35" s="20" t="s">
        <v>18</v>
      </c>
      <c r="C35" s="18" t="s">
        <v>61</v>
      </c>
    </row>
    <row r="36" spans="1:3" x14ac:dyDescent="0.35">
      <c r="A36" s="17"/>
      <c r="B36" s="20" t="s">
        <v>19</v>
      </c>
      <c r="C36" s="18" t="s">
        <v>61</v>
      </c>
    </row>
    <row r="37" spans="1:3" x14ac:dyDescent="0.35">
      <c r="A37" s="17"/>
      <c r="B37" s="20" t="s">
        <v>20</v>
      </c>
      <c r="C37" s="18" t="s">
        <v>61</v>
      </c>
    </row>
    <row r="38" spans="1:3" x14ac:dyDescent="0.35">
      <c r="A38" s="17"/>
      <c r="B38" s="20" t="s">
        <v>21</v>
      </c>
      <c r="C38" s="18" t="s">
        <v>61</v>
      </c>
    </row>
    <row r="39" spans="1:3" x14ac:dyDescent="0.35">
      <c r="A39" s="17"/>
      <c r="B39" s="20" t="s">
        <v>22</v>
      </c>
      <c r="C39" s="18" t="s">
        <v>61</v>
      </c>
    </row>
    <row r="40" spans="1:3" x14ac:dyDescent="0.35">
      <c r="A40" s="17"/>
      <c r="B40" s="20" t="s">
        <v>113</v>
      </c>
      <c r="C40" s="18" t="s">
        <v>61</v>
      </c>
    </row>
    <row r="41" spans="1:3" x14ac:dyDescent="0.35">
      <c r="A41" s="17"/>
      <c r="B41" s="20" t="s">
        <v>38</v>
      </c>
      <c r="C41" s="18" t="s">
        <v>61</v>
      </c>
    </row>
    <row r="42" spans="1:3" x14ac:dyDescent="0.35">
      <c r="A42" s="17"/>
      <c r="B42" s="20" t="s">
        <v>24</v>
      </c>
      <c r="C42" s="18" t="s">
        <v>61</v>
      </c>
    </row>
    <row r="43" spans="1:3" x14ac:dyDescent="0.35">
      <c r="A43" s="17"/>
      <c r="B43" s="20" t="s">
        <v>26</v>
      </c>
      <c r="C43" s="18" t="s">
        <v>61</v>
      </c>
    </row>
    <row r="44" spans="1:3" x14ac:dyDescent="0.35">
      <c r="A44" s="17"/>
      <c r="B44" s="18" t="s">
        <v>27</v>
      </c>
      <c r="C44" s="18" t="s">
        <v>61</v>
      </c>
    </row>
    <row r="45" spans="1:3" x14ac:dyDescent="0.35">
      <c r="A45" s="17"/>
      <c r="B45" s="18" t="s">
        <v>31</v>
      </c>
      <c r="C45" s="18" t="s">
        <v>61</v>
      </c>
    </row>
    <row r="46" spans="1:3" x14ac:dyDescent="0.35">
      <c r="A46" s="18"/>
      <c r="B46" s="18" t="s">
        <v>22</v>
      </c>
      <c r="C46" s="18" t="s">
        <v>61</v>
      </c>
    </row>
    <row r="47" spans="1:3" x14ac:dyDescent="0.35">
      <c r="A47" s="18"/>
      <c r="B47" s="18" t="s">
        <v>21</v>
      </c>
      <c r="C47" s="18" t="s">
        <v>61</v>
      </c>
    </row>
    <row r="48" spans="1:3" x14ac:dyDescent="0.35">
      <c r="A48" s="18"/>
      <c r="B48" s="18" t="s">
        <v>38</v>
      </c>
      <c r="C48" s="18" t="s">
        <v>61</v>
      </c>
    </row>
    <row r="49" spans="1:3" x14ac:dyDescent="0.35">
      <c r="A49" s="18"/>
      <c r="B49" s="18" t="s">
        <v>26</v>
      </c>
      <c r="C49" s="18" t="s">
        <v>61</v>
      </c>
    </row>
    <row r="50" spans="1:3" x14ac:dyDescent="0.35">
      <c r="A50" s="18"/>
      <c r="B50" s="18" t="s">
        <v>54</v>
      </c>
      <c r="C50" s="18" t="s">
        <v>61</v>
      </c>
    </row>
    <row r="51" spans="1:3" x14ac:dyDescent="0.3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Resources</vt:lpstr>
      <vt:lpstr>SI - End Use</vt:lpstr>
      <vt:lpstr>INL Data</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2022-06-08T16:22:52Z</dcterms:modified>
</cp:coreProperties>
</file>