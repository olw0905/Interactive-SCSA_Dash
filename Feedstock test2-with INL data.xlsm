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0E44C5B7-8976-4CE9-A1E0-D82C57A935DF}" xr6:coauthVersionLast="47" xr6:coauthVersionMax="47" xr10:uidLastSave="{00000000-0000-0000-0000-000000000000}"/>
  <bookViews>
    <workbookView xWindow="-110" yWindow="-110" windowWidth="22780" windowHeight="14660" tabRatio="764" firstSheet="8" activeTab="15"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r:id="rId11"/>
    <sheet name="SI - Payload" sheetId="24" r:id="rId12"/>
    <sheet name="SI - End Use" sheetId="7" r:id="rId13"/>
    <sheet name="INL Data" sheetId="35" r:id="rId14"/>
    <sheet name="SI - Resources" sheetId="6" r:id="rId15"/>
    <sheet name="SI - Units" sheetId="8" r:id="rId16"/>
    <sheet name="SI - Co-products" sheetId="9"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 i="24" l="1"/>
  <c r="B32"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F63" i="31" l="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<sst xmlns="http://schemas.openxmlformats.org/spreadsheetml/2006/main" count="1100" uniqueCount="298">
  <si>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</si>
  <si>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</si>
  <si>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</si>
  <si>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</si>
  <si>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</si>
  <si>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</si>
  <si>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</si>
  <si>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</si>
  <si>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</si>
  <si>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</si>
  <si>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</si>
  <si>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</si>
  <si>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</si>
  <si>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</si>
  <si>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</si>
  <si>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</si>
  <si>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</si>
  <si>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</si>
  <si>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</si>
  <si>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</si>
  <si>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</si>
  <si>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</si>
  <si>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</si>
  <si>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</si>
  <si>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</si>
  <si>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</si>
  <si>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</si>
  <si>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</si>
  <si>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</si>
  <si>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</si>
  <si>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</si>
  <si>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</si>
  <si>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</si>
  <si>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</si>
  <si>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</si>
  <si>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</si>
  <si>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</si>
  <si>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</si>
  <si>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</si>
  <si>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</si>
  <si>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</si>
  <si>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</si>
  <si>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</si>
  <si>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</si>
  <si>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</si>
  <si>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</si>
  <si>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</si>
  <si>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</si>
  <si>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</si>
  <si>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</si>
  <si>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</si>
  <si>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</si>
  <si>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</si>
  <si>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</si>
  <si>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</si>
  <si>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</si>
  <si>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</si>
  <si>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</si>
  <si>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</si>
  <si>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</si>
  <si>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</si>
  <si>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</si>
  <si>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</si>
  <si>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</si>
  <si>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</si>
  <si>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</si>
  <si>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</si>
  <si>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</si>
  <si>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</si>
  <si>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</si>
  <si>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</si>
  <si>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</si>
  <si>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</si>
  <si>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</si>
  <si>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</si>
  <si>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</si>
  <si>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</si>
  <si>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</si>
  <si>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</si>
  <si>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</si>
  <si>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</si>
  <si>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</si>
  <si>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</si>
  <si>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</si>
  <si>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</si>
  <si>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</si>
  <si>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</si>
  <si>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</si>
  <si>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</si>
  <si>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</si>
  <si>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</si>
  <si>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</si>
  <si>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</si>
  <si>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</si>
  <si>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</si>
  <si>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</si>
  <si>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</si>
  <si>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</si>
  <si>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</si>
  <si>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</si>
  <si>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</si>
  <si>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</si>
  <si>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</si>
  <si>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</si>
  <si>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</si>
  <si>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</si>
  <si>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</si>
  <si>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</si>
  <si>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</si>
  <si>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</si>
  <si>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</si>
  <si>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</si>
  <si>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</si>
  <si>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</si>
  <si>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</si>
  <si>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</si>
  <si>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</si>
  <si>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</si>
  <si>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</si>
  <si>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</si>
  <si>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</si>
  <si>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</si>
  <si>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</si>
  <si>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</si>
  <si>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</si>
  <si>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</si>
  <si>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</si>
  <si>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</si>
  <si>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</si>
  <si>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</si>
  <si>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</si>
  <si>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</si>
  <si>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</si>
  <si>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</si>
  <si>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</si>
  <si>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</si>
  <si>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</si>
  <si>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</si>
  <si>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</si>
  <si>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</si>
  <si>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</si>
  <si>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</si>
  <si>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</si>
  <si>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</si>
  <si>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</si>
  <si>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</si>
  <si>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</si>
  <si>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</si>
  <si>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</si>
  <si>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</si>
  <si>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</si>
  <si>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</si>
  <si>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</si>
  <si>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</si>
  <si>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</si>
  <si>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</si>
  <si>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</si>
  <si>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</si>
  <si>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</si>
  <si>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</si>
  <si>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</si>
  <si>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</si>
  <si>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</si>
  <si>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</si>
  <si>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</si>
  <si>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</si>
  <si>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</si>
  <si>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</si>
  <si>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</si>
  <si>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</si>
  <si>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</si>
  <si>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</si>
  <si>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</si>
  <si>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</si>
  <si>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</si>
  <si>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</si>
  <si>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</si>
  <si>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</si>
  <si>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</si>
  <si>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</si>
  <si>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</si>
  <si>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</si>
  <si>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</si>
  <si>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</si>
  <si>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</si>
  <si>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</si>
  <si>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</si>
  <si>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</si>
  <si>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</si>
  <si>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</si>
  <si>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</si>
  <si>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</si>
  <si>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</si>
  <si>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</si>
  <si>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</si>
  <si>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</si>
  <si>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</si>
  <si>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</si>
  <si>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</si>
  <si>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</si>
  <si>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</si>
  <si>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</si>
  <si>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</si>
  <si>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</si>
  <si>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</si>
  <si>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</si>
  <si>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</si>
  <si>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</si>
  <si>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</si>
  <si>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</si>
  <si>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</si>
  <si>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</si>
  <si>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</si>
  <si>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</si>
  <si>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</si>
  <si>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</si>
  <si>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</si>
  <si>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</si>
  <si>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</si>
  <si>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</si>
  <si>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</si>
  <si>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</si>
  <si>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</si>
  <si>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</si>
  <si>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</si>
  <si>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</si>
  <si>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</si>
  <si>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</si>
  <si>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</si>
  <si>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</si>
  <si>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</si>
  <si>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</si>
  <si>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</si>
  <si>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</si>
  <si>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</si>
  <si>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</si>
  <si>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</si>
  <si>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</si>
  <si>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</si>
  <si>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</si>
  <si>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</si>
  <si>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</si>
  <si>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</si>
  <si>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</si>
  <si>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</si>
  <si>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</si>
  <si>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Main product</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</si>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</sst>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Use'!$B$2:$B$51,'SI - End Use'!$C$2:$C$51, "")="", "", _xlfn.XLOOKUP($C5,'SI - End Use'!$B$2:$B$51,'SI - End Use'!$C$2:$C$51,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Units'!$B$24:$B$72,'SI - Units'!$C$24:$C$72, ""),'SI - Units'!$A$2:$A$8,'SI - Units'!$B$2:$B$8, ""))</calculatedColumnFormula>
    </tableColumn>
    <tableColumn id="7" xr3:uid="{5480AB73-35A9-4C60-87E1-D62AAA364799}" name="Moisture" dataDxfId="226" dataCellStyle="Percent"/>
    <tableColumn id="8" xr3:uid="{CFFA6434-7B4D-4630-80C3-A05A5B443698}" name="Previous Process"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Payload'!$A$10:$A$35,'SI - Payload'!$B$10:$B$35,"",0),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Use'!$B$2:$B$51,'SI - End Use'!$C$2:$C$51, "")="", "", _xlfn.XLOOKUP($C5,'SI - End Use'!$B$2:$B$51,'SI - End Use'!$C$2:$C$51, ""))</calculatedColumnFormula>
    </tableColumn>
    <tableColumn id="18" xr3:uid="{009D8965-8CC9-4C2D-B80E-CFC1D1800BEA}" name="Sub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Use'!$B$2:$B$51,'SI - End Use'!$C$2:$C$51, "")="", "", _xlfn.XLOOKUP($C5,'SI - End Use'!$B$2:$B$51,'SI - End Use'!$C$2:$C$51,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Units'!$B$24:$B$72,'SI - Units'!$C$24:$C$72, ""),'SI - Units'!$A$2:$A$8,'SI - Units'!$B$2:$B$8, ""))</calculatedColumnFormula>
    </tableColumn>
    <tableColumn id="7" xr3:uid="{51769122-B012-43F4-B206-77BDFB857216}" name="Moisture" dataDxfId="205" dataCellStyle="Percent"/>
    <tableColumn id="8" xr3:uid="{DD89DE0E-CC1B-4A33-A92E-27653BA23D3F}" name="Previous Process"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Payload'!$A$10:$A$35,'SI - Payload'!$B$10:$B$35,"",0),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Use'!$B$2:$B$51,'SI - End Use'!$C$2:$C$51, "")="", "", _xlfn.XLOOKUP($C5,'SI - End Use'!$B$2:$B$51,'SI - End Use'!$C$2:$C$51, ""))</calculatedColumnFormula>
    </tableColumn>
    <tableColumn id="18" xr3:uid="{7CA44602-BD09-4CAA-A7F1-6AA33B9A3ADB}" name="Sub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Use'!$B$2:$B$51,'SI - End Use'!$C$2:$C$51, "")="", "", _xlfn.XLOOKUP($C5,'SI - End Use'!$B$2:$B$51,'SI - End Use'!$C$2:$C$51,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Units'!$B$24:$B$72,'SI - Units'!$C$24:$C$72,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Process"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Payload'!$A$10:$A$35,'SI - Payload'!$B$10:$B$35,"",0),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Use'!$B$2:$B$51,'SI - End Use'!$C$2:$C$51, "")="", "", _xlfn.XLOOKUP($C5,'SI - End Use'!$B$2:$B$51,'SI - End Use'!$C$2:$C$51, ""))</calculatedColumnFormula>
    </tableColumn>
    <tableColumn id="18" xr3:uid="{1B1EDED5-D2D8-4C87-8D0A-29AD5172BA1B}" name="Sub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Resources'!$A$1:$H$1,'SI - Resources'!$A$2:$H$2, "")</calculatedColumnFormula>
    </tableColumn>
    <tableColumn id="4" xr3:uid="{3F19F5F2-BA47-4D27-9F53-76C6D29D9279}" name="End Use" dataDxfId="166">
      <calculatedColumnFormula>IF(_xlfn.XLOOKUP($C5,'SI - End Use'!$B$2:$B$51,'SI - End Use'!$C$2:$C$51, "")="", "", _xlfn.XLOOKUP($C5,'SI - End Use'!$B$2:$B$51,'SI - End Use'!$C$2:$C$51,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Units'!$B$24:$B$72,'SI - Units'!$C$24:$C$72, ""),'SI - Units'!$A$2:$A$8,'SI - Units'!$B$2:$B$8, ""))</calculatedColumnFormula>
    </tableColumn>
    <tableColumn id="7" xr3:uid="{36154FF0-5131-4197-B58D-90085C9AAD46}" name="Moisture" dataDxfId="163" dataCellStyle="Percent"/>
    <tableColumn id="8" xr3:uid="{0F7482D3-3310-439A-A32A-97ADBE2F75D0}" name="Previous Process"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Payload'!$A$10:$A$35,'SI - Payload'!$B$10:$B$35,"",0),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Use'!$B$2:$B$51,'SI - End Use'!$C$2:$C$51, "")="", "", _xlfn.XLOOKUP($C5,'SI - End Use'!$B$2:$B$51,'SI - End Use'!$C$2:$C$51, ""))</calculatedColumnFormula>
    </tableColumn>
    <tableColumn id="18" xr3:uid="{571B9315-51B0-494F-A194-11EA85562B63}" name="Sub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Resources'!$A$1:$H$1,'SI - Resources'!$A$2:$H$2, "")</calculatedColumnFormula>
    </tableColumn>
    <tableColumn id="4" xr3:uid="{8E4E532D-A480-40F3-A6BC-D745BBA110E8}" name="End Use" dataDxfId="145">
      <calculatedColumnFormula>IF(_xlfn.XLOOKUP($C5,'SI - End Use'!$B$2:$B$51,'SI - End Use'!$C$2:$C$51, "")="", "", _xlfn.XLOOKUP($C5,'SI - End Use'!$B$2:$B$51,'SI - End Use'!$C$2:$C$51,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Units'!$B$24:$B$72,'SI - Units'!$C$24:$C$72, ""),'SI - Units'!$A$2:$A$8,'SI - Units'!$B$2:$B$8, ""))</calculatedColumnFormula>
    </tableColumn>
    <tableColumn id="7" xr3:uid="{C01166FB-43C2-4792-9291-F11667322C4E}" name="Moisture" dataDxfId="142" dataCellStyle="Percent"/>
    <tableColumn id="8" xr3:uid="{C4E5D955-1F26-489B-8379-B81B7B927067}" name="Previous Process"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Payload'!$A$10:$A$35,'SI - Payload'!$B$10:$B$35,"",0),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Use'!$B$2:$B$51,'SI - End Use'!$C$2:$C$51, "")="", "", _xlfn.XLOOKUP($C5,'SI - End Use'!$B$2:$B$51,'SI - End Use'!$C$2:$C$51, ""))</calculatedColumnFormula>
    </tableColumn>
    <tableColumn id="18" xr3:uid="{15DAB267-74DB-4A82-BA58-2755FFD3A9CA}" name="Sub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Resources'!$A$1:$H$1,'SI - Resources'!$A$2:$H$2, "")</calculatedColumnFormula>
    </tableColumn>
    <tableColumn id="4" xr3:uid="{7463CA53-8CDB-4085-B25E-DE16DAD36ED9}" name="End Use" dataDxfId="124">
      <calculatedColumnFormula>IF(_xlfn.XLOOKUP($C5,'SI - End Use'!$B$2:$B$51,'SI - End Use'!$C$2:$C$51, "")="", "", _xlfn.XLOOKUP($C5,'SI - End Use'!$B$2:$B$51,'SI - End Use'!$C$2:$C$51,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Units'!$B$24:$B$72,'SI - Units'!$C$24:$C$72, ""),'SI - Units'!$A$2:$A$8,'SI - Units'!$B$2:$B$8, ""))</calculatedColumnFormula>
    </tableColumn>
    <tableColumn id="7" xr3:uid="{B69439E1-8CF2-4C64-B9C2-EE28EF51D966}" name="Moisture" dataDxfId="121" dataCellStyle="Percent"/>
    <tableColumn id="8" xr3:uid="{1E3E08AD-AA3A-4C03-812D-BED175B02091}" name="Previous Process"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Payload'!$A$10:$A$35,'SI - Payload'!$B$10:$B$35,"",0),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Use'!$B$2:$B$51,'SI - End Use'!$C$2:$C$51, "")="", "", _xlfn.XLOOKUP($C5,'SI - End Use'!$B$2:$B$51,'SI - End Use'!$C$2:$C$51, ""))</calculatedColumnFormula>
    </tableColumn>
    <tableColumn id="18" xr3:uid="{867ACA23-404B-4D5F-B940-B3E1E204D3F2}" name="Sub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Resources'!$A$1:$H$1,'SI - Resources'!$A$2:$H$2, "")</calculatedColumnFormula>
    </tableColumn>
    <tableColumn id="4" xr3:uid="{9A522C94-5E09-459C-B15A-A65D0C1BAFB3}" name="End Use" dataDxfId="103">
      <calculatedColumnFormula>IF(_xlfn.XLOOKUP($C5,'SI - End Use'!$B$2:$B$51,'SI - End Use'!$C$2:$C$51, "")="", "", _xlfn.XLOOKUP($C5,'SI - End Use'!$B$2:$B$51,'SI - End Use'!$C$2:$C$51,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Units'!$B$24:$B$72,'SI - Units'!$C$24:$C$72, ""),'SI - Units'!$A$2:$A$8,'SI - Units'!$B$2:$B$8, ""))</calculatedColumnFormula>
    </tableColumn>
    <tableColumn id="7" xr3:uid="{4EC2C958-E53A-4A68-BAB6-FD7E81C08FB3}" name="Moisture" dataDxfId="100" dataCellStyle="Percent"/>
    <tableColumn id="8" xr3:uid="{E680649C-648A-4560-85D0-7260F0A1220A}" name="Previous Process"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Payload'!$A$10:$A$35,'SI - Payload'!$B$10:$B$35,"",0),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Use'!$B$2:$B$51,'SI - End Use'!$C$2:$C$51, "")="", "", _xlfn.XLOOKUP($C5,'SI - End Use'!$B$2:$B$51,'SI - End Use'!$C$2:$C$51, ""))</calculatedColumnFormula>
    </tableColumn>
    <tableColumn id="18" xr3:uid="{767E2329-3418-4EFE-92BF-D29D921FB1ED}" name="Sub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Resources'!$A$1:$H$1,'SI - Resources'!$A$2:$H$2, "")</calculatedColumnFormula>
    </tableColumn>
    <tableColumn id="4" xr3:uid="{D2D51FC8-116B-425D-9B82-09F2BDE69C89}" name="End Use" dataDxfId="82">
      <calculatedColumnFormula>IF(_xlfn.XLOOKUP($C5,'SI - End Use'!$B$2:$B$51,'SI - End Use'!$C$2:$C$51, "")="", "", _xlfn.XLOOKUP($C5,'SI - End Use'!$B$2:$B$51,'SI - End Use'!$C$2:$C$51,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Units'!$B$24:$B$72,'SI - Units'!$C$24:$C$72,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Use'!$B$2:$B$51,'SI - End Use'!$C$2:$C$51, "")="", "", _xlfn.XLOOKUP($C5,'SI - End Use'!$B$2:$B$51,'SI - End Use'!$C$2:$C$51,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Resources'!$A$1:$H$1,'SI - Resources'!$A$2:$H$2, "")</calculatedColumnFormula>
    </tableColumn>
    <tableColumn id="4" xr3:uid="{39331533-F98B-4744-9974-CBE12A70CA65}" name="End Use" dataDxfId="61">
      <calculatedColumnFormula>IF(_xlfn.XLOOKUP($C5,'SI - End Use'!$B$2:$B$51,'SI - End Use'!$C$2:$C$51, "")="", "", _xlfn.XLOOKUP($C5,'SI - End Use'!$B$2:$B$51,'SI - End Use'!$C$2:$C$51,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Units'!$B$24:$B$72,'SI - Units'!$C$24:$C$72,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Payload'!$A$10:$A$35,'SI - Payload'!$B$10:$B$35,"",0),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Use'!$B$2:$B$51,'SI - End Use'!$C$2:$C$51, "")="", "", _xlfn.XLOOKUP($C5,'SI - End Use'!$B$2:$B$51,'SI - End Use'!$C$2:$C$51,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Use'!$B$2:$B$51,'SI - End Use'!$C$2:$C$51, "")="", "", _xlfn.XLOOKUP($C5,'SI - End Use'!$B$2:$B$51,'SI - End Use'!$C$2:$C$51,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Units'!$B$24:$B$72,'SI - Units'!$C$24:$C$72,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Payload'!$A$10:$A$35,'SI - Payload'!$B$10:$B$35,"",0),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Use'!$B$2:$B$51,'SI - End Use'!$C$2:$C$51, "")="", "", _xlfn.XLOOKUP($C5,'SI - End Use'!$B$2:$B$51,'SI - End Use'!$C$2:$C$51,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25"/>
    <tableColumn id="4" xr3:uid="{066E5028-FE97-46DD-94DD-3F5362889CC8}" name="Column4" dataDxfId="24"/>
    <tableColumn id="5" xr3:uid="{518CF11D-9FC1-41DC-A48E-08F72F35ADAA}" name="Column5" dataDxfId="2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8" totalsRowShown="0" headerRowDxfId="22">
  <autoFilter ref="A1:H28"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1"/>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11">
  <autoFilter ref="B23:C72"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A2" sqref="A2:B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140</v>
      </c>
      <c r="B2" s="93"/>
    </row>
    <row r="3" spans="1:3" ht="28" customHeight="1" x14ac:dyDescent="0.35">
      <c r="A3" s="33"/>
      <c r="B3" s="33"/>
    </row>
    <row r="4" spans="1:3" ht="28" customHeight="1" x14ac:dyDescent="0.35">
      <c r="A4" s="94" t="s">
        <v>135</v>
      </c>
      <c r="B4" s="94"/>
    </row>
    <row r="5" spans="1:3" ht="28" customHeight="1" x14ac:dyDescent="0.35">
      <c r="A5" s="35" t="s">
        <v>141</v>
      </c>
      <c r="B5" s="34"/>
    </row>
    <row r="6" spans="1:3" ht="29" x14ac:dyDescent="0.35">
      <c r="A6" s="37" t="s">
        <v>121</v>
      </c>
      <c r="B6" s="36" t="s">
        <v>136</v>
      </c>
      <c r="C6" s="25"/>
    </row>
    <row r="7" spans="1:3" ht="21" x14ac:dyDescent="0.35">
      <c r="A7" s="34"/>
      <c r="B7" s="34"/>
    </row>
    <row r="8" spans="1:3" ht="28" customHeight="1" x14ac:dyDescent="0.35">
      <c r="A8" s="35" t="s">
        <v>142</v>
      </c>
      <c r="B8" s="34"/>
    </row>
    <row r="9" spans="1:3" x14ac:dyDescent="0.35">
      <c r="A9" s="30" t="s">
        <v>6</v>
      </c>
      <c r="B9" s="29" t="s">
        <v>126</v>
      </c>
    </row>
    <row r="10" spans="1:3" x14ac:dyDescent="0.35">
      <c r="A10" s="32" t="s">
        <v>0</v>
      </c>
      <c r="B10" s="29" t="s">
        <v>123</v>
      </c>
    </row>
    <row r="11" spans="1:3" x14ac:dyDescent="0.35">
      <c r="A11" s="32" t="s">
        <v>124</v>
      </c>
      <c r="B11" s="29" t="s">
        <v>129</v>
      </c>
    </row>
    <row r="12" spans="1:3" ht="58" x14ac:dyDescent="0.35">
      <c r="A12" s="32" t="s">
        <v>119</v>
      </c>
      <c r="B12" s="29" t="s">
        <v>138</v>
      </c>
    </row>
    <row r="13" spans="1:3" ht="43.5" x14ac:dyDescent="0.35">
      <c r="A13" s="32" t="s">
        <v>89</v>
      </c>
      <c r="B13" s="29" t="s">
        <v>137</v>
      </c>
    </row>
    <row r="14" spans="1:3" ht="58" x14ac:dyDescent="0.35">
      <c r="A14" s="32" t="s">
        <v>120</v>
      </c>
      <c r="B14" s="29" t="s">
        <v>139</v>
      </c>
    </row>
    <row r="15" spans="1:3" x14ac:dyDescent="0.35">
      <c r="A15" s="31" t="s">
        <v>1</v>
      </c>
      <c r="B15" s="29" t="s">
        <v>134</v>
      </c>
    </row>
    <row r="16" spans="1:3" x14ac:dyDescent="0.35">
      <c r="A16" s="31" t="s">
        <v>36</v>
      </c>
      <c r="B16" s="29" t="s">
        <v>125</v>
      </c>
    </row>
    <row r="17" spans="1:2" ht="43.5" x14ac:dyDescent="0.35">
      <c r="A17" s="31" t="s">
        <v>5</v>
      </c>
      <c r="B17" s="29" t="s">
        <v>127</v>
      </c>
    </row>
    <row r="18" spans="1:2" x14ac:dyDescent="0.35">
      <c r="A18" s="31" t="s">
        <v>7</v>
      </c>
      <c r="B18" s="29" t="s">
        <v>133</v>
      </c>
    </row>
    <row r="19" spans="1:2" x14ac:dyDescent="0.35">
      <c r="A19" s="31" t="s">
        <v>8</v>
      </c>
      <c r="B19" s="29" t="s">
        <v>128</v>
      </c>
    </row>
    <row r="20" spans="1:2" ht="29" x14ac:dyDescent="0.35">
      <c r="A20" s="31" t="s">
        <v>116</v>
      </c>
      <c r="B20" s="29" t="s">
        <v>130</v>
      </c>
    </row>
    <row r="21" spans="1:2" ht="29" x14ac:dyDescent="0.35">
      <c r="A21" s="31" t="s">
        <v>117</v>
      </c>
      <c r="B21" s="29" t="s">
        <v>131</v>
      </c>
    </row>
    <row r="22" spans="1:2" x14ac:dyDescent="0.35">
      <c r="A22" s="31" t="s">
        <v>88</v>
      </c>
      <c r="B22" s="29" t="s">
        <v>132</v>
      </c>
    </row>
    <row r="23" spans="1:2" x14ac:dyDescent="0.35">
      <c r="A23" s="31" t="s">
        <v>4</v>
      </c>
      <c r="B23" s="29" t="s">
        <v>143</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0</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c r="I5" s="43"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Corn Stover</v>
      </c>
      <c r="P5" s="10" t="str">
        <f>IF(_xlfn.XLOOKUP($O5,'SI - End Use'!$B$2:$B$51,'SI - End Use'!$C$2:$C$51, "")="", "", _xlfn.XLOOKUP($C5,'SI - End Use'!$B$2:$B$51,'SI - End Use'!$C$2:$C$51, ""))</f>
        <v/>
      </c>
      <c r="Q5" s="10"/>
      <c r="R5" s="10"/>
    </row>
    <row r="6" spans="1:18" x14ac:dyDescent="0.35">
      <c r="A6" s="10" t="s">
        <v>0</v>
      </c>
      <c r="B6" s="10" t="s">
        <v>272</v>
      </c>
      <c r="C6" s="10" t="s">
        <v>2</v>
      </c>
      <c r="D6" s="27" t="s">
        <v>12</v>
      </c>
      <c r="E6" s="91">
        <f>'INL Data'!B2*1000*'INL Data'!D2</f>
        <v>89040</v>
      </c>
      <c r="F6" s="27" t="str" cm="1">
        <f t="array" ref="F6">IF($B6="Transportation",  'SI - Units'!$B$9:$B$9, _xlfn.XLOOKUP(_xlfn.XLOOKUP($C6,'SI - Units'!$B$24:$B$72,'SI - Units'!$C$24:$C$72, ""),'SI - Units'!$A$2:$A$8,'SI - Units'!$B$2:$B$8, ""))</f>
        <v>BTU</v>
      </c>
      <c r="G6" s="39"/>
      <c r="H6" s="39"/>
      <c r="I6" s="43"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Diesel</v>
      </c>
      <c r="P6" s="10" t="str">
        <f>IF(_xlfn.XLOOKUP($O6,'SI - End Use'!$B$2:$B$51,'SI - End Use'!$C$2:$C$51, "")="", "", _xlfn.XLOOKUP($C6,'SI - End Use'!$B$2:$B$51,'SI - End Use'!$C$2:$C$51, ""))</f>
        <v>Industrial Boiler</v>
      </c>
      <c r="Q6" s="10"/>
      <c r="R6" s="10"/>
    </row>
    <row r="7" spans="1:18" x14ac:dyDescent="0.35">
      <c r="A7" s="10" t="s">
        <v>0</v>
      </c>
      <c r="B7" s="10" t="s">
        <v>3</v>
      </c>
      <c r="C7" s="10" t="str">
        <f>_xlfn.XLOOKUP($B7,'SI - Resources'!$A$1:$H$1,'SI - Resources'!$A$2:$H$2, "")</f>
        <v>Electricity</v>
      </c>
      <c r="D7" s="27" t="str">
        <f>IF(_xlfn.XLOOKUP($C7,'SI - End Use'!$B$2:$B$51,'SI - End Use'!$C$2:$C$51, "")="", "", _xlfn.XLOOKUP($C7,'SI - End Use'!$B$2:$B$51,'SI - End Use'!$C$2:$C$51, ""))</f>
        <v>U.S. Mix</v>
      </c>
      <c r="E7" s="91">
        <f>'INL Data'!B3*1000*'INL Data'!E2</f>
        <v>0</v>
      </c>
      <c r="F7" s="27" t="s">
        <v>73</v>
      </c>
      <c r="G7" s="39"/>
      <c r="H7" s="39"/>
      <c r="I7" s="43" t="str">
        <f>IF(Table13[[#This Row],[Type]]="Co-product", "No", "")</f>
        <v/>
      </c>
      <c r="J7" s="10"/>
      <c r="K7" s="27" t="str">
        <f>IF(Table13[[#This Row],[Type]]="Transportation", _xlfn.XLOOKUP(Table13[[#This Row],[Resource]], 'SI - Payload'!$A$10:$A$35,'SI - Payload'!$B$10:$B$35,"",0), "")</f>
        <v/>
      </c>
      <c r="L7" s="27" t="str">
        <f>IF(Table13[[#This Row],[Type]]="Transportation", "ton", "")</f>
        <v/>
      </c>
      <c r="M7" s="10"/>
      <c r="N7" s="10"/>
      <c r="O7" s="27" t="str">
        <f>Table13[[#This Row],[Resource]]</f>
        <v>Electricity</v>
      </c>
      <c r="P7" s="27" t="str">
        <f>IF(_xlfn.XLOOKUP($O7,'SI - End Use'!$B$2:$B$51,'SI - End Use'!$C$2:$C$51, "")="", "", _xlfn.XLOOKUP($C7,'SI - End Use'!$B$2:$B$51,'SI - End Use'!$C$2:$C$51, ""))</f>
        <v>U.S. Mix</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Data'!B3*1000*'INL Data'!F3</f>
        <v>0</v>
      </c>
      <c r="F8" s="27" t="str" cm="1">
        <f t="array" ref="F8">IF($B8="Transportation",  'SI - Units'!$B$9:$B$9, _xlfn.XLOOKUP(_xlfn.XLOOKUP($C8,'SI - Units'!$B$24:$B$72,'SI - Units'!$C$24:$C$72, ""),'SI - Units'!$A$2:$A$8,'SI - Units'!$B$2:$B$8, ""))</f>
        <v>BTU</v>
      </c>
      <c r="G8" s="39"/>
      <c r="H8" s="39"/>
      <c r="I8" s="43" t="str">
        <f>IF(Table13[[#This Row],[Type]]="Co-product", "No", "")</f>
        <v/>
      </c>
      <c r="J8" s="10"/>
      <c r="K8" s="27" t="str">
        <f>IF(Table13[[#This Row],[Type]]="Transportation", _xlfn.XLOOKUP(Table13[[#This Row],[Resource]], 'SI - Payload'!$A$10:$A$35,'SI - Payload'!$B$10:$B$35,"",0), "")</f>
        <v/>
      </c>
      <c r="L8" s="27" t="str">
        <f>IF(Table13[[#This Row],[Type]]="Transportation", "ton", "")</f>
        <v/>
      </c>
      <c r="M8" s="10"/>
      <c r="N8" s="10"/>
      <c r="O8" s="27" t="str">
        <f>Table13[[#This Row],[Resource]]</f>
        <v>Natural Gas</v>
      </c>
      <c r="P8" s="27"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Data'!H2</f>
        <v>1</v>
      </c>
      <c r="F9" s="27" t="s">
        <v>11</v>
      </c>
      <c r="G9" s="39"/>
      <c r="H9" s="39"/>
      <c r="I9" s="43"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IF(Table13[[#This Row],[Type]]="Co-product", "No", "")</f>
        <v/>
      </c>
      <c r="J100" s="10"/>
      <c r="K100" s="10" t="str">
        <f>IF(Table13[[#This Row],[Type]]="Transportation", _xlfn.XLOOKUP(Table13[[#This Row],[Resource]], 'SI - Payload'!$A$10:$A$35,'SI - Payload'!$B$10:$B$35,"",0), "")</f>
        <v/>
      </c>
      <c r="L100" s="10" t="str">
        <f>IF(Table13[[#This Row],[Type]]="Transportation",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IF(Table13[[#This Row],[Type]]="Co-product", "No", "")</f>
        <v/>
      </c>
      <c r="J101" s="10"/>
      <c r="K101" s="10" t="str">
        <f>IF(Table13[[#This Row],[Type]]="Transportation", _xlfn.XLOOKUP(Table13[[#This Row],[Resource]], 'SI - Payload'!$A$10:$A$35,'SI - Payload'!$B$10:$B$35,"",0), "")</f>
        <v/>
      </c>
      <c r="L101" s="10" t="str">
        <f>IF(Table13[[#This Row],[Type]]="Transportation",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IF(Table13[[#This Row],[Type]]="Co-product", "No", "")</f>
        <v/>
      </c>
      <c r="J102" s="26"/>
      <c r="K102" s="26" t="str">
        <f>IF(Table13[[#This Row],[Type]]="Transportation", _xlfn.XLOOKUP(Table13[[#This Row],[Resource]], 'SI - Payload'!$A$10:$A$35,'SI - Payload'!$B$10:$B$35,"",0), "")</f>
        <v/>
      </c>
      <c r="L102" s="26" t="str">
        <f>IF(Table13[[#This Row],[Type]]="Transportation",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Use'!$B$2:$B$51,'SI - End Use'!$C$2:$N$51)</xm:f>
          </x14:formula1>
          <xm:sqref>P5:P102</xm:sqref>
        </x14:dataValidation>
        <x14:dataValidation type="list" allowBlank="1" showInputMessage="1" xr:uid="{C7402193-A05E-44B8-BA58-88EADF18A439}">
          <x14:formula1>
            <xm:f>_xlfn.XLOOKUP($C5,'SI - End Use'!$B$2:$B$51,'SI - End Use'!$C$2:$N$51)</xm:f>
          </x14:formula1>
          <xm:sqref>D5:D102</xm:sqref>
        </x14:dataValidation>
        <x14:dataValidation type="list" allowBlank="1" showInputMessage="1" showErrorMessage="1" xr:uid="{8AF39688-C479-46FA-85A5-62EE95BC9825}">
          <x14:formula1>
            <xm:f>IF($B5="Transportation",  'SI - Units'!$B$9:$E$9, _xlfn.XLOOKUP(_xlfn.XLOOKUP($C5,'SI - Units'!$B$24:$B$72,'SI - Units'!$C$24:$C$72),'SI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Units'!$B$24:$B$72,'SI - Units'!$C$24:$C$72),'SI - Units'!$A$13:$A$19,'SI - Units'!$B$13:$R$19))</xm:f>
          </x14:formula1>
          <xm:sqref>N5:N102</xm:sqref>
        </x14:dataValidation>
        <x14:dataValidation type="list" allowBlank="1" showInputMessage="1" showErrorMessage="1" xr:uid="{806E184E-EE1B-4960-A01D-C60C05E3A5E1}">
          <x14:formula1>
            <xm:f>_xlfn.XLOOKUP(_xlfn.XLOOKUP(#REF!,'SI - Units'!$B$24:$B$72,'SI - Units'!$C$24:$C$72),'SI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241</v>
      </c>
      <c r="I5" s="43"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Data'!B3*1000*'INL Data'!E3</f>
        <v>23190</v>
      </c>
      <c r="F6" s="27" t="s">
        <v>73</v>
      </c>
      <c r="G6" s="39"/>
      <c r="H6" s="39"/>
      <c r="I6" s="43"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Electricity</v>
      </c>
      <c r="P6" s="10" t="str">
        <f>IF(_xlfn.XLOOKUP($O6,'SI - End Use'!$B$2:$B$51,'SI - End Use'!$C$2:$C$51, "")="", "", _xlfn.XLOOKUP($C6,'SI - End Use'!$B$2:$B$51,'SI - End Use'!$C$2:$C$51, ""))</f>
        <v>U.S. Mix</v>
      </c>
      <c r="Q6" s="10"/>
      <c r="R6" s="10"/>
    </row>
    <row r="7" spans="1:18" x14ac:dyDescent="0.35">
      <c r="A7" s="10" t="s">
        <v>0</v>
      </c>
      <c r="B7" s="10" t="s">
        <v>272</v>
      </c>
      <c r="C7" s="10" t="str">
        <f>_xlfn.XLOOKUP($B7,'SI - Resources'!$A$1:$H$1,'SI - Resources'!$A$2:$H$2, "")</f>
        <v>Diesel</v>
      </c>
      <c r="D7" s="27" t="str">
        <f>IF(_xlfn.XLOOKUP($C7,'SI - End Use'!$B$2:$B$51,'SI - End Use'!$C$2:$C$51, "")="", "", _xlfn.XLOOKUP($C7,'SI - End Use'!$B$2:$B$51,'SI - End Use'!$C$2:$C$51, ""))</f>
        <v>Industrial Boiler</v>
      </c>
      <c r="E7" s="91">
        <f>'INL Data'!B3*1000*'INL Data'!D3</f>
        <v>0</v>
      </c>
      <c r="F7" s="27" t="str" cm="1">
        <f t="array" ref="F7">IF($B7="Transportation",  'SI - Units'!$B$9:$B$9, _xlfn.XLOOKUP(_xlfn.XLOOKUP($C7,'SI - Units'!$B$24:$B$72,'SI - Units'!$C$24:$C$72, ""),'SI - Units'!$A$2:$A$8,'SI - Units'!$B$2:$B$8, ""))</f>
        <v>BTU</v>
      </c>
      <c r="G7" s="39"/>
      <c r="H7" s="39"/>
      <c r="I7" s="43" t="str">
        <f>IF(Table16[[#This Row],[Type]]="Co-product", "No", "")</f>
        <v/>
      </c>
      <c r="J7" s="10"/>
      <c r="K7" s="27" t="str">
        <f>IF(Table16[[#This Row],[Type]]="Transportation", _xlfn.XLOOKUP(Table16[[#This Row],[Resource]], 'SI - Payload'!$A$10:$A$35,'SI - Payload'!$B$10:$B$35,"",0), "")</f>
        <v/>
      </c>
      <c r="L7" s="27" t="str">
        <f>IF(Table16[[#This Row],[Type]]="Transportation", "ton", "")</f>
        <v/>
      </c>
      <c r="M7" s="10"/>
      <c r="N7" s="10"/>
      <c r="O7" s="27" t="str">
        <f>Table16[[#This Row],[Resource]]</f>
        <v>Diesel</v>
      </c>
      <c r="P7" s="27" t="str">
        <f>IF(_xlfn.XLOOKUP($O7,'SI - End Use'!$B$2:$B$51,'SI - End Use'!$C$2:$C$51, "")="", "", _xlfn.XLOOKUP($C7,'SI - End Use'!$B$2:$B$51,'SI - End Use'!$C$2:$C$51, ""))</f>
        <v>Industrial Boiler</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Data'!B3*1000*'INL Data'!F3</f>
        <v>0</v>
      </c>
      <c r="F8" s="27" t="str" cm="1">
        <f t="array" ref="F8">IF($B8="Transportation",  'SI - Units'!$B$9:$B$9, _xlfn.XLOOKUP(_xlfn.XLOOKUP($C8,'SI - Units'!$B$24:$B$72,'SI - Units'!$C$24:$C$72, ""),'SI - Units'!$A$2:$A$8,'SI - Units'!$B$2:$B$8, ""))</f>
        <v>BTU</v>
      </c>
      <c r="G8" s="39"/>
      <c r="H8" s="39"/>
      <c r="I8" s="43" t="str">
        <f>IF(Table16[[#This Row],[Type]]="Co-product", "No", "")</f>
        <v/>
      </c>
      <c r="J8" s="10"/>
      <c r="K8" s="27" t="str">
        <f>IF(Table16[[#This Row],[Type]]="Transportation", _xlfn.XLOOKUP(Table16[[#This Row],[Resource]], 'SI - Payload'!$A$10:$A$35,'SI - Payload'!$B$10:$B$35,"",0), "")</f>
        <v/>
      </c>
      <c r="L8" s="27" t="str">
        <f>IF(Table16[[#This Row],[Type]]="Transportation", "ton", "")</f>
        <v/>
      </c>
      <c r="M8" s="10"/>
      <c r="N8" s="10"/>
      <c r="O8" s="27" t="str">
        <f>Table16[[#This Row],[Resource]]</f>
        <v>Natural Gas</v>
      </c>
      <c r="P8" s="27"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Data'!H3</f>
        <v>0.91200000000000003</v>
      </c>
      <c r="F9" s="27" t="s">
        <v>11</v>
      </c>
      <c r="G9" s="39"/>
      <c r="H9" s="39"/>
      <c r="I9" s="43"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tr">
        <f>Table16[[#This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10" t="str">
        <f>Table16[[#This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10" t="str">
        <f>Table16[[#This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IF(Table16[[#This Row],[Type]]="Co-product", "No", "")</f>
        <v/>
      </c>
      <c r="J100" s="10"/>
      <c r="K100" s="10" t="str">
        <f>IF(Table16[[#This Row],[Type]]="Transportation", _xlfn.XLOOKUP(Table16[[#This Row],[Resource]], 'SI - Payload'!$A$10:$A$35,'SI - Payload'!$B$10:$B$35,"",0), "")</f>
        <v/>
      </c>
      <c r="L100" s="10" t="str">
        <f>IF(Table16[[#This Row],[Type]]="Transportation", "ton", "")</f>
        <v/>
      </c>
      <c r="M100" s="10"/>
      <c r="N100" s="10"/>
      <c r="O100" s="27" t="str">
        <f>Table16[[#This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IF(Table16[[#This Row],[Type]]="Co-product", "No", "")</f>
        <v/>
      </c>
      <c r="J101" s="10"/>
      <c r="K101" s="10" t="str">
        <f>IF(Table16[[#This Row],[Type]]="Transportation", _xlfn.XLOOKUP(Table16[[#This Row],[Resource]], 'SI - Payload'!$A$10:$A$35,'SI - Payload'!$B$10:$B$35,"",0), "")</f>
        <v/>
      </c>
      <c r="L101" s="10" t="str">
        <f>IF(Table16[[#This Row],[Type]]="Transportation", "ton", "")</f>
        <v/>
      </c>
      <c r="M101" s="10"/>
      <c r="N101" s="10"/>
      <c r="O101" s="27" t="str">
        <f>Table16[[#This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IF(Table16[[#This Row],[Type]]="Co-product", "No", "")</f>
        <v/>
      </c>
      <c r="J102" s="26"/>
      <c r="K102" s="26" t="str">
        <f>IF(Table16[[#This Row],[Type]]="Transportation", _xlfn.XLOOKUP(Table16[[#This Row],[Resource]], 'SI - Payload'!$A$10:$A$35,'SI - Payload'!$B$10:$B$35,"",0), "")</f>
        <v/>
      </c>
      <c r="L102" s="26" t="str">
        <f>IF(Table16[[#This Row],[Type]]="Transportation", "ton", "")</f>
        <v/>
      </c>
      <c r="M102" s="26"/>
      <c r="N102" s="26"/>
      <c r="O102" s="26" t="str">
        <f>Table16[[#This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Use'!$B$2:$B$51,'SI - End Use'!$C$2:$N$51)</xm:f>
          </x14:formula1>
          <xm:sqref>P5:P102</xm:sqref>
        </x14:dataValidation>
        <x14:dataValidation type="list" allowBlank="1" showInputMessage="1" xr:uid="{B5830DD7-E70A-40BD-876C-3C2C77DB8455}">
          <x14:formula1>
            <xm:f>_xlfn.XLOOKUP($C5,'SI - End Use'!$B$2:$B$51,'SI - End Use'!$C$2:$N$51)</xm:f>
          </x14:formula1>
          <xm:sqref>D5:D102</xm:sqref>
        </x14:dataValidation>
        <x14:dataValidation type="list" allowBlank="1" showInputMessage="1" showErrorMessage="1" xr:uid="{598C4837-EFE6-428B-8578-5357FB9F6941}">
          <x14:formula1>
            <xm:f>IF($B5="Transportation",  'SI - Units'!$B$9:$E$9, _xlfn.XLOOKUP(_xlfn.XLOOKUP($C5,'SI - Units'!$B$24:$B$72,'SI - Units'!$C$24:$C$72),'SI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Units'!$B$24:$B$72,'SI - Units'!$C$24:$C$72),'SI - Units'!$A$13:$A$19,'SI - Units'!$B$13:$R$19))</xm:f>
          </x14:formula1>
          <xm:sqref>N5:N102</xm:sqref>
        </x14:dataValidation>
        <x14:dataValidation type="list" allowBlank="1" showInputMessage="1" showErrorMessage="1" xr:uid="{FCE41A73-0255-4CAC-9919-EC661FF9035C}">
          <x14:formula1>
            <xm:f>_xlfn.XLOOKUP(_xlfn.XLOOKUP(#REF!,'SI - Units'!$B$24:$B$72,'SI - Units'!$C$24:$C$72),'SI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D27" sqref="D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69">
        <v>1</v>
      </c>
      <c r="F5" s="27" t="s">
        <v>11</v>
      </c>
      <c r="G5" s="39"/>
      <c r="H5" s="39" t="s">
        <v>242</v>
      </c>
      <c r="I5" s="43" t="str">
        <f>IF(Table18[[#This Row],[Type]]="Co-product", "No", "")</f>
        <v/>
      </c>
      <c r="J5" s="10"/>
      <c r="K5" s="10" t="str">
        <f>IF(Table18[[#This Row],[Type]]="Transportation", _xlfn.XLOOKUP(Table18[[#This Row],[Resource]], 'SI - Payload'!$A$10:$A$35,'SI - Payload'!$B$10:$B$35,"",0), "")</f>
        <v/>
      </c>
      <c r="L5" s="10" t="str">
        <f>IF(Table18[[#This Row],[Type]]="Transportation", "ton", "")</f>
        <v/>
      </c>
      <c r="M5" s="10"/>
      <c r="N5" s="10"/>
      <c r="O5" s="10" t="str">
        <f>Table18[[#This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23">
        <f>'INL Data'!B6</f>
        <v>34.840000000000003</v>
      </c>
      <c r="F6" s="27" t="str" cm="1">
        <f t="array" ref="F6">IF($B6="Transportation",  'SI - Units'!$B$9:$B$9, _xlfn.XLOOKUP(_xlfn.XLOOKUP($C6,'SI - Units'!$B$24:$B$72,'SI - Units'!$C$24:$C$72, ""),'SI - Units'!$A$2:$A$8,'SI - Units'!$B$2:$B$8, ""))</f>
        <v>mi</v>
      </c>
      <c r="G6" s="39">
        <f>'INL Data'!G6</f>
        <v>0.2</v>
      </c>
      <c r="H6" s="39"/>
      <c r="I6" s="43" t="str">
        <f>IF(Table18[[#This Row],[Type]]="Co-product", "No", "")</f>
        <v/>
      </c>
      <c r="J6" s="10"/>
      <c r="K6" s="10">
        <v>17.684999999999999</v>
      </c>
      <c r="L6" s="10" t="s">
        <v>11</v>
      </c>
      <c r="M6" s="10"/>
      <c r="N6" s="10"/>
      <c r="O6" s="10" t="str">
        <f>Table18[[#This Row],[Resource]]</f>
        <v>Corn Stover</v>
      </c>
      <c r="P6" s="10" t="str">
        <f>IF(_xlfn.XLOOKUP($O6,'SI - End Use'!$B$2:$B$51,'SI - End Use'!$C$2:$C$51, "")="", "", _xlfn.XLOOKUP($C6,'SI - End Use'!$B$2:$B$51,'SI - End Use'!$C$2:$C$51, ""))</f>
        <v/>
      </c>
      <c r="Q6" s="10"/>
      <c r="R6" s="10"/>
    </row>
    <row r="7" spans="1:18" x14ac:dyDescent="0.35">
      <c r="A7" s="10" t="s">
        <v>119</v>
      </c>
      <c r="B7" s="10" t="s">
        <v>39</v>
      </c>
      <c r="C7" s="10" t="str">
        <f>_xlfn.XLOOKUP($B7,'SI - Resources'!$A$1:$H$1,'SI - Resources'!$A$2:$H$2, "")</f>
        <v>Corn Stover</v>
      </c>
      <c r="D7" s="27" t="str">
        <f>IF(_xlfn.XLOOKUP($C7,'SI - End Use'!$B$2:$B$51,'SI - End Use'!$C$2:$C$51, "")="", "", _xlfn.XLOOKUP($C7,'SI - End Use'!$B$2:$B$51,'SI - End Use'!$C$2:$C$51, ""))</f>
        <v/>
      </c>
      <c r="E7" s="23">
        <f>1-'INL Data'!H6</f>
        <v>1</v>
      </c>
      <c r="F7" s="27" t="s">
        <v>11</v>
      </c>
      <c r="G7" s="39"/>
      <c r="H7" s="39"/>
      <c r="I7" s="43" t="str">
        <f>IF(Table18[[#This Row],[Type]]="Co-product", "No", "")</f>
        <v/>
      </c>
      <c r="J7" s="10"/>
      <c r="K7" s="10" t="str">
        <f>IF(Table18[[#This Row],[Type]]="Transportation", _xlfn.XLOOKUP(Table18[[#This Row],[Resource]], 'SI - Payload'!$A$10:$A$35,'SI - Payload'!$B$10:$B$35,"",0), "")</f>
        <v/>
      </c>
      <c r="L7" s="10" t="str">
        <f>IF(Table18[[#This Row],[Type]]="Transportation", "ton", "")</f>
        <v/>
      </c>
      <c r="M7" s="10"/>
      <c r="N7" s="10"/>
      <c r="O7" s="10" t="str">
        <f>Table18[[#This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IF(Table18[[#This Row],[Type]]="Co-product", "No", "")</f>
        <v/>
      </c>
      <c r="J8" s="10"/>
      <c r="K8" s="10" t="str">
        <f>IF(Table18[[#This Row],[Type]]="Transportation", _xlfn.XLOOKUP(Table18[[#This Row],[Resource]], 'SI - Payload'!$A$10:$A$35,'SI - Payload'!$B$10:$B$35,"",0), "")</f>
        <v/>
      </c>
      <c r="L8" s="10" t="str">
        <f>IF(Table18[[#This Row],[Type]]="Transportation", "ton", "")</f>
        <v/>
      </c>
      <c r="M8" s="10"/>
      <c r="N8" s="10"/>
      <c r="O8" s="10" t="str">
        <f>Table18[[#This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IF(Table18[[#This Row],[Type]]="Co-product", "No", "")</f>
        <v/>
      </c>
      <c r="J9" s="10"/>
      <c r="K9" s="10" t="str">
        <f>IF(Table18[[#This Row],[Type]]="Transportation", _xlfn.XLOOKUP(Table18[[#This Row],[Resource]], 'SI - Payload'!$A$10:$A$35,'SI - Payload'!$B$10:$B$35,"",0), "")</f>
        <v/>
      </c>
      <c r="L9" s="10" t="str">
        <f>IF(Table18[[#This Row],[Type]]="Transportation", "ton", "")</f>
        <v/>
      </c>
      <c r="M9" s="10"/>
      <c r="N9" s="10"/>
      <c r="O9" s="10" t="str">
        <f>Table18[[#This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IF(Table18[[#This Row],[Type]]="Co-product", "No", "")</f>
        <v/>
      </c>
      <c r="J10" s="10"/>
      <c r="K10" s="10" t="str">
        <f>IF(Table18[[#This Row],[Type]]="Transportation", _xlfn.XLOOKUP(Table18[[#This Row],[Resource]], 'SI - Payload'!$A$10:$A$35,'SI - Payload'!$B$10:$B$35,"",0), "")</f>
        <v/>
      </c>
      <c r="L10" s="10" t="str">
        <f>IF(Table18[[#This Row],[Type]]="Transportation", "ton", "")</f>
        <v/>
      </c>
      <c r="M10" s="10"/>
      <c r="N10" s="10"/>
      <c r="O10" s="10" t="str">
        <f>Table18[[#This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IF(Table18[[#This Row],[Type]]="Co-product", "No", "")</f>
        <v/>
      </c>
      <c r="J11" s="10"/>
      <c r="K11" s="10" t="str">
        <f>IF(Table18[[#This Row],[Type]]="Transportation", _xlfn.XLOOKUP(Table18[[#This Row],[Resource]], 'SI - Payload'!$A$10:$A$35,'SI - Payload'!$B$10:$B$35,"",0), "")</f>
        <v/>
      </c>
      <c r="L11" s="10" t="str">
        <f>IF(Table18[[#This Row],[Type]]="Transportation", "ton", "")</f>
        <v/>
      </c>
      <c r="M11" s="10"/>
      <c r="N11" s="10"/>
      <c r="O11" s="10" t="str">
        <f>Table18[[#This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IF(Table18[[#This Row],[Type]]="Co-product", "No", "")</f>
        <v/>
      </c>
      <c r="J12" s="10"/>
      <c r="K12" s="10" t="str">
        <f>IF(Table18[[#This Row],[Type]]="Transportation", _xlfn.XLOOKUP(Table18[[#This Row],[Resource]], 'SI - Payload'!$A$10:$A$35,'SI - Payload'!$B$10:$B$35,"",0), "")</f>
        <v/>
      </c>
      <c r="L12" s="10" t="str">
        <f>IF(Table18[[#This Row],[Type]]="Transportation", "ton", "")</f>
        <v/>
      </c>
      <c r="M12" s="10"/>
      <c r="N12" s="10"/>
      <c r="O12" s="10" t="str">
        <f>Table18[[#This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IF(Table18[[#This Row],[Type]]="Co-product", "No", "")</f>
        <v/>
      </c>
      <c r="J13" s="10"/>
      <c r="K13" s="10" t="str">
        <f>IF(Table18[[#This Row],[Type]]="Transportation", _xlfn.XLOOKUP(Table18[[#This Row],[Resource]], 'SI - Payload'!$A$10:$A$35,'SI - Payload'!$B$10:$B$35,"",0), "")</f>
        <v/>
      </c>
      <c r="L13" s="10" t="str">
        <f>IF(Table18[[#This Row],[Type]]="Transportation", "ton", "")</f>
        <v/>
      </c>
      <c r="M13" s="10"/>
      <c r="N13" s="10"/>
      <c r="O13" s="10" t="str">
        <f>Table18[[#This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IF(Table18[[#This Row],[Type]]="Co-product", "No", "")</f>
        <v/>
      </c>
      <c r="J14" s="10"/>
      <c r="K14" s="10" t="str">
        <f>IF(Table18[[#This Row],[Type]]="Transportation", _xlfn.XLOOKUP(Table18[[#This Row],[Resource]], 'SI - Payload'!$A$10:$A$35,'SI - Payload'!$B$10:$B$35,"",0), "")</f>
        <v/>
      </c>
      <c r="L14" s="10" t="str">
        <f>IF(Table18[[#This Row],[Type]]="Transportation", "ton", "")</f>
        <v/>
      </c>
      <c r="M14" s="10"/>
      <c r="N14" s="10"/>
      <c r="O14" s="10" t="str">
        <f>Table18[[#This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IF(Table18[[#This Row],[Type]]="Co-product", "No", "")</f>
        <v/>
      </c>
      <c r="J15" s="10"/>
      <c r="K15" s="10" t="str">
        <f>IF(Table18[[#This Row],[Type]]="Transportation", _xlfn.XLOOKUP(Table18[[#This Row],[Resource]], 'SI - Payload'!$A$10:$A$35,'SI - Payload'!$B$10:$B$35,"",0), "")</f>
        <v/>
      </c>
      <c r="L15" s="10" t="str">
        <f>IF(Table18[[#This Row],[Type]]="Transportation", "ton", "")</f>
        <v/>
      </c>
      <c r="M15" s="10"/>
      <c r="N15" s="10"/>
      <c r="O15" s="10" t="str">
        <f>Table18[[#This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IF(Table18[[#This Row],[Type]]="Co-product", "No", "")</f>
        <v/>
      </c>
      <c r="J16" s="10"/>
      <c r="K16" s="10" t="str">
        <f>IF(Table18[[#This Row],[Type]]="Transportation", _xlfn.XLOOKUP(Table18[[#This Row],[Resource]], 'SI - Payload'!$A$10:$A$35,'SI - Payload'!$B$10:$B$35,"",0), "")</f>
        <v/>
      </c>
      <c r="L16" s="10" t="str">
        <f>IF(Table18[[#This Row],[Type]]="Transportation", "ton", "")</f>
        <v/>
      </c>
      <c r="M16" s="10"/>
      <c r="N16" s="10"/>
      <c r="O16" s="10" t="str">
        <f>Table18[[#This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IF(Table18[[#This Row],[Type]]="Co-product", "No", "")</f>
        <v/>
      </c>
      <c r="J17" s="10"/>
      <c r="K17" s="10" t="str">
        <f>IF(Table18[[#This Row],[Type]]="Transportation", _xlfn.XLOOKUP(Table18[[#This Row],[Resource]], 'SI - Payload'!$A$10:$A$35,'SI - Payload'!$B$10:$B$35,"",0), "")</f>
        <v/>
      </c>
      <c r="L17" s="10" t="str">
        <f>IF(Table18[[#This Row],[Type]]="Transportation", "ton", "")</f>
        <v/>
      </c>
      <c r="M17" s="10"/>
      <c r="N17" s="10"/>
      <c r="O17" s="10" t="str">
        <f>Table18[[#This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IF(Table18[[#This Row],[Type]]="Co-product", "No", "")</f>
        <v/>
      </c>
      <c r="J18" s="10"/>
      <c r="K18" s="10" t="str">
        <f>IF(Table18[[#This Row],[Type]]="Transportation", _xlfn.XLOOKUP(Table18[[#This Row],[Resource]], 'SI - Payload'!$A$10:$A$35,'SI - Payload'!$B$10:$B$35,"",0), "")</f>
        <v/>
      </c>
      <c r="L18" s="10" t="str">
        <f>IF(Table18[[#This Row],[Type]]="Transportation", "ton", "")</f>
        <v/>
      </c>
      <c r="M18" s="10"/>
      <c r="N18" s="10"/>
      <c r="O18" s="10" t="str">
        <f>Table18[[#This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IF(Table18[[#This Row],[Type]]="Co-product", "No", "")</f>
        <v/>
      </c>
      <c r="J19" s="10"/>
      <c r="K19" s="10" t="str">
        <f>IF(Table18[[#This Row],[Type]]="Transportation", _xlfn.XLOOKUP(Table18[[#This Row],[Resource]], 'SI - Payload'!$A$10:$A$35,'SI - Payload'!$B$10:$B$35,"",0), "")</f>
        <v/>
      </c>
      <c r="L19" s="10" t="str">
        <f>IF(Table18[[#This Row],[Type]]="Transportation", "ton", "")</f>
        <v/>
      </c>
      <c r="M19" s="10"/>
      <c r="N19" s="10"/>
      <c r="O19" s="10" t="str">
        <f>Table18[[#This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IF(Table18[[#This Row],[Type]]="Co-product", "No", "")</f>
        <v/>
      </c>
      <c r="J20" s="10"/>
      <c r="K20" s="10" t="str">
        <f>IF(Table18[[#This Row],[Type]]="Transportation", _xlfn.XLOOKUP(Table18[[#This Row],[Resource]], 'SI - Payload'!$A$10:$A$35,'SI - Payload'!$B$10:$B$35,"",0), "")</f>
        <v/>
      </c>
      <c r="L20" s="10" t="str">
        <f>IF(Table18[[#This Row],[Type]]="Transportation", "ton", "")</f>
        <v/>
      </c>
      <c r="M20" s="10"/>
      <c r="N20" s="10"/>
      <c r="O20" s="10" t="str">
        <f>Table18[[#This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IF(Table18[[#This Row],[Type]]="Co-product", "No", "")</f>
        <v/>
      </c>
      <c r="J21" s="10"/>
      <c r="K21" s="10" t="str">
        <f>IF(Table18[[#This Row],[Type]]="Transportation", _xlfn.XLOOKUP(Table18[[#This Row],[Resource]], 'SI - Payload'!$A$10:$A$35,'SI - Payload'!$B$10:$B$35,"",0), "")</f>
        <v/>
      </c>
      <c r="L21" s="10" t="str">
        <f>IF(Table18[[#This Row],[Type]]="Transportation", "ton", "")</f>
        <v/>
      </c>
      <c r="M21" s="10"/>
      <c r="N21" s="10"/>
      <c r="O21" s="10" t="str">
        <f>Table18[[#This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IF(Table18[[#This Row],[Type]]="Co-product", "No", "")</f>
        <v/>
      </c>
      <c r="J22" s="10"/>
      <c r="K22" s="10" t="str">
        <f>IF(Table18[[#This Row],[Type]]="Transportation", _xlfn.XLOOKUP(Table18[[#This Row],[Resource]], 'SI - Payload'!$A$10:$A$35,'SI - Payload'!$B$10:$B$35,"",0), "")</f>
        <v/>
      </c>
      <c r="L22" s="10" t="str">
        <f>IF(Table18[[#This Row],[Type]]="Transportation", "ton", "")</f>
        <v/>
      </c>
      <c r="M22" s="10"/>
      <c r="N22" s="10"/>
      <c r="O22" s="10" t="str">
        <f>Table18[[#This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IF(Table18[[#This Row],[Type]]="Co-product", "No", "")</f>
        <v/>
      </c>
      <c r="J23" s="10"/>
      <c r="K23" s="10" t="str">
        <f>IF(Table18[[#This Row],[Type]]="Transportation", _xlfn.XLOOKUP(Table18[[#This Row],[Resource]], 'SI - Payload'!$A$10:$A$35,'SI - Payload'!$B$10:$B$35,"",0), "")</f>
        <v/>
      </c>
      <c r="L23" s="10" t="str">
        <f>IF(Table18[[#This Row],[Type]]="Transportation", "ton", "")</f>
        <v/>
      </c>
      <c r="M23" s="10"/>
      <c r="N23" s="10"/>
      <c r="O23" s="10" t="str">
        <f>Table18[[#This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IF(Table18[[#This Row],[Type]]="Co-product", "No", "")</f>
        <v/>
      </c>
      <c r="J24" s="10"/>
      <c r="K24" s="10" t="str">
        <f>IF(Table18[[#This Row],[Type]]="Transportation", _xlfn.XLOOKUP(Table18[[#This Row],[Resource]], 'SI - Payload'!$A$10:$A$35,'SI - Payload'!$B$10:$B$35,"",0), "")</f>
        <v/>
      </c>
      <c r="L24" s="10" t="str">
        <f>IF(Table18[[#This Row],[Type]]="Transportation", "ton", "")</f>
        <v/>
      </c>
      <c r="M24" s="10"/>
      <c r="N24" s="10"/>
      <c r="O24" s="10" t="str">
        <f>Table18[[#This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IF(Table18[[#This Row],[Type]]="Co-product", "No", "")</f>
        <v/>
      </c>
      <c r="J25" s="10"/>
      <c r="K25" s="10" t="str">
        <f>IF(Table18[[#This Row],[Type]]="Transportation", _xlfn.XLOOKUP(Table18[[#This Row],[Resource]], 'SI - Payload'!$A$10:$A$35,'SI - Payload'!$B$10:$B$35,"",0), "")</f>
        <v/>
      </c>
      <c r="L25" s="10" t="str">
        <f>IF(Table18[[#This Row],[Type]]="Transportation", "ton", "")</f>
        <v/>
      </c>
      <c r="M25" s="10"/>
      <c r="N25" s="10"/>
      <c r="O25" s="10" t="str">
        <f>Table18[[#This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IF(Table18[[#This Row],[Type]]="Co-product", "No", "")</f>
        <v/>
      </c>
      <c r="J26" s="10"/>
      <c r="K26" s="10" t="str">
        <f>IF(Table18[[#This Row],[Type]]="Transportation", _xlfn.XLOOKUP(Table18[[#This Row],[Resource]], 'SI - Payload'!$A$10:$A$35,'SI - Payload'!$B$10:$B$35,"",0), "")</f>
        <v/>
      </c>
      <c r="L26" s="10" t="str">
        <f>IF(Table18[[#This Row],[Type]]="Transportation", "ton", "")</f>
        <v/>
      </c>
      <c r="M26" s="10"/>
      <c r="N26" s="10"/>
      <c r="O26" s="10" t="str">
        <f>Table18[[#This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IF(Table18[[#This Row],[Type]]="Co-product", "No", "")</f>
        <v/>
      </c>
      <c r="J27" s="10"/>
      <c r="K27" s="10" t="str">
        <f>IF(Table18[[#This Row],[Type]]="Transportation", _xlfn.XLOOKUP(Table18[[#This Row],[Resource]], 'SI - Payload'!$A$10:$A$35,'SI - Payload'!$B$10:$B$35,"",0), "")</f>
        <v/>
      </c>
      <c r="L27" s="10" t="str">
        <f>IF(Table18[[#This Row],[Type]]="Transportation", "ton", "")</f>
        <v/>
      </c>
      <c r="M27" s="10"/>
      <c r="N27" s="10"/>
      <c r="O27" s="10" t="str">
        <f>Table18[[#This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IF(Table18[[#This Row],[Type]]="Co-product", "No", "")</f>
        <v/>
      </c>
      <c r="J28" s="10"/>
      <c r="K28" s="10" t="str">
        <f>IF(Table18[[#This Row],[Type]]="Transportation", _xlfn.XLOOKUP(Table18[[#This Row],[Resource]], 'SI - Payload'!$A$10:$A$35,'SI - Payload'!$B$10:$B$35,"",0), "")</f>
        <v/>
      </c>
      <c r="L28" s="10" t="str">
        <f>IF(Table18[[#This Row],[Type]]="Transportation", "ton", "")</f>
        <v/>
      </c>
      <c r="M28" s="10"/>
      <c r="N28" s="10"/>
      <c r="O28" s="10" t="str">
        <f>Table18[[#This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IF(Table18[[#This Row],[Type]]="Co-product", "No", "")</f>
        <v/>
      </c>
      <c r="J29" s="10"/>
      <c r="K29" s="10" t="str">
        <f>IF(Table18[[#This Row],[Type]]="Transportation", _xlfn.XLOOKUP(Table18[[#This Row],[Resource]], 'SI - Payload'!$A$10:$A$35,'SI - Payload'!$B$10:$B$35,"",0), "")</f>
        <v/>
      </c>
      <c r="L29" s="10" t="str">
        <f>IF(Table18[[#This Row],[Type]]="Transportation", "ton", "")</f>
        <v/>
      </c>
      <c r="M29" s="10"/>
      <c r="N29" s="10"/>
      <c r="O29" s="10" t="str">
        <f>Table18[[#This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IF(Table18[[#This Row],[Type]]="Co-product", "No", "")</f>
        <v/>
      </c>
      <c r="J30" s="10"/>
      <c r="K30" s="10" t="str">
        <f>IF(Table18[[#This Row],[Type]]="Transportation", _xlfn.XLOOKUP(Table18[[#This Row],[Resource]], 'SI - Payload'!$A$10:$A$35,'SI - Payload'!$B$10:$B$35,"",0), "")</f>
        <v/>
      </c>
      <c r="L30" s="10" t="str">
        <f>IF(Table18[[#This Row],[Type]]="Transportation", "ton", "")</f>
        <v/>
      </c>
      <c r="M30" s="10"/>
      <c r="N30" s="10"/>
      <c r="O30" s="10" t="str">
        <f>Table18[[#This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IF(Table18[[#This Row],[Type]]="Co-product", "No", "")</f>
        <v/>
      </c>
      <c r="J31" s="10"/>
      <c r="K31" s="10" t="str">
        <f>IF(Table18[[#This Row],[Type]]="Transportation", _xlfn.XLOOKUP(Table18[[#This Row],[Resource]], 'SI - Payload'!$A$10:$A$35,'SI - Payload'!$B$10:$B$35,"",0), "")</f>
        <v/>
      </c>
      <c r="L31" s="10" t="str">
        <f>IF(Table18[[#This Row],[Type]]="Transportation", "ton", "")</f>
        <v/>
      </c>
      <c r="M31" s="10"/>
      <c r="N31" s="10"/>
      <c r="O31" s="10" t="str">
        <f>Table18[[#This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IF(Table18[[#This Row],[Type]]="Co-product", "No", "")</f>
        <v/>
      </c>
      <c r="J32" s="10"/>
      <c r="K32" s="10" t="str">
        <f>IF(Table18[[#This Row],[Type]]="Transportation", _xlfn.XLOOKUP(Table18[[#This Row],[Resource]], 'SI - Payload'!$A$10:$A$35,'SI - Payload'!$B$10:$B$35,"",0), "")</f>
        <v/>
      </c>
      <c r="L32" s="10" t="str">
        <f>IF(Table18[[#This Row],[Type]]="Transportation", "ton", "")</f>
        <v/>
      </c>
      <c r="M32" s="10"/>
      <c r="N32" s="10"/>
      <c r="O32" s="10" t="str">
        <f>Table18[[#This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IF(Table18[[#This Row],[Type]]="Co-product", "No", "")</f>
        <v/>
      </c>
      <c r="J33" s="10"/>
      <c r="K33" s="10" t="str">
        <f>IF(Table18[[#This Row],[Type]]="Transportation", _xlfn.XLOOKUP(Table18[[#This Row],[Resource]], 'SI - Payload'!$A$10:$A$35,'SI - Payload'!$B$10:$B$35,"",0), "")</f>
        <v/>
      </c>
      <c r="L33" s="10" t="str">
        <f>IF(Table18[[#This Row],[Type]]="Transportation", "ton", "")</f>
        <v/>
      </c>
      <c r="M33" s="10"/>
      <c r="N33" s="10"/>
      <c r="O33" s="10" t="str">
        <f>Table18[[#This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IF(Table18[[#This Row],[Type]]="Co-product", "No", "")</f>
        <v/>
      </c>
      <c r="J34" s="10"/>
      <c r="K34" s="10" t="str">
        <f>IF(Table18[[#This Row],[Type]]="Transportation", _xlfn.XLOOKUP(Table18[[#This Row],[Resource]], 'SI - Payload'!$A$10:$A$35,'SI - Payload'!$B$10:$B$35,"",0), "")</f>
        <v/>
      </c>
      <c r="L34" s="10" t="str">
        <f>IF(Table18[[#This Row],[Type]]="Transportation", "ton", "")</f>
        <v/>
      </c>
      <c r="M34" s="10"/>
      <c r="N34" s="10"/>
      <c r="O34" s="10" t="str">
        <f>Table18[[#This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IF(Table18[[#This Row],[Type]]="Co-product", "No", "")</f>
        <v/>
      </c>
      <c r="J35" s="10"/>
      <c r="K35" s="10" t="str">
        <f>IF(Table18[[#This Row],[Type]]="Transportation", _xlfn.XLOOKUP(Table18[[#This Row],[Resource]], 'SI - Payload'!$A$10:$A$35,'SI - Payload'!$B$10:$B$35,"",0), "")</f>
        <v/>
      </c>
      <c r="L35" s="10" t="str">
        <f>IF(Table18[[#This Row],[Type]]="Transportation", "ton", "")</f>
        <v/>
      </c>
      <c r="M35" s="10"/>
      <c r="N35" s="10"/>
      <c r="O35" s="10" t="str">
        <f>Table18[[#This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IF(Table18[[#This Row],[Type]]="Co-product", "No", "")</f>
        <v/>
      </c>
      <c r="J36" s="10"/>
      <c r="K36" s="10" t="str">
        <f>IF(Table18[[#This Row],[Type]]="Transportation", _xlfn.XLOOKUP(Table18[[#This Row],[Resource]], 'SI - Payload'!$A$10:$A$35,'SI - Payload'!$B$10:$B$35,"",0), "")</f>
        <v/>
      </c>
      <c r="L36" s="10" t="str">
        <f>IF(Table18[[#This Row],[Type]]="Transportation", "ton", "")</f>
        <v/>
      </c>
      <c r="M36" s="10"/>
      <c r="N36" s="10"/>
      <c r="O36" s="10" t="str">
        <f>Table18[[#This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IF(Table18[[#This Row],[Type]]="Co-product", "No", "")</f>
        <v/>
      </c>
      <c r="J37" s="10"/>
      <c r="K37" s="10" t="str">
        <f>IF(Table18[[#This Row],[Type]]="Transportation", _xlfn.XLOOKUP(Table18[[#This Row],[Resource]], 'SI - Payload'!$A$10:$A$35,'SI - Payload'!$B$10:$B$35,"",0), "")</f>
        <v/>
      </c>
      <c r="L37" s="10" t="str">
        <f>IF(Table18[[#This Row],[Type]]="Transportation", "ton", "")</f>
        <v/>
      </c>
      <c r="M37" s="10"/>
      <c r="N37" s="10"/>
      <c r="O37" s="10" t="str">
        <f>Table18[[#This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IF(Table18[[#This Row],[Type]]="Co-product", "No", "")</f>
        <v/>
      </c>
      <c r="J38" s="10"/>
      <c r="K38" s="10" t="str">
        <f>IF(Table18[[#This Row],[Type]]="Transportation", _xlfn.XLOOKUP(Table18[[#This Row],[Resource]], 'SI - Payload'!$A$10:$A$35,'SI - Payload'!$B$10:$B$35,"",0), "")</f>
        <v/>
      </c>
      <c r="L38" s="10" t="str">
        <f>IF(Table18[[#This Row],[Type]]="Transportation", "ton", "")</f>
        <v/>
      </c>
      <c r="M38" s="10"/>
      <c r="N38" s="10"/>
      <c r="O38" s="10" t="str">
        <f>Table18[[#This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IF(Table18[[#This Row],[Type]]="Co-product", "No", "")</f>
        <v/>
      </c>
      <c r="J39" s="10"/>
      <c r="K39" s="10" t="str">
        <f>IF(Table18[[#This Row],[Type]]="Transportation", _xlfn.XLOOKUP(Table18[[#This Row],[Resource]], 'SI - Payload'!$A$10:$A$35,'SI - Payload'!$B$10:$B$35,"",0), "")</f>
        <v/>
      </c>
      <c r="L39" s="10" t="str">
        <f>IF(Table18[[#This Row],[Type]]="Transportation", "ton", "")</f>
        <v/>
      </c>
      <c r="M39" s="10"/>
      <c r="N39" s="10"/>
      <c r="O39" s="10" t="str">
        <f>Table18[[#This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IF(Table18[[#This Row],[Type]]="Co-product", "No", "")</f>
        <v/>
      </c>
      <c r="J40" s="10"/>
      <c r="K40" s="10" t="str">
        <f>IF(Table18[[#This Row],[Type]]="Transportation", _xlfn.XLOOKUP(Table18[[#This Row],[Resource]], 'SI - Payload'!$A$10:$A$35,'SI - Payload'!$B$10:$B$35,"",0), "")</f>
        <v/>
      </c>
      <c r="L40" s="10" t="str">
        <f>IF(Table18[[#This Row],[Type]]="Transportation", "ton", "")</f>
        <v/>
      </c>
      <c r="M40" s="10"/>
      <c r="N40" s="10"/>
      <c r="O40" s="10" t="str">
        <f>Table18[[#This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IF(Table18[[#This Row],[Type]]="Co-product", "No", "")</f>
        <v/>
      </c>
      <c r="J41" s="10"/>
      <c r="K41" s="10" t="str">
        <f>IF(Table18[[#This Row],[Type]]="Transportation", _xlfn.XLOOKUP(Table18[[#This Row],[Resource]], 'SI - Payload'!$A$10:$A$35,'SI - Payload'!$B$10:$B$35,"",0), "")</f>
        <v/>
      </c>
      <c r="L41" s="10" t="str">
        <f>IF(Table18[[#This Row],[Type]]="Transportation", "ton", "")</f>
        <v/>
      </c>
      <c r="M41" s="10"/>
      <c r="N41" s="10"/>
      <c r="O41" s="10" t="str">
        <f>Table18[[#This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IF(Table18[[#This Row],[Type]]="Co-product", "No", "")</f>
        <v/>
      </c>
      <c r="J42" s="10"/>
      <c r="K42" s="10" t="str">
        <f>IF(Table18[[#This Row],[Type]]="Transportation", _xlfn.XLOOKUP(Table18[[#This Row],[Resource]], 'SI - Payload'!$A$10:$A$35,'SI - Payload'!$B$10:$B$35,"",0), "")</f>
        <v/>
      </c>
      <c r="L42" s="10" t="str">
        <f>IF(Table18[[#This Row],[Type]]="Transportation", "ton", "")</f>
        <v/>
      </c>
      <c r="M42" s="10"/>
      <c r="N42" s="10"/>
      <c r="O42" s="10" t="str">
        <f>Table18[[#This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IF(Table18[[#This Row],[Type]]="Co-product", "No", "")</f>
        <v/>
      </c>
      <c r="J43" s="10"/>
      <c r="K43" s="10" t="str">
        <f>IF(Table18[[#This Row],[Type]]="Transportation", _xlfn.XLOOKUP(Table18[[#This Row],[Resource]], 'SI - Payload'!$A$10:$A$35,'SI - Payload'!$B$10:$B$35,"",0), "")</f>
        <v/>
      </c>
      <c r="L43" s="10" t="str">
        <f>IF(Table18[[#This Row],[Type]]="Transportation", "ton", "")</f>
        <v/>
      </c>
      <c r="M43" s="10"/>
      <c r="N43" s="10"/>
      <c r="O43" s="10" t="str">
        <f>Table18[[#This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IF(Table18[[#This Row],[Type]]="Co-product", "No", "")</f>
        <v/>
      </c>
      <c r="J44" s="10"/>
      <c r="K44" s="10" t="str">
        <f>IF(Table18[[#This Row],[Type]]="Transportation", _xlfn.XLOOKUP(Table18[[#This Row],[Resource]], 'SI - Payload'!$A$10:$A$35,'SI - Payload'!$B$10:$B$35,"",0), "")</f>
        <v/>
      </c>
      <c r="L44" s="10" t="str">
        <f>IF(Table18[[#This Row],[Type]]="Transportation", "ton", "")</f>
        <v/>
      </c>
      <c r="M44" s="10"/>
      <c r="N44" s="10"/>
      <c r="O44" s="10" t="str">
        <f>Table18[[#This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IF(Table18[[#This Row],[Type]]="Co-product", "No", "")</f>
        <v/>
      </c>
      <c r="J45" s="10"/>
      <c r="K45" s="10" t="str">
        <f>IF(Table18[[#This Row],[Type]]="Transportation", _xlfn.XLOOKUP(Table18[[#This Row],[Resource]], 'SI - Payload'!$A$10:$A$35,'SI - Payload'!$B$10:$B$35,"",0), "")</f>
        <v/>
      </c>
      <c r="L45" s="10" t="str">
        <f>IF(Table18[[#This Row],[Type]]="Transportation", "ton", "")</f>
        <v/>
      </c>
      <c r="M45" s="10"/>
      <c r="N45" s="10"/>
      <c r="O45" s="10" t="str">
        <f>Table18[[#This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IF(Table18[[#This Row],[Type]]="Co-product", "No", "")</f>
        <v/>
      </c>
      <c r="J46" s="10"/>
      <c r="K46" s="10" t="str">
        <f>IF(Table18[[#This Row],[Type]]="Transportation", _xlfn.XLOOKUP(Table18[[#This Row],[Resource]], 'SI - Payload'!$A$10:$A$35,'SI - Payload'!$B$10:$B$35,"",0), "")</f>
        <v/>
      </c>
      <c r="L46" s="10" t="str">
        <f>IF(Table18[[#This Row],[Type]]="Transportation", "ton", "")</f>
        <v/>
      </c>
      <c r="M46" s="10"/>
      <c r="N46" s="10"/>
      <c r="O46" s="10" t="str">
        <f>Table18[[#This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IF(Table18[[#This Row],[Type]]="Co-product", "No", "")</f>
        <v/>
      </c>
      <c r="J47" s="10"/>
      <c r="K47" s="10" t="str">
        <f>IF(Table18[[#This Row],[Type]]="Transportation", _xlfn.XLOOKUP(Table18[[#This Row],[Resource]], 'SI - Payload'!$A$10:$A$35,'SI - Payload'!$B$10:$B$35,"",0), "")</f>
        <v/>
      </c>
      <c r="L47" s="10" t="str">
        <f>IF(Table18[[#This Row],[Type]]="Transportation", "ton", "")</f>
        <v/>
      </c>
      <c r="M47" s="10"/>
      <c r="N47" s="10"/>
      <c r="O47" s="10" t="str">
        <f>Table18[[#This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IF(Table18[[#This Row],[Type]]="Co-product", "No", "")</f>
        <v/>
      </c>
      <c r="J48" s="10"/>
      <c r="K48" s="10" t="str">
        <f>IF(Table18[[#This Row],[Type]]="Transportation", _xlfn.XLOOKUP(Table18[[#This Row],[Resource]], 'SI - Payload'!$A$10:$A$35,'SI - Payload'!$B$10:$B$35,"",0), "")</f>
        <v/>
      </c>
      <c r="L48" s="10" t="str">
        <f>IF(Table18[[#This Row],[Type]]="Transportation", "ton", "")</f>
        <v/>
      </c>
      <c r="M48" s="10"/>
      <c r="N48" s="10"/>
      <c r="O48" s="10" t="str">
        <f>Table18[[#This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IF(Table18[[#This Row],[Type]]="Co-product", "No", "")</f>
        <v/>
      </c>
      <c r="J49" s="10"/>
      <c r="K49" s="10" t="str">
        <f>IF(Table18[[#This Row],[Type]]="Transportation", _xlfn.XLOOKUP(Table18[[#This Row],[Resource]], 'SI - Payload'!$A$10:$A$35,'SI - Payload'!$B$10:$B$35,"",0), "")</f>
        <v/>
      </c>
      <c r="L49" s="10" t="str">
        <f>IF(Table18[[#This Row],[Type]]="Transportation", "ton", "")</f>
        <v/>
      </c>
      <c r="M49" s="10"/>
      <c r="N49" s="10"/>
      <c r="O49" s="10" t="str">
        <f>Table18[[#This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IF(Table18[[#This Row],[Type]]="Co-product", "No", "")</f>
        <v/>
      </c>
      <c r="J50" s="10"/>
      <c r="K50" s="10" t="str">
        <f>IF(Table18[[#This Row],[Type]]="Transportation", _xlfn.XLOOKUP(Table18[[#This Row],[Resource]], 'SI - Payload'!$A$10:$A$35,'SI - Payload'!$B$10:$B$35,"",0), "")</f>
        <v/>
      </c>
      <c r="L50" s="10" t="str">
        <f>IF(Table18[[#This Row],[Type]]="Transportation", "ton", "")</f>
        <v/>
      </c>
      <c r="M50" s="10"/>
      <c r="N50" s="10"/>
      <c r="O50" s="10" t="str">
        <f>Table18[[#This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IF(Table18[[#This Row],[Type]]="Co-product", "No", "")</f>
        <v/>
      </c>
      <c r="J51" s="10"/>
      <c r="K51" s="10" t="str">
        <f>IF(Table18[[#This Row],[Type]]="Transportation", _xlfn.XLOOKUP(Table18[[#This Row],[Resource]], 'SI - Payload'!$A$10:$A$35,'SI - Payload'!$B$10:$B$35,"",0), "")</f>
        <v/>
      </c>
      <c r="L51" s="10" t="str">
        <f>IF(Table18[[#This Row],[Type]]="Transportation", "ton", "")</f>
        <v/>
      </c>
      <c r="M51" s="10"/>
      <c r="N51" s="10"/>
      <c r="O51" s="10" t="str">
        <f>Table18[[#This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IF(Table18[[#This Row],[Type]]="Co-product", "No", "")</f>
        <v/>
      </c>
      <c r="J52" s="10"/>
      <c r="K52" s="10" t="str">
        <f>IF(Table18[[#This Row],[Type]]="Transportation", _xlfn.XLOOKUP(Table18[[#This Row],[Resource]], 'SI - Payload'!$A$10:$A$35,'SI - Payload'!$B$10:$B$35,"",0), "")</f>
        <v/>
      </c>
      <c r="L52" s="10" t="str">
        <f>IF(Table18[[#This Row],[Type]]="Transportation", "ton", "")</f>
        <v/>
      </c>
      <c r="M52" s="10"/>
      <c r="N52" s="10"/>
      <c r="O52" s="10" t="str">
        <f>Table18[[#This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IF(Table18[[#This Row],[Type]]="Co-product", "No", "")</f>
        <v/>
      </c>
      <c r="J53" s="10"/>
      <c r="K53" s="10" t="str">
        <f>IF(Table18[[#This Row],[Type]]="Transportation", _xlfn.XLOOKUP(Table18[[#This Row],[Resource]], 'SI - Payload'!$A$10:$A$35,'SI - Payload'!$B$10:$B$35,"",0), "")</f>
        <v/>
      </c>
      <c r="L53" s="10" t="str">
        <f>IF(Table18[[#This Row],[Type]]="Transportation", "ton", "")</f>
        <v/>
      </c>
      <c r="M53" s="10"/>
      <c r="N53" s="10"/>
      <c r="O53" s="10" t="str">
        <f>Table18[[#This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IF(Table18[[#This Row],[Type]]="Co-product", "No", "")</f>
        <v/>
      </c>
      <c r="J54" s="10"/>
      <c r="K54" s="10" t="str">
        <f>IF(Table18[[#This Row],[Type]]="Transportation", _xlfn.XLOOKUP(Table18[[#This Row],[Resource]], 'SI - Payload'!$A$10:$A$35,'SI - Payload'!$B$10:$B$35,"",0), "")</f>
        <v/>
      </c>
      <c r="L54" s="10" t="str">
        <f>IF(Table18[[#This Row],[Type]]="Transportation", "ton", "")</f>
        <v/>
      </c>
      <c r="M54" s="10"/>
      <c r="N54" s="10"/>
      <c r="O54" s="10" t="str">
        <f>Table18[[#This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IF(Table18[[#This Row],[Type]]="Co-product", "No", "")</f>
        <v/>
      </c>
      <c r="J55" s="10"/>
      <c r="K55" s="10" t="str">
        <f>IF(Table18[[#This Row],[Type]]="Transportation", _xlfn.XLOOKUP(Table18[[#This Row],[Resource]], 'SI - Payload'!$A$10:$A$35,'SI - Payload'!$B$10:$B$35,"",0), "")</f>
        <v/>
      </c>
      <c r="L55" s="10" t="str">
        <f>IF(Table18[[#This Row],[Type]]="Transportation", "ton", "")</f>
        <v/>
      </c>
      <c r="M55" s="10"/>
      <c r="N55" s="10"/>
      <c r="O55" s="10" t="str">
        <f>Table18[[#This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IF(Table18[[#This Row],[Type]]="Co-product", "No", "")</f>
        <v/>
      </c>
      <c r="J56" s="10"/>
      <c r="K56" s="10" t="str">
        <f>IF(Table18[[#This Row],[Type]]="Transportation", _xlfn.XLOOKUP(Table18[[#This Row],[Resource]], 'SI - Payload'!$A$10:$A$35,'SI - Payload'!$B$10:$B$35,"",0), "")</f>
        <v/>
      </c>
      <c r="L56" s="10" t="str">
        <f>IF(Table18[[#This Row],[Type]]="Transportation", "ton", "")</f>
        <v/>
      </c>
      <c r="M56" s="10"/>
      <c r="N56" s="10"/>
      <c r="O56" s="10" t="str">
        <f>Table18[[#This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IF(Table18[[#This Row],[Type]]="Co-product", "No", "")</f>
        <v/>
      </c>
      <c r="J57" s="10"/>
      <c r="K57" s="10" t="str">
        <f>IF(Table18[[#This Row],[Type]]="Transportation", _xlfn.XLOOKUP(Table18[[#This Row],[Resource]], 'SI - Payload'!$A$10:$A$35,'SI - Payload'!$B$10:$B$35,"",0), "")</f>
        <v/>
      </c>
      <c r="L57" s="10" t="str">
        <f>IF(Table18[[#This Row],[Type]]="Transportation", "ton", "")</f>
        <v/>
      </c>
      <c r="M57" s="10"/>
      <c r="N57" s="10"/>
      <c r="O57" s="10" t="str">
        <f>Table18[[#This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IF(Table18[[#This Row],[Type]]="Co-product", "No", "")</f>
        <v/>
      </c>
      <c r="J58" s="10"/>
      <c r="K58" s="10" t="str">
        <f>IF(Table18[[#This Row],[Type]]="Transportation", _xlfn.XLOOKUP(Table18[[#This Row],[Resource]], 'SI - Payload'!$A$10:$A$35,'SI - Payload'!$B$10:$B$35,"",0), "")</f>
        <v/>
      </c>
      <c r="L58" s="10" t="str">
        <f>IF(Table18[[#This Row],[Type]]="Transportation", "ton", "")</f>
        <v/>
      </c>
      <c r="M58" s="10"/>
      <c r="N58" s="10"/>
      <c r="O58" s="10" t="str">
        <f>Table18[[#This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IF(Table18[[#This Row],[Type]]="Co-product", "No", "")</f>
        <v/>
      </c>
      <c r="J59" s="10"/>
      <c r="K59" s="10" t="str">
        <f>IF(Table18[[#This Row],[Type]]="Transportation", _xlfn.XLOOKUP(Table18[[#This Row],[Resource]], 'SI - Payload'!$A$10:$A$35,'SI - Payload'!$B$10:$B$35,"",0), "")</f>
        <v/>
      </c>
      <c r="L59" s="10" t="str">
        <f>IF(Table18[[#This Row],[Type]]="Transportation", "ton", "")</f>
        <v/>
      </c>
      <c r="M59" s="10"/>
      <c r="N59" s="10"/>
      <c r="O59" s="10" t="str">
        <f>Table18[[#This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IF(Table18[[#This Row],[Type]]="Co-product", "No", "")</f>
        <v/>
      </c>
      <c r="J60" s="10"/>
      <c r="K60" s="10" t="str">
        <f>IF(Table18[[#This Row],[Type]]="Transportation", _xlfn.XLOOKUP(Table18[[#This Row],[Resource]], 'SI - Payload'!$A$10:$A$35,'SI - Payload'!$B$10:$B$35,"",0), "")</f>
        <v/>
      </c>
      <c r="L60" s="10" t="str">
        <f>IF(Table18[[#This Row],[Type]]="Transportation", "ton", "")</f>
        <v/>
      </c>
      <c r="M60" s="10"/>
      <c r="N60" s="10"/>
      <c r="O60" s="10" t="str">
        <f>Table18[[#This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IF(Table18[[#This Row],[Type]]="Co-product", "No", "")</f>
        <v/>
      </c>
      <c r="J61" s="10"/>
      <c r="K61" s="10" t="str">
        <f>IF(Table18[[#This Row],[Type]]="Transportation", _xlfn.XLOOKUP(Table18[[#This Row],[Resource]], 'SI - Payload'!$A$10:$A$35,'SI - Payload'!$B$10:$B$35,"",0), "")</f>
        <v/>
      </c>
      <c r="L61" s="10" t="str">
        <f>IF(Table18[[#This Row],[Type]]="Transportation", "ton", "")</f>
        <v/>
      </c>
      <c r="M61" s="10"/>
      <c r="N61" s="10"/>
      <c r="O61" s="10" t="str">
        <f>Table18[[#This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IF(Table18[[#This Row],[Type]]="Co-product", "No", "")</f>
        <v/>
      </c>
      <c r="J62" s="10"/>
      <c r="K62" s="10" t="str">
        <f>IF(Table18[[#This Row],[Type]]="Transportation", _xlfn.XLOOKUP(Table18[[#This Row],[Resource]], 'SI - Payload'!$A$10:$A$35,'SI - Payload'!$B$10:$B$35,"",0), "")</f>
        <v/>
      </c>
      <c r="L62" s="10" t="str">
        <f>IF(Table18[[#This Row],[Type]]="Transportation", "ton", "")</f>
        <v/>
      </c>
      <c r="M62" s="10"/>
      <c r="N62" s="10"/>
      <c r="O62" s="10" t="str">
        <f>Table18[[#This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IF(Table18[[#This Row],[Type]]="Co-product", "No", "")</f>
        <v/>
      </c>
      <c r="J63" s="10"/>
      <c r="K63" s="10" t="str">
        <f>IF(Table18[[#This Row],[Type]]="Transportation", _xlfn.XLOOKUP(Table18[[#This Row],[Resource]], 'SI - Payload'!$A$10:$A$35,'SI - Payload'!$B$10:$B$35,"",0), "")</f>
        <v/>
      </c>
      <c r="L63" s="10" t="str">
        <f>IF(Table18[[#This Row],[Type]]="Transportation", "ton", "")</f>
        <v/>
      </c>
      <c r="M63" s="10"/>
      <c r="N63" s="10"/>
      <c r="O63" s="10" t="str">
        <f>Table18[[#This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IF(Table18[[#This Row],[Type]]="Co-product", "No", "")</f>
        <v/>
      </c>
      <c r="J64" s="10"/>
      <c r="K64" s="10" t="str">
        <f>IF(Table18[[#This Row],[Type]]="Transportation", _xlfn.XLOOKUP(Table18[[#This Row],[Resource]], 'SI - Payload'!$A$10:$A$35,'SI - Payload'!$B$10:$B$35,"",0), "")</f>
        <v/>
      </c>
      <c r="L64" s="10" t="str">
        <f>IF(Table18[[#This Row],[Type]]="Transportation", "ton", "")</f>
        <v/>
      </c>
      <c r="M64" s="10"/>
      <c r="N64" s="10"/>
      <c r="O64" s="10" t="str">
        <f>Table18[[#This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IF(Table18[[#This Row],[Type]]="Co-product", "No", "")</f>
        <v/>
      </c>
      <c r="J65" s="10"/>
      <c r="K65" s="10" t="str">
        <f>IF(Table18[[#This Row],[Type]]="Transportation", _xlfn.XLOOKUP(Table18[[#This Row],[Resource]], 'SI - Payload'!$A$10:$A$35,'SI - Payload'!$B$10:$B$35,"",0), "")</f>
        <v/>
      </c>
      <c r="L65" s="10" t="str">
        <f>IF(Table18[[#This Row],[Type]]="Transportation", "ton", "")</f>
        <v/>
      </c>
      <c r="M65" s="10"/>
      <c r="N65" s="10"/>
      <c r="O65" s="10" t="str">
        <f>Table18[[#This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IF(Table18[[#This Row],[Type]]="Co-product", "No", "")</f>
        <v/>
      </c>
      <c r="J66" s="10"/>
      <c r="K66" s="10" t="str">
        <f>IF(Table18[[#This Row],[Type]]="Transportation", _xlfn.XLOOKUP(Table18[[#This Row],[Resource]], 'SI - Payload'!$A$10:$A$35,'SI - Payload'!$B$10:$B$35,"",0), "")</f>
        <v/>
      </c>
      <c r="L66" s="10" t="str">
        <f>IF(Table18[[#This Row],[Type]]="Transportation", "ton", "")</f>
        <v/>
      </c>
      <c r="M66" s="10"/>
      <c r="N66" s="10"/>
      <c r="O66" s="10" t="str">
        <f>Table18[[#This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IF(Table18[[#This Row],[Type]]="Co-product", "No", "")</f>
        <v/>
      </c>
      <c r="J67" s="10"/>
      <c r="K67" s="10" t="str">
        <f>IF(Table18[[#This Row],[Type]]="Transportation", _xlfn.XLOOKUP(Table18[[#This Row],[Resource]], 'SI - Payload'!$A$10:$A$35,'SI - Payload'!$B$10:$B$35,"",0), "")</f>
        <v/>
      </c>
      <c r="L67" s="10" t="str">
        <f>IF(Table18[[#This Row],[Type]]="Transportation", "ton", "")</f>
        <v/>
      </c>
      <c r="M67" s="10"/>
      <c r="N67" s="10"/>
      <c r="O67" s="10" t="str">
        <f>Table18[[#This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IF(Table18[[#This Row],[Type]]="Co-product", "No", "")</f>
        <v/>
      </c>
      <c r="J68" s="10"/>
      <c r="K68" s="10" t="str">
        <f>IF(Table18[[#This Row],[Type]]="Transportation", _xlfn.XLOOKUP(Table18[[#This Row],[Resource]], 'SI - Payload'!$A$10:$A$35,'SI - Payload'!$B$10:$B$35,"",0), "")</f>
        <v/>
      </c>
      <c r="L68" s="10" t="str">
        <f>IF(Table18[[#This Row],[Type]]="Transportation", "ton", "")</f>
        <v/>
      </c>
      <c r="M68" s="10"/>
      <c r="N68" s="10"/>
      <c r="O68" s="10" t="str">
        <f>Table18[[#This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IF(Table18[[#This Row],[Type]]="Co-product", "No", "")</f>
        <v/>
      </c>
      <c r="J69" s="10"/>
      <c r="K69" s="10" t="str">
        <f>IF(Table18[[#This Row],[Type]]="Transportation", _xlfn.XLOOKUP(Table18[[#This Row],[Resource]], 'SI - Payload'!$A$10:$A$35,'SI - Payload'!$B$10:$B$35,"",0), "")</f>
        <v/>
      </c>
      <c r="L69" s="10" t="str">
        <f>IF(Table18[[#This Row],[Type]]="Transportation", "ton", "")</f>
        <v/>
      </c>
      <c r="M69" s="10"/>
      <c r="N69" s="10"/>
      <c r="O69" s="10" t="str">
        <f>Table18[[#This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IF(Table18[[#This Row],[Type]]="Co-product", "No", "")</f>
        <v/>
      </c>
      <c r="J70" s="10"/>
      <c r="K70" s="10" t="str">
        <f>IF(Table18[[#This Row],[Type]]="Transportation", _xlfn.XLOOKUP(Table18[[#This Row],[Resource]], 'SI - Payload'!$A$10:$A$35,'SI - Payload'!$B$10:$B$35,"",0), "")</f>
        <v/>
      </c>
      <c r="L70" s="10" t="str">
        <f>IF(Table18[[#This Row],[Type]]="Transportation", "ton", "")</f>
        <v/>
      </c>
      <c r="M70" s="10"/>
      <c r="N70" s="10"/>
      <c r="O70" s="10" t="str">
        <f>Table18[[#This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IF(Table18[[#This Row],[Type]]="Co-product", "No", "")</f>
        <v/>
      </c>
      <c r="J71" s="10"/>
      <c r="K71" s="10" t="str">
        <f>IF(Table18[[#This Row],[Type]]="Transportation", _xlfn.XLOOKUP(Table18[[#This Row],[Resource]], 'SI - Payload'!$A$10:$A$35,'SI - Payload'!$B$10:$B$35,"",0), "")</f>
        <v/>
      </c>
      <c r="L71" s="10" t="str">
        <f>IF(Table18[[#This Row],[Type]]="Transportation", "ton", "")</f>
        <v/>
      </c>
      <c r="M71" s="10"/>
      <c r="N71" s="10"/>
      <c r="O71" s="10" t="str">
        <f>Table18[[#This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IF(Table18[[#This Row],[Type]]="Co-product", "No", "")</f>
        <v/>
      </c>
      <c r="J72" s="10"/>
      <c r="K72" s="10" t="str">
        <f>IF(Table18[[#This Row],[Type]]="Transportation", _xlfn.XLOOKUP(Table18[[#This Row],[Resource]], 'SI - Payload'!$A$10:$A$35,'SI - Payload'!$B$10:$B$35,"",0), "")</f>
        <v/>
      </c>
      <c r="L72" s="10" t="str">
        <f>IF(Table18[[#This Row],[Type]]="Transportation", "ton", "")</f>
        <v/>
      </c>
      <c r="M72" s="10"/>
      <c r="N72" s="10"/>
      <c r="O72" s="10" t="str">
        <f>Table18[[#This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IF(Table18[[#This Row],[Type]]="Co-product", "No", "")</f>
        <v/>
      </c>
      <c r="J73" s="10"/>
      <c r="K73" s="10" t="str">
        <f>IF(Table18[[#This Row],[Type]]="Transportation", _xlfn.XLOOKUP(Table18[[#This Row],[Resource]], 'SI - Payload'!$A$10:$A$35,'SI - Payload'!$B$10:$B$35,"",0), "")</f>
        <v/>
      </c>
      <c r="L73" s="10" t="str">
        <f>IF(Table18[[#This Row],[Type]]="Transportation", "ton", "")</f>
        <v/>
      </c>
      <c r="M73" s="10"/>
      <c r="N73" s="10"/>
      <c r="O73" s="10" t="str">
        <f>Table18[[#This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IF(Table18[[#This Row],[Type]]="Co-product", "No", "")</f>
        <v/>
      </c>
      <c r="J74" s="10"/>
      <c r="K74" s="10" t="str">
        <f>IF(Table18[[#This Row],[Type]]="Transportation", _xlfn.XLOOKUP(Table18[[#This Row],[Resource]], 'SI - Payload'!$A$10:$A$35,'SI - Payload'!$B$10:$B$35,"",0), "")</f>
        <v/>
      </c>
      <c r="L74" s="10" t="str">
        <f>IF(Table18[[#This Row],[Type]]="Transportation", "ton", "")</f>
        <v/>
      </c>
      <c r="M74" s="10"/>
      <c r="N74" s="10"/>
      <c r="O74" s="10" t="str">
        <f>Table18[[#This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IF(Table18[[#This Row],[Type]]="Co-product", "No", "")</f>
        <v/>
      </c>
      <c r="J75" s="10"/>
      <c r="K75" s="10" t="str">
        <f>IF(Table18[[#This Row],[Type]]="Transportation", _xlfn.XLOOKUP(Table18[[#This Row],[Resource]], 'SI - Payload'!$A$10:$A$35,'SI - Payload'!$B$10:$B$35,"",0), "")</f>
        <v/>
      </c>
      <c r="L75" s="10" t="str">
        <f>IF(Table18[[#This Row],[Type]]="Transportation", "ton", "")</f>
        <v/>
      </c>
      <c r="M75" s="10"/>
      <c r="N75" s="10"/>
      <c r="O75" s="10" t="str">
        <f>Table18[[#This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IF(Table18[[#This Row],[Type]]="Co-product", "No", "")</f>
        <v/>
      </c>
      <c r="J76" s="10"/>
      <c r="K76" s="10" t="str">
        <f>IF(Table18[[#This Row],[Type]]="Transportation", _xlfn.XLOOKUP(Table18[[#This Row],[Resource]], 'SI - Payload'!$A$10:$A$35,'SI - Payload'!$B$10:$B$35,"",0), "")</f>
        <v/>
      </c>
      <c r="L76" s="10" t="str">
        <f>IF(Table18[[#This Row],[Type]]="Transportation", "ton", "")</f>
        <v/>
      </c>
      <c r="M76" s="10"/>
      <c r="N76" s="10"/>
      <c r="O76" s="10" t="str">
        <f>Table18[[#This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IF(Table18[[#This Row],[Type]]="Co-product", "No", "")</f>
        <v/>
      </c>
      <c r="J77" s="10"/>
      <c r="K77" s="10" t="str">
        <f>IF(Table18[[#This Row],[Type]]="Transportation", _xlfn.XLOOKUP(Table18[[#This Row],[Resource]], 'SI - Payload'!$A$10:$A$35,'SI - Payload'!$B$10:$B$35,"",0), "")</f>
        <v/>
      </c>
      <c r="L77" s="10" t="str">
        <f>IF(Table18[[#This Row],[Type]]="Transportation", "ton", "")</f>
        <v/>
      </c>
      <c r="M77" s="10"/>
      <c r="N77" s="10"/>
      <c r="O77" s="10" t="str">
        <f>Table18[[#This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IF(Table18[[#This Row],[Type]]="Co-product", "No", "")</f>
        <v/>
      </c>
      <c r="J78" s="10"/>
      <c r="K78" s="10" t="str">
        <f>IF(Table18[[#This Row],[Type]]="Transportation", _xlfn.XLOOKUP(Table18[[#This Row],[Resource]], 'SI - Payload'!$A$10:$A$35,'SI - Payload'!$B$10:$B$35,"",0), "")</f>
        <v/>
      </c>
      <c r="L78" s="10" t="str">
        <f>IF(Table18[[#This Row],[Type]]="Transportation", "ton", "")</f>
        <v/>
      </c>
      <c r="M78" s="10"/>
      <c r="N78" s="10"/>
      <c r="O78" s="10" t="str">
        <f>Table18[[#This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IF(Table18[[#This Row],[Type]]="Co-product", "No", "")</f>
        <v/>
      </c>
      <c r="J79" s="10"/>
      <c r="K79" s="10" t="str">
        <f>IF(Table18[[#This Row],[Type]]="Transportation", _xlfn.XLOOKUP(Table18[[#This Row],[Resource]], 'SI - Payload'!$A$10:$A$35,'SI - Payload'!$B$10:$B$35,"",0), "")</f>
        <v/>
      </c>
      <c r="L79" s="10" t="str">
        <f>IF(Table18[[#This Row],[Type]]="Transportation", "ton", "")</f>
        <v/>
      </c>
      <c r="M79" s="10"/>
      <c r="N79" s="10"/>
      <c r="O79" s="10" t="str">
        <f>Table18[[#This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IF(Table18[[#This Row],[Type]]="Co-product", "No", "")</f>
        <v/>
      </c>
      <c r="J80" s="10"/>
      <c r="K80" s="10" t="str">
        <f>IF(Table18[[#This Row],[Type]]="Transportation", _xlfn.XLOOKUP(Table18[[#This Row],[Resource]], 'SI - Payload'!$A$10:$A$35,'SI - Payload'!$B$10:$B$35,"",0), "")</f>
        <v/>
      </c>
      <c r="L80" s="10" t="str">
        <f>IF(Table18[[#This Row],[Type]]="Transportation", "ton", "")</f>
        <v/>
      </c>
      <c r="M80" s="10"/>
      <c r="N80" s="10"/>
      <c r="O80" s="10" t="str">
        <f>Table18[[#This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IF(Table18[[#This Row],[Type]]="Co-product", "No", "")</f>
        <v/>
      </c>
      <c r="J81" s="10"/>
      <c r="K81" s="10" t="str">
        <f>IF(Table18[[#This Row],[Type]]="Transportation", _xlfn.XLOOKUP(Table18[[#This Row],[Resource]], 'SI - Payload'!$A$10:$A$35,'SI - Payload'!$B$10:$B$35,"",0), "")</f>
        <v/>
      </c>
      <c r="L81" s="10" t="str">
        <f>IF(Table18[[#This Row],[Type]]="Transportation", "ton", "")</f>
        <v/>
      </c>
      <c r="M81" s="10"/>
      <c r="N81" s="10"/>
      <c r="O81" s="10" t="str">
        <f>Table18[[#This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IF(Table18[[#This Row],[Type]]="Co-product", "No", "")</f>
        <v/>
      </c>
      <c r="J82" s="10"/>
      <c r="K82" s="10" t="str">
        <f>IF(Table18[[#This Row],[Type]]="Transportation", _xlfn.XLOOKUP(Table18[[#This Row],[Resource]], 'SI - Payload'!$A$10:$A$35,'SI - Payload'!$B$10:$B$35,"",0), "")</f>
        <v/>
      </c>
      <c r="L82" s="10" t="str">
        <f>IF(Table18[[#This Row],[Type]]="Transportation", "ton", "")</f>
        <v/>
      </c>
      <c r="M82" s="10"/>
      <c r="N82" s="10"/>
      <c r="O82" s="10" t="str">
        <f>Table18[[#This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IF(Table18[[#This Row],[Type]]="Co-product", "No", "")</f>
        <v/>
      </c>
      <c r="J83" s="10"/>
      <c r="K83" s="10" t="str">
        <f>IF(Table18[[#This Row],[Type]]="Transportation", _xlfn.XLOOKUP(Table18[[#This Row],[Resource]], 'SI - Payload'!$A$10:$A$35,'SI - Payload'!$B$10:$B$35,"",0), "")</f>
        <v/>
      </c>
      <c r="L83" s="10" t="str">
        <f>IF(Table18[[#This Row],[Type]]="Transportation", "ton", "")</f>
        <v/>
      </c>
      <c r="M83" s="10"/>
      <c r="N83" s="10"/>
      <c r="O83" s="10" t="str">
        <f>Table18[[#This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IF(Table18[[#This Row],[Type]]="Co-product", "No", "")</f>
        <v/>
      </c>
      <c r="J84" s="10"/>
      <c r="K84" s="10" t="str">
        <f>IF(Table18[[#This Row],[Type]]="Transportation", _xlfn.XLOOKUP(Table18[[#This Row],[Resource]], 'SI - Payload'!$A$10:$A$35,'SI - Payload'!$B$10:$B$35,"",0), "")</f>
        <v/>
      </c>
      <c r="L84" s="10" t="str">
        <f>IF(Table18[[#This Row],[Type]]="Transportation", "ton", "")</f>
        <v/>
      </c>
      <c r="M84" s="10"/>
      <c r="N84" s="10"/>
      <c r="O84" s="10" t="str">
        <f>Table18[[#This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IF(Table18[[#This Row],[Type]]="Co-product", "No", "")</f>
        <v/>
      </c>
      <c r="J85" s="10"/>
      <c r="K85" s="10" t="str">
        <f>IF(Table18[[#This Row],[Type]]="Transportation", _xlfn.XLOOKUP(Table18[[#This Row],[Resource]], 'SI - Payload'!$A$10:$A$35,'SI - Payload'!$B$10:$B$35,"",0), "")</f>
        <v/>
      </c>
      <c r="L85" s="10" t="str">
        <f>IF(Table18[[#This Row],[Type]]="Transportation", "ton", "")</f>
        <v/>
      </c>
      <c r="M85" s="10"/>
      <c r="N85" s="10"/>
      <c r="O85" s="10" t="str">
        <f>Table18[[#This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IF(Table18[[#This Row],[Type]]="Co-product", "No", "")</f>
        <v/>
      </c>
      <c r="J86" s="10"/>
      <c r="K86" s="10" t="str">
        <f>IF(Table18[[#This Row],[Type]]="Transportation", _xlfn.XLOOKUP(Table18[[#This Row],[Resource]], 'SI - Payload'!$A$10:$A$35,'SI - Payload'!$B$10:$B$35,"",0), "")</f>
        <v/>
      </c>
      <c r="L86" s="10" t="str">
        <f>IF(Table18[[#This Row],[Type]]="Transportation", "ton", "")</f>
        <v/>
      </c>
      <c r="M86" s="10"/>
      <c r="N86" s="10"/>
      <c r="O86" s="10" t="str">
        <f>Table18[[#This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IF(Table18[[#This Row],[Type]]="Co-product", "No", "")</f>
        <v/>
      </c>
      <c r="J87" s="10"/>
      <c r="K87" s="10" t="str">
        <f>IF(Table18[[#This Row],[Type]]="Transportation", _xlfn.XLOOKUP(Table18[[#This Row],[Resource]], 'SI - Payload'!$A$10:$A$35,'SI - Payload'!$B$10:$B$35,"",0), "")</f>
        <v/>
      </c>
      <c r="L87" s="10" t="str">
        <f>IF(Table18[[#This Row],[Type]]="Transportation", "ton", "")</f>
        <v/>
      </c>
      <c r="M87" s="10"/>
      <c r="N87" s="10"/>
      <c r="O87" s="10" t="str">
        <f>Table18[[#This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IF(Table18[[#This Row],[Type]]="Co-product", "No", "")</f>
        <v/>
      </c>
      <c r="J88" s="10"/>
      <c r="K88" s="10" t="str">
        <f>IF(Table18[[#This Row],[Type]]="Transportation", _xlfn.XLOOKUP(Table18[[#This Row],[Resource]], 'SI - Payload'!$A$10:$A$35,'SI - Payload'!$B$10:$B$35,"",0), "")</f>
        <v/>
      </c>
      <c r="L88" s="10" t="str">
        <f>IF(Table18[[#This Row],[Type]]="Transportation", "ton", "")</f>
        <v/>
      </c>
      <c r="M88" s="10"/>
      <c r="N88" s="10"/>
      <c r="O88" s="10" t="str">
        <f>Table18[[#This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IF(Table18[[#This Row],[Type]]="Co-product", "No", "")</f>
        <v/>
      </c>
      <c r="J89" s="10"/>
      <c r="K89" s="10" t="str">
        <f>IF(Table18[[#This Row],[Type]]="Transportation", _xlfn.XLOOKUP(Table18[[#This Row],[Resource]], 'SI - Payload'!$A$10:$A$35,'SI - Payload'!$B$10:$B$35,"",0), "")</f>
        <v/>
      </c>
      <c r="L89" s="10" t="str">
        <f>IF(Table18[[#This Row],[Type]]="Transportation", "ton", "")</f>
        <v/>
      </c>
      <c r="M89" s="10"/>
      <c r="N89" s="10"/>
      <c r="O89" s="10" t="str">
        <f>Table18[[#This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IF(Table18[[#This Row],[Type]]="Co-product", "No", "")</f>
        <v/>
      </c>
      <c r="J90" s="10"/>
      <c r="K90" s="10" t="str">
        <f>IF(Table18[[#This Row],[Type]]="Transportation", _xlfn.XLOOKUP(Table18[[#This Row],[Resource]], 'SI - Payload'!$A$10:$A$35,'SI - Payload'!$B$10:$B$35,"",0), "")</f>
        <v/>
      </c>
      <c r="L90" s="10" t="str">
        <f>IF(Table18[[#This Row],[Type]]="Transportation", "ton", "")</f>
        <v/>
      </c>
      <c r="M90" s="10"/>
      <c r="N90" s="10"/>
      <c r="O90" s="10" t="str">
        <f>Table18[[#This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IF(Table18[[#This Row],[Type]]="Co-product", "No", "")</f>
        <v/>
      </c>
      <c r="J91" s="10"/>
      <c r="K91" s="10" t="str">
        <f>IF(Table18[[#This Row],[Type]]="Transportation", _xlfn.XLOOKUP(Table18[[#This Row],[Resource]], 'SI - Payload'!$A$10:$A$35,'SI - Payload'!$B$10:$B$35,"",0), "")</f>
        <v/>
      </c>
      <c r="L91" s="10" t="str">
        <f>IF(Table18[[#This Row],[Type]]="Transportation", "ton", "")</f>
        <v/>
      </c>
      <c r="M91" s="10"/>
      <c r="N91" s="10"/>
      <c r="O91" s="10" t="str">
        <f>Table18[[#This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IF(Table18[[#This Row],[Type]]="Co-product", "No", "")</f>
        <v/>
      </c>
      <c r="J92" s="10"/>
      <c r="K92" s="10" t="str">
        <f>IF(Table18[[#This Row],[Type]]="Transportation", _xlfn.XLOOKUP(Table18[[#This Row],[Resource]], 'SI - Payload'!$A$10:$A$35,'SI - Payload'!$B$10:$B$35,"",0), "")</f>
        <v/>
      </c>
      <c r="L92" s="10" t="str">
        <f>IF(Table18[[#This Row],[Type]]="Transportation", "ton", "")</f>
        <v/>
      </c>
      <c r="M92" s="10"/>
      <c r="N92" s="10"/>
      <c r="O92" s="10" t="str">
        <f>Table18[[#This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IF(Table18[[#This Row],[Type]]="Co-product", "No", "")</f>
        <v/>
      </c>
      <c r="J93" s="10"/>
      <c r="K93" s="10" t="str">
        <f>IF(Table18[[#This Row],[Type]]="Transportation", _xlfn.XLOOKUP(Table18[[#This Row],[Resource]], 'SI - Payload'!$A$10:$A$35,'SI - Payload'!$B$10:$B$35,"",0), "")</f>
        <v/>
      </c>
      <c r="L93" s="10" t="str">
        <f>IF(Table18[[#This Row],[Type]]="Transportation", "ton", "")</f>
        <v/>
      </c>
      <c r="M93" s="10"/>
      <c r="N93" s="10"/>
      <c r="O93" s="10" t="str">
        <f>Table18[[#This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IF(Table18[[#This Row],[Type]]="Co-product", "No", "")</f>
        <v/>
      </c>
      <c r="J94" s="10"/>
      <c r="K94" s="10" t="str">
        <f>IF(Table18[[#This Row],[Type]]="Transportation", _xlfn.XLOOKUP(Table18[[#This Row],[Resource]], 'SI - Payload'!$A$10:$A$35,'SI - Payload'!$B$10:$B$35,"",0), "")</f>
        <v/>
      </c>
      <c r="L94" s="10" t="str">
        <f>IF(Table18[[#This Row],[Type]]="Transportation", "ton", "")</f>
        <v/>
      </c>
      <c r="M94" s="10"/>
      <c r="N94" s="10"/>
      <c r="O94" s="10" t="str">
        <f>Table18[[#This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IF(Table18[[#This Row],[Type]]="Co-product", "No", "")</f>
        <v/>
      </c>
      <c r="J95" s="10"/>
      <c r="K95" s="10" t="str">
        <f>IF(Table18[[#This Row],[Type]]="Transportation", _xlfn.XLOOKUP(Table18[[#This Row],[Resource]], 'SI - Payload'!$A$10:$A$35,'SI - Payload'!$B$10:$B$35,"",0), "")</f>
        <v/>
      </c>
      <c r="L95" s="10" t="str">
        <f>IF(Table18[[#This Row],[Type]]="Transportation", "ton", "")</f>
        <v/>
      </c>
      <c r="M95" s="10"/>
      <c r="N95" s="10"/>
      <c r="O95" s="10" t="str">
        <f>Table18[[#This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IF(Table18[[#This Row],[Type]]="Co-product", "No", "")</f>
        <v/>
      </c>
      <c r="J96" s="10"/>
      <c r="K96" s="10" t="str">
        <f>IF(Table18[[#This Row],[Type]]="Transportation", _xlfn.XLOOKUP(Table18[[#This Row],[Resource]], 'SI - Payload'!$A$10:$A$35,'SI - Payload'!$B$10:$B$35,"",0), "")</f>
        <v/>
      </c>
      <c r="L96" s="10" t="str">
        <f>IF(Table18[[#This Row],[Type]]="Transportation", "ton", "")</f>
        <v/>
      </c>
      <c r="M96" s="10"/>
      <c r="N96" s="10"/>
      <c r="O96" s="10" t="str">
        <f>Table18[[#This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IF(Table18[[#This Row],[Type]]="Co-product", "No", "")</f>
        <v/>
      </c>
      <c r="J97" s="10"/>
      <c r="K97" s="10" t="str">
        <f>IF(Table18[[#This Row],[Type]]="Transportation", _xlfn.XLOOKUP(Table18[[#This Row],[Resource]], 'SI - Payload'!$A$10:$A$35,'SI - Payload'!$B$10:$B$35,"",0), "")</f>
        <v/>
      </c>
      <c r="L97" s="10" t="str">
        <f>IF(Table18[[#This Row],[Type]]="Transportation", "ton", "")</f>
        <v/>
      </c>
      <c r="M97" s="10"/>
      <c r="N97" s="10"/>
      <c r="O97" s="27" t="str">
        <f>Table18[[#This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IF(Table18[[#This Row],[Type]]="Co-product", "No", "")</f>
        <v/>
      </c>
      <c r="J98" s="10"/>
      <c r="K98" s="10" t="str">
        <f>IF(Table18[[#This Row],[Type]]="Transportation", _xlfn.XLOOKUP(Table18[[#This Row],[Resource]], 'SI - Payload'!$A$10:$A$35,'SI - Payload'!$B$10:$B$35,"",0), "")</f>
        <v/>
      </c>
      <c r="L98" s="10" t="str">
        <f>IF(Table18[[#This Row],[Type]]="Transportation", "ton", "")</f>
        <v/>
      </c>
      <c r="M98" s="10"/>
      <c r="N98" s="10"/>
      <c r="O98" s="27" t="str">
        <f>Table18[[#This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IF(Table18[[#This Row],[Type]]="Co-product", "No", "")</f>
        <v/>
      </c>
      <c r="J99" s="10"/>
      <c r="K99" s="10" t="str">
        <f>IF(Table18[[#This Row],[Type]]="Transportation", _xlfn.XLOOKUP(Table18[[#This Row],[Resource]], 'SI - Payload'!$A$10:$A$35,'SI - Payload'!$B$10:$B$35,"",0), "")</f>
        <v/>
      </c>
      <c r="L99" s="10" t="str">
        <f>IF(Table18[[#This Row],[Type]]="Transportation", "ton", "")</f>
        <v/>
      </c>
      <c r="M99" s="10"/>
      <c r="N99" s="10"/>
      <c r="O99" s="27" t="str">
        <f>Table18[[#This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IF(Table18[[#This Row],[Type]]="Co-product", "No", "")</f>
        <v/>
      </c>
      <c r="J100" s="26"/>
      <c r="K100" s="26" t="str">
        <f>IF(Table18[[#This Row],[Type]]="Transportation", _xlfn.XLOOKUP(Table18[[#This Row],[Resource]], 'SI - Payload'!$A$10:$A$35,'SI - Payload'!$B$10:$B$35,"",0), "")</f>
        <v/>
      </c>
      <c r="L100" s="26" t="str">
        <f>IF(Table18[[#This Row],[Type]]="Transportation", "ton", "")</f>
        <v/>
      </c>
      <c r="M100" s="26"/>
      <c r="N100" s="26"/>
      <c r="O100" s="26" t="str">
        <f>Table18[[#This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Use'!$B$2:$B$51,'SI - End Use'!$C$2:$N$51)</xm:f>
          </x14:formula1>
          <xm:sqref>P5:P100</xm:sqref>
        </x14:dataValidation>
        <x14:dataValidation type="list" allowBlank="1" showInputMessage="1" xr:uid="{0994088E-E5EB-4442-B0EE-13486E004AFD}">
          <x14:formula1>
            <xm:f>_xlfn.XLOOKUP($C5,'SI - End Use'!$B$2:$B$51,'SI - End Use'!$C$2:$N$51)</xm:f>
          </x14:formula1>
          <xm:sqref>D5:D100</xm:sqref>
        </x14:dataValidation>
        <x14:dataValidation type="list" allowBlank="1" showInputMessage="1" showErrorMessage="1" xr:uid="{5024F764-9135-46F4-BE03-269B5FBA6703}">
          <x14:formula1>
            <xm:f>IF($B5="Transportation",  'SI - Units'!$B$9:$E$9, _xlfn.XLOOKUP(_xlfn.XLOOKUP($C5,'SI - Units'!$B$24:$B$72,'SI - Units'!$C$24:$C$72),'SI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Units'!$B$24:$B$72,'SI - Units'!$C$24:$C$72),'SI - Units'!$A$13:$A$19,'SI - Units'!$B$13:$R$19))</xm:f>
          </x14:formula1>
          <xm:sqref>N5:N100</xm:sqref>
        </x14:dataValidation>
        <x14:dataValidation type="list" allowBlank="1" showInputMessage="1" showErrorMessage="1" xr:uid="{624E0839-2109-4818-8826-60DC61C04BE5}">
          <x14:formula1>
            <xm:f>_xlfn.XLOOKUP(_xlfn.XLOOKUP(#REF!,'SI - Units'!$B$24:$B$72,'SI - Units'!$C$24:$C$72),'SI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243</v>
      </c>
      <c r="I5" s="43" t="str">
        <f>IF(Table111[[#This Row],[Type]]="Co-product", "No", "")</f>
        <v/>
      </c>
      <c r="J5" s="10"/>
      <c r="K5" s="10" t="str">
        <f>IF(Table111[[#This Row],[Type]]="Transportation", _xlfn.XLOOKUP(Table111[[#This Row],[Resource]], 'SI - Payload'!$A$10:$A$35,'SI - Payload'!$B$10:$B$35,"",0), "")</f>
        <v/>
      </c>
      <c r="L5" s="10" t="str">
        <f>IF(Table111[[#This Row],[Type]]="Transportation", "ton", "")</f>
        <v/>
      </c>
      <c r="M5" s="10"/>
      <c r="N5" s="10"/>
      <c r="O5" s="10" t="str">
        <f>Table111[[#This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Data'!B9*1000*'INL Data'!E9</f>
        <v>10920</v>
      </c>
      <c r="F6" s="27" t="s">
        <v>73</v>
      </c>
      <c r="G6" s="39"/>
      <c r="H6" s="39"/>
      <c r="I6" s="43" t="str">
        <f>IF(Table111[[#This Row],[Type]]="Co-product", "No", "")</f>
        <v/>
      </c>
      <c r="J6" s="10"/>
      <c r="K6" s="10" t="str">
        <f>IF(Table111[[#This Row],[Type]]="Transportation", _xlfn.XLOOKUP(Table111[[#This Row],[Resource]], 'SI - Payload'!$A$10:$A$35,'SI - Payload'!$B$10:$B$35,"",0), "")</f>
        <v/>
      </c>
      <c r="L6" s="10" t="str">
        <f>IF(Table111[[#This Row],[Type]]="Transportation", "ton", "")</f>
        <v/>
      </c>
      <c r="M6" s="10"/>
      <c r="N6" s="10"/>
      <c r="O6" s="10" t="str">
        <f>Table111[[#This Row],[Resource]]</f>
        <v>Electricity</v>
      </c>
      <c r="P6" s="10" t="str">
        <f>IF(_xlfn.XLOOKUP($O6,'SI - End Use'!$B$2:$B$51,'SI - End Use'!$C$2:$C$51, "")="", "", _xlfn.XLOOKUP($C6,'SI - End Use'!$B$2:$B$51,'SI - End Use'!$C$2:$C$51, ""))</f>
        <v>U.S. Mix</v>
      </c>
      <c r="Q6" s="10"/>
      <c r="R6" s="10"/>
    </row>
    <row r="7" spans="1:18" x14ac:dyDescent="0.35">
      <c r="A7" s="10" t="s">
        <v>0</v>
      </c>
      <c r="B7" s="10" t="s">
        <v>272</v>
      </c>
      <c r="C7" s="10" t="str">
        <f>_xlfn.XLOOKUP($B7,'SI - Resources'!$A$1:$H$1,'SI - Resources'!$A$2:$H$2, "")</f>
        <v>Diesel</v>
      </c>
      <c r="D7" s="27" t="str">
        <f>IF(_xlfn.XLOOKUP($C7,'SI - End Use'!$B$2:$B$51,'SI - End Use'!$C$2:$C$51, "")="", "", _xlfn.XLOOKUP($C7,'SI - End Use'!$B$2:$B$51,'SI - End Use'!$C$2:$C$51, ""))</f>
        <v>Industrial Boiler</v>
      </c>
      <c r="E7" s="91">
        <f>'INL Data'!B9*1000*'INL Data'!D9</f>
        <v>0</v>
      </c>
      <c r="F7" s="27" t="str" cm="1">
        <f t="array" ref="F7">IF($B7="Transportation",  'SI - Units'!$B$9:$B$9, _xlfn.XLOOKUP(_xlfn.XLOOKUP($C7,'SI - Units'!$B$24:$B$72,'SI - Units'!$C$24:$C$72, ""),'SI - Units'!$A$2:$A$8,'SI - Units'!$B$2:$B$8, ""))</f>
        <v>BTU</v>
      </c>
      <c r="G7" s="39"/>
      <c r="H7" s="39"/>
      <c r="I7" s="43" t="str">
        <f>IF(Table111[[#This Row],[Type]]="Co-product", "No", "")</f>
        <v/>
      </c>
      <c r="J7" s="10"/>
      <c r="K7" s="27" t="str">
        <f>IF(Table111[[#This Row],[Type]]="Transportation", _xlfn.XLOOKUP(Table111[[#This Row],[Resource]], 'SI - Payload'!$A$10:$A$35,'SI - Payload'!$B$10:$B$35,"",0), "")</f>
        <v/>
      </c>
      <c r="L7" s="27" t="str">
        <f>IF(Table111[[#This Row],[Type]]="Transportation", "ton", "")</f>
        <v/>
      </c>
      <c r="M7" s="10"/>
      <c r="N7" s="10"/>
      <c r="O7" s="27" t="str">
        <f>Table111[[#This Row],[Resource]]</f>
        <v>Diesel</v>
      </c>
      <c r="P7" s="27" t="str">
        <f>IF(_xlfn.XLOOKUP($O7,'SI - End Use'!$B$2:$B$51,'SI - End Use'!$C$2:$C$51, "")="", "", _xlfn.XLOOKUP($C7,'SI - End Use'!$B$2:$B$51,'SI - End Use'!$C$2:$C$51, ""))</f>
        <v>Industrial Boiler</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Data'!B9*1000*'INL Data'!F9</f>
        <v>0</v>
      </c>
      <c r="F8" s="27" t="str" cm="1">
        <f t="array" ref="F8">IF($B8="Transportation",  'SI - Units'!$B$9:$B$9, _xlfn.XLOOKUP(_xlfn.XLOOKUP($C8,'SI - Units'!$B$24:$B$72,'SI - Units'!$C$24:$C$72, ""),'SI - Units'!$A$2:$A$8,'SI - Units'!$B$2:$B$8, ""))</f>
        <v>BTU</v>
      </c>
      <c r="G8" s="39"/>
      <c r="H8" s="39"/>
      <c r="I8" s="43" t="str">
        <f>IF(Table111[[#This Row],[Type]]="Co-product", "No", "")</f>
        <v/>
      </c>
      <c r="J8" s="10"/>
      <c r="K8" s="27" t="str">
        <f>IF(Table111[[#This Row],[Type]]="Transportation", _xlfn.XLOOKUP(Table111[[#This Row],[Resource]], 'SI - Payload'!$A$10:$A$35,'SI - Payload'!$B$10:$B$35,"",0), "")</f>
        <v/>
      </c>
      <c r="L8" s="27" t="str">
        <f>IF(Table111[[#This Row],[Type]]="Transportation", "ton", "")</f>
        <v/>
      </c>
      <c r="M8" s="10"/>
      <c r="N8" s="10"/>
      <c r="O8" s="27" t="str">
        <f>Table111[[#This Row],[Resource]]</f>
        <v>Natural Gas</v>
      </c>
      <c r="P8" s="27"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Data'!H9</f>
        <v>0.91844232182218954</v>
      </c>
      <c r="F9" s="27" t="s">
        <v>11</v>
      </c>
      <c r="G9" s="39"/>
      <c r="H9" s="39"/>
      <c r="I9" s="43" t="str">
        <f>IF(Table111[[#This Row],[Type]]="Co-product", "No", "")</f>
        <v/>
      </c>
      <c r="J9" s="10"/>
      <c r="K9" s="10" t="str">
        <f>IF(Table111[[#This Row],[Type]]="Transportation", _xlfn.XLOOKUP(Table111[[#This Row],[Resource]], 'SI - Payload'!$A$10:$A$35,'SI - Payload'!$B$10:$B$35,"",0), "")</f>
        <v/>
      </c>
      <c r="L9" s="10" t="str">
        <f>IF(Table111[[#This Row],[Type]]="Transportation", "ton", "")</f>
        <v/>
      </c>
      <c r="M9" s="10"/>
      <c r="N9" s="10"/>
      <c r="O9" s="10" t="str">
        <f>Table111[[#This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IF(Table111[[#This Row],[Type]]="Co-product", "No", "")</f>
        <v/>
      </c>
      <c r="J10" s="10"/>
      <c r="K10" s="10" t="str">
        <f>IF(Table111[[#This Row],[Type]]="Transportation", _xlfn.XLOOKUP(Table111[[#This Row],[Resource]], 'SI - Payload'!$A$10:$A$35,'SI - Payload'!$B$10:$B$35,"",0), "")</f>
        <v/>
      </c>
      <c r="L10" s="10" t="str">
        <f>IF(Table111[[#This Row],[Type]]="Transportation", "ton", "")</f>
        <v/>
      </c>
      <c r="M10" s="10"/>
      <c r="N10" s="10"/>
      <c r="O10" s="10" t="str">
        <f>Table111[[#This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IF(Table111[[#This Row],[Type]]="Co-product", "No", "")</f>
        <v/>
      </c>
      <c r="J11" s="10"/>
      <c r="K11" s="10" t="str">
        <f>IF(Table111[[#This Row],[Type]]="Transportation", _xlfn.XLOOKUP(Table111[[#This Row],[Resource]], 'SI - Payload'!$A$10:$A$35,'SI - Payload'!$B$10:$B$35,"",0), "")</f>
        <v/>
      </c>
      <c r="L11" s="10" t="str">
        <f>IF(Table111[[#This Row],[Type]]="Transportation", "ton", "")</f>
        <v/>
      </c>
      <c r="M11" s="10"/>
      <c r="N11" s="10"/>
      <c r="O11" s="10" t="str">
        <f>Table111[[#This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IF(Table111[[#This Row],[Type]]="Co-product", "No", "")</f>
        <v/>
      </c>
      <c r="J12" s="10"/>
      <c r="K12" s="10" t="str">
        <f>IF(Table111[[#This Row],[Type]]="Transportation", _xlfn.XLOOKUP(Table111[[#This Row],[Resource]], 'SI - Payload'!$A$10:$A$35,'SI - Payload'!$B$10:$B$35,"",0), "")</f>
        <v/>
      </c>
      <c r="L12" s="10" t="str">
        <f>IF(Table111[[#This Row],[Type]]="Transportation", "ton", "")</f>
        <v/>
      </c>
      <c r="M12" s="10"/>
      <c r="N12" s="10"/>
      <c r="O12" s="10" t="str">
        <f>Table111[[#This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IF(Table111[[#This Row],[Type]]="Co-product", "No", "")</f>
        <v/>
      </c>
      <c r="J13" s="10"/>
      <c r="K13" s="10" t="str">
        <f>IF(Table111[[#This Row],[Type]]="Transportation", _xlfn.XLOOKUP(Table111[[#This Row],[Resource]], 'SI - Payload'!$A$10:$A$35,'SI - Payload'!$B$10:$B$35,"",0), "")</f>
        <v/>
      </c>
      <c r="L13" s="10" t="str">
        <f>IF(Table111[[#This Row],[Type]]="Transportation", "ton", "")</f>
        <v/>
      </c>
      <c r="M13" s="10"/>
      <c r="N13" s="10"/>
      <c r="O13" s="10" t="str">
        <f>Table111[[#This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IF(Table111[[#This Row],[Type]]="Co-product", "No", "")</f>
        <v/>
      </c>
      <c r="J14" s="10"/>
      <c r="K14" s="10" t="str">
        <f>IF(Table111[[#This Row],[Type]]="Transportation", _xlfn.XLOOKUP(Table111[[#This Row],[Resource]], 'SI - Payload'!$A$10:$A$35,'SI - Payload'!$B$10:$B$35,"",0), "")</f>
        <v/>
      </c>
      <c r="L14" s="10" t="str">
        <f>IF(Table111[[#This Row],[Type]]="Transportation", "ton", "")</f>
        <v/>
      </c>
      <c r="M14" s="10"/>
      <c r="N14" s="10"/>
      <c r="O14" s="10" t="str">
        <f>Table111[[#This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IF(Table111[[#This Row],[Type]]="Co-product", "No", "")</f>
        <v/>
      </c>
      <c r="J15" s="10"/>
      <c r="K15" s="10" t="str">
        <f>IF(Table111[[#This Row],[Type]]="Transportation", _xlfn.XLOOKUP(Table111[[#This Row],[Resource]], 'SI - Payload'!$A$10:$A$35,'SI - Payload'!$B$10:$B$35,"",0), "")</f>
        <v/>
      </c>
      <c r="L15" s="10" t="str">
        <f>IF(Table111[[#This Row],[Type]]="Transportation", "ton", "")</f>
        <v/>
      </c>
      <c r="M15" s="10"/>
      <c r="N15" s="10"/>
      <c r="O15" s="10" t="str">
        <f>Table111[[#This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IF(Table111[[#This Row],[Type]]="Co-product", "No", "")</f>
        <v/>
      </c>
      <c r="J16" s="10"/>
      <c r="K16" s="10" t="str">
        <f>IF(Table111[[#This Row],[Type]]="Transportation", _xlfn.XLOOKUP(Table111[[#This Row],[Resource]], 'SI - Payload'!$A$10:$A$35,'SI - Payload'!$B$10:$B$35,"",0), "")</f>
        <v/>
      </c>
      <c r="L16" s="10" t="str">
        <f>IF(Table111[[#This Row],[Type]]="Transportation", "ton", "")</f>
        <v/>
      </c>
      <c r="M16" s="10"/>
      <c r="N16" s="10"/>
      <c r="O16" s="10" t="str">
        <f>Table111[[#This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IF(Table111[[#This Row],[Type]]="Co-product", "No", "")</f>
        <v/>
      </c>
      <c r="J17" s="10"/>
      <c r="K17" s="10" t="str">
        <f>IF(Table111[[#This Row],[Type]]="Transportation", _xlfn.XLOOKUP(Table111[[#This Row],[Resource]], 'SI - Payload'!$A$10:$A$35,'SI - Payload'!$B$10:$B$35,"",0), "")</f>
        <v/>
      </c>
      <c r="L17" s="10" t="str">
        <f>IF(Table111[[#This Row],[Type]]="Transportation", "ton", "")</f>
        <v/>
      </c>
      <c r="M17" s="10"/>
      <c r="N17" s="10"/>
      <c r="O17" s="10" t="str">
        <f>Table111[[#This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IF(Table111[[#This Row],[Type]]="Co-product", "No", "")</f>
        <v/>
      </c>
      <c r="J18" s="10"/>
      <c r="K18" s="10" t="str">
        <f>IF(Table111[[#This Row],[Type]]="Transportation", _xlfn.XLOOKUP(Table111[[#This Row],[Resource]], 'SI - Payload'!$A$10:$A$35,'SI - Payload'!$B$10:$B$35,"",0), "")</f>
        <v/>
      </c>
      <c r="L18" s="10" t="str">
        <f>IF(Table111[[#This Row],[Type]]="Transportation", "ton", "")</f>
        <v/>
      </c>
      <c r="M18" s="10"/>
      <c r="N18" s="10"/>
      <c r="O18" s="10" t="str">
        <f>Table111[[#This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IF(Table111[[#This Row],[Type]]="Co-product", "No", "")</f>
        <v/>
      </c>
      <c r="J19" s="10"/>
      <c r="K19" s="10" t="str">
        <f>IF(Table111[[#This Row],[Type]]="Transportation", _xlfn.XLOOKUP(Table111[[#This Row],[Resource]], 'SI - Payload'!$A$10:$A$35,'SI - Payload'!$B$10:$B$35,"",0), "")</f>
        <v/>
      </c>
      <c r="L19" s="10" t="str">
        <f>IF(Table111[[#This Row],[Type]]="Transportation", "ton", "")</f>
        <v/>
      </c>
      <c r="M19" s="10"/>
      <c r="N19" s="10"/>
      <c r="O19" s="10" t="str">
        <f>Table111[[#This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IF(Table111[[#This Row],[Type]]="Co-product", "No", "")</f>
        <v/>
      </c>
      <c r="J20" s="10"/>
      <c r="K20" s="10" t="str">
        <f>IF(Table111[[#This Row],[Type]]="Transportation", _xlfn.XLOOKUP(Table111[[#This Row],[Resource]], 'SI - Payload'!$A$10:$A$35,'SI - Payload'!$B$10:$B$35,"",0), "")</f>
        <v/>
      </c>
      <c r="L20" s="10" t="str">
        <f>IF(Table111[[#This Row],[Type]]="Transportation", "ton", "")</f>
        <v/>
      </c>
      <c r="M20" s="10"/>
      <c r="N20" s="10"/>
      <c r="O20" s="10" t="str">
        <f>Table111[[#This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IF(Table111[[#This Row],[Type]]="Co-product", "No", "")</f>
        <v/>
      </c>
      <c r="J21" s="10"/>
      <c r="K21" s="10" t="str">
        <f>IF(Table111[[#This Row],[Type]]="Transportation", _xlfn.XLOOKUP(Table111[[#This Row],[Resource]], 'SI - Payload'!$A$10:$A$35,'SI - Payload'!$B$10:$B$35,"",0), "")</f>
        <v/>
      </c>
      <c r="L21" s="10" t="str">
        <f>IF(Table111[[#This Row],[Type]]="Transportation", "ton", "")</f>
        <v/>
      </c>
      <c r="M21" s="10"/>
      <c r="N21" s="10"/>
      <c r="O21" s="10" t="str">
        <f>Table111[[#This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IF(Table111[[#This Row],[Type]]="Co-product", "No", "")</f>
        <v/>
      </c>
      <c r="J22" s="10"/>
      <c r="K22" s="10" t="str">
        <f>IF(Table111[[#This Row],[Type]]="Transportation", _xlfn.XLOOKUP(Table111[[#This Row],[Resource]], 'SI - Payload'!$A$10:$A$35,'SI - Payload'!$B$10:$B$35,"",0), "")</f>
        <v/>
      </c>
      <c r="L22" s="10" t="str">
        <f>IF(Table111[[#This Row],[Type]]="Transportation", "ton", "")</f>
        <v/>
      </c>
      <c r="M22" s="10"/>
      <c r="N22" s="10"/>
      <c r="O22" s="10" t="str">
        <f>Table111[[#This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IF(Table111[[#This Row],[Type]]="Co-product", "No", "")</f>
        <v/>
      </c>
      <c r="J23" s="10"/>
      <c r="K23" s="10" t="str">
        <f>IF(Table111[[#This Row],[Type]]="Transportation", _xlfn.XLOOKUP(Table111[[#This Row],[Resource]], 'SI - Payload'!$A$10:$A$35,'SI - Payload'!$B$10:$B$35,"",0), "")</f>
        <v/>
      </c>
      <c r="L23" s="10" t="str">
        <f>IF(Table111[[#This Row],[Type]]="Transportation", "ton", "")</f>
        <v/>
      </c>
      <c r="M23" s="10"/>
      <c r="N23" s="10"/>
      <c r="O23" s="10" t="str">
        <f>Table111[[#This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IF(Table111[[#This Row],[Type]]="Co-product", "No", "")</f>
        <v/>
      </c>
      <c r="J24" s="10"/>
      <c r="K24" s="10" t="str">
        <f>IF(Table111[[#This Row],[Type]]="Transportation", _xlfn.XLOOKUP(Table111[[#This Row],[Resource]], 'SI - Payload'!$A$10:$A$35,'SI - Payload'!$B$10:$B$35,"",0), "")</f>
        <v/>
      </c>
      <c r="L24" s="10" t="str">
        <f>IF(Table111[[#This Row],[Type]]="Transportation", "ton", "")</f>
        <v/>
      </c>
      <c r="M24" s="10"/>
      <c r="N24" s="10"/>
      <c r="O24" s="10" t="str">
        <f>Table111[[#This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IF(Table111[[#This Row],[Type]]="Co-product", "No", "")</f>
        <v/>
      </c>
      <c r="J25" s="10"/>
      <c r="K25" s="10" t="str">
        <f>IF(Table111[[#This Row],[Type]]="Transportation", _xlfn.XLOOKUP(Table111[[#This Row],[Resource]], 'SI - Payload'!$A$10:$A$35,'SI - Payload'!$B$10:$B$35,"",0), "")</f>
        <v/>
      </c>
      <c r="L25" s="10" t="str">
        <f>IF(Table111[[#This Row],[Type]]="Transportation", "ton", "")</f>
        <v/>
      </c>
      <c r="M25" s="10"/>
      <c r="N25" s="10"/>
      <c r="O25" s="10" t="str">
        <f>Table111[[#This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IF(Table111[[#This Row],[Type]]="Co-product", "No", "")</f>
        <v/>
      </c>
      <c r="J26" s="10"/>
      <c r="K26" s="10" t="str">
        <f>IF(Table111[[#This Row],[Type]]="Transportation", _xlfn.XLOOKUP(Table111[[#This Row],[Resource]], 'SI - Payload'!$A$10:$A$35,'SI - Payload'!$B$10:$B$35,"",0), "")</f>
        <v/>
      </c>
      <c r="L26" s="10" t="str">
        <f>IF(Table111[[#This Row],[Type]]="Transportation", "ton", "")</f>
        <v/>
      </c>
      <c r="M26" s="10"/>
      <c r="N26" s="10"/>
      <c r="O26" s="10" t="str">
        <f>Table111[[#This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IF(Table111[[#This Row],[Type]]="Co-product", "No", "")</f>
        <v/>
      </c>
      <c r="J27" s="10"/>
      <c r="K27" s="10" t="str">
        <f>IF(Table111[[#This Row],[Type]]="Transportation", _xlfn.XLOOKUP(Table111[[#This Row],[Resource]], 'SI - Payload'!$A$10:$A$35,'SI - Payload'!$B$10:$B$35,"",0), "")</f>
        <v/>
      </c>
      <c r="L27" s="10" t="str">
        <f>IF(Table111[[#This Row],[Type]]="Transportation", "ton", "")</f>
        <v/>
      </c>
      <c r="M27" s="10"/>
      <c r="N27" s="10"/>
      <c r="O27" s="10" t="str">
        <f>Table111[[#This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IF(Table111[[#This Row],[Type]]="Co-product", "No", "")</f>
        <v/>
      </c>
      <c r="J28" s="10"/>
      <c r="K28" s="10" t="str">
        <f>IF(Table111[[#This Row],[Type]]="Transportation", _xlfn.XLOOKUP(Table111[[#This Row],[Resource]], 'SI - Payload'!$A$10:$A$35,'SI - Payload'!$B$10:$B$35,"",0), "")</f>
        <v/>
      </c>
      <c r="L28" s="10" t="str">
        <f>IF(Table111[[#This Row],[Type]]="Transportation", "ton", "")</f>
        <v/>
      </c>
      <c r="M28" s="10"/>
      <c r="N28" s="10"/>
      <c r="O28" s="10" t="str">
        <f>Table111[[#This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IF(Table111[[#This Row],[Type]]="Co-product", "No", "")</f>
        <v/>
      </c>
      <c r="J29" s="10"/>
      <c r="K29" s="10" t="str">
        <f>IF(Table111[[#This Row],[Type]]="Transportation", _xlfn.XLOOKUP(Table111[[#This Row],[Resource]], 'SI - Payload'!$A$10:$A$35,'SI - Payload'!$B$10:$B$35,"",0), "")</f>
        <v/>
      </c>
      <c r="L29" s="10" t="str">
        <f>IF(Table111[[#This Row],[Type]]="Transportation", "ton", "")</f>
        <v/>
      </c>
      <c r="M29" s="10"/>
      <c r="N29" s="10"/>
      <c r="O29" s="10" t="str">
        <f>Table111[[#This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IF(Table111[[#This Row],[Type]]="Co-product", "No", "")</f>
        <v/>
      </c>
      <c r="J30" s="10"/>
      <c r="K30" s="10" t="str">
        <f>IF(Table111[[#This Row],[Type]]="Transportation", _xlfn.XLOOKUP(Table111[[#This Row],[Resource]], 'SI - Payload'!$A$10:$A$35,'SI - Payload'!$B$10:$B$35,"",0), "")</f>
        <v/>
      </c>
      <c r="L30" s="10" t="str">
        <f>IF(Table111[[#This Row],[Type]]="Transportation", "ton", "")</f>
        <v/>
      </c>
      <c r="M30" s="10"/>
      <c r="N30" s="10"/>
      <c r="O30" s="10" t="str">
        <f>Table111[[#This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IF(Table111[[#This Row],[Type]]="Co-product", "No", "")</f>
        <v/>
      </c>
      <c r="J31" s="10"/>
      <c r="K31" s="10" t="str">
        <f>IF(Table111[[#This Row],[Type]]="Transportation", _xlfn.XLOOKUP(Table111[[#This Row],[Resource]], 'SI - Payload'!$A$10:$A$35,'SI - Payload'!$B$10:$B$35,"",0), "")</f>
        <v/>
      </c>
      <c r="L31" s="10" t="str">
        <f>IF(Table111[[#This Row],[Type]]="Transportation", "ton", "")</f>
        <v/>
      </c>
      <c r="M31" s="10"/>
      <c r="N31" s="10"/>
      <c r="O31" s="10" t="str">
        <f>Table111[[#This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IF(Table111[[#This Row],[Type]]="Co-product", "No", "")</f>
        <v/>
      </c>
      <c r="J32" s="10"/>
      <c r="K32" s="10" t="str">
        <f>IF(Table111[[#This Row],[Type]]="Transportation", _xlfn.XLOOKUP(Table111[[#This Row],[Resource]], 'SI - Payload'!$A$10:$A$35,'SI - Payload'!$B$10:$B$35,"",0), "")</f>
        <v/>
      </c>
      <c r="L32" s="10" t="str">
        <f>IF(Table111[[#This Row],[Type]]="Transportation", "ton", "")</f>
        <v/>
      </c>
      <c r="M32" s="10"/>
      <c r="N32" s="10"/>
      <c r="O32" s="10" t="str">
        <f>Table111[[#This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IF(Table111[[#This Row],[Type]]="Co-product", "No", "")</f>
        <v/>
      </c>
      <c r="J33" s="10"/>
      <c r="K33" s="10" t="str">
        <f>IF(Table111[[#This Row],[Type]]="Transportation", _xlfn.XLOOKUP(Table111[[#This Row],[Resource]], 'SI - Payload'!$A$10:$A$35,'SI - Payload'!$B$10:$B$35,"",0), "")</f>
        <v/>
      </c>
      <c r="L33" s="10" t="str">
        <f>IF(Table111[[#This Row],[Type]]="Transportation", "ton", "")</f>
        <v/>
      </c>
      <c r="M33" s="10"/>
      <c r="N33" s="10"/>
      <c r="O33" s="10" t="str">
        <f>Table111[[#This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IF(Table111[[#This Row],[Type]]="Co-product", "No", "")</f>
        <v/>
      </c>
      <c r="J34" s="10"/>
      <c r="K34" s="10" t="str">
        <f>IF(Table111[[#This Row],[Type]]="Transportation", _xlfn.XLOOKUP(Table111[[#This Row],[Resource]], 'SI - Payload'!$A$10:$A$35,'SI - Payload'!$B$10:$B$35,"",0), "")</f>
        <v/>
      </c>
      <c r="L34" s="10" t="str">
        <f>IF(Table111[[#This Row],[Type]]="Transportation", "ton", "")</f>
        <v/>
      </c>
      <c r="M34" s="10"/>
      <c r="N34" s="10"/>
      <c r="O34" s="10" t="str">
        <f>Table111[[#This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IF(Table111[[#This Row],[Type]]="Co-product", "No", "")</f>
        <v/>
      </c>
      <c r="J35" s="10"/>
      <c r="K35" s="10" t="str">
        <f>IF(Table111[[#This Row],[Type]]="Transportation", _xlfn.XLOOKUP(Table111[[#This Row],[Resource]], 'SI - Payload'!$A$10:$A$35,'SI - Payload'!$B$10:$B$35,"",0), "")</f>
        <v/>
      </c>
      <c r="L35" s="10" t="str">
        <f>IF(Table111[[#This Row],[Type]]="Transportation", "ton", "")</f>
        <v/>
      </c>
      <c r="M35" s="10"/>
      <c r="N35" s="10"/>
      <c r="O35" s="10" t="str">
        <f>Table111[[#This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IF(Table111[[#This Row],[Type]]="Co-product", "No", "")</f>
        <v/>
      </c>
      <c r="J36" s="10"/>
      <c r="K36" s="10" t="str">
        <f>IF(Table111[[#This Row],[Type]]="Transportation", _xlfn.XLOOKUP(Table111[[#This Row],[Resource]], 'SI - Payload'!$A$10:$A$35,'SI - Payload'!$B$10:$B$35,"",0), "")</f>
        <v/>
      </c>
      <c r="L36" s="10" t="str">
        <f>IF(Table111[[#This Row],[Type]]="Transportation", "ton", "")</f>
        <v/>
      </c>
      <c r="M36" s="10"/>
      <c r="N36" s="10"/>
      <c r="O36" s="10" t="str">
        <f>Table111[[#This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IF(Table111[[#This Row],[Type]]="Co-product", "No", "")</f>
        <v/>
      </c>
      <c r="J37" s="10"/>
      <c r="K37" s="10" t="str">
        <f>IF(Table111[[#This Row],[Type]]="Transportation", _xlfn.XLOOKUP(Table111[[#This Row],[Resource]], 'SI - Payload'!$A$10:$A$35,'SI - Payload'!$B$10:$B$35,"",0), "")</f>
        <v/>
      </c>
      <c r="L37" s="10" t="str">
        <f>IF(Table111[[#This Row],[Type]]="Transportation", "ton", "")</f>
        <v/>
      </c>
      <c r="M37" s="10"/>
      <c r="N37" s="10"/>
      <c r="O37" s="10" t="str">
        <f>Table111[[#This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IF(Table111[[#This Row],[Type]]="Co-product", "No", "")</f>
        <v/>
      </c>
      <c r="J38" s="10"/>
      <c r="K38" s="10" t="str">
        <f>IF(Table111[[#This Row],[Type]]="Transportation", _xlfn.XLOOKUP(Table111[[#This Row],[Resource]], 'SI - Payload'!$A$10:$A$35,'SI - Payload'!$B$10:$B$35,"",0), "")</f>
        <v/>
      </c>
      <c r="L38" s="10" t="str">
        <f>IF(Table111[[#This Row],[Type]]="Transportation", "ton", "")</f>
        <v/>
      </c>
      <c r="M38" s="10"/>
      <c r="N38" s="10"/>
      <c r="O38" s="10" t="str">
        <f>Table111[[#This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IF(Table111[[#This Row],[Type]]="Co-product", "No", "")</f>
        <v/>
      </c>
      <c r="J39" s="10"/>
      <c r="K39" s="10" t="str">
        <f>IF(Table111[[#This Row],[Type]]="Transportation", _xlfn.XLOOKUP(Table111[[#This Row],[Resource]], 'SI - Payload'!$A$10:$A$35,'SI - Payload'!$B$10:$B$35,"",0), "")</f>
        <v/>
      </c>
      <c r="L39" s="10" t="str">
        <f>IF(Table111[[#This Row],[Type]]="Transportation", "ton", "")</f>
        <v/>
      </c>
      <c r="M39" s="10"/>
      <c r="N39" s="10"/>
      <c r="O39" s="10" t="str">
        <f>Table111[[#This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IF(Table111[[#This Row],[Type]]="Co-product", "No", "")</f>
        <v/>
      </c>
      <c r="J40" s="10"/>
      <c r="K40" s="10" t="str">
        <f>IF(Table111[[#This Row],[Type]]="Transportation", _xlfn.XLOOKUP(Table111[[#This Row],[Resource]], 'SI - Payload'!$A$10:$A$35,'SI - Payload'!$B$10:$B$35,"",0), "")</f>
        <v/>
      </c>
      <c r="L40" s="10" t="str">
        <f>IF(Table111[[#This Row],[Type]]="Transportation", "ton", "")</f>
        <v/>
      </c>
      <c r="M40" s="10"/>
      <c r="N40" s="10"/>
      <c r="O40" s="10" t="str">
        <f>Table111[[#This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IF(Table111[[#This Row],[Type]]="Co-product", "No", "")</f>
        <v/>
      </c>
      <c r="J41" s="10"/>
      <c r="K41" s="10" t="str">
        <f>IF(Table111[[#This Row],[Type]]="Transportation", _xlfn.XLOOKUP(Table111[[#This Row],[Resource]], 'SI - Payload'!$A$10:$A$35,'SI - Payload'!$B$10:$B$35,"",0), "")</f>
        <v/>
      </c>
      <c r="L41" s="10" t="str">
        <f>IF(Table111[[#This Row],[Type]]="Transportation", "ton", "")</f>
        <v/>
      </c>
      <c r="M41" s="10"/>
      <c r="N41" s="10"/>
      <c r="O41" s="10" t="str">
        <f>Table111[[#This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IF(Table111[[#This Row],[Type]]="Co-product", "No", "")</f>
        <v/>
      </c>
      <c r="J42" s="10"/>
      <c r="K42" s="10" t="str">
        <f>IF(Table111[[#This Row],[Type]]="Transportation", _xlfn.XLOOKUP(Table111[[#This Row],[Resource]], 'SI - Payload'!$A$10:$A$35,'SI - Payload'!$B$10:$B$35,"",0), "")</f>
        <v/>
      </c>
      <c r="L42" s="10" t="str">
        <f>IF(Table111[[#This Row],[Type]]="Transportation", "ton", "")</f>
        <v/>
      </c>
      <c r="M42" s="10"/>
      <c r="N42" s="10"/>
      <c r="O42" s="10" t="str">
        <f>Table111[[#This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IF(Table111[[#This Row],[Type]]="Co-product", "No", "")</f>
        <v/>
      </c>
      <c r="J43" s="10"/>
      <c r="K43" s="10" t="str">
        <f>IF(Table111[[#This Row],[Type]]="Transportation", _xlfn.XLOOKUP(Table111[[#This Row],[Resource]], 'SI - Payload'!$A$10:$A$35,'SI - Payload'!$B$10:$B$35,"",0), "")</f>
        <v/>
      </c>
      <c r="L43" s="10" t="str">
        <f>IF(Table111[[#This Row],[Type]]="Transportation", "ton", "")</f>
        <v/>
      </c>
      <c r="M43" s="10"/>
      <c r="N43" s="10"/>
      <c r="O43" s="10" t="str">
        <f>Table111[[#This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IF(Table111[[#This Row],[Type]]="Co-product", "No", "")</f>
        <v/>
      </c>
      <c r="J44" s="10"/>
      <c r="K44" s="10" t="str">
        <f>IF(Table111[[#This Row],[Type]]="Transportation", _xlfn.XLOOKUP(Table111[[#This Row],[Resource]], 'SI - Payload'!$A$10:$A$35,'SI - Payload'!$B$10:$B$35,"",0), "")</f>
        <v/>
      </c>
      <c r="L44" s="10" t="str">
        <f>IF(Table111[[#This Row],[Type]]="Transportation", "ton", "")</f>
        <v/>
      </c>
      <c r="M44" s="10"/>
      <c r="N44" s="10"/>
      <c r="O44" s="10" t="str">
        <f>Table111[[#This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IF(Table111[[#This Row],[Type]]="Co-product", "No", "")</f>
        <v/>
      </c>
      <c r="J45" s="10"/>
      <c r="K45" s="10" t="str">
        <f>IF(Table111[[#This Row],[Type]]="Transportation", _xlfn.XLOOKUP(Table111[[#This Row],[Resource]], 'SI - Payload'!$A$10:$A$35,'SI - Payload'!$B$10:$B$35,"",0), "")</f>
        <v/>
      </c>
      <c r="L45" s="10" t="str">
        <f>IF(Table111[[#This Row],[Type]]="Transportation", "ton", "")</f>
        <v/>
      </c>
      <c r="M45" s="10"/>
      <c r="N45" s="10"/>
      <c r="O45" s="10" t="str">
        <f>Table111[[#This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IF(Table111[[#This Row],[Type]]="Co-product", "No", "")</f>
        <v/>
      </c>
      <c r="J46" s="10"/>
      <c r="K46" s="10" t="str">
        <f>IF(Table111[[#This Row],[Type]]="Transportation", _xlfn.XLOOKUP(Table111[[#This Row],[Resource]], 'SI - Payload'!$A$10:$A$35,'SI - Payload'!$B$10:$B$35,"",0), "")</f>
        <v/>
      </c>
      <c r="L46" s="10" t="str">
        <f>IF(Table111[[#This Row],[Type]]="Transportation", "ton", "")</f>
        <v/>
      </c>
      <c r="M46" s="10"/>
      <c r="N46" s="10"/>
      <c r="O46" s="10" t="str">
        <f>Table111[[#This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IF(Table111[[#This Row],[Type]]="Co-product", "No", "")</f>
        <v/>
      </c>
      <c r="J47" s="10"/>
      <c r="K47" s="10" t="str">
        <f>IF(Table111[[#This Row],[Type]]="Transportation", _xlfn.XLOOKUP(Table111[[#This Row],[Resource]], 'SI - Payload'!$A$10:$A$35,'SI - Payload'!$B$10:$B$35,"",0), "")</f>
        <v/>
      </c>
      <c r="L47" s="10" t="str">
        <f>IF(Table111[[#This Row],[Type]]="Transportation", "ton", "")</f>
        <v/>
      </c>
      <c r="M47" s="10"/>
      <c r="N47" s="10"/>
      <c r="O47" s="10" t="str">
        <f>Table111[[#This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IF(Table111[[#This Row],[Type]]="Co-product", "No", "")</f>
        <v/>
      </c>
      <c r="J48" s="10"/>
      <c r="K48" s="10" t="str">
        <f>IF(Table111[[#This Row],[Type]]="Transportation", _xlfn.XLOOKUP(Table111[[#This Row],[Resource]], 'SI - Payload'!$A$10:$A$35,'SI - Payload'!$B$10:$B$35,"",0), "")</f>
        <v/>
      </c>
      <c r="L48" s="10" t="str">
        <f>IF(Table111[[#This Row],[Type]]="Transportation", "ton", "")</f>
        <v/>
      </c>
      <c r="M48" s="10"/>
      <c r="N48" s="10"/>
      <c r="O48" s="10" t="str">
        <f>Table111[[#This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IF(Table111[[#This Row],[Type]]="Co-product", "No", "")</f>
        <v/>
      </c>
      <c r="J49" s="10"/>
      <c r="K49" s="10" t="str">
        <f>IF(Table111[[#This Row],[Type]]="Transportation", _xlfn.XLOOKUP(Table111[[#This Row],[Resource]], 'SI - Payload'!$A$10:$A$35,'SI - Payload'!$B$10:$B$35,"",0), "")</f>
        <v/>
      </c>
      <c r="L49" s="10" t="str">
        <f>IF(Table111[[#This Row],[Type]]="Transportation", "ton", "")</f>
        <v/>
      </c>
      <c r="M49" s="10"/>
      <c r="N49" s="10"/>
      <c r="O49" s="10" t="str">
        <f>Table111[[#This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IF(Table111[[#This Row],[Type]]="Co-product", "No", "")</f>
        <v/>
      </c>
      <c r="J50" s="10"/>
      <c r="K50" s="10" t="str">
        <f>IF(Table111[[#This Row],[Type]]="Transportation", _xlfn.XLOOKUP(Table111[[#This Row],[Resource]], 'SI - Payload'!$A$10:$A$35,'SI - Payload'!$B$10:$B$35,"",0), "")</f>
        <v/>
      </c>
      <c r="L50" s="10" t="str">
        <f>IF(Table111[[#This Row],[Type]]="Transportation", "ton", "")</f>
        <v/>
      </c>
      <c r="M50" s="10"/>
      <c r="N50" s="10"/>
      <c r="O50" s="10" t="str">
        <f>Table111[[#This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IF(Table111[[#This Row],[Type]]="Co-product", "No", "")</f>
        <v/>
      </c>
      <c r="J51" s="10"/>
      <c r="K51" s="10" t="str">
        <f>IF(Table111[[#This Row],[Type]]="Transportation", _xlfn.XLOOKUP(Table111[[#This Row],[Resource]], 'SI - Payload'!$A$10:$A$35,'SI - Payload'!$B$10:$B$35,"",0), "")</f>
        <v/>
      </c>
      <c r="L51" s="10" t="str">
        <f>IF(Table111[[#This Row],[Type]]="Transportation", "ton", "")</f>
        <v/>
      </c>
      <c r="M51" s="10"/>
      <c r="N51" s="10"/>
      <c r="O51" s="10" t="str">
        <f>Table111[[#This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IF(Table111[[#This Row],[Type]]="Co-product", "No", "")</f>
        <v/>
      </c>
      <c r="J52" s="10"/>
      <c r="K52" s="10" t="str">
        <f>IF(Table111[[#This Row],[Type]]="Transportation", _xlfn.XLOOKUP(Table111[[#This Row],[Resource]], 'SI - Payload'!$A$10:$A$35,'SI - Payload'!$B$10:$B$35,"",0), "")</f>
        <v/>
      </c>
      <c r="L52" s="10" t="str">
        <f>IF(Table111[[#This Row],[Type]]="Transportation", "ton", "")</f>
        <v/>
      </c>
      <c r="M52" s="10"/>
      <c r="N52" s="10"/>
      <c r="O52" s="10" t="str">
        <f>Table111[[#This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IF(Table111[[#This Row],[Type]]="Co-product", "No", "")</f>
        <v/>
      </c>
      <c r="J53" s="10"/>
      <c r="K53" s="10" t="str">
        <f>IF(Table111[[#This Row],[Type]]="Transportation", _xlfn.XLOOKUP(Table111[[#This Row],[Resource]], 'SI - Payload'!$A$10:$A$35,'SI - Payload'!$B$10:$B$35,"",0), "")</f>
        <v/>
      </c>
      <c r="L53" s="10" t="str">
        <f>IF(Table111[[#This Row],[Type]]="Transportation", "ton", "")</f>
        <v/>
      </c>
      <c r="M53" s="10"/>
      <c r="N53" s="10"/>
      <c r="O53" s="10" t="str">
        <f>Table111[[#This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IF(Table111[[#This Row],[Type]]="Co-product", "No", "")</f>
        <v/>
      </c>
      <c r="J54" s="10"/>
      <c r="K54" s="10" t="str">
        <f>IF(Table111[[#This Row],[Type]]="Transportation", _xlfn.XLOOKUP(Table111[[#This Row],[Resource]], 'SI - Payload'!$A$10:$A$35,'SI - Payload'!$B$10:$B$35,"",0), "")</f>
        <v/>
      </c>
      <c r="L54" s="10" t="str">
        <f>IF(Table111[[#This Row],[Type]]="Transportation", "ton", "")</f>
        <v/>
      </c>
      <c r="M54" s="10"/>
      <c r="N54" s="10"/>
      <c r="O54" s="10" t="str">
        <f>Table111[[#This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IF(Table111[[#This Row],[Type]]="Co-product", "No", "")</f>
        <v/>
      </c>
      <c r="J55" s="10"/>
      <c r="K55" s="10" t="str">
        <f>IF(Table111[[#This Row],[Type]]="Transportation", _xlfn.XLOOKUP(Table111[[#This Row],[Resource]], 'SI - Payload'!$A$10:$A$35,'SI - Payload'!$B$10:$B$35,"",0), "")</f>
        <v/>
      </c>
      <c r="L55" s="10" t="str">
        <f>IF(Table111[[#This Row],[Type]]="Transportation", "ton", "")</f>
        <v/>
      </c>
      <c r="M55" s="10"/>
      <c r="N55" s="10"/>
      <c r="O55" s="10" t="str">
        <f>Table111[[#This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IF(Table111[[#This Row],[Type]]="Co-product", "No", "")</f>
        <v/>
      </c>
      <c r="J56" s="10"/>
      <c r="K56" s="10" t="str">
        <f>IF(Table111[[#This Row],[Type]]="Transportation", _xlfn.XLOOKUP(Table111[[#This Row],[Resource]], 'SI - Payload'!$A$10:$A$35,'SI - Payload'!$B$10:$B$35,"",0), "")</f>
        <v/>
      </c>
      <c r="L56" s="10" t="str">
        <f>IF(Table111[[#This Row],[Type]]="Transportation", "ton", "")</f>
        <v/>
      </c>
      <c r="M56" s="10"/>
      <c r="N56" s="10"/>
      <c r="O56" s="10" t="str">
        <f>Table111[[#This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IF(Table111[[#This Row],[Type]]="Co-product", "No", "")</f>
        <v/>
      </c>
      <c r="J57" s="10"/>
      <c r="K57" s="10" t="str">
        <f>IF(Table111[[#This Row],[Type]]="Transportation", _xlfn.XLOOKUP(Table111[[#This Row],[Resource]], 'SI - Payload'!$A$10:$A$35,'SI - Payload'!$B$10:$B$35,"",0), "")</f>
        <v/>
      </c>
      <c r="L57" s="10" t="str">
        <f>IF(Table111[[#This Row],[Type]]="Transportation", "ton", "")</f>
        <v/>
      </c>
      <c r="M57" s="10"/>
      <c r="N57" s="10"/>
      <c r="O57" s="10" t="str">
        <f>Table111[[#This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IF(Table111[[#This Row],[Type]]="Co-product", "No", "")</f>
        <v/>
      </c>
      <c r="J58" s="10"/>
      <c r="K58" s="10" t="str">
        <f>IF(Table111[[#This Row],[Type]]="Transportation", _xlfn.XLOOKUP(Table111[[#This Row],[Resource]], 'SI - Payload'!$A$10:$A$35,'SI - Payload'!$B$10:$B$35,"",0), "")</f>
        <v/>
      </c>
      <c r="L58" s="10" t="str">
        <f>IF(Table111[[#This Row],[Type]]="Transportation", "ton", "")</f>
        <v/>
      </c>
      <c r="M58" s="10"/>
      <c r="N58" s="10"/>
      <c r="O58" s="10" t="str">
        <f>Table111[[#This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IF(Table111[[#This Row],[Type]]="Co-product", "No", "")</f>
        <v/>
      </c>
      <c r="J59" s="10"/>
      <c r="K59" s="10" t="str">
        <f>IF(Table111[[#This Row],[Type]]="Transportation", _xlfn.XLOOKUP(Table111[[#This Row],[Resource]], 'SI - Payload'!$A$10:$A$35,'SI - Payload'!$B$10:$B$35,"",0), "")</f>
        <v/>
      </c>
      <c r="L59" s="10" t="str">
        <f>IF(Table111[[#This Row],[Type]]="Transportation", "ton", "")</f>
        <v/>
      </c>
      <c r="M59" s="10"/>
      <c r="N59" s="10"/>
      <c r="O59" s="10" t="str">
        <f>Table111[[#This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IF(Table111[[#This Row],[Type]]="Co-product", "No", "")</f>
        <v/>
      </c>
      <c r="J60" s="10"/>
      <c r="K60" s="10" t="str">
        <f>IF(Table111[[#This Row],[Type]]="Transportation", _xlfn.XLOOKUP(Table111[[#This Row],[Resource]], 'SI - Payload'!$A$10:$A$35,'SI - Payload'!$B$10:$B$35,"",0), "")</f>
        <v/>
      </c>
      <c r="L60" s="10" t="str">
        <f>IF(Table111[[#This Row],[Type]]="Transportation", "ton", "")</f>
        <v/>
      </c>
      <c r="M60" s="10"/>
      <c r="N60" s="10"/>
      <c r="O60" s="10" t="str">
        <f>Table111[[#This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IF(Table111[[#This Row],[Type]]="Co-product", "No", "")</f>
        <v/>
      </c>
      <c r="J61" s="10"/>
      <c r="K61" s="10" t="str">
        <f>IF(Table111[[#This Row],[Type]]="Transportation", _xlfn.XLOOKUP(Table111[[#This Row],[Resource]], 'SI - Payload'!$A$10:$A$35,'SI - Payload'!$B$10:$B$35,"",0), "")</f>
        <v/>
      </c>
      <c r="L61" s="10" t="str">
        <f>IF(Table111[[#This Row],[Type]]="Transportation", "ton", "")</f>
        <v/>
      </c>
      <c r="M61" s="10"/>
      <c r="N61" s="10"/>
      <c r="O61" s="10" t="str">
        <f>Table111[[#This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IF(Table111[[#This Row],[Type]]="Co-product", "No", "")</f>
        <v/>
      </c>
      <c r="J62" s="10"/>
      <c r="K62" s="10" t="str">
        <f>IF(Table111[[#This Row],[Type]]="Transportation", _xlfn.XLOOKUP(Table111[[#This Row],[Resource]], 'SI - Payload'!$A$10:$A$35,'SI - Payload'!$B$10:$B$35,"",0), "")</f>
        <v/>
      </c>
      <c r="L62" s="10" t="str">
        <f>IF(Table111[[#This Row],[Type]]="Transportation", "ton", "")</f>
        <v/>
      </c>
      <c r="M62" s="10"/>
      <c r="N62" s="10"/>
      <c r="O62" s="10" t="str">
        <f>Table111[[#This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IF(Table111[[#This Row],[Type]]="Co-product", "No", "")</f>
        <v/>
      </c>
      <c r="J63" s="10"/>
      <c r="K63" s="10" t="str">
        <f>IF(Table111[[#This Row],[Type]]="Transportation", _xlfn.XLOOKUP(Table111[[#This Row],[Resource]], 'SI - Payload'!$A$10:$A$35,'SI - Payload'!$B$10:$B$35,"",0), "")</f>
        <v/>
      </c>
      <c r="L63" s="10" t="str">
        <f>IF(Table111[[#This Row],[Type]]="Transportation", "ton", "")</f>
        <v/>
      </c>
      <c r="M63" s="10"/>
      <c r="N63" s="10"/>
      <c r="O63" s="10" t="str">
        <f>Table111[[#This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IF(Table111[[#This Row],[Type]]="Co-product", "No", "")</f>
        <v/>
      </c>
      <c r="J64" s="10"/>
      <c r="K64" s="10" t="str">
        <f>IF(Table111[[#This Row],[Type]]="Transportation", _xlfn.XLOOKUP(Table111[[#This Row],[Resource]], 'SI - Payload'!$A$10:$A$35,'SI - Payload'!$B$10:$B$35,"",0), "")</f>
        <v/>
      </c>
      <c r="L64" s="10" t="str">
        <f>IF(Table111[[#This Row],[Type]]="Transportation", "ton", "")</f>
        <v/>
      </c>
      <c r="M64" s="10"/>
      <c r="N64" s="10"/>
      <c r="O64" s="10" t="str">
        <f>Table111[[#This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IF(Table111[[#This Row],[Type]]="Co-product", "No", "")</f>
        <v/>
      </c>
      <c r="J65" s="10"/>
      <c r="K65" s="10" t="str">
        <f>IF(Table111[[#This Row],[Type]]="Transportation", _xlfn.XLOOKUP(Table111[[#This Row],[Resource]], 'SI - Payload'!$A$10:$A$35,'SI - Payload'!$B$10:$B$35,"",0), "")</f>
        <v/>
      </c>
      <c r="L65" s="10" t="str">
        <f>IF(Table111[[#This Row],[Type]]="Transportation", "ton", "")</f>
        <v/>
      </c>
      <c r="M65" s="10"/>
      <c r="N65" s="10"/>
      <c r="O65" s="10" t="str">
        <f>Table111[[#This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IF(Table111[[#This Row],[Type]]="Co-product", "No", "")</f>
        <v/>
      </c>
      <c r="J66" s="10"/>
      <c r="K66" s="10" t="str">
        <f>IF(Table111[[#This Row],[Type]]="Transportation", _xlfn.XLOOKUP(Table111[[#This Row],[Resource]], 'SI - Payload'!$A$10:$A$35,'SI - Payload'!$B$10:$B$35,"",0), "")</f>
        <v/>
      </c>
      <c r="L66" s="10" t="str">
        <f>IF(Table111[[#This Row],[Type]]="Transportation", "ton", "")</f>
        <v/>
      </c>
      <c r="M66" s="10"/>
      <c r="N66" s="10"/>
      <c r="O66" s="10" t="str">
        <f>Table111[[#This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IF(Table111[[#This Row],[Type]]="Co-product", "No", "")</f>
        <v/>
      </c>
      <c r="J67" s="10"/>
      <c r="K67" s="10" t="str">
        <f>IF(Table111[[#This Row],[Type]]="Transportation", _xlfn.XLOOKUP(Table111[[#This Row],[Resource]], 'SI - Payload'!$A$10:$A$35,'SI - Payload'!$B$10:$B$35,"",0), "")</f>
        <v/>
      </c>
      <c r="L67" s="10" t="str">
        <f>IF(Table111[[#This Row],[Type]]="Transportation", "ton", "")</f>
        <v/>
      </c>
      <c r="M67" s="10"/>
      <c r="N67" s="10"/>
      <c r="O67" s="10" t="str">
        <f>Table111[[#This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IF(Table111[[#This Row],[Type]]="Co-product", "No", "")</f>
        <v/>
      </c>
      <c r="J68" s="10"/>
      <c r="K68" s="10" t="str">
        <f>IF(Table111[[#This Row],[Type]]="Transportation", _xlfn.XLOOKUP(Table111[[#This Row],[Resource]], 'SI - Payload'!$A$10:$A$35,'SI - Payload'!$B$10:$B$35,"",0), "")</f>
        <v/>
      </c>
      <c r="L68" s="10" t="str">
        <f>IF(Table111[[#This Row],[Type]]="Transportation", "ton", "")</f>
        <v/>
      </c>
      <c r="M68" s="10"/>
      <c r="N68" s="10"/>
      <c r="O68" s="10" t="str">
        <f>Table111[[#This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IF(Table111[[#This Row],[Type]]="Co-product", "No", "")</f>
        <v/>
      </c>
      <c r="J69" s="10"/>
      <c r="K69" s="10" t="str">
        <f>IF(Table111[[#This Row],[Type]]="Transportation", _xlfn.XLOOKUP(Table111[[#This Row],[Resource]], 'SI - Payload'!$A$10:$A$35,'SI - Payload'!$B$10:$B$35,"",0), "")</f>
        <v/>
      </c>
      <c r="L69" s="10" t="str">
        <f>IF(Table111[[#This Row],[Type]]="Transportation", "ton", "")</f>
        <v/>
      </c>
      <c r="M69" s="10"/>
      <c r="N69" s="10"/>
      <c r="O69" s="10" t="str">
        <f>Table111[[#This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IF(Table111[[#This Row],[Type]]="Co-product", "No", "")</f>
        <v/>
      </c>
      <c r="J70" s="10"/>
      <c r="K70" s="10" t="str">
        <f>IF(Table111[[#This Row],[Type]]="Transportation", _xlfn.XLOOKUP(Table111[[#This Row],[Resource]], 'SI - Payload'!$A$10:$A$35,'SI - Payload'!$B$10:$B$35,"",0), "")</f>
        <v/>
      </c>
      <c r="L70" s="10" t="str">
        <f>IF(Table111[[#This Row],[Type]]="Transportation", "ton", "")</f>
        <v/>
      </c>
      <c r="M70" s="10"/>
      <c r="N70" s="10"/>
      <c r="O70" s="10" t="str">
        <f>Table111[[#This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IF(Table111[[#This Row],[Type]]="Co-product", "No", "")</f>
        <v/>
      </c>
      <c r="J71" s="10"/>
      <c r="K71" s="10" t="str">
        <f>IF(Table111[[#This Row],[Type]]="Transportation", _xlfn.XLOOKUP(Table111[[#This Row],[Resource]], 'SI - Payload'!$A$10:$A$35,'SI - Payload'!$B$10:$B$35,"",0), "")</f>
        <v/>
      </c>
      <c r="L71" s="10" t="str">
        <f>IF(Table111[[#This Row],[Type]]="Transportation", "ton", "")</f>
        <v/>
      </c>
      <c r="M71" s="10"/>
      <c r="N71" s="10"/>
      <c r="O71" s="10" t="str">
        <f>Table111[[#This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IF(Table111[[#This Row],[Type]]="Co-product", "No", "")</f>
        <v/>
      </c>
      <c r="J72" s="10"/>
      <c r="K72" s="10" t="str">
        <f>IF(Table111[[#This Row],[Type]]="Transportation", _xlfn.XLOOKUP(Table111[[#This Row],[Resource]], 'SI - Payload'!$A$10:$A$35,'SI - Payload'!$B$10:$B$35,"",0), "")</f>
        <v/>
      </c>
      <c r="L72" s="10" t="str">
        <f>IF(Table111[[#This Row],[Type]]="Transportation", "ton", "")</f>
        <v/>
      </c>
      <c r="M72" s="10"/>
      <c r="N72" s="10"/>
      <c r="O72" s="10" t="str">
        <f>Table111[[#This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IF(Table111[[#This Row],[Type]]="Co-product", "No", "")</f>
        <v/>
      </c>
      <c r="J73" s="10"/>
      <c r="K73" s="10" t="str">
        <f>IF(Table111[[#This Row],[Type]]="Transportation", _xlfn.XLOOKUP(Table111[[#This Row],[Resource]], 'SI - Payload'!$A$10:$A$35,'SI - Payload'!$B$10:$B$35,"",0), "")</f>
        <v/>
      </c>
      <c r="L73" s="10" t="str">
        <f>IF(Table111[[#This Row],[Type]]="Transportation", "ton", "")</f>
        <v/>
      </c>
      <c r="M73" s="10"/>
      <c r="N73" s="10"/>
      <c r="O73" s="10" t="str">
        <f>Table111[[#This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IF(Table111[[#This Row],[Type]]="Co-product", "No", "")</f>
        <v/>
      </c>
      <c r="J74" s="10"/>
      <c r="K74" s="10" t="str">
        <f>IF(Table111[[#This Row],[Type]]="Transportation", _xlfn.XLOOKUP(Table111[[#This Row],[Resource]], 'SI - Payload'!$A$10:$A$35,'SI - Payload'!$B$10:$B$35,"",0), "")</f>
        <v/>
      </c>
      <c r="L74" s="10" t="str">
        <f>IF(Table111[[#This Row],[Type]]="Transportation", "ton", "")</f>
        <v/>
      </c>
      <c r="M74" s="10"/>
      <c r="N74" s="10"/>
      <c r="O74" s="10" t="str">
        <f>Table111[[#This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IF(Table111[[#This Row],[Type]]="Co-product", "No", "")</f>
        <v/>
      </c>
      <c r="J75" s="10"/>
      <c r="K75" s="10" t="str">
        <f>IF(Table111[[#This Row],[Type]]="Transportation", _xlfn.XLOOKUP(Table111[[#This Row],[Resource]], 'SI - Payload'!$A$10:$A$35,'SI - Payload'!$B$10:$B$35,"",0), "")</f>
        <v/>
      </c>
      <c r="L75" s="10" t="str">
        <f>IF(Table111[[#This Row],[Type]]="Transportation", "ton", "")</f>
        <v/>
      </c>
      <c r="M75" s="10"/>
      <c r="N75" s="10"/>
      <c r="O75" s="10" t="str">
        <f>Table111[[#This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IF(Table111[[#This Row],[Type]]="Co-product", "No", "")</f>
        <v/>
      </c>
      <c r="J76" s="10"/>
      <c r="K76" s="10" t="str">
        <f>IF(Table111[[#This Row],[Type]]="Transportation", _xlfn.XLOOKUP(Table111[[#This Row],[Resource]], 'SI - Payload'!$A$10:$A$35,'SI - Payload'!$B$10:$B$35,"",0), "")</f>
        <v/>
      </c>
      <c r="L76" s="10" t="str">
        <f>IF(Table111[[#This Row],[Type]]="Transportation", "ton", "")</f>
        <v/>
      </c>
      <c r="M76" s="10"/>
      <c r="N76" s="10"/>
      <c r="O76" s="10" t="str">
        <f>Table111[[#This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IF(Table111[[#This Row],[Type]]="Co-product", "No", "")</f>
        <v/>
      </c>
      <c r="J77" s="10"/>
      <c r="K77" s="10" t="str">
        <f>IF(Table111[[#This Row],[Type]]="Transportation", _xlfn.XLOOKUP(Table111[[#This Row],[Resource]], 'SI - Payload'!$A$10:$A$35,'SI - Payload'!$B$10:$B$35,"",0), "")</f>
        <v/>
      </c>
      <c r="L77" s="10" t="str">
        <f>IF(Table111[[#This Row],[Type]]="Transportation", "ton", "")</f>
        <v/>
      </c>
      <c r="M77" s="10"/>
      <c r="N77" s="10"/>
      <c r="O77" s="10" t="str">
        <f>Table111[[#This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IF(Table111[[#This Row],[Type]]="Co-product", "No", "")</f>
        <v/>
      </c>
      <c r="J78" s="10"/>
      <c r="K78" s="10" t="str">
        <f>IF(Table111[[#This Row],[Type]]="Transportation", _xlfn.XLOOKUP(Table111[[#This Row],[Resource]], 'SI - Payload'!$A$10:$A$35,'SI - Payload'!$B$10:$B$35,"",0), "")</f>
        <v/>
      </c>
      <c r="L78" s="10" t="str">
        <f>IF(Table111[[#This Row],[Type]]="Transportation", "ton", "")</f>
        <v/>
      </c>
      <c r="M78" s="10"/>
      <c r="N78" s="10"/>
      <c r="O78" s="10" t="str">
        <f>Table111[[#This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IF(Table111[[#This Row],[Type]]="Co-product", "No", "")</f>
        <v/>
      </c>
      <c r="J79" s="10"/>
      <c r="K79" s="10" t="str">
        <f>IF(Table111[[#This Row],[Type]]="Transportation", _xlfn.XLOOKUP(Table111[[#This Row],[Resource]], 'SI - Payload'!$A$10:$A$35,'SI - Payload'!$B$10:$B$35,"",0), "")</f>
        <v/>
      </c>
      <c r="L79" s="10" t="str">
        <f>IF(Table111[[#This Row],[Type]]="Transportation", "ton", "")</f>
        <v/>
      </c>
      <c r="M79" s="10"/>
      <c r="N79" s="10"/>
      <c r="O79" s="10" t="str">
        <f>Table111[[#This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IF(Table111[[#This Row],[Type]]="Co-product", "No", "")</f>
        <v/>
      </c>
      <c r="J80" s="10"/>
      <c r="K80" s="10" t="str">
        <f>IF(Table111[[#This Row],[Type]]="Transportation", _xlfn.XLOOKUP(Table111[[#This Row],[Resource]], 'SI - Payload'!$A$10:$A$35,'SI - Payload'!$B$10:$B$35,"",0), "")</f>
        <v/>
      </c>
      <c r="L80" s="10" t="str">
        <f>IF(Table111[[#This Row],[Type]]="Transportation", "ton", "")</f>
        <v/>
      </c>
      <c r="M80" s="10"/>
      <c r="N80" s="10"/>
      <c r="O80" s="10" t="str">
        <f>Table111[[#This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IF(Table111[[#This Row],[Type]]="Co-product", "No", "")</f>
        <v/>
      </c>
      <c r="J81" s="10"/>
      <c r="K81" s="10" t="str">
        <f>IF(Table111[[#This Row],[Type]]="Transportation", _xlfn.XLOOKUP(Table111[[#This Row],[Resource]], 'SI - Payload'!$A$10:$A$35,'SI - Payload'!$B$10:$B$35,"",0), "")</f>
        <v/>
      </c>
      <c r="L81" s="10" t="str">
        <f>IF(Table111[[#This Row],[Type]]="Transportation", "ton", "")</f>
        <v/>
      </c>
      <c r="M81" s="10"/>
      <c r="N81" s="10"/>
      <c r="O81" s="10" t="str">
        <f>Table111[[#This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IF(Table111[[#This Row],[Type]]="Co-product", "No", "")</f>
        <v/>
      </c>
      <c r="J82" s="10"/>
      <c r="K82" s="10" t="str">
        <f>IF(Table111[[#This Row],[Type]]="Transportation", _xlfn.XLOOKUP(Table111[[#This Row],[Resource]], 'SI - Payload'!$A$10:$A$35,'SI - Payload'!$B$10:$B$35,"",0), "")</f>
        <v/>
      </c>
      <c r="L82" s="10" t="str">
        <f>IF(Table111[[#This Row],[Type]]="Transportation", "ton", "")</f>
        <v/>
      </c>
      <c r="M82" s="10"/>
      <c r="N82" s="10"/>
      <c r="O82" s="10" t="str">
        <f>Table111[[#This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IF(Table111[[#This Row],[Type]]="Co-product", "No", "")</f>
        <v/>
      </c>
      <c r="J83" s="10"/>
      <c r="K83" s="10" t="str">
        <f>IF(Table111[[#This Row],[Type]]="Transportation", _xlfn.XLOOKUP(Table111[[#This Row],[Resource]], 'SI - Payload'!$A$10:$A$35,'SI - Payload'!$B$10:$B$35,"",0), "")</f>
        <v/>
      </c>
      <c r="L83" s="10" t="str">
        <f>IF(Table111[[#This Row],[Type]]="Transportation", "ton", "")</f>
        <v/>
      </c>
      <c r="M83" s="10"/>
      <c r="N83" s="10"/>
      <c r="O83" s="10" t="str">
        <f>Table111[[#This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IF(Table111[[#This Row],[Type]]="Co-product", "No", "")</f>
        <v/>
      </c>
      <c r="J84" s="10"/>
      <c r="K84" s="10" t="str">
        <f>IF(Table111[[#This Row],[Type]]="Transportation", _xlfn.XLOOKUP(Table111[[#This Row],[Resource]], 'SI - Payload'!$A$10:$A$35,'SI - Payload'!$B$10:$B$35,"",0), "")</f>
        <v/>
      </c>
      <c r="L84" s="10" t="str">
        <f>IF(Table111[[#This Row],[Type]]="Transportation", "ton", "")</f>
        <v/>
      </c>
      <c r="M84" s="10"/>
      <c r="N84" s="10"/>
      <c r="O84" s="10" t="str">
        <f>Table111[[#This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IF(Table111[[#This Row],[Type]]="Co-product", "No", "")</f>
        <v/>
      </c>
      <c r="J85" s="10"/>
      <c r="K85" s="10" t="str">
        <f>IF(Table111[[#This Row],[Type]]="Transportation", _xlfn.XLOOKUP(Table111[[#This Row],[Resource]], 'SI - Payload'!$A$10:$A$35,'SI - Payload'!$B$10:$B$35,"",0), "")</f>
        <v/>
      </c>
      <c r="L85" s="10" t="str">
        <f>IF(Table111[[#This Row],[Type]]="Transportation", "ton", "")</f>
        <v/>
      </c>
      <c r="M85" s="10"/>
      <c r="N85" s="10"/>
      <c r="O85" s="10" t="str">
        <f>Table111[[#This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IF(Table111[[#This Row],[Type]]="Co-product", "No", "")</f>
        <v/>
      </c>
      <c r="J86" s="10"/>
      <c r="K86" s="10" t="str">
        <f>IF(Table111[[#This Row],[Type]]="Transportation", _xlfn.XLOOKUP(Table111[[#This Row],[Resource]], 'SI - Payload'!$A$10:$A$35,'SI - Payload'!$B$10:$B$35,"",0), "")</f>
        <v/>
      </c>
      <c r="L86" s="10" t="str">
        <f>IF(Table111[[#This Row],[Type]]="Transportation", "ton", "")</f>
        <v/>
      </c>
      <c r="M86" s="10"/>
      <c r="N86" s="10"/>
      <c r="O86" s="10" t="str">
        <f>Table111[[#This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IF(Table111[[#This Row],[Type]]="Co-product", "No", "")</f>
        <v/>
      </c>
      <c r="J87" s="10"/>
      <c r="K87" s="10" t="str">
        <f>IF(Table111[[#This Row],[Type]]="Transportation", _xlfn.XLOOKUP(Table111[[#This Row],[Resource]], 'SI - Payload'!$A$10:$A$35,'SI - Payload'!$B$10:$B$35,"",0), "")</f>
        <v/>
      </c>
      <c r="L87" s="10" t="str">
        <f>IF(Table111[[#This Row],[Type]]="Transportation", "ton", "")</f>
        <v/>
      </c>
      <c r="M87" s="10"/>
      <c r="N87" s="10"/>
      <c r="O87" s="10" t="str">
        <f>Table111[[#This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IF(Table111[[#This Row],[Type]]="Co-product", "No", "")</f>
        <v/>
      </c>
      <c r="J88" s="10"/>
      <c r="K88" s="10" t="str">
        <f>IF(Table111[[#This Row],[Type]]="Transportation", _xlfn.XLOOKUP(Table111[[#This Row],[Resource]], 'SI - Payload'!$A$10:$A$35,'SI - Payload'!$B$10:$B$35,"",0), "")</f>
        <v/>
      </c>
      <c r="L88" s="10" t="str">
        <f>IF(Table111[[#This Row],[Type]]="Transportation", "ton", "")</f>
        <v/>
      </c>
      <c r="M88" s="10"/>
      <c r="N88" s="10"/>
      <c r="O88" s="10" t="str">
        <f>Table111[[#This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IF(Table111[[#This Row],[Type]]="Co-product", "No", "")</f>
        <v/>
      </c>
      <c r="J89" s="10"/>
      <c r="K89" s="10" t="str">
        <f>IF(Table111[[#This Row],[Type]]="Transportation", _xlfn.XLOOKUP(Table111[[#This Row],[Resource]], 'SI - Payload'!$A$10:$A$35,'SI - Payload'!$B$10:$B$35,"",0), "")</f>
        <v/>
      </c>
      <c r="L89" s="10" t="str">
        <f>IF(Table111[[#This Row],[Type]]="Transportation", "ton", "")</f>
        <v/>
      </c>
      <c r="M89" s="10"/>
      <c r="N89" s="10"/>
      <c r="O89" s="10" t="str">
        <f>Table111[[#This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IF(Table111[[#This Row],[Type]]="Co-product", "No", "")</f>
        <v/>
      </c>
      <c r="J90" s="10"/>
      <c r="K90" s="10" t="str">
        <f>IF(Table111[[#This Row],[Type]]="Transportation", _xlfn.XLOOKUP(Table111[[#This Row],[Resource]], 'SI - Payload'!$A$10:$A$35,'SI - Payload'!$B$10:$B$35,"",0), "")</f>
        <v/>
      </c>
      <c r="L90" s="10" t="str">
        <f>IF(Table111[[#This Row],[Type]]="Transportation", "ton", "")</f>
        <v/>
      </c>
      <c r="M90" s="10"/>
      <c r="N90" s="10"/>
      <c r="O90" s="10" t="str">
        <f>Table111[[#This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IF(Table111[[#This Row],[Type]]="Co-product", "No", "")</f>
        <v/>
      </c>
      <c r="J91" s="10"/>
      <c r="K91" s="10" t="str">
        <f>IF(Table111[[#This Row],[Type]]="Transportation", _xlfn.XLOOKUP(Table111[[#This Row],[Resource]], 'SI - Payload'!$A$10:$A$35,'SI - Payload'!$B$10:$B$35,"",0), "")</f>
        <v/>
      </c>
      <c r="L91" s="10" t="str">
        <f>IF(Table111[[#This Row],[Type]]="Transportation", "ton", "")</f>
        <v/>
      </c>
      <c r="M91" s="10"/>
      <c r="N91" s="10"/>
      <c r="O91" s="10" t="str">
        <f>Table111[[#This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IF(Table111[[#This Row],[Type]]="Co-product", "No", "")</f>
        <v/>
      </c>
      <c r="J92" s="10"/>
      <c r="K92" s="10" t="str">
        <f>IF(Table111[[#This Row],[Type]]="Transportation", _xlfn.XLOOKUP(Table111[[#This Row],[Resource]], 'SI - Payload'!$A$10:$A$35,'SI - Payload'!$B$10:$B$35,"",0), "")</f>
        <v/>
      </c>
      <c r="L92" s="10" t="str">
        <f>IF(Table111[[#This Row],[Type]]="Transportation", "ton", "")</f>
        <v/>
      </c>
      <c r="M92" s="10"/>
      <c r="N92" s="10"/>
      <c r="O92" s="10" t="str">
        <f>Table111[[#This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IF(Table111[[#This Row],[Type]]="Co-product", "No", "")</f>
        <v/>
      </c>
      <c r="J93" s="10"/>
      <c r="K93" s="10" t="str">
        <f>IF(Table111[[#This Row],[Type]]="Transportation", _xlfn.XLOOKUP(Table111[[#This Row],[Resource]], 'SI - Payload'!$A$10:$A$35,'SI - Payload'!$B$10:$B$35,"",0), "")</f>
        <v/>
      </c>
      <c r="L93" s="10" t="str">
        <f>IF(Table111[[#This Row],[Type]]="Transportation", "ton", "")</f>
        <v/>
      </c>
      <c r="M93" s="10"/>
      <c r="N93" s="10"/>
      <c r="O93" s="10" t="str">
        <f>Table111[[#This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IF(Table111[[#This Row],[Type]]="Co-product", "No", "")</f>
        <v/>
      </c>
      <c r="J94" s="10"/>
      <c r="K94" s="10" t="str">
        <f>IF(Table111[[#This Row],[Type]]="Transportation", _xlfn.XLOOKUP(Table111[[#This Row],[Resource]], 'SI - Payload'!$A$10:$A$35,'SI - Payload'!$B$10:$B$35,"",0), "")</f>
        <v/>
      </c>
      <c r="L94" s="10" t="str">
        <f>IF(Table111[[#This Row],[Type]]="Transportation", "ton", "")</f>
        <v/>
      </c>
      <c r="M94" s="10"/>
      <c r="N94" s="10"/>
      <c r="O94" s="10" t="str">
        <f>Table111[[#This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IF(Table111[[#This Row],[Type]]="Co-product", "No", "")</f>
        <v/>
      </c>
      <c r="J95" s="10"/>
      <c r="K95" s="10" t="str">
        <f>IF(Table111[[#This Row],[Type]]="Transportation", _xlfn.XLOOKUP(Table111[[#This Row],[Resource]], 'SI - Payload'!$A$10:$A$35,'SI - Payload'!$B$10:$B$35,"",0), "")</f>
        <v/>
      </c>
      <c r="L95" s="10" t="str">
        <f>IF(Table111[[#This Row],[Type]]="Transportation", "ton", "")</f>
        <v/>
      </c>
      <c r="M95" s="10"/>
      <c r="N95" s="10"/>
      <c r="O95" s="10" t="str">
        <f>Table111[[#This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IF(Table111[[#This Row],[Type]]="Co-product", "No", "")</f>
        <v/>
      </c>
      <c r="J96" s="10"/>
      <c r="K96" s="10" t="str">
        <f>IF(Table111[[#This Row],[Type]]="Transportation", _xlfn.XLOOKUP(Table111[[#This Row],[Resource]], 'SI - Payload'!$A$10:$A$35,'SI - Payload'!$B$10:$B$35,"",0), "")</f>
        <v/>
      </c>
      <c r="L96" s="10" t="str">
        <f>IF(Table111[[#This Row],[Type]]="Transportation", "ton", "")</f>
        <v/>
      </c>
      <c r="M96" s="10"/>
      <c r="N96" s="10"/>
      <c r="O96" s="10" t="str">
        <f>Table111[[#This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IF(Table111[[#This Row],[Type]]="Co-product", "No", "")</f>
        <v/>
      </c>
      <c r="J97" s="10"/>
      <c r="K97" s="10" t="str">
        <f>IF(Table111[[#This Row],[Type]]="Transportation", _xlfn.XLOOKUP(Table111[[#This Row],[Resource]], 'SI - Payload'!$A$10:$A$35,'SI - Payload'!$B$10:$B$35,"",0), "")</f>
        <v/>
      </c>
      <c r="L97" s="10" t="str">
        <f>IF(Table111[[#This Row],[Type]]="Transportation", "ton", "")</f>
        <v/>
      </c>
      <c r="M97" s="10"/>
      <c r="N97" s="10"/>
      <c r="O97" s="10" t="str">
        <f>Table111[[#This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IF(Table111[[#This Row],[Type]]="Co-product", "No", "")</f>
        <v/>
      </c>
      <c r="J98" s="10"/>
      <c r="K98" s="10" t="str">
        <f>IF(Table111[[#This Row],[Type]]="Transportation", _xlfn.XLOOKUP(Table111[[#This Row],[Resource]], 'SI - Payload'!$A$10:$A$35,'SI - Payload'!$B$10:$B$35,"",0), "")</f>
        <v/>
      </c>
      <c r="L98" s="10" t="str">
        <f>IF(Table111[[#This Row],[Type]]="Transportation", "ton", "")</f>
        <v/>
      </c>
      <c r="M98" s="10"/>
      <c r="N98" s="10"/>
      <c r="O98" s="10" t="str">
        <f>Table111[[#This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IF(Table111[[#This Row],[Type]]="Co-product", "No", "")</f>
        <v/>
      </c>
      <c r="J99" s="10"/>
      <c r="K99" s="10" t="str">
        <f>IF(Table111[[#This Row],[Type]]="Transportation", _xlfn.XLOOKUP(Table111[[#This Row],[Resource]], 'SI - Payload'!$A$10:$A$35,'SI - Payload'!$B$10:$B$35,"",0), "")</f>
        <v/>
      </c>
      <c r="L99" s="10" t="str">
        <f>IF(Table111[[#This Row],[Type]]="Transportation", "ton", "")</f>
        <v/>
      </c>
      <c r="M99" s="10"/>
      <c r="N99" s="10"/>
      <c r="O99" s="27" t="str">
        <f>Table111[[#This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IF(Table111[[#This Row],[Type]]="Co-product", "No", "")</f>
        <v/>
      </c>
      <c r="J100" s="10"/>
      <c r="K100" s="10" t="str">
        <f>IF(Table111[[#This Row],[Type]]="Transportation", _xlfn.XLOOKUP(Table111[[#This Row],[Resource]], 'SI - Payload'!$A$10:$A$35,'SI - Payload'!$B$10:$B$35,"",0), "")</f>
        <v/>
      </c>
      <c r="L100" s="10" t="str">
        <f>IF(Table111[[#This Row],[Type]]="Transportation", "ton", "")</f>
        <v/>
      </c>
      <c r="M100" s="10"/>
      <c r="N100" s="10"/>
      <c r="O100" s="27" t="str">
        <f>Table111[[#This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IF(Table111[[#This Row],[Type]]="Co-product", "No", "")</f>
        <v/>
      </c>
      <c r="J101" s="10"/>
      <c r="K101" s="10" t="str">
        <f>IF(Table111[[#This Row],[Type]]="Transportation", _xlfn.XLOOKUP(Table111[[#This Row],[Resource]], 'SI - Payload'!$A$10:$A$35,'SI - Payload'!$B$10:$B$35,"",0), "")</f>
        <v/>
      </c>
      <c r="L101" s="10" t="str">
        <f>IF(Table111[[#This Row],[Type]]="Transportation", "ton", "")</f>
        <v/>
      </c>
      <c r="M101" s="10"/>
      <c r="N101" s="10"/>
      <c r="O101" s="27" t="str">
        <f>Table111[[#This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IF(Table111[[#This Row],[Type]]="Co-product", "No", "")</f>
        <v/>
      </c>
      <c r="J102" s="26"/>
      <c r="K102" s="26" t="str">
        <f>IF(Table111[[#This Row],[Type]]="Transportation", _xlfn.XLOOKUP(Table111[[#This Row],[Resource]], 'SI - Payload'!$A$10:$A$35,'SI - Payload'!$B$10:$B$35,"",0), "")</f>
        <v/>
      </c>
      <c r="L102" s="26" t="str">
        <f>IF(Table111[[#This Row],[Type]]="Transportation", "ton", "")</f>
        <v/>
      </c>
      <c r="M102" s="26"/>
      <c r="N102" s="26"/>
      <c r="O102" s="26" t="str">
        <f>Table111[[#This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Use'!$B$2:$B$51,'SI - End Use'!$C$2:$N$51)</xm:f>
          </x14:formula1>
          <xm:sqref>P5:P102</xm:sqref>
        </x14:dataValidation>
        <x14:dataValidation type="list" allowBlank="1" showInputMessage="1" xr:uid="{2354ECA0-4071-46C5-A165-9F4899BB68B0}">
          <x14:formula1>
            <xm:f>_xlfn.XLOOKUP($C5,'SI - End Use'!$B$2:$B$51,'SI - End Use'!$C$2:$N$51)</xm:f>
          </x14:formula1>
          <xm:sqref>D5:D102</xm:sqref>
        </x14:dataValidation>
        <x14:dataValidation type="list" allowBlank="1" showInputMessage="1" showErrorMessage="1" xr:uid="{EB959345-441E-4FF9-A7E8-B13994F4152D}">
          <x14:formula1>
            <xm:f>IF($B5="Transportation",  'SI - Units'!$B$9:$E$9, _xlfn.XLOOKUP(_xlfn.XLOOKUP($C5,'SI - Units'!$B$24:$B$72,'SI - Units'!$C$24:$C$72),'SI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Units'!$B$24:$B$72,'SI - Units'!$C$24:$C$72),'SI - Units'!$A$13:$A$19,'SI - Units'!$B$13:$R$19))</xm:f>
          </x14:formula1>
          <xm:sqref>N5:N102</xm:sqref>
        </x14:dataValidation>
        <x14:dataValidation type="list" allowBlank="1" showInputMessage="1" showErrorMessage="1" xr:uid="{0E5E0359-22AC-4AA3-BF42-D21D8663EF53}">
          <x14:formula1>
            <xm:f>_xlfn.XLOOKUP(_xlfn.XLOOKUP(#REF!,'SI - Units'!$B$24:$B$72,'SI - Units'!$C$24:$C$72),'SI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244</v>
      </c>
      <c r="I5" s="43" t="str">
        <f>IF(Table112[[#This Row],[Type]]="Co-product", "No", "")</f>
        <v/>
      </c>
      <c r="J5" s="10"/>
      <c r="K5" s="10" t="str">
        <f>IF(Table112[[#This Row],[Type]]="Transportation", _xlfn.XLOOKUP(Table112[[#This Row],[Resource]], 'SI - Payload'!$A$10:$A$35,'SI - Payload'!$B$10:$B$35,"",0), "")</f>
        <v/>
      </c>
      <c r="L5" s="10" t="str">
        <f>IF(Table112[[#This Row],[Type]]="Transportation", "ton", "")</f>
        <v/>
      </c>
      <c r="M5" s="10"/>
      <c r="N5" s="10"/>
      <c r="O5" s="10" t="str">
        <f>Table112[[#This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Data'!B10*1000*'INL Data'!E10</f>
        <v>289150</v>
      </c>
      <c r="F6" s="27" t="s">
        <v>73</v>
      </c>
      <c r="G6" s="39"/>
      <c r="H6" s="39"/>
      <c r="I6" s="43" t="str">
        <f>IF(Table112[[#This Row],[Type]]="Co-product", "No", "")</f>
        <v/>
      </c>
      <c r="J6" s="10"/>
      <c r="K6" s="10" t="str">
        <f>IF(Table112[[#This Row],[Type]]="Transportation", _xlfn.XLOOKUP(Table112[[#This Row],[Resource]], 'SI - Payload'!$A$10:$A$35,'SI - Payload'!$B$10:$B$35,"",0), "")</f>
        <v/>
      </c>
      <c r="L6" s="10" t="str">
        <f>IF(Table112[[#This Row],[Type]]="Transportation", "ton", "")</f>
        <v/>
      </c>
      <c r="M6" s="10"/>
      <c r="N6" s="10"/>
      <c r="O6" s="10" t="str">
        <f>Table112[[#This Row],[Resource]]</f>
        <v>Electricity</v>
      </c>
      <c r="P6" s="10" t="str">
        <f>IF(_xlfn.XLOOKUP($O6,'SI - End Use'!$B$2:$B$51,'SI - End Use'!$C$2:$C$51, "")="", "", _xlfn.XLOOKUP($C6,'SI - End Use'!$B$2:$B$51,'SI - End Use'!$C$2:$C$51, ""))</f>
        <v>U.S. Mix</v>
      </c>
      <c r="Q6" s="10"/>
      <c r="R6" s="10"/>
    </row>
    <row r="7" spans="1:18" x14ac:dyDescent="0.35">
      <c r="A7" s="10" t="s">
        <v>0</v>
      </c>
      <c r="B7" s="10" t="s">
        <v>272</v>
      </c>
      <c r="C7" s="10" t="str">
        <f>_xlfn.XLOOKUP($B7,'SI - Resources'!$A$1:$H$1,'SI - Resources'!$A$2:$H$2, "")</f>
        <v>Diesel</v>
      </c>
      <c r="D7" s="27" t="str">
        <f>IF(_xlfn.XLOOKUP($C7,'SI - End Use'!$B$2:$B$51,'SI - End Use'!$C$2:$C$51, "")="", "", _xlfn.XLOOKUP($C7,'SI - End Use'!$B$2:$B$51,'SI - End Use'!$C$2:$C$51, ""))</f>
        <v>Industrial Boiler</v>
      </c>
      <c r="E7" s="91">
        <f>'INL Data'!B10*1000*'INL Data'!D10</f>
        <v>0</v>
      </c>
      <c r="F7" s="27" t="str" cm="1">
        <f t="array" ref="F7">IF($B7="Transportation",  'SI - Units'!$B$9:$B$9, _xlfn.XLOOKUP(_xlfn.XLOOKUP($C7,'SI - Units'!$B$24:$B$72,'SI - Units'!$C$24:$C$72, ""),'SI - Units'!$A$2:$A$8,'SI - Units'!$B$2:$B$8, ""))</f>
        <v>BTU</v>
      </c>
      <c r="G7" s="39"/>
      <c r="H7" s="39"/>
      <c r="I7" s="43" t="str">
        <f>IF(Table112[[#This Row],[Type]]="Co-product", "No", "")</f>
        <v/>
      </c>
      <c r="J7" s="10"/>
      <c r="K7" s="27" t="str">
        <f>IF(Table112[[#This Row],[Type]]="Transportation", _xlfn.XLOOKUP(Table112[[#This Row],[Resource]], 'SI - Payload'!$A$10:$A$35,'SI - Payload'!$B$10:$B$35,"",0), "")</f>
        <v/>
      </c>
      <c r="L7" s="27" t="str">
        <f>IF(Table112[[#This Row],[Type]]="Transportation", "ton", "")</f>
        <v/>
      </c>
      <c r="M7" s="10"/>
      <c r="N7" s="10"/>
      <c r="O7" s="27" t="str">
        <f>Table112[[#This Row],[Resource]]</f>
        <v>Diesel</v>
      </c>
      <c r="P7" s="27" t="str">
        <f>IF(_xlfn.XLOOKUP($O7,'SI - End Use'!$B$2:$B$51,'SI - End Use'!$C$2:$C$51, "")="", "", _xlfn.XLOOKUP($C7,'SI - End Use'!$B$2:$B$51,'SI - End Use'!$C$2:$C$51, ""))</f>
        <v>Industrial Boiler</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Data'!B10*1000*'INL Data'!F10</f>
        <v>0</v>
      </c>
      <c r="F8" s="27" t="str" cm="1">
        <f t="array" ref="F8">IF($B8="Transportation",  'SI - Units'!$B$9:$B$9, _xlfn.XLOOKUP(_xlfn.XLOOKUP($C8,'SI - Units'!$B$24:$B$72,'SI - Units'!$C$24:$C$72, ""),'SI - Units'!$A$2:$A$8,'SI - Units'!$B$2:$B$8, ""))</f>
        <v>BTU</v>
      </c>
      <c r="G8" s="39"/>
      <c r="H8" s="39"/>
      <c r="I8" s="43" t="str">
        <f>IF(Table112[[#This Row],[Type]]="Co-product", "No", "")</f>
        <v/>
      </c>
      <c r="J8" s="10"/>
      <c r="K8" s="27" t="str">
        <f>IF(Table112[[#This Row],[Type]]="Transportation", _xlfn.XLOOKUP(Table112[[#This Row],[Resource]], 'SI - Payload'!$A$10:$A$35,'SI - Payload'!$B$10:$B$35,"",0), "")</f>
        <v/>
      </c>
      <c r="L8" s="27" t="str">
        <f>IF(Table112[[#This Row],[Type]]="Transportation", "ton", "")</f>
        <v/>
      </c>
      <c r="M8" s="10"/>
      <c r="N8" s="10"/>
      <c r="O8" s="27" t="str">
        <f>Table112[[#This Row],[Resource]]</f>
        <v>Natural Gas</v>
      </c>
      <c r="P8" s="27"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Data'!H10</f>
        <v>0.98</v>
      </c>
      <c r="F9" s="27" t="s">
        <v>11</v>
      </c>
      <c r="G9" s="39"/>
      <c r="H9" s="39"/>
      <c r="I9" s="43" t="str">
        <f>IF(Table112[[#This Row],[Type]]="Co-product", "No", "")</f>
        <v/>
      </c>
      <c r="J9" s="10"/>
      <c r="K9" s="10" t="str">
        <f>IF(Table112[[#This Row],[Type]]="Transportation", _xlfn.XLOOKUP(Table112[[#This Row],[Resource]], 'SI - Payload'!$A$10:$A$35,'SI - Payload'!$B$10:$B$35,"",0), "")</f>
        <v/>
      </c>
      <c r="L9" s="10" t="str">
        <f>IF(Table112[[#This Row],[Type]]="Transportation", "ton", "")</f>
        <v/>
      </c>
      <c r="M9" s="10"/>
      <c r="N9" s="10"/>
      <c r="O9" s="10" t="str">
        <f>Table112[[#This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IF(Table112[[#This Row],[Type]]="Co-product", "No", "")</f>
        <v/>
      </c>
      <c r="J10" s="10"/>
      <c r="K10" s="10" t="str">
        <f>IF(Table112[[#This Row],[Type]]="Transportation", _xlfn.XLOOKUP(Table112[[#This Row],[Resource]], 'SI - Payload'!$A$10:$A$35,'SI - Payload'!$B$10:$B$35,"",0), "")</f>
        <v/>
      </c>
      <c r="L10" s="10" t="str">
        <f>IF(Table112[[#This Row],[Type]]="Transportation", "ton", "")</f>
        <v/>
      </c>
      <c r="M10" s="10"/>
      <c r="N10" s="10"/>
      <c r="O10" s="10" t="str">
        <f>Table112[[#This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IF(Table112[[#This Row],[Type]]="Co-product", "No", "")</f>
        <v/>
      </c>
      <c r="J11" s="10"/>
      <c r="K11" s="10" t="str">
        <f>IF(Table112[[#This Row],[Type]]="Transportation", _xlfn.XLOOKUP(Table112[[#This Row],[Resource]], 'SI - Payload'!$A$10:$A$35,'SI - Payload'!$B$10:$B$35,"",0), "")</f>
        <v/>
      </c>
      <c r="L11" s="10" t="str">
        <f>IF(Table112[[#This Row],[Type]]="Transportation", "ton", "")</f>
        <v/>
      </c>
      <c r="M11" s="10"/>
      <c r="N11" s="10"/>
      <c r="O11" s="10" t="str">
        <f>Table112[[#This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IF(Table112[[#This Row],[Type]]="Co-product", "No", "")</f>
        <v/>
      </c>
      <c r="J12" s="10"/>
      <c r="K12" s="10" t="str">
        <f>IF(Table112[[#This Row],[Type]]="Transportation", _xlfn.XLOOKUP(Table112[[#This Row],[Resource]], 'SI - Payload'!$A$10:$A$35,'SI - Payload'!$B$10:$B$35,"",0), "")</f>
        <v/>
      </c>
      <c r="L12" s="10" t="str">
        <f>IF(Table112[[#This Row],[Type]]="Transportation", "ton", "")</f>
        <v/>
      </c>
      <c r="M12" s="10"/>
      <c r="N12" s="10"/>
      <c r="O12" s="10" t="str">
        <f>Table112[[#This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IF(Table112[[#This Row],[Type]]="Co-product", "No", "")</f>
        <v/>
      </c>
      <c r="J13" s="10"/>
      <c r="K13" s="10" t="str">
        <f>IF(Table112[[#This Row],[Type]]="Transportation", _xlfn.XLOOKUP(Table112[[#This Row],[Resource]], 'SI - Payload'!$A$10:$A$35,'SI - Payload'!$B$10:$B$35,"",0), "")</f>
        <v/>
      </c>
      <c r="L13" s="10" t="str">
        <f>IF(Table112[[#This Row],[Type]]="Transportation", "ton", "")</f>
        <v/>
      </c>
      <c r="M13" s="10"/>
      <c r="N13" s="10"/>
      <c r="O13" s="10" t="str">
        <f>Table112[[#This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IF(Table112[[#This Row],[Type]]="Co-product", "No", "")</f>
        <v/>
      </c>
      <c r="J14" s="10"/>
      <c r="K14" s="10" t="str">
        <f>IF(Table112[[#This Row],[Type]]="Transportation", _xlfn.XLOOKUP(Table112[[#This Row],[Resource]], 'SI - Payload'!$A$10:$A$35,'SI - Payload'!$B$10:$B$35,"",0), "")</f>
        <v/>
      </c>
      <c r="L14" s="10" t="str">
        <f>IF(Table112[[#This Row],[Type]]="Transportation", "ton", "")</f>
        <v/>
      </c>
      <c r="M14" s="10"/>
      <c r="N14" s="10"/>
      <c r="O14" s="10" t="str">
        <f>Table112[[#This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IF(Table112[[#This Row],[Type]]="Co-product", "No", "")</f>
        <v/>
      </c>
      <c r="J15" s="10"/>
      <c r="K15" s="10" t="str">
        <f>IF(Table112[[#This Row],[Type]]="Transportation", _xlfn.XLOOKUP(Table112[[#This Row],[Resource]], 'SI - Payload'!$A$10:$A$35,'SI - Payload'!$B$10:$B$35,"",0), "")</f>
        <v/>
      </c>
      <c r="L15" s="10" t="str">
        <f>IF(Table112[[#This Row],[Type]]="Transportation", "ton", "")</f>
        <v/>
      </c>
      <c r="M15" s="10"/>
      <c r="N15" s="10"/>
      <c r="O15" s="10" t="str">
        <f>Table112[[#This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IF(Table112[[#This Row],[Type]]="Co-product", "No", "")</f>
        <v/>
      </c>
      <c r="J16" s="10"/>
      <c r="K16" s="10" t="str">
        <f>IF(Table112[[#This Row],[Type]]="Transportation", _xlfn.XLOOKUP(Table112[[#This Row],[Resource]], 'SI - Payload'!$A$10:$A$35,'SI - Payload'!$B$10:$B$35,"",0), "")</f>
        <v/>
      </c>
      <c r="L16" s="10" t="str">
        <f>IF(Table112[[#This Row],[Type]]="Transportation", "ton", "")</f>
        <v/>
      </c>
      <c r="M16" s="10"/>
      <c r="N16" s="10"/>
      <c r="O16" s="10" t="str">
        <f>Table112[[#This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IF(Table112[[#This Row],[Type]]="Co-product", "No", "")</f>
        <v/>
      </c>
      <c r="J17" s="10"/>
      <c r="K17" s="10" t="str">
        <f>IF(Table112[[#This Row],[Type]]="Transportation", _xlfn.XLOOKUP(Table112[[#This Row],[Resource]], 'SI - Payload'!$A$10:$A$35,'SI - Payload'!$B$10:$B$35,"",0), "")</f>
        <v/>
      </c>
      <c r="L17" s="10" t="str">
        <f>IF(Table112[[#This Row],[Type]]="Transportation", "ton", "")</f>
        <v/>
      </c>
      <c r="M17" s="10"/>
      <c r="N17" s="10"/>
      <c r="O17" s="10" t="str">
        <f>Table112[[#This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IF(Table112[[#This Row],[Type]]="Co-product", "No", "")</f>
        <v/>
      </c>
      <c r="J18" s="10"/>
      <c r="K18" s="10" t="str">
        <f>IF(Table112[[#This Row],[Type]]="Transportation", _xlfn.XLOOKUP(Table112[[#This Row],[Resource]], 'SI - Payload'!$A$10:$A$35,'SI - Payload'!$B$10:$B$35,"",0), "")</f>
        <v/>
      </c>
      <c r="L18" s="10" t="str">
        <f>IF(Table112[[#This Row],[Type]]="Transportation", "ton", "")</f>
        <v/>
      </c>
      <c r="M18" s="10"/>
      <c r="N18" s="10"/>
      <c r="O18" s="10" t="str">
        <f>Table112[[#This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IF(Table112[[#This Row],[Type]]="Co-product", "No", "")</f>
        <v/>
      </c>
      <c r="J19" s="10"/>
      <c r="K19" s="10" t="str">
        <f>IF(Table112[[#This Row],[Type]]="Transportation", _xlfn.XLOOKUP(Table112[[#This Row],[Resource]], 'SI - Payload'!$A$10:$A$35,'SI - Payload'!$B$10:$B$35,"",0), "")</f>
        <v/>
      </c>
      <c r="L19" s="10" t="str">
        <f>IF(Table112[[#This Row],[Type]]="Transportation", "ton", "")</f>
        <v/>
      </c>
      <c r="M19" s="10"/>
      <c r="N19" s="10"/>
      <c r="O19" s="10" t="str">
        <f>Table112[[#This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IF(Table112[[#This Row],[Type]]="Co-product", "No", "")</f>
        <v/>
      </c>
      <c r="J20" s="10"/>
      <c r="K20" s="10" t="str">
        <f>IF(Table112[[#This Row],[Type]]="Transportation", _xlfn.XLOOKUP(Table112[[#This Row],[Resource]], 'SI - Payload'!$A$10:$A$35,'SI - Payload'!$B$10:$B$35,"",0), "")</f>
        <v/>
      </c>
      <c r="L20" s="10" t="str">
        <f>IF(Table112[[#This Row],[Type]]="Transportation", "ton", "")</f>
        <v/>
      </c>
      <c r="M20" s="10"/>
      <c r="N20" s="10"/>
      <c r="O20" s="10" t="str">
        <f>Table112[[#This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IF(Table112[[#This Row],[Type]]="Co-product", "No", "")</f>
        <v/>
      </c>
      <c r="J21" s="10"/>
      <c r="K21" s="10" t="str">
        <f>IF(Table112[[#This Row],[Type]]="Transportation", _xlfn.XLOOKUP(Table112[[#This Row],[Resource]], 'SI - Payload'!$A$10:$A$35,'SI - Payload'!$B$10:$B$35,"",0), "")</f>
        <v/>
      </c>
      <c r="L21" s="10" t="str">
        <f>IF(Table112[[#This Row],[Type]]="Transportation", "ton", "")</f>
        <v/>
      </c>
      <c r="M21" s="10"/>
      <c r="N21" s="10"/>
      <c r="O21" s="10" t="str">
        <f>Table112[[#This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IF(Table112[[#This Row],[Type]]="Co-product", "No", "")</f>
        <v/>
      </c>
      <c r="J22" s="10"/>
      <c r="K22" s="10" t="str">
        <f>IF(Table112[[#This Row],[Type]]="Transportation", _xlfn.XLOOKUP(Table112[[#This Row],[Resource]], 'SI - Payload'!$A$10:$A$35,'SI - Payload'!$B$10:$B$35,"",0), "")</f>
        <v/>
      </c>
      <c r="L22" s="10" t="str">
        <f>IF(Table112[[#This Row],[Type]]="Transportation", "ton", "")</f>
        <v/>
      </c>
      <c r="M22" s="10"/>
      <c r="N22" s="10"/>
      <c r="O22" s="10" t="str">
        <f>Table112[[#This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IF(Table112[[#This Row],[Type]]="Co-product", "No", "")</f>
        <v/>
      </c>
      <c r="J23" s="10"/>
      <c r="K23" s="10" t="str">
        <f>IF(Table112[[#This Row],[Type]]="Transportation", _xlfn.XLOOKUP(Table112[[#This Row],[Resource]], 'SI - Payload'!$A$10:$A$35,'SI - Payload'!$B$10:$B$35,"",0), "")</f>
        <v/>
      </c>
      <c r="L23" s="10" t="str">
        <f>IF(Table112[[#This Row],[Type]]="Transportation", "ton", "")</f>
        <v/>
      </c>
      <c r="M23" s="10"/>
      <c r="N23" s="10"/>
      <c r="O23" s="10" t="str">
        <f>Table112[[#This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IF(Table112[[#This Row],[Type]]="Co-product", "No", "")</f>
        <v/>
      </c>
      <c r="J24" s="10"/>
      <c r="K24" s="10" t="str">
        <f>IF(Table112[[#This Row],[Type]]="Transportation", _xlfn.XLOOKUP(Table112[[#This Row],[Resource]], 'SI - Payload'!$A$10:$A$35,'SI - Payload'!$B$10:$B$35,"",0), "")</f>
        <v/>
      </c>
      <c r="L24" s="10" t="str">
        <f>IF(Table112[[#This Row],[Type]]="Transportation", "ton", "")</f>
        <v/>
      </c>
      <c r="M24" s="10"/>
      <c r="N24" s="10"/>
      <c r="O24" s="10" t="str">
        <f>Table112[[#This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IF(Table112[[#This Row],[Type]]="Co-product", "No", "")</f>
        <v/>
      </c>
      <c r="J25" s="10"/>
      <c r="K25" s="10" t="str">
        <f>IF(Table112[[#This Row],[Type]]="Transportation", _xlfn.XLOOKUP(Table112[[#This Row],[Resource]], 'SI - Payload'!$A$10:$A$35,'SI - Payload'!$B$10:$B$35,"",0), "")</f>
        <v/>
      </c>
      <c r="L25" s="10" t="str">
        <f>IF(Table112[[#This Row],[Type]]="Transportation", "ton", "")</f>
        <v/>
      </c>
      <c r="M25" s="10"/>
      <c r="N25" s="10"/>
      <c r="O25" s="10" t="str">
        <f>Table112[[#This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IF(Table112[[#This Row],[Type]]="Co-product", "No", "")</f>
        <v/>
      </c>
      <c r="J26" s="10"/>
      <c r="K26" s="10" t="str">
        <f>IF(Table112[[#This Row],[Type]]="Transportation", _xlfn.XLOOKUP(Table112[[#This Row],[Resource]], 'SI - Payload'!$A$10:$A$35,'SI - Payload'!$B$10:$B$35,"",0), "")</f>
        <v/>
      </c>
      <c r="L26" s="10" t="str">
        <f>IF(Table112[[#This Row],[Type]]="Transportation", "ton", "")</f>
        <v/>
      </c>
      <c r="M26" s="10"/>
      <c r="N26" s="10"/>
      <c r="O26" s="10" t="str">
        <f>Table112[[#This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IF(Table112[[#This Row],[Type]]="Co-product", "No", "")</f>
        <v/>
      </c>
      <c r="J27" s="10"/>
      <c r="K27" s="10" t="str">
        <f>IF(Table112[[#This Row],[Type]]="Transportation", _xlfn.XLOOKUP(Table112[[#This Row],[Resource]], 'SI - Payload'!$A$10:$A$35,'SI - Payload'!$B$10:$B$35,"",0), "")</f>
        <v/>
      </c>
      <c r="L27" s="10" t="str">
        <f>IF(Table112[[#This Row],[Type]]="Transportation", "ton", "")</f>
        <v/>
      </c>
      <c r="M27" s="10"/>
      <c r="N27" s="10"/>
      <c r="O27" s="10" t="str">
        <f>Table112[[#This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IF(Table112[[#This Row],[Type]]="Co-product", "No", "")</f>
        <v/>
      </c>
      <c r="J28" s="10"/>
      <c r="K28" s="10" t="str">
        <f>IF(Table112[[#This Row],[Type]]="Transportation", _xlfn.XLOOKUP(Table112[[#This Row],[Resource]], 'SI - Payload'!$A$10:$A$35,'SI - Payload'!$B$10:$B$35,"",0), "")</f>
        <v/>
      </c>
      <c r="L28" s="10" t="str">
        <f>IF(Table112[[#This Row],[Type]]="Transportation", "ton", "")</f>
        <v/>
      </c>
      <c r="M28" s="10"/>
      <c r="N28" s="10"/>
      <c r="O28" s="10" t="str">
        <f>Table112[[#This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IF(Table112[[#This Row],[Type]]="Co-product", "No", "")</f>
        <v/>
      </c>
      <c r="J29" s="10"/>
      <c r="K29" s="10" t="str">
        <f>IF(Table112[[#This Row],[Type]]="Transportation", _xlfn.XLOOKUP(Table112[[#This Row],[Resource]], 'SI - Payload'!$A$10:$A$35,'SI - Payload'!$B$10:$B$35,"",0), "")</f>
        <v/>
      </c>
      <c r="L29" s="10" t="str">
        <f>IF(Table112[[#This Row],[Type]]="Transportation", "ton", "")</f>
        <v/>
      </c>
      <c r="M29" s="10"/>
      <c r="N29" s="10"/>
      <c r="O29" s="10" t="str">
        <f>Table112[[#This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IF(Table112[[#This Row],[Type]]="Co-product", "No", "")</f>
        <v/>
      </c>
      <c r="J30" s="10"/>
      <c r="K30" s="10" t="str">
        <f>IF(Table112[[#This Row],[Type]]="Transportation", _xlfn.XLOOKUP(Table112[[#This Row],[Resource]], 'SI - Payload'!$A$10:$A$35,'SI - Payload'!$B$10:$B$35,"",0), "")</f>
        <v/>
      </c>
      <c r="L30" s="10" t="str">
        <f>IF(Table112[[#This Row],[Type]]="Transportation", "ton", "")</f>
        <v/>
      </c>
      <c r="M30" s="10"/>
      <c r="N30" s="10"/>
      <c r="O30" s="10" t="str">
        <f>Table112[[#This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IF(Table112[[#This Row],[Type]]="Co-product", "No", "")</f>
        <v/>
      </c>
      <c r="J31" s="10"/>
      <c r="K31" s="10" t="str">
        <f>IF(Table112[[#This Row],[Type]]="Transportation", _xlfn.XLOOKUP(Table112[[#This Row],[Resource]], 'SI - Payload'!$A$10:$A$35,'SI - Payload'!$B$10:$B$35,"",0), "")</f>
        <v/>
      </c>
      <c r="L31" s="10" t="str">
        <f>IF(Table112[[#This Row],[Type]]="Transportation", "ton", "")</f>
        <v/>
      </c>
      <c r="M31" s="10"/>
      <c r="N31" s="10"/>
      <c r="O31" s="10" t="str">
        <f>Table112[[#This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IF(Table112[[#This Row],[Type]]="Co-product", "No", "")</f>
        <v/>
      </c>
      <c r="J32" s="10"/>
      <c r="K32" s="10" t="str">
        <f>IF(Table112[[#This Row],[Type]]="Transportation", _xlfn.XLOOKUP(Table112[[#This Row],[Resource]], 'SI - Payload'!$A$10:$A$35,'SI - Payload'!$B$10:$B$35,"",0), "")</f>
        <v/>
      </c>
      <c r="L32" s="10" t="str">
        <f>IF(Table112[[#This Row],[Type]]="Transportation", "ton", "")</f>
        <v/>
      </c>
      <c r="M32" s="10"/>
      <c r="N32" s="10"/>
      <c r="O32" s="10" t="str">
        <f>Table112[[#This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IF(Table112[[#This Row],[Type]]="Co-product", "No", "")</f>
        <v/>
      </c>
      <c r="J33" s="10"/>
      <c r="K33" s="10" t="str">
        <f>IF(Table112[[#This Row],[Type]]="Transportation", _xlfn.XLOOKUP(Table112[[#This Row],[Resource]], 'SI - Payload'!$A$10:$A$35,'SI - Payload'!$B$10:$B$35,"",0), "")</f>
        <v/>
      </c>
      <c r="L33" s="10" t="str">
        <f>IF(Table112[[#This Row],[Type]]="Transportation", "ton", "")</f>
        <v/>
      </c>
      <c r="M33" s="10"/>
      <c r="N33" s="10"/>
      <c r="O33" s="10" t="str">
        <f>Table112[[#This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IF(Table112[[#This Row],[Type]]="Co-product", "No", "")</f>
        <v/>
      </c>
      <c r="J34" s="10"/>
      <c r="K34" s="10" t="str">
        <f>IF(Table112[[#This Row],[Type]]="Transportation", _xlfn.XLOOKUP(Table112[[#This Row],[Resource]], 'SI - Payload'!$A$10:$A$35,'SI - Payload'!$B$10:$B$35,"",0), "")</f>
        <v/>
      </c>
      <c r="L34" s="10" t="str">
        <f>IF(Table112[[#This Row],[Type]]="Transportation", "ton", "")</f>
        <v/>
      </c>
      <c r="M34" s="10"/>
      <c r="N34" s="10"/>
      <c r="O34" s="10" t="str">
        <f>Table112[[#This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IF(Table112[[#This Row],[Type]]="Co-product", "No", "")</f>
        <v/>
      </c>
      <c r="J35" s="10"/>
      <c r="K35" s="10" t="str">
        <f>IF(Table112[[#This Row],[Type]]="Transportation", _xlfn.XLOOKUP(Table112[[#This Row],[Resource]], 'SI - Payload'!$A$10:$A$35,'SI - Payload'!$B$10:$B$35,"",0), "")</f>
        <v/>
      </c>
      <c r="L35" s="10" t="str">
        <f>IF(Table112[[#This Row],[Type]]="Transportation", "ton", "")</f>
        <v/>
      </c>
      <c r="M35" s="10"/>
      <c r="N35" s="10"/>
      <c r="O35" s="10" t="str">
        <f>Table112[[#This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IF(Table112[[#This Row],[Type]]="Co-product", "No", "")</f>
        <v/>
      </c>
      <c r="J36" s="10"/>
      <c r="K36" s="10" t="str">
        <f>IF(Table112[[#This Row],[Type]]="Transportation", _xlfn.XLOOKUP(Table112[[#This Row],[Resource]], 'SI - Payload'!$A$10:$A$35,'SI - Payload'!$B$10:$B$35,"",0), "")</f>
        <v/>
      </c>
      <c r="L36" s="10" t="str">
        <f>IF(Table112[[#This Row],[Type]]="Transportation", "ton", "")</f>
        <v/>
      </c>
      <c r="M36" s="10"/>
      <c r="N36" s="10"/>
      <c r="O36" s="10" t="str">
        <f>Table112[[#This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IF(Table112[[#This Row],[Type]]="Co-product", "No", "")</f>
        <v/>
      </c>
      <c r="J37" s="10"/>
      <c r="K37" s="10" t="str">
        <f>IF(Table112[[#This Row],[Type]]="Transportation", _xlfn.XLOOKUP(Table112[[#This Row],[Resource]], 'SI - Payload'!$A$10:$A$35,'SI - Payload'!$B$10:$B$35,"",0), "")</f>
        <v/>
      </c>
      <c r="L37" s="10" t="str">
        <f>IF(Table112[[#This Row],[Type]]="Transportation", "ton", "")</f>
        <v/>
      </c>
      <c r="M37" s="10"/>
      <c r="N37" s="10"/>
      <c r="O37" s="10" t="str">
        <f>Table112[[#This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IF(Table112[[#This Row],[Type]]="Co-product", "No", "")</f>
        <v/>
      </c>
      <c r="J38" s="10"/>
      <c r="K38" s="10" t="str">
        <f>IF(Table112[[#This Row],[Type]]="Transportation", _xlfn.XLOOKUP(Table112[[#This Row],[Resource]], 'SI - Payload'!$A$10:$A$35,'SI - Payload'!$B$10:$B$35,"",0), "")</f>
        <v/>
      </c>
      <c r="L38" s="10" t="str">
        <f>IF(Table112[[#This Row],[Type]]="Transportation", "ton", "")</f>
        <v/>
      </c>
      <c r="M38" s="10"/>
      <c r="N38" s="10"/>
      <c r="O38" s="10" t="str">
        <f>Table112[[#This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IF(Table112[[#This Row],[Type]]="Co-product", "No", "")</f>
        <v/>
      </c>
      <c r="J39" s="10"/>
      <c r="K39" s="10" t="str">
        <f>IF(Table112[[#This Row],[Type]]="Transportation", _xlfn.XLOOKUP(Table112[[#This Row],[Resource]], 'SI - Payload'!$A$10:$A$35,'SI - Payload'!$B$10:$B$35,"",0), "")</f>
        <v/>
      </c>
      <c r="L39" s="10" t="str">
        <f>IF(Table112[[#This Row],[Type]]="Transportation", "ton", "")</f>
        <v/>
      </c>
      <c r="M39" s="10"/>
      <c r="N39" s="10"/>
      <c r="O39" s="10" t="str">
        <f>Table112[[#This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IF(Table112[[#This Row],[Type]]="Co-product", "No", "")</f>
        <v/>
      </c>
      <c r="J40" s="10"/>
      <c r="K40" s="10" t="str">
        <f>IF(Table112[[#This Row],[Type]]="Transportation", _xlfn.XLOOKUP(Table112[[#This Row],[Resource]], 'SI - Payload'!$A$10:$A$35,'SI - Payload'!$B$10:$B$35,"",0), "")</f>
        <v/>
      </c>
      <c r="L40" s="10" t="str">
        <f>IF(Table112[[#This Row],[Type]]="Transportation", "ton", "")</f>
        <v/>
      </c>
      <c r="M40" s="10"/>
      <c r="N40" s="10"/>
      <c r="O40" s="10" t="str">
        <f>Table112[[#This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IF(Table112[[#This Row],[Type]]="Co-product", "No", "")</f>
        <v/>
      </c>
      <c r="J41" s="10"/>
      <c r="K41" s="10" t="str">
        <f>IF(Table112[[#This Row],[Type]]="Transportation", _xlfn.XLOOKUP(Table112[[#This Row],[Resource]], 'SI - Payload'!$A$10:$A$35,'SI - Payload'!$B$10:$B$35,"",0), "")</f>
        <v/>
      </c>
      <c r="L41" s="10" t="str">
        <f>IF(Table112[[#This Row],[Type]]="Transportation", "ton", "")</f>
        <v/>
      </c>
      <c r="M41" s="10"/>
      <c r="N41" s="10"/>
      <c r="O41" s="10" t="str">
        <f>Table112[[#This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IF(Table112[[#This Row],[Type]]="Co-product", "No", "")</f>
        <v/>
      </c>
      <c r="J42" s="10"/>
      <c r="K42" s="10" t="str">
        <f>IF(Table112[[#This Row],[Type]]="Transportation", _xlfn.XLOOKUP(Table112[[#This Row],[Resource]], 'SI - Payload'!$A$10:$A$35,'SI - Payload'!$B$10:$B$35,"",0), "")</f>
        <v/>
      </c>
      <c r="L42" s="10" t="str">
        <f>IF(Table112[[#This Row],[Type]]="Transportation", "ton", "")</f>
        <v/>
      </c>
      <c r="M42" s="10"/>
      <c r="N42" s="10"/>
      <c r="O42" s="10" t="str">
        <f>Table112[[#This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IF(Table112[[#This Row],[Type]]="Co-product", "No", "")</f>
        <v/>
      </c>
      <c r="J43" s="10"/>
      <c r="K43" s="10" t="str">
        <f>IF(Table112[[#This Row],[Type]]="Transportation", _xlfn.XLOOKUP(Table112[[#This Row],[Resource]], 'SI - Payload'!$A$10:$A$35,'SI - Payload'!$B$10:$B$35,"",0), "")</f>
        <v/>
      </c>
      <c r="L43" s="10" t="str">
        <f>IF(Table112[[#This Row],[Type]]="Transportation", "ton", "")</f>
        <v/>
      </c>
      <c r="M43" s="10"/>
      <c r="N43" s="10"/>
      <c r="O43" s="10" t="str">
        <f>Table112[[#This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IF(Table112[[#This Row],[Type]]="Co-product", "No", "")</f>
        <v/>
      </c>
      <c r="J44" s="10"/>
      <c r="K44" s="10" t="str">
        <f>IF(Table112[[#This Row],[Type]]="Transportation", _xlfn.XLOOKUP(Table112[[#This Row],[Resource]], 'SI - Payload'!$A$10:$A$35,'SI - Payload'!$B$10:$B$35,"",0), "")</f>
        <v/>
      </c>
      <c r="L44" s="10" t="str">
        <f>IF(Table112[[#This Row],[Type]]="Transportation", "ton", "")</f>
        <v/>
      </c>
      <c r="M44" s="10"/>
      <c r="N44" s="10"/>
      <c r="O44" s="10" t="str">
        <f>Table112[[#This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IF(Table112[[#This Row],[Type]]="Co-product", "No", "")</f>
        <v/>
      </c>
      <c r="J45" s="10"/>
      <c r="K45" s="10" t="str">
        <f>IF(Table112[[#This Row],[Type]]="Transportation", _xlfn.XLOOKUP(Table112[[#This Row],[Resource]], 'SI - Payload'!$A$10:$A$35,'SI - Payload'!$B$10:$B$35,"",0), "")</f>
        <v/>
      </c>
      <c r="L45" s="10" t="str">
        <f>IF(Table112[[#This Row],[Type]]="Transportation", "ton", "")</f>
        <v/>
      </c>
      <c r="M45" s="10"/>
      <c r="N45" s="10"/>
      <c r="O45" s="10" t="str">
        <f>Table112[[#This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IF(Table112[[#This Row],[Type]]="Co-product", "No", "")</f>
        <v/>
      </c>
      <c r="J46" s="10"/>
      <c r="K46" s="10" t="str">
        <f>IF(Table112[[#This Row],[Type]]="Transportation", _xlfn.XLOOKUP(Table112[[#This Row],[Resource]], 'SI - Payload'!$A$10:$A$35,'SI - Payload'!$B$10:$B$35,"",0), "")</f>
        <v/>
      </c>
      <c r="L46" s="10" t="str">
        <f>IF(Table112[[#This Row],[Type]]="Transportation", "ton", "")</f>
        <v/>
      </c>
      <c r="M46" s="10"/>
      <c r="N46" s="10"/>
      <c r="O46" s="10" t="str">
        <f>Table112[[#This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IF(Table112[[#This Row],[Type]]="Co-product", "No", "")</f>
        <v/>
      </c>
      <c r="J47" s="10"/>
      <c r="K47" s="10" t="str">
        <f>IF(Table112[[#This Row],[Type]]="Transportation", _xlfn.XLOOKUP(Table112[[#This Row],[Resource]], 'SI - Payload'!$A$10:$A$35,'SI - Payload'!$B$10:$B$35,"",0), "")</f>
        <v/>
      </c>
      <c r="L47" s="10" t="str">
        <f>IF(Table112[[#This Row],[Type]]="Transportation", "ton", "")</f>
        <v/>
      </c>
      <c r="M47" s="10"/>
      <c r="N47" s="10"/>
      <c r="O47" s="10" t="str">
        <f>Table112[[#This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IF(Table112[[#This Row],[Type]]="Co-product", "No", "")</f>
        <v/>
      </c>
      <c r="J48" s="10"/>
      <c r="K48" s="10" t="str">
        <f>IF(Table112[[#This Row],[Type]]="Transportation", _xlfn.XLOOKUP(Table112[[#This Row],[Resource]], 'SI - Payload'!$A$10:$A$35,'SI - Payload'!$B$10:$B$35,"",0), "")</f>
        <v/>
      </c>
      <c r="L48" s="10" t="str">
        <f>IF(Table112[[#This Row],[Type]]="Transportation", "ton", "")</f>
        <v/>
      </c>
      <c r="M48" s="10"/>
      <c r="N48" s="10"/>
      <c r="O48" s="10" t="str">
        <f>Table112[[#This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IF(Table112[[#This Row],[Type]]="Co-product", "No", "")</f>
        <v/>
      </c>
      <c r="J49" s="10"/>
      <c r="K49" s="10" t="str">
        <f>IF(Table112[[#This Row],[Type]]="Transportation", _xlfn.XLOOKUP(Table112[[#This Row],[Resource]], 'SI - Payload'!$A$10:$A$35,'SI - Payload'!$B$10:$B$35,"",0), "")</f>
        <v/>
      </c>
      <c r="L49" s="10" t="str">
        <f>IF(Table112[[#This Row],[Type]]="Transportation", "ton", "")</f>
        <v/>
      </c>
      <c r="M49" s="10"/>
      <c r="N49" s="10"/>
      <c r="O49" s="10" t="str">
        <f>Table112[[#This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IF(Table112[[#This Row],[Type]]="Co-product", "No", "")</f>
        <v/>
      </c>
      <c r="J50" s="10"/>
      <c r="K50" s="10" t="str">
        <f>IF(Table112[[#This Row],[Type]]="Transportation", _xlfn.XLOOKUP(Table112[[#This Row],[Resource]], 'SI - Payload'!$A$10:$A$35,'SI - Payload'!$B$10:$B$35,"",0), "")</f>
        <v/>
      </c>
      <c r="L50" s="10" t="str">
        <f>IF(Table112[[#This Row],[Type]]="Transportation", "ton", "")</f>
        <v/>
      </c>
      <c r="M50" s="10"/>
      <c r="N50" s="10"/>
      <c r="O50" s="10" t="str">
        <f>Table112[[#This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IF(Table112[[#This Row],[Type]]="Co-product", "No", "")</f>
        <v/>
      </c>
      <c r="J51" s="10"/>
      <c r="K51" s="10" t="str">
        <f>IF(Table112[[#This Row],[Type]]="Transportation", _xlfn.XLOOKUP(Table112[[#This Row],[Resource]], 'SI - Payload'!$A$10:$A$35,'SI - Payload'!$B$10:$B$35,"",0), "")</f>
        <v/>
      </c>
      <c r="L51" s="10" t="str">
        <f>IF(Table112[[#This Row],[Type]]="Transportation", "ton", "")</f>
        <v/>
      </c>
      <c r="M51" s="10"/>
      <c r="N51" s="10"/>
      <c r="O51" s="10" t="str">
        <f>Table112[[#This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IF(Table112[[#This Row],[Type]]="Co-product", "No", "")</f>
        <v/>
      </c>
      <c r="J52" s="10"/>
      <c r="K52" s="10" t="str">
        <f>IF(Table112[[#This Row],[Type]]="Transportation", _xlfn.XLOOKUP(Table112[[#This Row],[Resource]], 'SI - Payload'!$A$10:$A$35,'SI - Payload'!$B$10:$B$35,"",0), "")</f>
        <v/>
      </c>
      <c r="L52" s="10" t="str">
        <f>IF(Table112[[#This Row],[Type]]="Transportation", "ton", "")</f>
        <v/>
      </c>
      <c r="M52" s="10"/>
      <c r="N52" s="10"/>
      <c r="O52" s="10" t="str">
        <f>Table112[[#This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IF(Table112[[#This Row],[Type]]="Co-product", "No", "")</f>
        <v/>
      </c>
      <c r="J53" s="10"/>
      <c r="K53" s="10" t="str">
        <f>IF(Table112[[#This Row],[Type]]="Transportation", _xlfn.XLOOKUP(Table112[[#This Row],[Resource]], 'SI - Payload'!$A$10:$A$35,'SI - Payload'!$B$10:$B$35,"",0), "")</f>
        <v/>
      </c>
      <c r="L53" s="10" t="str">
        <f>IF(Table112[[#This Row],[Type]]="Transportation", "ton", "")</f>
        <v/>
      </c>
      <c r="M53" s="10"/>
      <c r="N53" s="10"/>
      <c r="O53" s="10" t="str">
        <f>Table112[[#This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IF(Table112[[#This Row],[Type]]="Co-product", "No", "")</f>
        <v/>
      </c>
      <c r="J54" s="10"/>
      <c r="K54" s="10" t="str">
        <f>IF(Table112[[#This Row],[Type]]="Transportation", _xlfn.XLOOKUP(Table112[[#This Row],[Resource]], 'SI - Payload'!$A$10:$A$35,'SI - Payload'!$B$10:$B$35,"",0), "")</f>
        <v/>
      </c>
      <c r="L54" s="10" t="str">
        <f>IF(Table112[[#This Row],[Type]]="Transportation", "ton", "")</f>
        <v/>
      </c>
      <c r="M54" s="10"/>
      <c r="N54" s="10"/>
      <c r="O54" s="10" t="str">
        <f>Table112[[#This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IF(Table112[[#This Row],[Type]]="Co-product", "No", "")</f>
        <v/>
      </c>
      <c r="J55" s="10"/>
      <c r="K55" s="10" t="str">
        <f>IF(Table112[[#This Row],[Type]]="Transportation", _xlfn.XLOOKUP(Table112[[#This Row],[Resource]], 'SI - Payload'!$A$10:$A$35,'SI - Payload'!$B$10:$B$35,"",0), "")</f>
        <v/>
      </c>
      <c r="L55" s="10" t="str">
        <f>IF(Table112[[#This Row],[Type]]="Transportation", "ton", "")</f>
        <v/>
      </c>
      <c r="M55" s="10"/>
      <c r="N55" s="10"/>
      <c r="O55" s="10" t="str">
        <f>Table112[[#This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IF(Table112[[#This Row],[Type]]="Co-product", "No", "")</f>
        <v/>
      </c>
      <c r="J56" s="10"/>
      <c r="K56" s="10" t="str">
        <f>IF(Table112[[#This Row],[Type]]="Transportation", _xlfn.XLOOKUP(Table112[[#This Row],[Resource]], 'SI - Payload'!$A$10:$A$35,'SI - Payload'!$B$10:$B$35,"",0), "")</f>
        <v/>
      </c>
      <c r="L56" s="10" t="str">
        <f>IF(Table112[[#This Row],[Type]]="Transportation", "ton", "")</f>
        <v/>
      </c>
      <c r="M56" s="10"/>
      <c r="N56" s="10"/>
      <c r="O56" s="10" t="str">
        <f>Table112[[#This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IF(Table112[[#This Row],[Type]]="Co-product", "No", "")</f>
        <v/>
      </c>
      <c r="J57" s="10"/>
      <c r="K57" s="10" t="str">
        <f>IF(Table112[[#This Row],[Type]]="Transportation", _xlfn.XLOOKUP(Table112[[#This Row],[Resource]], 'SI - Payload'!$A$10:$A$35,'SI - Payload'!$B$10:$B$35,"",0), "")</f>
        <v/>
      </c>
      <c r="L57" s="10" t="str">
        <f>IF(Table112[[#This Row],[Type]]="Transportation", "ton", "")</f>
        <v/>
      </c>
      <c r="M57" s="10"/>
      <c r="N57" s="10"/>
      <c r="O57" s="10" t="str">
        <f>Table112[[#This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IF(Table112[[#This Row],[Type]]="Co-product", "No", "")</f>
        <v/>
      </c>
      <c r="J58" s="10"/>
      <c r="K58" s="10" t="str">
        <f>IF(Table112[[#This Row],[Type]]="Transportation", _xlfn.XLOOKUP(Table112[[#This Row],[Resource]], 'SI - Payload'!$A$10:$A$35,'SI - Payload'!$B$10:$B$35,"",0), "")</f>
        <v/>
      </c>
      <c r="L58" s="10" t="str">
        <f>IF(Table112[[#This Row],[Type]]="Transportation", "ton", "")</f>
        <v/>
      </c>
      <c r="M58" s="10"/>
      <c r="N58" s="10"/>
      <c r="O58" s="10" t="str">
        <f>Table112[[#This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IF(Table112[[#This Row],[Type]]="Co-product", "No", "")</f>
        <v/>
      </c>
      <c r="J59" s="10"/>
      <c r="K59" s="10" t="str">
        <f>IF(Table112[[#This Row],[Type]]="Transportation", _xlfn.XLOOKUP(Table112[[#This Row],[Resource]], 'SI - Payload'!$A$10:$A$35,'SI - Payload'!$B$10:$B$35,"",0), "")</f>
        <v/>
      </c>
      <c r="L59" s="10" t="str">
        <f>IF(Table112[[#This Row],[Type]]="Transportation", "ton", "")</f>
        <v/>
      </c>
      <c r="M59" s="10"/>
      <c r="N59" s="10"/>
      <c r="O59" s="10" t="str">
        <f>Table112[[#This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IF(Table112[[#This Row],[Type]]="Co-product", "No", "")</f>
        <v/>
      </c>
      <c r="J60" s="10"/>
      <c r="K60" s="10" t="str">
        <f>IF(Table112[[#This Row],[Type]]="Transportation", _xlfn.XLOOKUP(Table112[[#This Row],[Resource]], 'SI - Payload'!$A$10:$A$35,'SI - Payload'!$B$10:$B$35,"",0), "")</f>
        <v/>
      </c>
      <c r="L60" s="10" t="str">
        <f>IF(Table112[[#This Row],[Type]]="Transportation", "ton", "")</f>
        <v/>
      </c>
      <c r="M60" s="10"/>
      <c r="N60" s="10"/>
      <c r="O60" s="10" t="str">
        <f>Table112[[#This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IF(Table112[[#This Row],[Type]]="Co-product", "No", "")</f>
        <v/>
      </c>
      <c r="J61" s="10"/>
      <c r="K61" s="10" t="str">
        <f>IF(Table112[[#This Row],[Type]]="Transportation", _xlfn.XLOOKUP(Table112[[#This Row],[Resource]], 'SI - Payload'!$A$10:$A$35,'SI - Payload'!$B$10:$B$35,"",0), "")</f>
        <v/>
      </c>
      <c r="L61" s="10" t="str">
        <f>IF(Table112[[#This Row],[Type]]="Transportation", "ton", "")</f>
        <v/>
      </c>
      <c r="M61" s="10"/>
      <c r="N61" s="10"/>
      <c r="O61" s="10" t="str">
        <f>Table112[[#This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IF(Table112[[#This Row],[Type]]="Co-product", "No", "")</f>
        <v/>
      </c>
      <c r="J62" s="10"/>
      <c r="K62" s="10" t="str">
        <f>IF(Table112[[#This Row],[Type]]="Transportation", _xlfn.XLOOKUP(Table112[[#This Row],[Resource]], 'SI - Payload'!$A$10:$A$35,'SI - Payload'!$B$10:$B$35,"",0), "")</f>
        <v/>
      </c>
      <c r="L62" s="10" t="str">
        <f>IF(Table112[[#This Row],[Type]]="Transportation", "ton", "")</f>
        <v/>
      </c>
      <c r="M62" s="10"/>
      <c r="N62" s="10"/>
      <c r="O62" s="10" t="str">
        <f>Table112[[#This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IF(Table112[[#This Row],[Type]]="Co-product", "No", "")</f>
        <v/>
      </c>
      <c r="J63" s="10"/>
      <c r="K63" s="10" t="str">
        <f>IF(Table112[[#This Row],[Type]]="Transportation", _xlfn.XLOOKUP(Table112[[#This Row],[Resource]], 'SI - Payload'!$A$10:$A$35,'SI - Payload'!$B$10:$B$35,"",0), "")</f>
        <v/>
      </c>
      <c r="L63" s="10" t="str">
        <f>IF(Table112[[#This Row],[Type]]="Transportation", "ton", "")</f>
        <v/>
      </c>
      <c r="M63" s="10"/>
      <c r="N63" s="10"/>
      <c r="O63" s="10" t="str">
        <f>Table112[[#This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IF(Table112[[#This Row],[Type]]="Co-product", "No", "")</f>
        <v/>
      </c>
      <c r="J64" s="10"/>
      <c r="K64" s="10" t="str">
        <f>IF(Table112[[#This Row],[Type]]="Transportation", _xlfn.XLOOKUP(Table112[[#This Row],[Resource]], 'SI - Payload'!$A$10:$A$35,'SI - Payload'!$B$10:$B$35,"",0), "")</f>
        <v/>
      </c>
      <c r="L64" s="10" t="str">
        <f>IF(Table112[[#This Row],[Type]]="Transportation", "ton", "")</f>
        <v/>
      </c>
      <c r="M64" s="10"/>
      <c r="N64" s="10"/>
      <c r="O64" s="10" t="str">
        <f>Table112[[#This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IF(Table112[[#This Row],[Type]]="Co-product", "No", "")</f>
        <v/>
      </c>
      <c r="J65" s="10"/>
      <c r="K65" s="10" t="str">
        <f>IF(Table112[[#This Row],[Type]]="Transportation", _xlfn.XLOOKUP(Table112[[#This Row],[Resource]], 'SI - Payload'!$A$10:$A$35,'SI - Payload'!$B$10:$B$35,"",0), "")</f>
        <v/>
      </c>
      <c r="L65" s="10" t="str">
        <f>IF(Table112[[#This Row],[Type]]="Transportation", "ton", "")</f>
        <v/>
      </c>
      <c r="M65" s="10"/>
      <c r="N65" s="10"/>
      <c r="O65" s="10" t="str">
        <f>Table112[[#This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IF(Table112[[#This Row],[Type]]="Co-product", "No", "")</f>
        <v/>
      </c>
      <c r="J66" s="10"/>
      <c r="K66" s="10" t="str">
        <f>IF(Table112[[#This Row],[Type]]="Transportation", _xlfn.XLOOKUP(Table112[[#This Row],[Resource]], 'SI - Payload'!$A$10:$A$35,'SI - Payload'!$B$10:$B$35,"",0), "")</f>
        <v/>
      </c>
      <c r="L66" s="10" t="str">
        <f>IF(Table112[[#This Row],[Type]]="Transportation", "ton", "")</f>
        <v/>
      </c>
      <c r="M66" s="10"/>
      <c r="N66" s="10"/>
      <c r="O66" s="10" t="str">
        <f>Table112[[#This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IF(Table112[[#This Row],[Type]]="Co-product", "No", "")</f>
        <v/>
      </c>
      <c r="J67" s="10"/>
      <c r="K67" s="10" t="str">
        <f>IF(Table112[[#This Row],[Type]]="Transportation", _xlfn.XLOOKUP(Table112[[#This Row],[Resource]], 'SI - Payload'!$A$10:$A$35,'SI - Payload'!$B$10:$B$35,"",0), "")</f>
        <v/>
      </c>
      <c r="L67" s="10" t="str">
        <f>IF(Table112[[#This Row],[Type]]="Transportation", "ton", "")</f>
        <v/>
      </c>
      <c r="M67" s="10"/>
      <c r="N67" s="10"/>
      <c r="O67" s="10" t="str">
        <f>Table112[[#This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IF(Table112[[#This Row],[Type]]="Co-product", "No", "")</f>
        <v/>
      </c>
      <c r="J68" s="10"/>
      <c r="K68" s="10" t="str">
        <f>IF(Table112[[#This Row],[Type]]="Transportation", _xlfn.XLOOKUP(Table112[[#This Row],[Resource]], 'SI - Payload'!$A$10:$A$35,'SI - Payload'!$B$10:$B$35,"",0), "")</f>
        <v/>
      </c>
      <c r="L68" s="10" t="str">
        <f>IF(Table112[[#This Row],[Type]]="Transportation", "ton", "")</f>
        <v/>
      </c>
      <c r="M68" s="10"/>
      <c r="N68" s="10"/>
      <c r="O68" s="10" t="str">
        <f>Table112[[#This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IF(Table112[[#This Row],[Type]]="Co-product", "No", "")</f>
        <v/>
      </c>
      <c r="J69" s="10"/>
      <c r="K69" s="10" t="str">
        <f>IF(Table112[[#This Row],[Type]]="Transportation", _xlfn.XLOOKUP(Table112[[#This Row],[Resource]], 'SI - Payload'!$A$10:$A$35,'SI - Payload'!$B$10:$B$35,"",0), "")</f>
        <v/>
      </c>
      <c r="L69" s="10" t="str">
        <f>IF(Table112[[#This Row],[Type]]="Transportation", "ton", "")</f>
        <v/>
      </c>
      <c r="M69" s="10"/>
      <c r="N69" s="10"/>
      <c r="O69" s="10" t="str">
        <f>Table112[[#This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IF(Table112[[#This Row],[Type]]="Co-product", "No", "")</f>
        <v/>
      </c>
      <c r="J70" s="10"/>
      <c r="K70" s="10" t="str">
        <f>IF(Table112[[#This Row],[Type]]="Transportation", _xlfn.XLOOKUP(Table112[[#This Row],[Resource]], 'SI - Payload'!$A$10:$A$35,'SI - Payload'!$B$10:$B$35,"",0), "")</f>
        <v/>
      </c>
      <c r="L70" s="10" t="str">
        <f>IF(Table112[[#This Row],[Type]]="Transportation", "ton", "")</f>
        <v/>
      </c>
      <c r="M70" s="10"/>
      <c r="N70" s="10"/>
      <c r="O70" s="10" t="str">
        <f>Table112[[#This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IF(Table112[[#This Row],[Type]]="Co-product", "No", "")</f>
        <v/>
      </c>
      <c r="J71" s="10"/>
      <c r="K71" s="10" t="str">
        <f>IF(Table112[[#This Row],[Type]]="Transportation", _xlfn.XLOOKUP(Table112[[#This Row],[Resource]], 'SI - Payload'!$A$10:$A$35,'SI - Payload'!$B$10:$B$35,"",0), "")</f>
        <v/>
      </c>
      <c r="L71" s="10" t="str">
        <f>IF(Table112[[#This Row],[Type]]="Transportation", "ton", "")</f>
        <v/>
      </c>
      <c r="M71" s="10"/>
      <c r="N71" s="10"/>
      <c r="O71" s="10" t="str">
        <f>Table112[[#This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IF(Table112[[#This Row],[Type]]="Co-product", "No", "")</f>
        <v/>
      </c>
      <c r="J72" s="10"/>
      <c r="K72" s="10" t="str">
        <f>IF(Table112[[#This Row],[Type]]="Transportation", _xlfn.XLOOKUP(Table112[[#This Row],[Resource]], 'SI - Payload'!$A$10:$A$35,'SI - Payload'!$B$10:$B$35,"",0), "")</f>
        <v/>
      </c>
      <c r="L72" s="10" t="str">
        <f>IF(Table112[[#This Row],[Type]]="Transportation", "ton", "")</f>
        <v/>
      </c>
      <c r="M72" s="10"/>
      <c r="N72" s="10"/>
      <c r="O72" s="10" t="str">
        <f>Table112[[#This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IF(Table112[[#This Row],[Type]]="Co-product", "No", "")</f>
        <v/>
      </c>
      <c r="J73" s="10"/>
      <c r="K73" s="10" t="str">
        <f>IF(Table112[[#This Row],[Type]]="Transportation", _xlfn.XLOOKUP(Table112[[#This Row],[Resource]], 'SI - Payload'!$A$10:$A$35,'SI - Payload'!$B$10:$B$35,"",0), "")</f>
        <v/>
      </c>
      <c r="L73" s="10" t="str">
        <f>IF(Table112[[#This Row],[Type]]="Transportation", "ton", "")</f>
        <v/>
      </c>
      <c r="M73" s="10"/>
      <c r="N73" s="10"/>
      <c r="O73" s="10" t="str">
        <f>Table112[[#This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IF(Table112[[#This Row],[Type]]="Co-product", "No", "")</f>
        <v/>
      </c>
      <c r="J74" s="10"/>
      <c r="K74" s="10" t="str">
        <f>IF(Table112[[#This Row],[Type]]="Transportation", _xlfn.XLOOKUP(Table112[[#This Row],[Resource]], 'SI - Payload'!$A$10:$A$35,'SI - Payload'!$B$10:$B$35,"",0), "")</f>
        <v/>
      </c>
      <c r="L74" s="10" t="str">
        <f>IF(Table112[[#This Row],[Type]]="Transportation", "ton", "")</f>
        <v/>
      </c>
      <c r="M74" s="10"/>
      <c r="N74" s="10"/>
      <c r="O74" s="10" t="str">
        <f>Table112[[#This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IF(Table112[[#This Row],[Type]]="Co-product", "No", "")</f>
        <v/>
      </c>
      <c r="J75" s="10"/>
      <c r="K75" s="10" t="str">
        <f>IF(Table112[[#This Row],[Type]]="Transportation", _xlfn.XLOOKUP(Table112[[#This Row],[Resource]], 'SI - Payload'!$A$10:$A$35,'SI - Payload'!$B$10:$B$35,"",0), "")</f>
        <v/>
      </c>
      <c r="L75" s="10" t="str">
        <f>IF(Table112[[#This Row],[Type]]="Transportation", "ton", "")</f>
        <v/>
      </c>
      <c r="M75" s="10"/>
      <c r="N75" s="10"/>
      <c r="O75" s="10" t="str">
        <f>Table112[[#This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IF(Table112[[#This Row],[Type]]="Co-product", "No", "")</f>
        <v/>
      </c>
      <c r="J76" s="10"/>
      <c r="K76" s="10" t="str">
        <f>IF(Table112[[#This Row],[Type]]="Transportation", _xlfn.XLOOKUP(Table112[[#This Row],[Resource]], 'SI - Payload'!$A$10:$A$35,'SI - Payload'!$B$10:$B$35,"",0), "")</f>
        <v/>
      </c>
      <c r="L76" s="10" t="str">
        <f>IF(Table112[[#This Row],[Type]]="Transportation", "ton", "")</f>
        <v/>
      </c>
      <c r="M76" s="10"/>
      <c r="N76" s="10"/>
      <c r="O76" s="10" t="str">
        <f>Table112[[#This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IF(Table112[[#This Row],[Type]]="Co-product", "No", "")</f>
        <v/>
      </c>
      <c r="J77" s="10"/>
      <c r="K77" s="10" t="str">
        <f>IF(Table112[[#This Row],[Type]]="Transportation", _xlfn.XLOOKUP(Table112[[#This Row],[Resource]], 'SI - Payload'!$A$10:$A$35,'SI - Payload'!$B$10:$B$35,"",0), "")</f>
        <v/>
      </c>
      <c r="L77" s="10" t="str">
        <f>IF(Table112[[#This Row],[Type]]="Transportation", "ton", "")</f>
        <v/>
      </c>
      <c r="M77" s="10"/>
      <c r="N77" s="10"/>
      <c r="O77" s="10" t="str">
        <f>Table112[[#This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IF(Table112[[#This Row],[Type]]="Co-product", "No", "")</f>
        <v/>
      </c>
      <c r="J78" s="10"/>
      <c r="K78" s="10" t="str">
        <f>IF(Table112[[#This Row],[Type]]="Transportation", _xlfn.XLOOKUP(Table112[[#This Row],[Resource]], 'SI - Payload'!$A$10:$A$35,'SI - Payload'!$B$10:$B$35,"",0), "")</f>
        <v/>
      </c>
      <c r="L78" s="10" t="str">
        <f>IF(Table112[[#This Row],[Type]]="Transportation", "ton", "")</f>
        <v/>
      </c>
      <c r="M78" s="10"/>
      <c r="N78" s="10"/>
      <c r="O78" s="10" t="str">
        <f>Table112[[#This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IF(Table112[[#This Row],[Type]]="Co-product", "No", "")</f>
        <v/>
      </c>
      <c r="J79" s="10"/>
      <c r="K79" s="10" t="str">
        <f>IF(Table112[[#This Row],[Type]]="Transportation", _xlfn.XLOOKUP(Table112[[#This Row],[Resource]], 'SI - Payload'!$A$10:$A$35,'SI - Payload'!$B$10:$B$35,"",0), "")</f>
        <v/>
      </c>
      <c r="L79" s="10" t="str">
        <f>IF(Table112[[#This Row],[Type]]="Transportation", "ton", "")</f>
        <v/>
      </c>
      <c r="M79" s="10"/>
      <c r="N79" s="10"/>
      <c r="O79" s="10" t="str">
        <f>Table112[[#This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IF(Table112[[#This Row],[Type]]="Co-product", "No", "")</f>
        <v/>
      </c>
      <c r="J80" s="10"/>
      <c r="K80" s="10" t="str">
        <f>IF(Table112[[#This Row],[Type]]="Transportation", _xlfn.XLOOKUP(Table112[[#This Row],[Resource]], 'SI - Payload'!$A$10:$A$35,'SI - Payload'!$B$10:$B$35,"",0), "")</f>
        <v/>
      </c>
      <c r="L80" s="10" t="str">
        <f>IF(Table112[[#This Row],[Type]]="Transportation", "ton", "")</f>
        <v/>
      </c>
      <c r="M80" s="10"/>
      <c r="N80" s="10"/>
      <c r="O80" s="10" t="str">
        <f>Table112[[#This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IF(Table112[[#This Row],[Type]]="Co-product", "No", "")</f>
        <v/>
      </c>
      <c r="J81" s="10"/>
      <c r="K81" s="10" t="str">
        <f>IF(Table112[[#This Row],[Type]]="Transportation", _xlfn.XLOOKUP(Table112[[#This Row],[Resource]], 'SI - Payload'!$A$10:$A$35,'SI - Payload'!$B$10:$B$35,"",0), "")</f>
        <v/>
      </c>
      <c r="L81" s="10" t="str">
        <f>IF(Table112[[#This Row],[Type]]="Transportation", "ton", "")</f>
        <v/>
      </c>
      <c r="M81" s="10"/>
      <c r="N81" s="10"/>
      <c r="O81" s="10" t="str">
        <f>Table112[[#This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IF(Table112[[#This Row],[Type]]="Co-product", "No", "")</f>
        <v/>
      </c>
      <c r="J82" s="10"/>
      <c r="K82" s="10" t="str">
        <f>IF(Table112[[#This Row],[Type]]="Transportation", _xlfn.XLOOKUP(Table112[[#This Row],[Resource]], 'SI - Payload'!$A$10:$A$35,'SI - Payload'!$B$10:$B$35,"",0), "")</f>
        <v/>
      </c>
      <c r="L82" s="10" t="str">
        <f>IF(Table112[[#This Row],[Type]]="Transportation", "ton", "")</f>
        <v/>
      </c>
      <c r="M82" s="10"/>
      <c r="N82" s="10"/>
      <c r="O82" s="10" t="str">
        <f>Table112[[#This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IF(Table112[[#This Row],[Type]]="Co-product", "No", "")</f>
        <v/>
      </c>
      <c r="J83" s="10"/>
      <c r="K83" s="10" t="str">
        <f>IF(Table112[[#This Row],[Type]]="Transportation", _xlfn.XLOOKUP(Table112[[#This Row],[Resource]], 'SI - Payload'!$A$10:$A$35,'SI - Payload'!$B$10:$B$35,"",0), "")</f>
        <v/>
      </c>
      <c r="L83" s="10" t="str">
        <f>IF(Table112[[#This Row],[Type]]="Transportation", "ton", "")</f>
        <v/>
      </c>
      <c r="M83" s="10"/>
      <c r="N83" s="10"/>
      <c r="O83" s="10" t="str">
        <f>Table112[[#This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IF(Table112[[#This Row],[Type]]="Co-product", "No", "")</f>
        <v/>
      </c>
      <c r="J84" s="10"/>
      <c r="K84" s="10" t="str">
        <f>IF(Table112[[#This Row],[Type]]="Transportation", _xlfn.XLOOKUP(Table112[[#This Row],[Resource]], 'SI - Payload'!$A$10:$A$35,'SI - Payload'!$B$10:$B$35,"",0), "")</f>
        <v/>
      </c>
      <c r="L84" s="10" t="str">
        <f>IF(Table112[[#This Row],[Type]]="Transportation", "ton", "")</f>
        <v/>
      </c>
      <c r="M84" s="10"/>
      <c r="N84" s="10"/>
      <c r="O84" s="10" t="str">
        <f>Table112[[#This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IF(Table112[[#This Row],[Type]]="Co-product", "No", "")</f>
        <v/>
      </c>
      <c r="J85" s="10"/>
      <c r="K85" s="10" t="str">
        <f>IF(Table112[[#This Row],[Type]]="Transportation", _xlfn.XLOOKUP(Table112[[#This Row],[Resource]], 'SI - Payload'!$A$10:$A$35,'SI - Payload'!$B$10:$B$35,"",0), "")</f>
        <v/>
      </c>
      <c r="L85" s="10" t="str">
        <f>IF(Table112[[#This Row],[Type]]="Transportation", "ton", "")</f>
        <v/>
      </c>
      <c r="M85" s="10"/>
      <c r="N85" s="10"/>
      <c r="O85" s="10" t="str">
        <f>Table112[[#This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IF(Table112[[#This Row],[Type]]="Co-product", "No", "")</f>
        <v/>
      </c>
      <c r="J86" s="10"/>
      <c r="K86" s="10" t="str">
        <f>IF(Table112[[#This Row],[Type]]="Transportation", _xlfn.XLOOKUP(Table112[[#This Row],[Resource]], 'SI - Payload'!$A$10:$A$35,'SI - Payload'!$B$10:$B$35,"",0), "")</f>
        <v/>
      </c>
      <c r="L86" s="10" t="str">
        <f>IF(Table112[[#This Row],[Type]]="Transportation", "ton", "")</f>
        <v/>
      </c>
      <c r="M86" s="10"/>
      <c r="N86" s="10"/>
      <c r="O86" s="10" t="str">
        <f>Table112[[#This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IF(Table112[[#This Row],[Type]]="Co-product", "No", "")</f>
        <v/>
      </c>
      <c r="J87" s="10"/>
      <c r="K87" s="10" t="str">
        <f>IF(Table112[[#This Row],[Type]]="Transportation", _xlfn.XLOOKUP(Table112[[#This Row],[Resource]], 'SI - Payload'!$A$10:$A$35,'SI - Payload'!$B$10:$B$35,"",0), "")</f>
        <v/>
      </c>
      <c r="L87" s="10" t="str">
        <f>IF(Table112[[#This Row],[Type]]="Transportation", "ton", "")</f>
        <v/>
      </c>
      <c r="M87" s="10"/>
      <c r="N87" s="10"/>
      <c r="O87" s="10" t="str">
        <f>Table112[[#This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IF(Table112[[#This Row],[Type]]="Co-product", "No", "")</f>
        <v/>
      </c>
      <c r="J88" s="10"/>
      <c r="K88" s="10" t="str">
        <f>IF(Table112[[#This Row],[Type]]="Transportation", _xlfn.XLOOKUP(Table112[[#This Row],[Resource]], 'SI - Payload'!$A$10:$A$35,'SI - Payload'!$B$10:$B$35,"",0), "")</f>
        <v/>
      </c>
      <c r="L88" s="10" t="str">
        <f>IF(Table112[[#This Row],[Type]]="Transportation", "ton", "")</f>
        <v/>
      </c>
      <c r="M88" s="10"/>
      <c r="N88" s="10"/>
      <c r="O88" s="10" t="str">
        <f>Table112[[#This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IF(Table112[[#This Row],[Type]]="Co-product", "No", "")</f>
        <v/>
      </c>
      <c r="J89" s="10"/>
      <c r="K89" s="10" t="str">
        <f>IF(Table112[[#This Row],[Type]]="Transportation", _xlfn.XLOOKUP(Table112[[#This Row],[Resource]], 'SI - Payload'!$A$10:$A$35,'SI - Payload'!$B$10:$B$35,"",0), "")</f>
        <v/>
      </c>
      <c r="L89" s="10" t="str">
        <f>IF(Table112[[#This Row],[Type]]="Transportation", "ton", "")</f>
        <v/>
      </c>
      <c r="M89" s="10"/>
      <c r="N89" s="10"/>
      <c r="O89" s="10" t="str">
        <f>Table112[[#This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IF(Table112[[#This Row],[Type]]="Co-product", "No", "")</f>
        <v/>
      </c>
      <c r="J90" s="10"/>
      <c r="K90" s="10" t="str">
        <f>IF(Table112[[#This Row],[Type]]="Transportation", _xlfn.XLOOKUP(Table112[[#This Row],[Resource]], 'SI - Payload'!$A$10:$A$35,'SI - Payload'!$B$10:$B$35,"",0), "")</f>
        <v/>
      </c>
      <c r="L90" s="10" t="str">
        <f>IF(Table112[[#This Row],[Type]]="Transportation", "ton", "")</f>
        <v/>
      </c>
      <c r="M90" s="10"/>
      <c r="N90" s="10"/>
      <c r="O90" s="10" t="str">
        <f>Table112[[#This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IF(Table112[[#This Row],[Type]]="Co-product", "No", "")</f>
        <v/>
      </c>
      <c r="J91" s="10"/>
      <c r="K91" s="10" t="str">
        <f>IF(Table112[[#This Row],[Type]]="Transportation", _xlfn.XLOOKUP(Table112[[#This Row],[Resource]], 'SI - Payload'!$A$10:$A$35,'SI - Payload'!$B$10:$B$35,"",0), "")</f>
        <v/>
      </c>
      <c r="L91" s="10" t="str">
        <f>IF(Table112[[#This Row],[Type]]="Transportation", "ton", "")</f>
        <v/>
      </c>
      <c r="M91" s="10"/>
      <c r="N91" s="10"/>
      <c r="O91" s="10" t="str">
        <f>Table112[[#This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IF(Table112[[#This Row],[Type]]="Co-product", "No", "")</f>
        <v/>
      </c>
      <c r="J92" s="10"/>
      <c r="K92" s="10" t="str">
        <f>IF(Table112[[#This Row],[Type]]="Transportation", _xlfn.XLOOKUP(Table112[[#This Row],[Resource]], 'SI - Payload'!$A$10:$A$35,'SI - Payload'!$B$10:$B$35,"",0), "")</f>
        <v/>
      </c>
      <c r="L92" s="10" t="str">
        <f>IF(Table112[[#This Row],[Type]]="Transportation", "ton", "")</f>
        <v/>
      </c>
      <c r="M92" s="10"/>
      <c r="N92" s="10"/>
      <c r="O92" s="10" t="str">
        <f>Table112[[#This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IF(Table112[[#This Row],[Type]]="Co-product", "No", "")</f>
        <v/>
      </c>
      <c r="J93" s="10"/>
      <c r="K93" s="10" t="str">
        <f>IF(Table112[[#This Row],[Type]]="Transportation", _xlfn.XLOOKUP(Table112[[#This Row],[Resource]], 'SI - Payload'!$A$10:$A$35,'SI - Payload'!$B$10:$B$35,"",0), "")</f>
        <v/>
      </c>
      <c r="L93" s="10" t="str">
        <f>IF(Table112[[#This Row],[Type]]="Transportation", "ton", "")</f>
        <v/>
      </c>
      <c r="M93" s="10"/>
      <c r="N93" s="10"/>
      <c r="O93" s="10" t="str">
        <f>Table112[[#This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IF(Table112[[#This Row],[Type]]="Co-product", "No", "")</f>
        <v/>
      </c>
      <c r="J94" s="10"/>
      <c r="K94" s="10" t="str">
        <f>IF(Table112[[#This Row],[Type]]="Transportation", _xlfn.XLOOKUP(Table112[[#This Row],[Resource]], 'SI - Payload'!$A$10:$A$35,'SI - Payload'!$B$10:$B$35,"",0), "")</f>
        <v/>
      </c>
      <c r="L94" s="10" t="str">
        <f>IF(Table112[[#This Row],[Type]]="Transportation", "ton", "")</f>
        <v/>
      </c>
      <c r="M94" s="10"/>
      <c r="N94" s="10"/>
      <c r="O94" s="10" t="str">
        <f>Table112[[#This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IF(Table112[[#This Row],[Type]]="Co-product", "No", "")</f>
        <v/>
      </c>
      <c r="J95" s="10"/>
      <c r="K95" s="10" t="str">
        <f>IF(Table112[[#This Row],[Type]]="Transportation", _xlfn.XLOOKUP(Table112[[#This Row],[Resource]], 'SI - Payload'!$A$10:$A$35,'SI - Payload'!$B$10:$B$35,"",0), "")</f>
        <v/>
      </c>
      <c r="L95" s="10" t="str">
        <f>IF(Table112[[#This Row],[Type]]="Transportation", "ton", "")</f>
        <v/>
      </c>
      <c r="M95" s="10"/>
      <c r="N95" s="10"/>
      <c r="O95" s="10" t="str">
        <f>Table112[[#This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IF(Table112[[#This Row],[Type]]="Co-product", "No", "")</f>
        <v/>
      </c>
      <c r="J96" s="10"/>
      <c r="K96" s="10" t="str">
        <f>IF(Table112[[#This Row],[Type]]="Transportation", _xlfn.XLOOKUP(Table112[[#This Row],[Resource]], 'SI - Payload'!$A$10:$A$35,'SI - Payload'!$B$10:$B$35,"",0), "")</f>
        <v/>
      </c>
      <c r="L96" s="10" t="str">
        <f>IF(Table112[[#This Row],[Type]]="Transportation", "ton", "")</f>
        <v/>
      </c>
      <c r="M96" s="10"/>
      <c r="N96" s="10"/>
      <c r="O96" s="10" t="str">
        <f>Table112[[#This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IF(Table112[[#This Row],[Type]]="Co-product", "No", "")</f>
        <v/>
      </c>
      <c r="J97" s="10"/>
      <c r="K97" s="10" t="str">
        <f>IF(Table112[[#This Row],[Type]]="Transportation", _xlfn.XLOOKUP(Table112[[#This Row],[Resource]], 'SI - Payload'!$A$10:$A$35,'SI - Payload'!$B$10:$B$35,"",0), "")</f>
        <v/>
      </c>
      <c r="L97" s="10" t="str">
        <f>IF(Table112[[#This Row],[Type]]="Transportation", "ton", "")</f>
        <v/>
      </c>
      <c r="M97" s="10"/>
      <c r="N97" s="10"/>
      <c r="O97" s="10" t="str">
        <f>Table112[[#This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IF(Table112[[#This Row],[Type]]="Co-product", "No", "")</f>
        <v/>
      </c>
      <c r="J98" s="10"/>
      <c r="K98" s="10" t="str">
        <f>IF(Table112[[#This Row],[Type]]="Transportation", _xlfn.XLOOKUP(Table112[[#This Row],[Resource]], 'SI - Payload'!$A$10:$A$35,'SI - Payload'!$B$10:$B$35,"",0), "")</f>
        <v/>
      </c>
      <c r="L98" s="10" t="str">
        <f>IF(Table112[[#This Row],[Type]]="Transportation", "ton", "")</f>
        <v/>
      </c>
      <c r="M98" s="10"/>
      <c r="N98" s="10"/>
      <c r="O98" s="10" t="str">
        <f>Table112[[#This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IF(Table112[[#This Row],[Type]]="Co-product", "No", "")</f>
        <v/>
      </c>
      <c r="J99" s="10"/>
      <c r="K99" s="10" t="str">
        <f>IF(Table112[[#This Row],[Type]]="Transportation", _xlfn.XLOOKUP(Table112[[#This Row],[Resource]], 'SI - Payload'!$A$10:$A$35,'SI - Payload'!$B$10:$B$35,"",0), "")</f>
        <v/>
      </c>
      <c r="L99" s="10" t="str">
        <f>IF(Table112[[#This Row],[Type]]="Transportation", "ton", "")</f>
        <v/>
      </c>
      <c r="M99" s="10"/>
      <c r="N99" s="10"/>
      <c r="O99" s="27" t="str">
        <f>Table112[[#This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IF(Table112[[#This Row],[Type]]="Co-product", "No", "")</f>
        <v/>
      </c>
      <c r="J100" s="10"/>
      <c r="K100" s="10" t="str">
        <f>IF(Table112[[#This Row],[Type]]="Transportation", _xlfn.XLOOKUP(Table112[[#This Row],[Resource]], 'SI - Payload'!$A$10:$A$35,'SI - Payload'!$B$10:$B$35,"",0), "")</f>
        <v/>
      </c>
      <c r="L100" s="10" t="str">
        <f>IF(Table112[[#This Row],[Type]]="Transportation", "ton", "")</f>
        <v/>
      </c>
      <c r="M100" s="10"/>
      <c r="N100" s="10"/>
      <c r="O100" s="27" t="str">
        <f>Table112[[#This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IF(Table112[[#This Row],[Type]]="Co-product", "No", "")</f>
        <v/>
      </c>
      <c r="J101" s="10"/>
      <c r="K101" s="10" t="str">
        <f>IF(Table112[[#This Row],[Type]]="Transportation", _xlfn.XLOOKUP(Table112[[#This Row],[Resource]], 'SI - Payload'!$A$10:$A$35,'SI - Payload'!$B$10:$B$35,"",0), "")</f>
        <v/>
      </c>
      <c r="L101" s="10" t="str">
        <f>IF(Table112[[#This Row],[Type]]="Transportation", "ton", "")</f>
        <v/>
      </c>
      <c r="M101" s="10"/>
      <c r="N101" s="10"/>
      <c r="O101" s="27" t="str">
        <f>Table112[[#This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IF(Table112[[#This Row],[Type]]="Co-product", "No", "")</f>
        <v/>
      </c>
      <c r="J102" s="26"/>
      <c r="K102" s="26" t="str">
        <f>IF(Table112[[#This Row],[Type]]="Transportation", _xlfn.XLOOKUP(Table112[[#This Row],[Resource]], 'SI - Payload'!$A$10:$A$35,'SI - Payload'!$B$10:$B$35,"",0), "")</f>
        <v/>
      </c>
      <c r="L102" s="26" t="str">
        <f>IF(Table112[[#This Row],[Type]]="Transportation", "ton", "")</f>
        <v/>
      </c>
      <c r="M102" s="26"/>
      <c r="N102" s="26"/>
      <c r="O102" s="26" t="str">
        <f>Table112[[#This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Use'!$B$2:$B$51,'SI - End Use'!$C$2:$N$51)</xm:f>
          </x14:formula1>
          <xm:sqref>P5:P102</xm:sqref>
        </x14:dataValidation>
        <x14:dataValidation type="list" allowBlank="1" showInputMessage="1" xr:uid="{3BDDB4AE-4D3B-41CE-99F9-2C851F0043B8}">
          <x14:formula1>
            <xm:f>_xlfn.XLOOKUP($C5,'SI - End Use'!$B$2:$B$51,'SI - End Use'!$C$2:$N$51)</xm:f>
          </x14:formula1>
          <xm:sqref>D5:D102</xm:sqref>
        </x14:dataValidation>
        <x14:dataValidation type="list" allowBlank="1" showInputMessage="1" showErrorMessage="1" xr:uid="{51F4F0A5-DF56-444E-A686-2F7697482192}">
          <x14:formula1>
            <xm:f>IF($B5="Transportation",  'SI - Units'!$B$9:$E$9, _xlfn.XLOOKUP(_xlfn.XLOOKUP($C5,'SI - Units'!$B$24:$B$72,'SI - Units'!$C$24:$C$72),'SI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Units'!$B$24:$B$72,'SI - Units'!$C$24:$C$72),'SI - Units'!$A$13:$A$19,'SI - Units'!$B$13:$R$19))</xm:f>
          </x14:formula1>
          <xm:sqref>N5:N102</xm:sqref>
        </x14:dataValidation>
        <x14:dataValidation type="list" allowBlank="1" showInputMessage="1" showErrorMessage="1" xr:uid="{16672F61-7BDD-4D23-BA36-1AC325F867CB}">
          <x14:formula1>
            <xm:f>_xlfn.XLOOKUP(_xlfn.XLOOKUP(#REF!,'SI - Units'!$B$24:$B$72,'SI - Units'!$C$24:$C$72),'SI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245</v>
      </c>
      <c r="I5" s="43" t="str">
        <f>IF(Table113[[#This Row],[Type]]="Co-product", "No", "")</f>
        <v/>
      </c>
      <c r="J5" s="10"/>
      <c r="K5" s="10" t="str">
        <f>IF(Table113[[#This Row],[Type]]="Transportation", _xlfn.XLOOKUP(Table113[[#This Row],[Resource]], 'SI - Payload'!$A$10:$A$35,'SI - Payload'!$B$10:$B$35,"",0), "")</f>
        <v/>
      </c>
      <c r="L5" s="10" t="str">
        <f>IF(Table113[[#This Row],[Type]]="Transportation", "ton", "")</f>
        <v/>
      </c>
      <c r="M5" s="10"/>
      <c r="N5" s="10"/>
      <c r="O5" s="10" t="str">
        <f>Table113[[#This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Data'!B11*1000*'INL Data'!E11</f>
        <v>810.59999999999991</v>
      </c>
      <c r="F6" s="27" t="s">
        <v>73</v>
      </c>
      <c r="G6" s="39"/>
      <c r="H6" s="39"/>
      <c r="I6" s="43" t="str">
        <f>IF(Table113[[#This Row],[Type]]="Co-product", "No", "")</f>
        <v/>
      </c>
      <c r="J6" s="10"/>
      <c r="K6" s="10" t="str">
        <f>IF(Table113[[#This Row],[Type]]="Transportation", _xlfn.XLOOKUP(Table113[[#This Row],[Resource]], 'SI - Payload'!$A$10:$A$35,'SI - Payload'!$B$10:$B$35,"",0), "")</f>
        <v/>
      </c>
      <c r="L6" s="10" t="str">
        <f>IF(Table113[[#This Row],[Type]]="Transportation", "ton", "")</f>
        <v/>
      </c>
      <c r="M6" s="10"/>
      <c r="N6" s="10"/>
      <c r="O6" s="10" t="str">
        <f>Table113[[#This Row],[Resource]]</f>
        <v>Electricity</v>
      </c>
      <c r="P6" s="10" t="str">
        <f>IF(_xlfn.XLOOKUP($O6,'SI - End Use'!$B$2:$B$51,'SI - End Use'!$C$2:$C$51, "")="", "", _xlfn.XLOOKUP($C6,'SI - End Use'!$B$2:$B$51,'SI - End Use'!$C$2:$C$51, ""))</f>
        <v>U.S. Mix</v>
      </c>
      <c r="Q6" s="10"/>
      <c r="R6" s="10"/>
    </row>
    <row r="7" spans="1:18" x14ac:dyDescent="0.35">
      <c r="A7" s="10" t="s">
        <v>0</v>
      </c>
      <c r="B7" s="10" t="s">
        <v>272</v>
      </c>
      <c r="C7" s="10" t="str">
        <f>_xlfn.XLOOKUP($B7,'SI - Resources'!$A$1:$H$1,'SI - Resources'!$A$2:$H$2, "")</f>
        <v>Diesel</v>
      </c>
      <c r="D7" s="27" t="s">
        <v>9</v>
      </c>
      <c r="E7" s="91">
        <f>'INL Data'!B11*1000*'INL Data'!D11</f>
        <v>6909.4000000000005</v>
      </c>
      <c r="F7" s="27" t="str" cm="1">
        <f t="array" ref="F7">IF($B7="Transportation",  'SI - Units'!$B$9:$B$9, _xlfn.XLOOKUP(_xlfn.XLOOKUP($C7,'SI - Units'!$B$24:$B$72,'SI - Units'!$C$24:$C$72, ""),'SI - Units'!$A$2:$A$8,'SI - Units'!$B$2:$B$8, ""))</f>
        <v>BTU</v>
      </c>
      <c r="G7" s="39"/>
      <c r="H7" s="39"/>
      <c r="I7" s="43" t="str">
        <f>IF(Table113[[#This Row],[Type]]="Co-product", "No", "")</f>
        <v/>
      </c>
      <c r="J7" s="10"/>
      <c r="K7" s="10" t="str">
        <f>IF(Table113[[#This Row],[Type]]="Transportation", _xlfn.XLOOKUP(Table113[[#This Row],[Resource]], 'SI - Payload'!$A$10:$A$35,'SI - Payload'!$B$10:$B$35,"",0), "")</f>
        <v/>
      </c>
      <c r="L7" s="10" t="str">
        <f>IF(Table113[[#This Row],[Type]]="Transportation", "ton", "")</f>
        <v/>
      </c>
      <c r="M7" s="10"/>
      <c r="N7" s="10"/>
      <c r="O7" s="10" t="str">
        <f>Table113[[#This Row],[Resource]]</f>
        <v>Diesel</v>
      </c>
      <c r="P7" s="10" t="str">
        <f>IF(_xlfn.XLOOKUP($O7,'SI - End Use'!$B$2:$B$51,'SI - End Use'!$C$2:$C$51, "")="", "", _xlfn.XLOOKUP($C7,'SI - End Use'!$B$2:$B$51,'SI - End Use'!$C$2:$C$51, ""))</f>
        <v>Industrial Boiler</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Data'!B11*1000*'INL Data'!F11</f>
        <v>0</v>
      </c>
      <c r="F8" s="27" t="s">
        <v>73</v>
      </c>
      <c r="G8" s="39"/>
      <c r="H8" s="39"/>
      <c r="I8" s="43" t="str">
        <f>IF(Table113[[#This Row],[Type]]="Co-product", "No", "")</f>
        <v/>
      </c>
      <c r="J8" s="10"/>
      <c r="K8" s="10" t="str">
        <f>IF(Table113[[#This Row],[Type]]="Transportation", _xlfn.XLOOKUP(Table113[[#This Row],[Resource]], 'SI - Payload'!$A$10:$A$35,'SI - Payload'!$B$10:$B$35,"",0), "")</f>
        <v/>
      </c>
      <c r="L8" s="10" t="str">
        <f>IF(Table113[[#This Row],[Type]]="Transportation", "ton", "")</f>
        <v/>
      </c>
      <c r="M8" s="10"/>
      <c r="N8" s="10"/>
      <c r="O8" s="10" t="str">
        <f>Table113[[#This Row],[Resource]]</f>
        <v>Natural Gas</v>
      </c>
      <c r="P8" s="10"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Data'!H11</f>
        <v>1</v>
      </c>
      <c r="F9" s="27" t="s">
        <v>11</v>
      </c>
      <c r="G9" s="39"/>
      <c r="H9" s="39"/>
      <c r="I9" s="43" t="str">
        <f>IF(Table113[[#This Row],[Type]]="Co-product", "No", "")</f>
        <v/>
      </c>
      <c r="J9" s="10"/>
      <c r="K9" s="10" t="str">
        <f>IF(Table113[[#This Row],[Type]]="Transportation", _xlfn.XLOOKUP(Table113[[#This Row],[Resource]], 'SI - Payload'!$A$10:$A$35,'SI - Payload'!$B$10:$B$35,"",0), "")</f>
        <v/>
      </c>
      <c r="L9" s="10" t="str">
        <f>IF(Table113[[#This Row],[Type]]="Transportation", "ton", "")</f>
        <v/>
      </c>
      <c r="M9" s="10"/>
      <c r="N9" s="10"/>
      <c r="O9" s="10" t="str">
        <f>Table113[[#This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IF(Table113[[#This Row],[Type]]="Co-product", "No", "")</f>
        <v/>
      </c>
      <c r="J10" s="10"/>
      <c r="K10" s="10" t="str">
        <f>IF(Table113[[#This Row],[Type]]="Transportation", _xlfn.XLOOKUP(Table113[[#This Row],[Resource]], 'SI - Payload'!$A$10:$A$35,'SI - Payload'!$B$10:$B$35,"",0), "")</f>
        <v/>
      </c>
      <c r="L10" s="10" t="str">
        <f>IF(Table113[[#This Row],[Type]]="Transportation", "ton", "")</f>
        <v/>
      </c>
      <c r="M10" s="10"/>
      <c r="N10" s="10"/>
      <c r="O10" s="10" t="str">
        <f>Table113[[#This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IF(Table113[[#This Row],[Type]]="Co-product", "No", "")</f>
        <v/>
      </c>
      <c r="J11" s="10"/>
      <c r="K11" s="10" t="str">
        <f>IF(Table113[[#This Row],[Type]]="Transportation", _xlfn.XLOOKUP(Table113[[#This Row],[Resource]], 'SI - Payload'!$A$10:$A$35,'SI - Payload'!$B$10:$B$35,"",0), "")</f>
        <v/>
      </c>
      <c r="L11" s="10" t="str">
        <f>IF(Table113[[#This Row],[Type]]="Transportation", "ton", "")</f>
        <v/>
      </c>
      <c r="M11" s="10"/>
      <c r="N11" s="10"/>
      <c r="O11" s="10" t="str">
        <f>Table113[[#This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IF(Table113[[#This Row],[Type]]="Co-product", "No", "")</f>
        <v/>
      </c>
      <c r="J12" s="10"/>
      <c r="K12" s="10" t="str">
        <f>IF(Table113[[#This Row],[Type]]="Transportation", _xlfn.XLOOKUP(Table113[[#This Row],[Resource]], 'SI - Payload'!$A$10:$A$35,'SI - Payload'!$B$10:$B$35,"",0), "")</f>
        <v/>
      </c>
      <c r="L12" s="10" t="str">
        <f>IF(Table113[[#This Row],[Type]]="Transportation", "ton", "")</f>
        <v/>
      </c>
      <c r="M12" s="10"/>
      <c r="N12" s="10"/>
      <c r="O12" s="10" t="str">
        <f>Table113[[#This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IF(Table113[[#This Row],[Type]]="Co-product", "No", "")</f>
        <v/>
      </c>
      <c r="J13" s="10"/>
      <c r="K13" s="10" t="str">
        <f>IF(Table113[[#This Row],[Type]]="Transportation", _xlfn.XLOOKUP(Table113[[#This Row],[Resource]], 'SI - Payload'!$A$10:$A$35,'SI - Payload'!$B$10:$B$35,"",0), "")</f>
        <v/>
      </c>
      <c r="L13" s="10" t="str">
        <f>IF(Table113[[#This Row],[Type]]="Transportation", "ton", "")</f>
        <v/>
      </c>
      <c r="M13" s="10"/>
      <c r="N13" s="10"/>
      <c r="O13" s="10" t="str">
        <f>Table113[[#This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IF(Table113[[#This Row],[Type]]="Co-product", "No", "")</f>
        <v/>
      </c>
      <c r="J14" s="10"/>
      <c r="K14" s="10" t="str">
        <f>IF(Table113[[#This Row],[Type]]="Transportation", _xlfn.XLOOKUP(Table113[[#This Row],[Resource]], 'SI - Payload'!$A$10:$A$35,'SI - Payload'!$B$10:$B$35,"",0), "")</f>
        <v/>
      </c>
      <c r="L14" s="10" t="str">
        <f>IF(Table113[[#This Row],[Type]]="Transportation", "ton", "")</f>
        <v/>
      </c>
      <c r="M14" s="10"/>
      <c r="N14" s="10"/>
      <c r="O14" s="10" t="str">
        <f>Table113[[#This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IF(Table113[[#This Row],[Type]]="Co-product", "No", "")</f>
        <v/>
      </c>
      <c r="J15" s="10"/>
      <c r="K15" s="10" t="str">
        <f>IF(Table113[[#This Row],[Type]]="Transportation", _xlfn.XLOOKUP(Table113[[#This Row],[Resource]], 'SI - Payload'!$A$10:$A$35,'SI - Payload'!$B$10:$B$35,"",0), "")</f>
        <v/>
      </c>
      <c r="L15" s="10" t="str">
        <f>IF(Table113[[#This Row],[Type]]="Transportation", "ton", "")</f>
        <v/>
      </c>
      <c r="M15" s="10"/>
      <c r="N15" s="10"/>
      <c r="O15" s="10" t="str">
        <f>Table113[[#This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IF(Table113[[#This Row],[Type]]="Co-product", "No", "")</f>
        <v/>
      </c>
      <c r="J16" s="10"/>
      <c r="K16" s="10" t="str">
        <f>IF(Table113[[#This Row],[Type]]="Transportation", _xlfn.XLOOKUP(Table113[[#This Row],[Resource]], 'SI - Payload'!$A$10:$A$35,'SI - Payload'!$B$10:$B$35,"",0), "")</f>
        <v/>
      </c>
      <c r="L16" s="10" t="str">
        <f>IF(Table113[[#This Row],[Type]]="Transportation", "ton", "")</f>
        <v/>
      </c>
      <c r="M16" s="10"/>
      <c r="N16" s="10"/>
      <c r="O16" s="10" t="str">
        <f>Table113[[#This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IF(Table113[[#This Row],[Type]]="Co-product", "No", "")</f>
        <v/>
      </c>
      <c r="J17" s="10"/>
      <c r="K17" s="10" t="str">
        <f>IF(Table113[[#This Row],[Type]]="Transportation", _xlfn.XLOOKUP(Table113[[#This Row],[Resource]], 'SI - Payload'!$A$10:$A$35,'SI - Payload'!$B$10:$B$35,"",0), "")</f>
        <v/>
      </c>
      <c r="L17" s="10" t="str">
        <f>IF(Table113[[#This Row],[Type]]="Transportation", "ton", "")</f>
        <v/>
      </c>
      <c r="M17" s="10"/>
      <c r="N17" s="10"/>
      <c r="O17" s="10" t="str">
        <f>Table113[[#This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IF(Table113[[#This Row],[Type]]="Co-product", "No", "")</f>
        <v/>
      </c>
      <c r="J18" s="10"/>
      <c r="K18" s="10" t="str">
        <f>IF(Table113[[#This Row],[Type]]="Transportation", _xlfn.XLOOKUP(Table113[[#This Row],[Resource]], 'SI - Payload'!$A$10:$A$35,'SI - Payload'!$B$10:$B$35,"",0), "")</f>
        <v/>
      </c>
      <c r="L18" s="10" t="str">
        <f>IF(Table113[[#This Row],[Type]]="Transportation", "ton", "")</f>
        <v/>
      </c>
      <c r="M18" s="10"/>
      <c r="N18" s="10"/>
      <c r="O18" s="10" t="str">
        <f>Table113[[#This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IF(Table113[[#This Row],[Type]]="Co-product", "No", "")</f>
        <v/>
      </c>
      <c r="J19" s="10"/>
      <c r="K19" s="10" t="str">
        <f>IF(Table113[[#This Row],[Type]]="Transportation", _xlfn.XLOOKUP(Table113[[#This Row],[Resource]], 'SI - Payload'!$A$10:$A$35,'SI - Payload'!$B$10:$B$35,"",0), "")</f>
        <v/>
      </c>
      <c r="L19" s="10" t="str">
        <f>IF(Table113[[#This Row],[Type]]="Transportation", "ton", "")</f>
        <v/>
      </c>
      <c r="M19" s="10"/>
      <c r="N19" s="10"/>
      <c r="O19" s="10" t="str">
        <f>Table113[[#This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IF(Table113[[#This Row],[Type]]="Co-product", "No", "")</f>
        <v/>
      </c>
      <c r="J20" s="10"/>
      <c r="K20" s="10" t="str">
        <f>IF(Table113[[#This Row],[Type]]="Transportation", _xlfn.XLOOKUP(Table113[[#This Row],[Resource]], 'SI - Payload'!$A$10:$A$35,'SI - Payload'!$B$10:$B$35,"",0), "")</f>
        <v/>
      </c>
      <c r="L20" s="10" t="str">
        <f>IF(Table113[[#This Row],[Type]]="Transportation", "ton", "")</f>
        <v/>
      </c>
      <c r="M20" s="10"/>
      <c r="N20" s="10"/>
      <c r="O20" s="10" t="str">
        <f>Table113[[#This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IF(Table113[[#This Row],[Type]]="Co-product", "No", "")</f>
        <v/>
      </c>
      <c r="J21" s="10"/>
      <c r="K21" s="10" t="str">
        <f>IF(Table113[[#This Row],[Type]]="Transportation", _xlfn.XLOOKUP(Table113[[#This Row],[Resource]], 'SI - Payload'!$A$10:$A$35,'SI - Payload'!$B$10:$B$35,"",0), "")</f>
        <v/>
      </c>
      <c r="L21" s="10" t="str">
        <f>IF(Table113[[#This Row],[Type]]="Transportation", "ton", "")</f>
        <v/>
      </c>
      <c r="M21" s="10"/>
      <c r="N21" s="10"/>
      <c r="O21" s="10" t="str">
        <f>Table113[[#This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IF(Table113[[#This Row],[Type]]="Co-product", "No", "")</f>
        <v/>
      </c>
      <c r="J22" s="10"/>
      <c r="K22" s="10" t="str">
        <f>IF(Table113[[#This Row],[Type]]="Transportation", _xlfn.XLOOKUP(Table113[[#This Row],[Resource]], 'SI - Payload'!$A$10:$A$35,'SI - Payload'!$B$10:$B$35,"",0), "")</f>
        <v/>
      </c>
      <c r="L22" s="10" t="str">
        <f>IF(Table113[[#This Row],[Type]]="Transportation", "ton", "")</f>
        <v/>
      </c>
      <c r="M22" s="10"/>
      <c r="N22" s="10"/>
      <c r="O22" s="10" t="str">
        <f>Table113[[#This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IF(Table113[[#This Row],[Type]]="Co-product", "No", "")</f>
        <v/>
      </c>
      <c r="J23" s="10"/>
      <c r="K23" s="10" t="str">
        <f>IF(Table113[[#This Row],[Type]]="Transportation", _xlfn.XLOOKUP(Table113[[#This Row],[Resource]], 'SI - Payload'!$A$10:$A$35,'SI - Payload'!$B$10:$B$35,"",0), "")</f>
        <v/>
      </c>
      <c r="L23" s="10" t="str">
        <f>IF(Table113[[#This Row],[Type]]="Transportation", "ton", "")</f>
        <v/>
      </c>
      <c r="M23" s="10"/>
      <c r="N23" s="10"/>
      <c r="O23" s="10" t="str">
        <f>Table113[[#This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IF(Table113[[#This Row],[Type]]="Co-product", "No", "")</f>
        <v/>
      </c>
      <c r="J24" s="10"/>
      <c r="K24" s="10" t="str">
        <f>IF(Table113[[#This Row],[Type]]="Transportation", _xlfn.XLOOKUP(Table113[[#This Row],[Resource]], 'SI - Payload'!$A$10:$A$35,'SI - Payload'!$B$10:$B$35,"",0), "")</f>
        <v/>
      </c>
      <c r="L24" s="10" t="str">
        <f>IF(Table113[[#This Row],[Type]]="Transportation", "ton", "")</f>
        <v/>
      </c>
      <c r="M24" s="10"/>
      <c r="N24" s="10"/>
      <c r="O24" s="10" t="str">
        <f>Table113[[#This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IF(Table113[[#This Row],[Type]]="Co-product", "No", "")</f>
        <v/>
      </c>
      <c r="J25" s="10"/>
      <c r="K25" s="10" t="str">
        <f>IF(Table113[[#This Row],[Type]]="Transportation", _xlfn.XLOOKUP(Table113[[#This Row],[Resource]], 'SI - Payload'!$A$10:$A$35,'SI - Payload'!$B$10:$B$35,"",0), "")</f>
        <v/>
      </c>
      <c r="L25" s="10" t="str">
        <f>IF(Table113[[#This Row],[Type]]="Transportation", "ton", "")</f>
        <v/>
      </c>
      <c r="M25" s="10"/>
      <c r="N25" s="10"/>
      <c r="O25" s="10" t="str">
        <f>Table113[[#This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IF(Table113[[#This Row],[Type]]="Co-product", "No", "")</f>
        <v/>
      </c>
      <c r="J26" s="10"/>
      <c r="K26" s="10" t="str">
        <f>IF(Table113[[#This Row],[Type]]="Transportation", _xlfn.XLOOKUP(Table113[[#This Row],[Resource]], 'SI - Payload'!$A$10:$A$35,'SI - Payload'!$B$10:$B$35,"",0), "")</f>
        <v/>
      </c>
      <c r="L26" s="10" t="str">
        <f>IF(Table113[[#This Row],[Type]]="Transportation", "ton", "")</f>
        <v/>
      </c>
      <c r="M26" s="10"/>
      <c r="N26" s="10"/>
      <c r="O26" s="10" t="str">
        <f>Table113[[#This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IF(Table113[[#This Row],[Type]]="Co-product", "No", "")</f>
        <v/>
      </c>
      <c r="J27" s="10"/>
      <c r="K27" s="10" t="str">
        <f>IF(Table113[[#This Row],[Type]]="Transportation", _xlfn.XLOOKUP(Table113[[#This Row],[Resource]], 'SI - Payload'!$A$10:$A$35,'SI - Payload'!$B$10:$B$35,"",0), "")</f>
        <v/>
      </c>
      <c r="L27" s="10" t="str">
        <f>IF(Table113[[#This Row],[Type]]="Transportation", "ton", "")</f>
        <v/>
      </c>
      <c r="M27" s="10"/>
      <c r="N27" s="10"/>
      <c r="O27" s="10" t="str">
        <f>Table113[[#This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IF(Table113[[#This Row],[Type]]="Co-product", "No", "")</f>
        <v/>
      </c>
      <c r="J28" s="10"/>
      <c r="K28" s="10" t="str">
        <f>IF(Table113[[#This Row],[Type]]="Transportation", _xlfn.XLOOKUP(Table113[[#This Row],[Resource]], 'SI - Payload'!$A$10:$A$35,'SI - Payload'!$B$10:$B$35,"",0), "")</f>
        <v/>
      </c>
      <c r="L28" s="10" t="str">
        <f>IF(Table113[[#This Row],[Type]]="Transportation", "ton", "")</f>
        <v/>
      </c>
      <c r="M28" s="10"/>
      <c r="N28" s="10"/>
      <c r="O28" s="10" t="str">
        <f>Table113[[#This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IF(Table113[[#This Row],[Type]]="Co-product", "No", "")</f>
        <v/>
      </c>
      <c r="J29" s="10"/>
      <c r="K29" s="10" t="str">
        <f>IF(Table113[[#This Row],[Type]]="Transportation", _xlfn.XLOOKUP(Table113[[#This Row],[Resource]], 'SI - Payload'!$A$10:$A$35,'SI - Payload'!$B$10:$B$35,"",0), "")</f>
        <v/>
      </c>
      <c r="L29" s="10" t="str">
        <f>IF(Table113[[#This Row],[Type]]="Transportation", "ton", "")</f>
        <v/>
      </c>
      <c r="M29" s="10"/>
      <c r="N29" s="10"/>
      <c r="O29" s="10" t="str">
        <f>Table113[[#This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IF(Table113[[#This Row],[Type]]="Co-product", "No", "")</f>
        <v/>
      </c>
      <c r="J30" s="10"/>
      <c r="K30" s="10" t="str">
        <f>IF(Table113[[#This Row],[Type]]="Transportation", _xlfn.XLOOKUP(Table113[[#This Row],[Resource]], 'SI - Payload'!$A$10:$A$35,'SI - Payload'!$B$10:$B$35,"",0), "")</f>
        <v/>
      </c>
      <c r="L30" s="10" t="str">
        <f>IF(Table113[[#This Row],[Type]]="Transportation", "ton", "")</f>
        <v/>
      </c>
      <c r="M30" s="10"/>
      <c r="N30" s="10"/>
      <c r="O30" s="10" t="str">
        <f>Table113[[#This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IF(Table113[[#This Row],[Type]]="Co-product", "No", "")</f>
        <v/>
      </c>
      <c r="J31" s="10"/>
      <c r="K31" s="10" t="str">
        <f>IF(Table113[[#This Row],[Type]]="Transportation", _xlfn.XLOOKUP(Table113[[#This Row],[Resource]], 'SI - Payload'!$A$10:$A$35,'SI - Payload'!$B$10:$B$35,"",0), "")</f>
        <v/>
      </c>
      <c r="L31" s="10" t="str">
        <f>IF(Table113[[#This Row],[Type]]="Transportation", "ton", "")</f>
        <v/>
      </c>
      <c r="M31" s="10"/>
      <c r="N31" s="10"/>
      <c r="O31" s="10" t="str">
        <f>Table113[[#This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IF(Table113[[#This Row],[Type]]="Co-product", "No", "")</f>
        <v/>
      </c>
      <c r="J32" s="10"/>
      <c r="K32" s="10" t="str">
        <f>IF(Table113[[#This Row],[Type]]="Transportation", _xlfn.XLOOKUP(Table113[[#This Row],[Resource]], 'SI - Payload'!$A$10:$A$35,'SI - Payload'!$B$10:$B$35,"",0), "")</f>
        <v/>
      </c>
      <c r="L32" s="10" t="str">
        <f>IF(Table113[[#This Row],[Type]]="Transportation", "ton", "")</f>
        <v/>
      </c>
      <c r="M32" s="10"/>
      <c r="N32" s="10"/>
      <c r="O32" s="10" t="str">
        <f>Table113[[#This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IF(Table113[[#This Row],[Type]]="Co-product", "No", "")</f>
        <v/>
      </c>
      <c r="J33" s="10"/>
      <c r="K33" s="10" t="str">
        <f>IF(Table113[[#This Row],[Type]]="Transportation", _xlfn.XLOOKUP(Table113[[#This Row],[Resource]], 'SI - Payload'!$A$10:$A$35,'SI - Payload'!$B$10:$B$35,"",0), "")</f>
        <v/>
      </c>
      <c r="L33" s="10" t="str">
        <f>IF(Table113[[#This Row],[Type]]="Transportation", "ton", "")</f>
        <v/>
      </c>
      <c r="M33" s="10"/>
      <c r="N33" s="10"/>
      <c r="O33" s="10" t="str">
        <f>Table113[[#This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IF(Table113[[#This Row],[Type]]="Co-product", "No", "")</f>
        <v/>
      </c>
      <c r="J34" s="10"/>
      <c r="K34" s="10" t="str">
        <f>IF(Table113[[#This Row],[Type]]="Transportation", _xlfn.XLOOKUP(Table113[[#This Row],[Resource]], 'SI - Payload'!$A$10:$A$35,'SI - Payload'!$B$10:$B$35,"",0), "")</f>
        <v/>
      </c>
      <c r="L34" s="10" t="str">
        <f>IF(Table113[[#This Row],[Type]]="Transportation", "ton", "")</f>
        <v/>
      </c>
      <c r="M34" s="10"/>
      <c r="N34" s="10"/>
      <c r="O34" s="10" t="str">
        <f>Table113[[#This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IF(Table113[[#This Row],[Type]]="Co-product", "No", "")</f>
        <v/>
      </c>
      <c r="J35" s="10"/>
      <c r="K35" s="10" t="str">
        <f>IF(Table113[[#This Row],[Type]]="Transportation", _xlfn.XLOOKUP(Table113[[#This Row],[Resource]], 'SI - Payload'!$A$10:$A$35,'SI - Payload'!$B$10:$B$35,"",0), "")</f>
        <v/>
      </c>
      <c r="L35" s="10" t="str">
        <f>IF(Table113[[#This Row],[Type]]="Transportation", "ton", "")</f>
        <v/>
      </c>
      <c r="M35" s="10"/>
      <c r="N35" s="10"/>
      <c r="O35" s="10" t="str">
        <f>Table113[[#This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IF(Table113[[#This Row],[Type]]="Co-product", "No", "")</f>
        <v/>
      </c>
      <c r="J36" s="10"/>
      <c r="K36" s="10" t="str">
        <f>IF(Table113[[#This Row],[Type]]="Transportation", _xlfn.XLOOKUP(Table113[[#This Row],[Resource]], 'SI - Payload'!$A$10:$A$35,'SI - Payload'!$B$10:$B$35,"",0), "")</f>
        <v/>
      </c>
      <c r="L36" s="10" t="str">
        <f>IF(Table113[[#This Row],[Type]]="Transportation", "ton", "")</f>
        <v/>
      </c>
      <c r="M36" s="10"/>
      <c r="N36" s="10"/>
      <c r="O36" s="10" t="str">
        <f>Table113[[#This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IF(Table113[[#This Row],[Type]]="Co-product", "No", "")</f>
        <v/>
      </c>
      <c r="J37" s="10"/>
      <c r="K37" s="10" t="str">
        <f>IF(Table113[[#This Row],[Type]]="Transportation", _xlfn.XLOOKUP(Table113[[#This Row],[Resource]], 'SI - Payload'!$A$10:$A$35,'SI - Payload'!$B$10:$B$35,"",0), "")</f>
        <v/>
      </c>
      <c r="L37" s="10" t="str">
        <f>IF(Table113[[#This Row],[Type]]="Transportation", "ton", "")</f>
        <v/>
      </c>
      <c r="M37" s="10"/>
      <c r="N37" s="10"/>
      <c r="O37" s="10" t="str">
        <f>Table113[[#This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IF(Table113[[#This Row],[Type]]="Co-product", "No", "")</f>
        <v/>
      </c>
      <c r="J38" s="10"/>
      <c r="K38" s="10" t="str">
        <f>IF(Table113[[#This Row],[Type]]="Transportation", _xlfn.XLOOKUP(Table113[[#This Row],[Resource]], 'SI - Payload'!$A$10:$A$35,'SI - Payload'!$B$10:$B$35,"",0), "")</f>
        <v/>
      </c>
      <c r="L38" s="10" t="str">
        <f>IF(Table113[[#This Row],[Type]]="Transportation", "ton", "")</f>
        <v/>
      </c>
      <c r="M38" s="10"/>
      <c r="N38" s="10"/>
      <c r="O38" s="10" t="str">
        <f>Table113[[#This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IF(Table113[[#This Row],[Type]]="Co-product", "No", "")</f>
        <v/>
      </c>
      <c r="J39" s="10"/>
      <c r="K39" s="10" t="str">
        <f>IF(Table113[[#This Row],[Type]]="Transportation", _xlfn.XLOOKUP(Table113[[#This Row],[Resource]], 'SI - Payload'!$A$10:$A$35,'SI - Payload'!$B$10:$B$35,"",0), "")</f>
        <v/>
      </c>
      <c r="L39" s="10" t="str">
        <f>IF(Table113[[#This Row],[Type]]="Transportation", "ton", "")</f>
        <v/>
      </c>
      <c r="M39" s="10"/>
      <c r="N39" s="10"/>
      <c r="O39" s="10" t="str">
        <f>Table113[[#This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IF(Table113[[#This Row],[Type]]="Co-product", "No", "")</f>
        <v/>
      </c>
      <c r="J40" s="10"/>
      <c r="K40" s="10" t="str">
        <f>IF(Table113[[#This Row],[Type]]="Transportation", _xlfn.XLOOKUP(Table113[[#This Row],[Resource]], 'SI - Payload'!$A$10:$A$35,'SI - Payload'!$B$10:$B$35,"",0), "")</f>
        <v/>
      </c>
      <c r="L40" s="10" t="str">
        <f>IF(Table113[[#This Row],[Type]]="Transportation", "ton", "")</f>
        <v/>
      </c>
      <c r="M40" s="10"/>
      <c r="N40" s="10"/>
      <c r="O40" s="10" t="str">
        <f>Table113[[#This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IF(Table113[[#This Row],[Type]]="Co-product", "No", "")</f>
        <v/>
      </c>
      <c r="J41" s="10"/>
      <c r="K41" s="10" t="str">
        <f>IF(Table113[[#This Row],[Type]]="Transportation", _xlfn.XLOOKUP(Table113[[#This Row],[Resource]], 'SI - Payload'!$A$10:$A$35,'SI - Payload'!$B$10:$B$35,"",0), "")</f>
        <v/>
      </c>
      <c r="L41" s="10" t="str">
        <f>IF(Table113[[#This Row],[Type]]="Transportation", "ton", "")</f>
        <v/>
      </c>
      <c r="M41" s="10"/>
      <c r="N41" s="10"/>
      <c r="O41" s="10" t="str">
        <f>Table113[[#This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IF(Table113[[#This Row],[Type]]="Co-product", "No", "")</f>
        <v/>
      </c>
      <c r="J42" s="10"/>
      <c r="K42" s="10" t="str">
        <f>IF(Table113[[#This Row],[Type]]="Transportation", _xlfn.XLOOKUP(Table113[[#This Row],[Resource]], 'SI - Payload'!$A$10:$A$35,'SI - Payload'!$B$10:$B$35,"",0), "")</f>
        <v/>
      </c>
      <c r="L42" s="10" t="str">
        <f>IF(Table113[[#This Row],[Type]]="Transportation", "ton", "")</f>
        <v/>
      </c>
      <c r="M42" s="10"/>
      <c r="N42" s="10"/>
      <c r="O42" s="10" t="str">
        <f>Table113[[#This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IF(Table113[[#This Row],[Type]]="Co-product", "No", "")</f>
        <v/>
      </c>
      <c r="J43" s="10"/>
      <c r="K43" s="10" t="str">
        <f>IF(Table113[[#This Row],[Type]]="Transportation", _xlfn.XLOOKUP(Table113[[#This Row],[Resource]], 'SI - Payload'!$A$10:$A$35,'SI - Payload'!$B$10:$B$35,"",0), "")</f>
        <v/>
      </c>
      <c r="L43" s="10" t="str">
        <f>IF(Table113[[#This Row],[Type]]="Transportation", "ton", "")</f>
        <v/>
      </c>
      <c r="M43" s="10"/>
      <c r="N43" s="10"/>
      <c r="O43" s="10" t="str">
        <f>Table113[[#This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IF(Table113[[#This Row],[Type]]="Co-product", "No", "")</f>
        <v/>
      </c>
      <c r="J44" s="10"/>
      <c r="K44" s="10" t="str">
        <f>IF(Table113[[#This Row],[Type]]="Transportation", _xlfn.XLOOKUP(Table113[[#This Row],[Resource]], 'SI - Payload'!$A$10:$A$35,'SI - Payload'!$B$10:$B$35,"",0), "")</f>
        <v/>
      </c>
      <c r="L44" s="10" t="str">
        <f>IF(Table113[[#This Row],[Type]]="Transportation", "ton", "")</f>
        <v/>
      </c>
      <c r="M44" s="10"/>
      <c r="N44" s="10"/>
      <c r="O44" s="10" t="str">
        <f>Table113[[#This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IF(Table113[[#This Row],[Type]]="Co-product", "No", "")</f>
        <v/>
      </c>
      <c r="J45" s="10"/>
      <c r="K45" s="10" t="str">
        <f>IF(Table113[[#This Row],[Type]]="Transportation", _xlfn.XLOOKUP(Table113[[#This Row],[Resource]], 'SI - Payload'!$A$10:$A$35,'SI - Payload'!$B$10:$B$35,"",0), "")</f>
        <v/>
      </c>
      <c r="L45" s="10" t="str">
        <f>IF(Table113[[#This Row],[Type]]="Transportation", "ton", "")</f>
        <v/>
      </c>
      <c r="M45" s="10"/>
      <c r="N45" s="10"/>
      <c r="O45" s="10" t="str">
        <f>Table113[[#This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IF(Table113[[#This Row],[Type]]="Co-product", "No", "")</f>
        <v/>
      </c>
      <c r="J46" s="10"/>
      <c r="K46" s="10" t="str">
        <f>IF(Table113[[#This Row],[Type]]="Transportation", _xlfn.XLOOKUP(Table113[[#This Row],[Resource]], 'SI - Payload'!$A$10:$A$35,'SI - Payload'!$B$10:$B$35,"",0), "")</f>
        <v/>
      </c>
      <c r="L46" s="10" t="str">
        <f>IF(Table113[[#This Row],[Type]]="Transportation", "ton", "")</f>
        <v/>
      </c>
      <c r="M46" s="10"/>
      <c r="N46" s="10"/>
      <c r="O46" s="10" t="str">
        <f>Table113[[#This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IF(Table113[[#This Row],[Type]]="Co-product", "No", "")</f>
        <v/>
      </c>
      <c r="J47" s="10"/>
      <c r="K47" s="10" t="str">
        <f>IF(Table113[[#This Row],[Type]]="Transportation", _xlfn.XLOOKUP(Table113[[#This Row],[Resource]], 'SI - Payload'!$A$10:$A$35,'SI - Payload'!$B$10:$B$35,"",0), "")</f>
        <v/>
      </c>
      <c r="L47" s="10" t="str">
        <f>IF(Table113[[#This Row],[Type]]="Transportation", "ton", "")</f>
        <v/>
      </c>
      <c r="M47" s="10"/>
      <c r="N47" s="10"/>
      <c r="O47" s="10" t="str">
        <f>Table113[[#This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IF(Table113[[#This Row],[Type]]="Co-product", "No", "")</f>
        <v/>
      </c>
      <c r="J48" s="10"/>
      <c r="K48" s="10" t="str">
        <f>IF(Table113[[#This Row],[Type]]="Transportation", _xlfn.XLOOKUP(Table113[[#This Row],[Resource]], 'SI - Payload'!$A$10:$A$35,'SI - Payload'!$B$10:$B$35,"",0), "")</f>
        <v/>
      </c>
      <c r="L48" s="10" t="str">
        <f>IF(Table113[[#This Row],[Type]]="Transportation", "ton", "")</f>
        <v/>
      </c>
      <c r="M48" s="10"/>
      <c r="N48" s="10"/>
      <c r="O48" s="10" t="str">
        <f>Table113[[#This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IF(Table113[[#This Row],[Type]]="Co-product", "No", "")</f>
        <v/>
      </c>
      <c r="J49" s="10"/>
      <c r="K49" s="10" t="str">
        <f>IF(Table113[[#This Row],[Type]]="Transportation", _xlfn.XLOOKUP(Table113[[#This Row],[Resource]], 'SI - Payload'!$A$10:$A$35,'SI - Payload'!$B$10:$B$35,"",0), "")</f>
        <v/>
      </c>
      <c r="L49" s="10" t="str">
        <f>IF(Table113[[#This Row],[Type]]="Transportation", "ton", "")</f>
        <v/>
      </c>
      <c r="M49" s="10"/>
      <c r="N49" s="10"/>
      <c r="O49" s="10" t="str">
        <f>Table113[[#This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IF(Table113[[#This Row],[Type]]="Co-product", "No", "")</f>
        <v/>
      </c>
      <c r="J50" s="10"/>
      <c r="K50" s="10" t="str">
        <f>IF(Table113[[#This Row],[Type]]="Transportation", _xlfn.XLOOKUP(Table113[[#This Row],[Resource]], 'SI - Payload'!$A$10:$A$35,'SI - Payload'!$B$10:$B$35,"",0), "")</f>
        <v/>
      </c>
      <c r="L50" s="10" t="str">
        <f>IF(Table113[[#This Row],[Type]]="Transportation", "ton", "")</f>
        <v/>
      </c>
      <c r="M50" s="10"/>
      <c r="N50" s="10"/>
      <c r="O50" s="10" t="str">
        <f>Table113[[#This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IF(Table113[[#This Row],[Type]]="Co-product", "No", "")</f>
        <v/>
      </c>
      <c r="J51" s="10"/>
      <c r="K51" s="10" t="str">
        <f>IF(Table113[[#This Row],[Type]]="Transportation", _xlfn.XLOOKUP(Table113[[#This Row],[Resource]], 'SI - Payload'!$A$10:$A$35,'SI - Payload'!$B$10:$B$35,"",0), "")</f>
        <v/>
      </c>
      <c r="L51" s="10" t="str">
        <f>IF(Table113[[#This Row],[Type]]="Transportation", "ton", "")</f>
        <v/>
      </c>
      <c r="M51" s="10"/>
      <c r="N51" s="10"/>
      <c r="O51" s="10" t="str">
        <f>Table113[[#This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IF(Table113[[#This Row],[Type]]="Co-product", "No", "")</f>
        <v/>
      </c>
      <c r="J52" s="10"/>
      <c r="K52" s="10" t="str">
        <f>IF(Table113[[#This Row],[Type]]="Transportation", _xlfn.XLOOKUP(Table113[[#This Row],[Resource]], 'SI - Payload'!$A$10:$A$35,'SI - Payload'!$B$10:$B$35,"",0), "")</f>
        <v/>
      </c>
      <c r="L52" s="10" t="str">
        <f>IF(Table113[[#This Row],[Type]]="Transportation", "ton", "")</f>
        <v/>
      </c>
      <c r="M52" s="10"/>
      <c r="N52" s="10"/>
      <c r="O52" s="10" t="str">
        <f>Table113[[#This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IF(Table113[[#This Row],[Type]]="Co-product", "No", "")</f>
        <v/>
      </c>
      <c r="J53" s="10"/>
      <c r="K53" s="10" t="str">
        <f>IF(Table113[[#This Row],[Type]]="Transportation", _xlfn.XLOOKUP(Table113[[#This Row],[Resource]], 'SI - Payload'!$A$10:$A$35,'SI - Payload'!$B$10:$B$35,"",0), "")</f>
        <v/>
      </c>
      <c r="L53" s="10" t="str">
        <f>IF(Table113[[#This Row],[Type]]="Transportation", "ton", "")</f>
        <v/>
      </c>
      <c r="M53" s="10"/>
      <c r="N53" s="10"/>
      <c r="O53" s="10" t="str">
        <f>Table113[[#This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IF(Table113[[#This Row],[Type]]="Co-product", "No", "")</f>
        <v/>
      </c>
      <c r="J54" s="10"/>
      <c r="K54" s="10" t="str">
        <f>IF(Table113[[#This Row],[Type]]="Transportation", _xlfn.XLOOKUP(Table113[[#This Row],[Resource]], 'SI - Payload'!$A$10:$A$35,'SI - Payload'!$B$10:$B$35,"",0), "")</f>
        <v/>
      </c>
      <c r="L54" s="10" t="str">
        <f>IF(Table113[[#This Row],[Type]]="Transportation", "ton", "")</f>
        <v/>
      </c>
      <c r="M54" s="10"/>
      <c r="N54" s="10"/>
      <c r="O54" s="10" t="str">
        <f>Table113[[#This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IF(Table113[[#This Row],[Type]]="Co-product", "No", "")</f>
        <v/>
      </c>
      <c r="J55" s="10"/>
      <c r="K55" s="10" t="str">
        <f>IF(Table113[[#This Row],[Type]]="Transportation", _xlfn.XLOOKUP(Table113[[#This Row],[Resource]], 'SI - Payload'!$A$10:$A$35,'SI - Payload'!$B$10:$B$35,"",0), "")</f>
        <v/>
      </c>
      <c r="L55" s="10" t="str">
        <f>IF(Table113[[#This Row],[Type]]="Transportation", "ton", "")</f>
        <v/>
      </c>
      <c r="M55" s="10"/>
      <c r="N55" s="10"/>
      <c r="O55" s="10" t="str">
        <f>Table113[[#This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IF(Table113[[#This Row],[Type]]="Co-product", "No", "")</f>
        <v/>
      </c>
      <c r="J56" s="10"/>
      <c r="K56" s="10" t="str">
        <f>IF(Table113[[#This Row],[Type]]="Transportation", _xlfn.XLOOKUP(Table113[[#This Row],[Resource]], 'SI - Payload'!$A$10:$A$35,'SI - Payload'!$B$10:$B$35,"",0), "")</f>
        <v/>
      </c>
      <c r="L56" s="10" t="str">
        <f>IF(Table113[[#This Row],[Type]]="Transportation", "ton", "")</f>
        <v/>
      </c>
      <c r="M56" s="10"/>
      <c r="N56" s="10"/>
      <c r="O56" s="10" t="str">
        <f>Table113[[#This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IF(Table113[[#This Row],[Type]]="Co-product", "No", "")</f>
        <v/>
      </c>
      <c r="J57" s="10"/>
      <c r="K57" s="10" t="str">
        <f>IF(Table113[[#This Row],[Type]]="Transportation", _xlfn.XLOOKUP(Table113[[#This Row],[Resource]], 'SI - Payload'!$A$10:$A$35,'SI - Payload'!$B$10:$B$35,"",0), "")</f>
        <v/>
      </c>
      <c r="L57" s="10" t="str">
        <f>IF(Table113[[#This Row],[Type]]="Transportation", "ton", "")</f>
        <v/>
      </c>
      <c r="M57" s="10"/>
      <c r="N57" s="10"/>
      <c r="O57" s="10" t="str">
        <f>Table113[[#This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IF(Table113[[#This Row],[Type]]="Co-product", "No", "")</f>
        <v/>
      </c>
      <c r="J58" s="10"/>
      <c r="K58" s="10" t="str">
        <f>IF(Table113[[#This Row],[Type]]="Transportation", _xlfn.XLOOKUP(Table113[[#This Row],[Resource]], 'SI - Payload'!$A$10:$A$35,'SI - Payload'!$B$10:$B$35,"",0), "")</f>
        <v/>
      </c>
      <c r="L58" s="10" t="str">
        <f>IF(Table113[[#This Row],[Type]]="Transportation", "ton", "")</f>
        <v/>
      </c>
      <c r="M58" s="10"/>
      <c r="N58" s="10"/>
      <c r="O58" s="10" t="str">
        <f>Table113[[#This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IF(Table113[[#This Row],[Type]]="Co-product", "No", "")</f>
        <v/>
      </c>
      <c r="J59" s="10"/>
      <c r="K59" s="10" t="str">
        <f>IF(Table113[[#This Row],[Type]]="Transportation", _xlfn.XLOOKUP(Table113[[#This Row],[Resource]], 'SI - Payload'!$A$10:$A$35,'SI - Payload'!$B$10:$B$35,"",0), "")</f>
        <v/>
      </c>
      <c r="L59" s="10" t="str">
        <f>IF(Table113[[#This Row],[Type]]="Transportation", "ton", "")</f>
        <v/>
      </c>
      <c r="M59" s="10"/>
      <c r="N59" s="10"/>
      <c r="O59" s="10" t="str">
        <f>Table113[[#This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IF(Table113[[#This Row],[Type]]="Co-product", "No", "")</f>
        <v/>
      </c>
      <c r="J60" s="10"/>
      <c r="K60" s="10" t="str">
        <f>IF(Table113[[#This Row],[Type]]="Transportation", _xlfn.XLOOKUP(Table113[[#This Row],[Resource]], 'SI - Payload'!$A$10:$A$35,'SI - Payload'!$B$10:$B$35,"",0), "")</f>
        <v/>
      </c>
      <c r="L60" s="10" t="str">
        <f>IF(Table113[[#This Row],[Type]]="Transportation", "ton", "")</f>
        <v/>
      </c>
      <c r="M60" s="10"/>
      <c r="N60" s="10"/>
      <c r="O60" s="10" t="str">
        <f>Table113[[#This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IF(Table113[[#This Row],[Type]]="Co-product", "No", "")</f>
        <v/>
      </c>
      <c r="J61" s="10"/>
      <c r="K61" s="10" t="str">
        <f>IF(Table113[[#This Row],[Type]]="Transportation", _xlfn.XLOOKUP(Table113[[#This Row],[Resource]], 'SI - Payload'!$A$10:$A$35,'SI - Payload'!$B$10:$B$35,"",0), "")</f>
        <v/>
      </c>
      <c r="L61" s="10" t="str">
        <f>IF(Table113[[#This Row],[Type]]="Transportation", "ton", "")</f>
        <v/>
      </c>
      <c r="M61" s="10"/>
      <c r="N61" s="10"/>
      <c r="O61" s="10" t="str">
        <f>Table113[[#This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IF(Table113[[#This Row],[Type]]="Co-product", "No", "")</f>
        <v/>
      </c>
      <c r="J62" s="10"/>
      <c r="K62" s="10" t="str">
        <f>IF(Table113[[#This Row],[Type]]="Transportation", _xlfn.XLOOKUP(Table113[[#This Row],[Resource]], 'SI - Payload'!$A$10:$A$35,'SI - Payload'!$B$10:$B$35,"",0), "")</f>
        <v/>
      </c>
      <c r="L62" s="10" t="str">
        <f>IF(Table113[[#This Row],[Type]]="Transportation", "ton", "")</f>
        <v/>
      </c>
      <c r="M62" s="10"/>
      <c r="N62" s="10"/>
      <c r="O62" s="10" t="str">
        <f>Table113[[#This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IF(Table113[[#This Row],[Type]]="Co-product", "No", "")</f>
        <v/>
      </c>
      <c r="J63" s="10"/>
      <c r="K63" s="10" t="str">
        <f>IF(Table113[[#This Row],[Type]]="Transportation", _xlfn.XLOOKUP(Table113[[#This Row],[Resource]], 'SI - Payload'!$A$10:$A$35,'SI - Payload'!$B$10:$B$35,"",0), "")</f>
        <v/>
      </c>
      <c r="L63" s="10" t="str">
        <f>IF(Table113[[#This Row],[Type]]="Transportation", "ton", "")</f>
        <v/>
      </c>
      <c r="M63" s="10"/>
      <c r="N63" s="10"/>
      <c r="O63" s="10" t="str">
        <f>Table113[[#This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IF(Table113[[#This Row],[Type]]="Co-product", "No", "")</f>
        <v/>
      </c>
      <c r="J64" s="10"/>
      <c r="K64" s="10" t="str">
        <f>IF(Table113[[#This Row],[Type]]="Transportation", _xlfn.XLOOKUP(Table113[[#This Row],[Resource]], 'SI - Payload'!$A$10:$A$35,'SI - Payload'!$B$10:$B$35,"",0), "")</f>
        <v/>
      </c>
      <c r="L64" s="10" t="str">
        <f>IF(Table113[[#This Row],[Type]]="Transportation", "ton", "")</f>
        <v/>
      </c>
      <c r="M64" s="10"/>
      <c r="N64" s="10"/>
      <c r="O64" s="10" t="str">
        <f>Table113[[#This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IF(Table113[[#This Row],[Type]]="Co-product", "No", "")</f>
        <v/>
      </c>
      <c r="J65" s="10"/>
      <c r="K65" s="10" t="str">
        <f>IF(Table113[[#This Row],[Type]]="Transportation", _xlfn.XLOOKUP(Table113[[#This Row],[Resource]], 'SI - Payload'!$A$10:$A$35,'SI - Payload'!$B$10:$B$35,"",0), "")</f>
        <v/>
      </c>
      <c r="L65" s="10" t="str">
        <f>IF(Table113[[#This Row],[Type]]="Transportation", "ton", "")</f>
        <v/>
      </c>
      <c r="M65" s="10"/>
      <c r="N65" s="10"/>
      <c r="O65" s="10" t="str">
        <f>Table113[[#This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IF(Table113[[#This Row],[Type]]="Co-product", "No", "")</f>
        <v/>
      </c>
      <c r="J66" s="10"/>
      <c r="K66" s="10" t="str">
        <f>IF(Table113[[#This Row],[Type]]="Transportation", _xlfn.XLOOKUP(Table113[[#This Row],[Resource]], 'SI - Payload'!$A$10:$A$35,'SI - Payload'!$B$10:$B$35,"",0), "")</f>
        <v/>
      </c>
      <c r="L66" s="10" t="str">
        <f>IF(Table113[[#This Row],[Type]]="Transportation", "ton", "")</f>
        <v/>
      </c>
      <c r="M66" s="10"/>
      <c r="N66" s="10"/>
      <c r="O66" s="10" t="str">
        <f>Table113[[#This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IF(Table113[[#This Row],[Type]]="Co-product", "No", "")</f>
        <v/>
      </c>
      <c r="J67" s="10"/>
      <c r="K67" s="10" t="str">
        <f>IF(Table113[[#This Row],[Type]]="Transportation", _xlfn.XLOOKUP(Table113[[#This Row],[Resource]], 'SI - Payload'!$A$10:$A$35,'SI - Payload'!$B$10:$B$35,"",0), "")</f>
        <v/>
      </c>
      <c r="L67" s="10" t="str">
        <f>IF(Table113[[#This Row],[Type]]="Transportation", "ton", "")</f>
        <v/>
      </c>
      <c r="M67" s="10"/>
      <c r="N67" s="10"/>
      <c r="O67" s="10" t="str">
        <f>Table113[[#This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IF(Table113[[#This Row],[Type]]="Co-product", "No", "")</f>
        <v/>
      </c>
      <c r="J68" s="10"/>
      <c r="K68" s="10" t="str">
        <f>IF(Table113[[#This Row],[Type]]="Transportation", _xlfn.XLOOKUP(Table113[[#This Row],[Resource]], 'SI - Payload'!$A$10:$A$35,'SI - Payload'!$B$10:$B$35,"",0), "")</f>
        <v/>
      </c>
      <c r="L68" s="10" t="str">
        <f>IF(Table113[[#This Row],[Type]]="Transportation", "ton", "")</f>
        <v/>
      </c>
      <c r="M68" s="10"/>
      <c r="N68" s="10"/>
      <c r="O68" s="10" t="str">
        <f>Table113[[#This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IF(Table113[[#This Row],[Type]]="Co-product", "No", "")</f>
        <v/>
      </c>
      <c r="J69" s="10"/>
      <c r="K69" s="10" t="str">
        <f>IF(Table113[[#This Row],[Type]]="Transportation", _xlfn.XLOOKUP(Table113[[#This Row],[Resource]], 'SI - Payload'!$A$10:$A$35,'SI - Payload'!$B$10:$B$35,"",0), "")</f>
        <v/>
      </c>
      <c r="L69" s="10" t="str">
        <f>IF(Table113[[#This Row],[Type]]="Transportation", "ton", "")</f>
        <v/>
      </c>
      <c r="M69" s="10"/>
      <c r="N69" s="10"/>
      <c r="O69" s="10" t="str">
        <f>Table113[[#This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IF(Table113[[#This Row],[Type]]="Co-product", "No", "")</f>
        <v/>
      </c>
      <c r="J70" s="10"/>
      <c r="K70" s="10" t="str">
        <f>IF(Table113[[#This Row],[Type]]="Transportation", _xlfn.XLOOKUP(Table113[[#This Row],[Resource]], 'SI - Payload'!$A$10:$A$35,'SI - Payload'!$B$10:$B$35,"",0), "")</f>
        <v/>
      </c>
      <c r="L70" s="10" t="str">
        <f>IF(Table113[[#This Row],[Type]]="Transportation", "ton", "")</f>
        <v/>
      </c>
      <c r="M70" s="10"/>
      <c r="N70" s="10"/>
      <c r="O70" s="10" t="str">
        <f>Table113[[#This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IF(Table113[[#This Row],[Type]]="Co-product", "No", "")</f>
        <v/>
      </c>
      <c r="J71" s="10"/>
      <c r="K71" s="10" t="str">
        <f>IF(Table113[[#This Row],[Type]]="Transportation", _xlfn.XLOOKUP(Table113[[#This Row],[Resource]], 'SI - Payload'!$A$10:$A$35,'SI - Payload'!$B$10:$B$35,"",0), "")</f>
        <v/>
      </c>
      <c r="L71" s="10" t="str">
        <f>IF(Table113[[#This Row],[Type]]="Transportation", "ton", "")</f>
        <v/>
      </c>
      <c r="M71" s="10"/>
      <c r="N71" s="10"/>
      <c r="O71" s="10" t="str">
        <f>Table113[[#This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IF(Table113[[#This Row],[Type]]="Co-product", "No", "")</f>
        <v/>
      </c>
      <c r="J72" s="10"/>
      <c r="K72" s="10" t="str">
        <f>IF(Table113[[#This Row],[Type]]="Transportation", _xlfn.XLOOKUP(Table113[[#This Row],[Resource]], 'SI - Payload'!$A$10:$A$35,'SI - Payload'!$B$10:$B$35,"",0), "")</f>
        <v/>
      </c>
      <c r="L72" s="10" t="str">
        <f>IF(Table113[[#This Row],[Type]]="Transportation", "ton", "")</f>
        <v/>
      </c>
      <c r="M72" s="10"/>
      <c r="N72" s="10"/>
      <c r="O72" s="10" t="str">
        <f>Table113[[#This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IF(Table113[[#This Row],[Type]]="Co-product", "No", "")</f>
        <v/>
      </c>
      <c r="J73" s="10"/>
      <c r="K73" s="10" t="str">
        <f>IF(Table113[[#This Row],[Type]]="Transportation", _xlfn.XLOOKUP(Table113[[#This Row],[Resource]], 'SI - Payload'!$A$10:$A$35,'SI - Payload'!$B$10:$B$35,"",0), "")</f>
        <v/>
      </c>
      <c r="L73" s="10" t="str">
        <f>IF(Table113[[#This Row],[Type]]="Transportation", "ton", "")</f>
        <v/>
      </c>
      <c r="M73" s="10"/>
      <c r="N73" s="10"/>
      <c r="O73" s="10" t="str">
        <f>Table113[[#This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IF(Table113[[#This Row],[Type]]="Co-product", "No", "")</f>
        <v/>
      </c>
      <c r="J74" s="10"/>
      <c r="K74" s="10" t="str">
        <f>IF(Table113[[#This Row],[Type]]="Transportation", _xlfn.XLOOKUP(Table113[[#This Row],[Resource]], 'SI - Payload'!$A$10:$A$35,'SI - Payload'!$B$10:$B$35,"",0), "")</f>
        <v/>
      </c>
      <c r="L74" s="10" t="str">
        <f>IF(Table113[[#This Row],[Type]]="Transportation", "ton", "")</f>
        <v/>
      </c>
      <c r="M74" s="10"/>
      <c r="N74" s="10"/>
      <c r="O74" s="10" t="str">
        <f>Table113[[#This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IF(Table113[[#This Row],[Type]]="Co-product", "No", "")</f>
        <v/>
      </c>
      <c r="J75" s="10"/>
      <c r="K75" s="10" t="str">
        <f>IF(Table113[[#This Row],[Type]]="Transportation", _xlfn.XLOOKUP(Table113[[#This Row],[Resource]], 'SI - Payload'!$A$10:$A$35,'SI - Payload'!$B$10:$B$35,"",0), "")</f>
        <v/>
      </c>
      <c r="L75" s="10" t="str">
        <f>IF(Table113[[#This Row],[Type]]="Transportation", "ton", "")</f>
        <v/>
      </c>
      <c r="M75" s="10"/>
      <c r="N75" s="10"/>
      <c r="O75" s="10" t="str">
        <f>Table113[[#This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IF(Table113[[#This Row],[Type]]="Co-product", "No", "")</f>
        <v/>
      </c>
      <c r="J76" s="10"/>
      <c r="K76" s="10" t="str">
        <f>IF(Table113[[#This Row],[Type]]="Transportation", _xlfn.XLOOKUP(Table113[[#This Row],[Resource]], 'SI - Payload'!$A$10:$A$35,'SI - Payload'!$B$10:$B$35,"",0), "")</f>
        <v/>
      </c>
      <c r="L76" s="10" t="str">
        <f>IF(Table113[[#This Row],[Type]]="Transportation", "ton", "")</f>
        <v/>
      </c>
      <c r="M76" s="10"/>
      <c r="N76" s="10"/>
      <c r="O76" s="10" t="str">
        <f>Table113[[#This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IF(Table113[[#This Row],[Type]]="Co-product", "No", "")</f>
        <v/>
      </c>
      <c r="J77" s="10"/>
      <c r="K77" s="10" t="str">
        <f>IF(Table113[[#This Row],[Type]]="Transportation", _xlfn.XLOOKUP(Table113[[#This Row],[Resource]], 'SI - Payload'!$A$10:$A$35,'SI - Payload'!$B$10:$B$35,"",0), "")</f>
        <v/>
      </c>
      <c r="L77" s="10" t="str">
        <f>IF(Table113[[#This Row],[Type]]="Transportation", "ton", "")</f>
        <v/>
      </c>
      <c r="M77" s="10"/>
      <c r="N77" s="10"/>
      <c r="O77" s="10" t="str">
        <f>Table113[[#This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IF(Table113[[#This Row],[Type]]="Co-product", "No", "")</f>
        <v/>
      </c>
      <c r="J78" s="10"/>
      <c r="K78" s="10" t="str">
        <f>IF(Table113[[#This Row],[Type]]="Transportation", _xlfn.XLOOKUP(Table113[[#This Row],[Resource]], 'SI - Payload'!$A$10:$A$35,'SI - Payload'!$B$10:$B$35,"",0), "")</f>
        <v/>
      </c>
      <c r="L78" s="10" t="str">
        <f>IF(Table113[[#This Row],[Type]]="Transportation", "ton", "")</f>
        <v/>
      </c>
      <c r="M78" s="10"/>
      <c r="N78" s="10"/>
      <c r="O78" s="10" t="str">
        <f>Table113[[#This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IF(Table113[[#This Row],[Type]]="Co-product", "No", "")</f>
        <v/>
      </c>
      <c r="J79" s="10"/>
      <c r="K79" s="10" t="str">
        <f>IF(Table113[[#This Row],[Type]]="Transportation", _xlfn.XLOOKUP(Table113[[#This Row],[Resource]], 'SI - Payload'!$A$10:$A$35,'SI - Payload'!$B$10:$B$35,"",0), "")</f>
        <v/>
      </c>
      <c r="L79" s="10" t="str">
        <f>IF(Table113[[#This Row],[Type]]="Transportation", "ton", "")</f>
        <v/>
      </c>
      <c r="M79" s="10"/>
      <c r="N79" s="10"/>
      <c r="O79" s="10" t="str">
        <f>Table113[[#This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IF(Table113[[#This Row],[Type]]="Co-product", "No", "")</f>
        <v/>
      </c>
      <c r="J80" s="10"/>
      <c r="K80" s="10" t="str">
        <f>IF(Table113[[#This Row],[Type]]="Transportation", _xlfn.XLOOKUP(Table113[[#This Row],[Resource]], 'SI - Payload'!$A$10:$A$35,'SI - Payload'!$B$10:$B$35,"",0), "")</f>
        <v/>
      </c>
      <c r="L80" s="10" t="str">
        <f>IF(Table113[[#This Row],[Type]]="Transportation", "ton", "")</f>
        <v/>
      </c>
      <c r="M80" s="10"/>
      <c r="N80" s="10"/>
      <c r="O80" s="10" t="str">
        <f>Table113[[#This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IF(Table113[[#This Row],[Type]]="Co-product", "No", "")</f>
        <v/>
      </c>
      <c r="J81" s="10"/>
      <c r="K81" s="10" t="str">
        <f>IF(Table113[[#This Row],[Type]]="Transportation", _xlfn.XLOOKUP(Table113[[#This Row],[Resource]], 'SI - Payload'!$A$10:$A$35,'SI - Payload'!$B$10:$B$35,"",0), "")</f>
        <v/>
      </c>
      <c r="L81" s="10" t="str">
        <f>IF(Table113[[#This Row],[Type]]="Transportation", "ton", "")</f>
        <v/>
      </c>
      <c r="M81" s="10"/>
      <c r="N81" s="10"/>
      <c r="O81" s="10" t="str">
        <f>Table113[[#This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IF(Table113[[#This Row],[Type]]="Co-product", "No", "")</f>
        <v/>
      </c>
      <c r="J82" s="10"/>
      <c r="K82" s="10" t="str">
        <f>IF(Table113[[#This Row],[Type]]="Transportation", _xlfn.XLOOKUP(Table113[[#This Row],[Resource]], 'SI - Payload'!$A$10:$A$35,'SI - Payload'!$B$10:$B$35,"",0), "")</f>
        <v/>
      </c>
      <c r="L82" s="10" t="str">
        <f>IF(Table113[[#This Row],[Type]]="Transportation", "ton", "")</f>
        <v/>
      </c>
      <c r="M82" s="10"/>
      <c r="N82" s="10"/>
      <c r="O82" s="10" t="str">
        <f>Table113[[#This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IF(Table113[[#This Row],[Type]]="Co-product", "No", "")</f>
        <v/>
      </c>
      <c r="J83" s="10"/>
      <c r="K83" s="10" t="str">
        <f>IF(Table113[[#This Row],[Type]]="Transportation", _xlfn.XLOOKUP(Table113[[#This Row],[Resource]], 'SI - Payload'!$A$10:$A$35,'SI - Payload'!$B$10:$B$35,"",0), "")</f>
        <v/>
      </c>
      <c r="L83" s="10" t="str">
        <f>IF(Table113[[#This Row],[Type]]="Transportation", "ton", "")</f>
        <v/>
      </c>
      <c r="M83" s="10"/>
      <c r="N83" s="10"/>
      <c r="O83" s="10" t="str">
        <f>Table113[[#This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IF(Table113[[#This Row],[Type]]="Co-product", "No", "")</f>
        <v/>
      </c>
      <c r="J84" s="10"/>
      <c r="K84" s="10" t="str">
        <f>IF(Table113[[#This Row],[Type]]="Transportation", _xlfn.XLOOKUP(Table113[[#This Row],[Resource]], 'SI - Payload'!$A$10:$A$35,'SI - Payload'!$B$10:$B$35,"",0), "")</f>
        <v/>
      </c>
      <c r="L84" s="10" t="str">
        <f>IF(Table113[[#This Row],[Type]]="Transportation", "ton", "")</f>
        <v/>
      </c>
      <c r="M84" s="10"/>
      <c r="N84" s="10"/>
      <c r="O84" s="10" t="str">
        <f>Table113[[#This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IF(Table113[[#This Row],[Type]]="Co-product", "No", "")</f>
        <v/>
      </c>
      <c r="J85" s="10"/>
      <c r="K85" s="10" t="str">
        <f>IF(Table113[[#This Row],[Type]]="Transportation", _xlfn.XLOOKUP(Table113[[#This Row],[Resource]], 'SI - Payload'!$A$10:$A$35,'SI - Payload'!$B$10:$B$35,"",0), "")</f>
        <v/>
      </c>
      <c r="L85" s="10" t="str">
        <f>IF(Table113[[#This Row],[Type]]="Transportation", "ton", "")</f>
        <v/>
      </c>
      <c r="M85" s="10"/>
      <c r="N85" s="10"/>
      <c r="O85" s="10" t="str">
        <f>Table113[[#This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IF(Table113[[#This Row],[Type]]="Co-product", "No", "")</f>
        <v/>
      </c>
      <c r="J86" s="10"/>
      <c r="K86" s="10" t="str">
        <f>IF(Table113[[#This Row],[Type]]="Transportation", _xlfn.XLOOKUP(Table113[[#This Row],[Resource]], 'SI - Payload'!$A$10:$A$35,'SI - Payload'!$B$10:$B$35,"",0), "")</f>
        <v/>
      </c>
      <c r="L86" s="10" t="str">
        <f>IF(Table113[[#This Row],[Type]]="Transportation", "ton", "")</f>
        <v/>
      </c>
      <c r="M86" s="10"/>
      <c r="N86" s="10"/>
      <c r="O86" s="10" t="str">
        <f>Table113[[#This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IF(Table113[[#This Row],[Type]]="Co-product", "No", "")</f>
        <v/>
      </c>
      <c r="J87" s="10"/>
      <c r="K87" s="10" t="str">
        <f>IF(Table113[[#This Row],[Type]]="Transportation", _xlfn.XLOOKUP(Table113[[#This Row],[Resource]], 'SI - Payload'!$A$10:$A$35,'SI - Payload'!$B$10:$B$35,"",0), "")</f>
        <v/>
      </c>
      <c r="L87" s="10" t="str">
        <f>IF(Table113[[#This Row],[Type]]="Transportation", "ton", "")</f>
        <v/>
      </c>
      <c r="M87" s="10"/>
      <c r="N87" s="10"/>
      <c r="O87" s="10" t="str">
        <f>Table113[[#This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IF(Table113[[#This Row],[Type]]="Co-product", "No", "")</f>
        <v/>
      </c>
      <c r="J88" s="10"/>
      <c r="K88" s="10" t="str">
        <f>IF(Table113[[#This Row],[Type]]="Transportation", _xlfn.XLOOKUP(Table113[[#This Row],[Resource]], 'SI - Payload'!$A$10:$A$35,'SI - Payload'!$B$10:$B$35,"",0), "")</f>
        <v/>
      </c>
      <c r="L88" s="10" t="str">
        <f>IF(Table113[[#This Row],[Type]]="Transportation", "ton", "")</f>
        <v/>
      </c>
      <c r="M88" s="10"/>
      <c r="N88" s="10"/>
      <c r="O88" s="10" t="str">
        <f>Table113[[#This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IF(Table113[[#This Row],[Type]]="Co-product", "No", "")</f>
        <v/>
      </c>
      <c r="J89" s="10"/>
      <c r="K89" s="10" t="str">
        <f>IF(Table113[[#This Row],[Type]]="Transportation", _xlfn.XLOOKUP(Table113[[#This Row],[Resource]], 'SI - Payload'!$A$10:$A$35,'SI - Payload'!$B$10:$B$35,"",0), "")</f>
        <v/>
      </c>
      <c r="L89" s="10" t="str">
        <f>IF(Table113[[#This Row],[Type]]="Transportation", "ton", "")</f>
        <v/>
      </c>
      <c r="M89" s="10"/>
      <c r="N89" s="10"/>
      <c r="O89" s="10" t="str">
        <f>Table113[[#This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IF(Table113[[#This Row],[Type]]="Co-product", "No", "")</f>
        <v/>
      </c>
      <c r="J90" s="10"/>
      <c r="K90" s="10" t="str">
        <f>IF(Table113[[#This Row],[Type]]="Transportation", _xlfn.XLOOKUP(Table113[[#This Row],[Resource]], 'SI - Payload'!$A$10:$A$35,'SI - Payload'!$B$10:$B$35,"",0), "")</f>
        <v/>
      </c>
      <c r="L90" s="10" t="str">
        <f>IF(Table113[[#This Row],[Type]]="Transportation", "ton", "")</f>
        <v/>
      </c>
      <c r="M90" s="10"/>
      <c r="N90" s="10"/>
      <c r="O90" s="10" t="str">
        <f>Table113[[#This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IF(Table113[[#This Row],[Type]]="Co-product", "No", "")</f>
        <v/>
      </c>
      <c r="J91" s="10"/>
      <c r="K91" s="10" t="str">
        <f>IF(Table113[[#This Row],[Type]]="Transportation", _xlfn.XLOOKUP(Table113[[#This Row],[Resource]], 'SI - Payload'!$A$10:$A$35,'SI - Payload'!$B$10:$B$35,"",0), "")</f>
        <v/>
      </c>
      <c r="L91" s="10" t="str">
        <f>IF(Table113[[#This Row],[Type]]="Transportation", "ton", "")</f>
        <v/>
      </c>
      <c r="M91" s="10"/>
      <c r="N91" s="10"/>
      <c r="O91" s="10" t="str">
        <f>Table113[[#This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IF(Table113[[#This Row],[Type]]="Co-product", "No", "")</f>
        <v/>
      </c>
      <c r="J92" s="10"/>
      <c r="K92" s="10" t="str">
        <f>IF(Table113[[#This Row],[Type]]="Transportation", _xlfn.XLOOKUP(Table113[[#This Row],[Resource]], 'SI - Payload'!$A$10:$A$35,'SI - Payload'!$B$10:$B$35,"",0), "")</f>
        <v/>
      </c>
      <c r="L92" s="10" t="str">
        <f>IF(Table113[[#This Row],[Type]]="Transportation", "ton", "")</f>
        <v/>
      </c>
      <c r="M92" s="10"/>
      <c r="N92" s="10"/>
      <c r="O92" s="10" t="str">
        <f>Table113[[#This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IF(Table113[[#This Row],[Type]]="Co-product", "No", "")</f>
        <v/>
      </c>
      <c r="J93" s="10"/>
      <c r="K93" s="10" t="str">
        <f>IF(Table113[[#This Row],[Type]]="Transportation", _xlfn.XLOOKUP(Table113[[#This Row],[Resource]], 'SI - Payload'!$A$10:$A$35,'SI - Payload'!$B$10:$B$35,"",0), "")</f>
        <v/>
      </c>
      <c r="L93" s="10" t="str">
        <f>IF(Table113[[#This Row],[Type]]="Transportation", "ton", "")</f>
        <v/>
      </c>
      <c r="M93" s="10"/>
      <c r="N93" s="10"/>
      <c r="O93" s="10" t="str">
        <f>Table113[[#This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IF(Table113[[#This Row],[Type]]="Co-product", "No", "")</f>
        <v/>
      </c>
      <c r="J94" s="10"/>
      <c r="K94" s="10" t="str">
        <f>IF(Table113[[#This Row],[Type]]="Transportation", _xlfn.XLOOKUP(Table113[[#This Row],[Resource]], 'SI - Payload'!$A$10:$A$35,'SI - Payload'!$B$10:$B$35,"",0), "")</f>
        <v/>
      </c>
      <c r="L94" s="10" t="str">
        <f>IF(Table113[[#This Row],[Type]]="Transportation", "ton", "")</f>
        <v/>
      </c>
      <c r="M94" s="10"/>
      <c r="N94" s="10"/>
      <c r="O94" s="10" t="str">
        <f>Table113[[#This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IF(Table113[[#This Row],[Type]]="Co-product", "No", "")</f>
        <v/>
      </c>
      <c r="J95" s="10"/>
      <c r="K95" s="10" t="str">
        <f>IF(Table113[[#This Row],[Type]]="Transportation", _xlfn.XLOOKUP(Table113[[#This Row],[Resource]], 'SI - Payload'!$A$10:$A$35,'SI - Payload'!$B$10:$B$35,"",0), "")</f>
        <v/>
      </c>
      <c r="L95" s="10" t="str">
        <f>IF(Table113[[#This Row],[Type]]="Transportation", "ton", "")</f>
        <v/>
      </c>
      <c r="M95" s="10"/>
      <c r="N95" s="10"/>
      <c r="O95" s="10" t="str">
        <f>Table113[[#This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IF(Table113[[#This Row],[Type]]="Co-product", "No", "")</f>
        <v/>
      </c>
      <c r="J96" s="10"/>
      <c r="K96" s="10" t="str">
        <f>IF(Table113[[#This Row],[Type]]="Transportation", _xlfn.XLOOKUP(Table113[[#This Row],[Resource]], 'SI - Payload'!$A$10:$A$35,'SI - Payload'!$B$10:$B$35,"",0), "")</f>
        <v/>
      </c>
      <c r="L96" s="10" t="str">
        <f>IF(Table113[[#This Row],[Type]]="Transportation", "ton", "")</f>
        <v/>
      </c>
      <c r="M96" s="10"/>
      <c r="N96" s="10"/>
      <c r="O96" s="10" t="str">
        <f>Table113[[#This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IF(Table113[[#This Row],[Type]]="Co-product", "No", "")</f>
        <v/>
      </c>
      <c r="J97" s="10"/>
      <c r="K97" s="10" t="str">
        <f>IF(Table113[[#This Row],[Type]]="Transportation", _xlfn.XLOOKUP(Table113[[#This Row],[Resource]], 'SI - Payload'!$A$10:$A$35,'SI - Payload'!$B$10:$B$35,"",0), "")</f>
        <v/>
      </c>
      <c r="L97" s="10" t="str">
        <f>IF(Table113[[#This Row],[Type]]="Transportation", "ton", "")</f>
        <v/>
      </c>
      <c r="M97" s="10"/>
      <c r="N97" s="10"/>
      <c r="O97" s="27" t="str">
        <f>Table113[[#This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IF(Table113[[#This Row],[Type]]="Co-product", "No", "")</f>
        <v/>
      </c>
      <c r="J98" s="10"/>
      <c r="K98" s="10" t="str">
        <f>IF(Table113[[#This Row],[Type]]="Transportation", _xlfn.XLOOKUP(Table113[[#This Row],[Resource]], 'SI - Payload'!$A$10:$A$35,'SI - Payload'!$B$10:$B$35,"",0), "")</f>
        <v/>
      </c>
      <c r="L98" s="10" t="str">
        <f>IF(Table113[[#This Row],[Type]]="Transportation", "ton", "")</f>
        <v/>
      </c>
      <c r="M98" s="10"/>
      <c r="N98" s="10"/>
      <c r="O98" s="27" t="str">
        <f>Table113[[#This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IF(Table113[[#This Row],[Type]]="Co-product", "No", "")</f>
        <v/>
      </c>
      <c r="J99" s="10"/>
      <c r="K99" s="10" t="str">
        <f>IF(Table113[[#This Row],[Type]]="Transportation", _xlfn.XLOOKUP(Table113[[#This Row],[Resource]], 'SI - Payload'!$A$10:$A$35,'SI - Payload'!$B$10:$B$35,"",0), "")</f>
        <v/>
      </c>
      <c r="L99" s="10" t="str">
        <f>IF(Table113[[#This Row],[Type]]="Transportation", "ton", "")</f>
        <v/>
      </c>
      <c r="M99" s="10"/>
      <c r="N99" s="10"/>
      <c r="O99" s="27" t="str">
        <f>Table113[[#This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IF(Table113[[#This Row],[Type]]="Co-product", "No", "")</f>
        <v/>
      </c>
      <c r="J100" s="26"/>
      <c r="K100" s="26" t="str">
        <f>IF(Table113[[#This Row],[Type]]="Transportation", _xlfn.XLOOKUP(Table113[[#This Row],[Resource]], 'SI - Payload'!$A$10:$A$35,'SI - Payload'!$B$10:$B$35,"",0), "")</f>
        <v/>
      </c>
      <c r="L100" s="26" t="str">
        <f>IF(Table113[[#This Row],[Type]]="Transportation", "ton", "")</f>
        <v/>
      </c>
      <c r="M100" s="26"/>
      <c r="N100" s="26"/>
      <c r="O100" s="26" t="str">
        <f>Table113[[#This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Use'!$B$2:$B$51,'SI - End Use'!$C$2:$N$51)</xm:f>
          </x14:formula1>
          <xm:sqref>P5:P100</xm:sqref>
        </x14:dataValidation>
        <x14:dataValidation type="list" allowBlank="1" showInputMessage="1" xr:uid="{A44B4BDD-0527-408D-BE2D-68044770C549}">
          <x14:formula1>
            <xm:f>_xlfn.XLOOKUP($C5,'SI - End Use'!$B$2:$B$51,'SI - End Use'!$C$2:$N$51)</xm:f>
          </x14:formula1>
          <xm:sqref>D5:D100</xm:sqref>
        </x14:dataValidation>
        <x14:dataValidation type="list" allowBlank="1" showInputMessage="1" showErrorMessage="1" xr:uid="{BA3794B0-4693-47B5-BF51-247091B2975C}">
          <x14:formula1>
            <xm:f>IF($B5="Transportation",  'SI - Units'!$B$9:$E$9, _xlfn.XLOOKUP(_xlfn.XLOOKUP($C5,'SI - Units'!$B$24:$B$72,'SI - Units'!$C$24:$C$72),'SI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Units'!$B$24:$B$72,'SI - Units'!$C$24:$C$72),'SI - Units'!$A$13:$A$19,'SI - Units'!$B$13:$R$19))</xm:f>
          </x14:formula1>
          <xm:sqref>N5:N100</xm:sqref>
        </x14:dataValidation>
        <x14:dataValidation type="list" allowBlank="1" showInputMessage="1" showErrorMessage="1" xr:uid="{C37C63BC-FA44-4A71-9527-F39B670A1551}">
          <x14:formula1>
            <xm:f>_xlfn.XLOOKUP(_xlfn.XLOOKUP(#REF!,'SI - Units'!$B$24:$B$72,'SI - Units'!$C$24:$C$72),'SI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271</v>
      </c>
      <c r="I5" s="43" t="str">
        <f>IF(Table116[[#This Row],[Type]]="Co-product", "No", "")</f>
        <v/>
      </c>
      <c r="J5" s="10"/>
      <c r="K5" s="10" t="str">
        <f>IF(Table116[[#This Row],[Type]]="Transportation", _xlfn.XLOOKUP(Table116[[#This Row],[Resource]], 'SI - Payload'!$A$10:$A$35,'SI - Payload'!$B$10:$B$35,"",0), "")</f>
        <v/>
      </c>
      <c r="L5" s="10" t="str">
        <f>IF(Table116[[#This Row],[Type]]="Transportation", "ton", "")</f>
        <v/>
      </c>
      <c r="M5" s="10"/>
      <c r="N5" s="10"/>
      <c r="O5" s="10" t="str">
        <f>Table116[[#This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Data'!B12*1000*'INL Data'!E12</f>
        <v>0</v>
      </c>
      <c r="F6" s="27" t="s">
        <v>73</v>
      </c>
      <c r="G6" s="39"/>
      <c r="H6" s="39"/>
      <c r="I6" s="43" t="str">
        <f>IF(Table116[[#This Row],[Type]]="Co-product", "No", "")</f>
        <v/>
      </c>
      <c r="J6" s="10"/>
      <c r="K6" s="10" t="str">
        <f>IF(Table116[[#This Row],[Type]]="Transportation", _xlfn.XLOOKUP(Table116[[#This Row],[Resource]], 'SI - Payload'!$A$10:$A$35,'SI - Payload'!$B$10:$B$35,"",0), "")</f>
        <v/>
      </c>
      <c r="L6" s="10" t="str">
        <f>IF(Table116[[#This Row],[Type]]="Transportation", "ton", "")</f>
        <v/>
      </c>
      <c r="M6" s="10"/>
      <c r="N6" s="10"/>
      <c r="O6" s="10" t="str">
        <f>Table116[[#This Row],[Resource]]</f>
        <v>Electricity</v>
      </c>
      <c r="P6" s="10" t="str">
        <f>IF(_xlfn.XLOOKUP($O6,'SI - End Use'!$B$2:$B$51,'SI - End Use'!$C$2:$C$51, "")="", "", _xlfn.XLOOKUP($C6,'SI - End Use'!$B$2:$B$51,'SI - End Use'!$C$2:$C$51, ""))</f>
        <v>U.S. Mix</v>
      </c>
      <c r="Q6" s="10"/>
      <c r="R6" s="10"/>
    </row>
    <row r="7" spans="1:18" x14ac:dyDescent="0.35">
      <c r="A7" s="10" t="s">
        <v>0</v>
      </c>
      <c r="B7" s="10" t="s">
        <v>272</v>
      </c>
      <c r="C7" s="10" t="str">
        <f>_xlfn.XLOOKUP($B7,'SI - Resources'!$A$1:$H$1,'SI - Resources'!$A$2:$H$2, "")</f>
        <v>Diesel</v>
      </c>
      <c r="D7" s="27" t="str">
        <f>IF(_xlfn.XLOOKUP($C7,'SI - End Use'!$B$2:$B$51,'SI - End Use'!$C$2:$C$51, "")="", "", _xlfn.XLOOKUP($C7,'SI - End Use'!$B$2:$B$51,'SI - End Use'!$C$2:$C$51, ""))</f>
        <v>Industrial Boiler</v>
      </c>
      <c r="E7" s="91">
        <f>'INL Data'!B12*1000*'INL Data'!D12</f>
        <v>0</v>
      </c>
      <c r="F7" s="27" t="str" cm="1">
        <f t="array" ref="F7">IF($B7="Transportation",  'SI - Units'!$B$9:$B$9, _xlfn.XLOOKUP(_xlfn.XLOOKUP($C7,'SI - Units'!$B$24:$B$72,'SI - Units'!$C$24:$C$72, ""),'SI - Units'!$A$2:$A$8,'SI - Units'!$B$2:$B$8, ""))</f>
        <v>BTU</v>
      </c>
      <c r="G7" s="39"/>
      <c r="H7" s="39"/>
      <c r="I7" s="43" t="str">
        <f>IF(Table116[[#This Row],[Type]]="Co-product", "No", "")</f>
        <v/>
      </c>
      <c r="J7" s="10"/>
      <c r="K7" s="10" t="str">
        <f>IF(Table116[[#This Row],[Type]]="Transportation", _xlfn.XLOOKUP(Table116[[#This Row],[Resource]], 'SI - Payload'!$A$10:$A$35,'SI - Payload'!$B$10:$B$35,"",0), "")</f>
        <v/>
      </c>
      <c r="L7" s="10" t="str">
        <f>IF(Table116[[#This Row],[Type]]="Transportation", "ton", "")</f>
        <v/>
      </c>
      <c r="M7" s="10"/>
      <c r="N7" s="10"/>
      <c r="O7" s="10" t="str">
        <f>Table116[[#This Row],[Resource]]</f>
        <v>Diesel</v>
      </c>
      <c r="P7" s="10" t="str">
        <f>IF(_xlfn.XLOOKUP($O7,'SI - End Use'!$B$2:$B$51,'SI - End Use'!$C$2:$C$51, "")="", "", _xlfn.XLOOKUP($C7,'SI - End Use'!$B$2:$B$51,'SI - End Use'!$C$2:$C$51, ""))</f>
        <v>Industrial Boiler</v>
      </c>
      <c r="Q7" s="10"/>
      <c r="R7" s="10"/>
    </row>
    <row r="8" spans="1:18" x14ac:dyDescent="0.35">
      <c r="A8" s="10" t="s">
        <v>0</v>
      </c>
      <c r="B8" s="10" t="s">
        <v>272</v>
      </c>
      <c r="C8" s="10" t="s">
        <v>24</v>
      </c>
      <c r="D8" s="27" t="str">
        <f>IF(_xlfn.XLOOKUP($C8,'SI - End Use'!$B$2:$B$51,'SI - End Use'!$C$2:$C$51, "")="", "", _xlfn.XLOOKUP($C8,'SI - End Use'!$B$2:$B$51,'SI - End Use'!$C$2:$C$51, ""))</f>
        <v>Utility/ Industrial Boiler (&gt;100 mmBtu/hr input)</v>
      </c>
      <c r="E8" s="91">
        <f>'INL Data'!B12*1000*'INL Data'!F12</f>
        <v>0</v>
      </c>
      <c r="F8" s="27" t="str" cm="1">
        <f t="array" ref="F8">IF($B8="Transportation",  'SI - Units'!$B$9:$B$9, _xlfn.XLOOKUP(_xlfn.XLOOKUP($C8,'SI - Units'!$B$24:$B$72,'SI - Units'!$C$24:$C$72, ""),'SI - Units'!$A$2:$A$8,'SI - Units'!$B$2:$B$8, ""))</f>
        <v>BTU</v>
      </c>
      <c r="G8" s="39"/>
      <c r="H8" s="39"/>
      <c r="I8" s="43" t="str">
        <f>IF(Table116[[#This Row],[Type]]="Co-product", "No", "")</f>
        <v/>
      </c>
      <c r="J8" s="10"/>
      <c r="K8" s="10" t="str">
        <f>IF(Table116[[#This Row],[Type]]="Transportation", _xlfn.XLOOKUP(Table116[[#This Row],[Resource]], 'SI - Payload'!$A$10:$A$35,'SI - Payload'!$B$10:$B$35,"",0), "")</f>
        <v/>
      </c>
      <c r="L8" s="10" t="str">
        <f>IF(Table116[[#This Row],[Type]]="Transportation", "ton", "")</f>
        <v/>
      </c>
      <c r="M8" s="10"/>
      <c r="N8" s="10"/>
      <c r="O8" s="10" t="str">
        <f>Table116[[#This Row],[Resource]]</f>
        <v>Natural Gas</v>
      </c>
      <c r="P8" s="10" t="str">
        <f>IF(_xlfn.XLOOKUP($O8,'SI - End Use'!$B$2:$B$51,'SI - End Use'!$C$2:$C$51, "")="", "", _xlfn.XLOOKUP($C8,'SI - End Use'!$B$2:$B$51,'SI - End Use'!$C$2:$C$51, ""))</f>
        <v>Utility/ Industrial Boiler (&gt;100 mmBtu/hr input)</v>
      </c>
      <c r="Q8" s="10"/>
      <c r="R8" s="10"/>
    </row>
    <row r="9" spans="1:18" x14ac:dyDescent="0.35">
      <c r="A9" s="10" t="s">
        <v>119</v>
      </c>
      <c r="B9" s="10" t="s">
        <v>39</v>
      </c>
      <c r="C9" s="10" t="str">
        <f>_xlfn.XLOOKUP($B9,'SI - Resources'!$A$1:$H$1,'SI - Resources'!$A$2:$H$2, "")</f>
        <v>Corn Stover</v>
      </c>
      <c r="D9" s="27" t="str">
        <f>IF(_xlfn.XLOOKUP($C9,'SI - End Use'!$B$2:$B$51,'SI - End Use'!$C$2:$C$51, "")="", "", _xlfn.XLOOKUP($C9,'SI - End Use'!$B$2:$B$51,'SI - End Use'!$C$2:$C$51, ""))</f>
        <v/>
      </c>
      <c r="E9" s="91">
        <f>1-'INL Data'!H12</f>
        <v>1</v>
      </c>
      <c r="F9" s="27" t="s">
        <v>11</v>
      </c>
      <c r="G9" s="39"/>
      <c r="H9" s="39"/>
      <c r="I9" s="43" t="str">
        <f>IF(Table116[[#This Row],[Type]]="Co-product", "No", "")</f>
        <v/>
      </c>
      <c r="J9" s="10"/>
      <c r="K9" s="10" t="str">
        <f>IF(Table116[[#This Row],[Type]]="Transportation", _xlfn.XLOOKUP(Table116[[#This Row],[Resource]], 'SI - Payload'!$A$10:$A$35,'SI - Payload'!$B$10:$B$35,"",0), "")</f>
        <v/>
      </c>
      <c r="L9" s="10" t="str">
        <f>IF(Table116[[#This Row],[Type]]="Transportation", "ton", "")</f>
        <v/>
      </c>
      <c r="M9" s="10"/>
      <c r="N9" s="10"/>
      <c r="O9" s="10" t="str">
        <f>Table116[[#This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IF(Table116[[#This Row],[Type]]="Co-product", "No", "")</f>
        <v/>
      </c>
      <c r="J10" s="10"/>
      <c r="K10" s="10" t="str">
        <f>IF(Table116[[#This Row],[Type]]="Transportation", _xlfn.XLOOKUP(Table116[[#This Row],[Resource]], 'SI - Payload'!$A$10:$A$35,'SI - Payload'!$B$10:$B$35,"",0), "")</f>
        <v/>
      </c>
      <c r="L10" s="10" t="str">
        <f>IF(Table116[[#This Row],[Type]]="Transportation", "ton", "")</f>
        <v/>
      </c>
      <c r="M10" s="10"/>
      <c r="N10" s="10"/>
      <c r="O10" s="10" t="str">
        <f>Table116[[#This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IF(Table116[[#This Row],[Type]]="Co-product", "No", "")</f>
        <v/>
      </c>
      <c r="J11" s="10"/>
      <c r="K11" s="10" t="str">
        <f>IF(Table116[[#This Row],[Type]]="Transportation", _xlfn.XLOOKUP(Table116[[#This Row],[Resource]], 'SI - Payload'!$A$10:$A$35,'SI - Payload'!$B$10:$B$35,"",0), "")</f>
        <v/>
      </c>
      <c r="L11" s="10" t="str">
        <f>IF(Table116[[#This Row],[Type]]="Transportation", "ton", "")</f>
        <v/>
      </c>
      <c r="M11" s="10"/>
      <c r="N11" s="10"/>
      <c r="O11" s="10" t="str">
        <f>Table116[[#This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IF(Table116[[#This Row],[Type]]="Co-product", "No", "")</f>
        <v/>
      </c>
      <c r="J12" s="10"/>
      <c r="K12" s="10" t="str">
        <f>IF(Table116[[#This Row],[Type]]="Transportation", _xlfn.XLOOKUP(Table116[[#This Row],[Resource]], 'SI - Payload'!$A$10:$A$35,'SI - Payload'!$B$10:$B$35,"",0), "")</f>
        <v/>
      </c>
      <c r="L12" s="10" t="str">
        <f>IF(Table116[[#This Row],[Type]]="Transportation", "ton", "")</f>
        <v/>
      </c>
      <c r="M12" s="10"/>
      <c r="N12" s="10"/>
      <c r="O12" s="10" t="str">
        <f>Table116[[#This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IF(Table116[[#This Row],[Type]]="Co-product", "No", "")</f>
        <v/>
      </c>
      <c r="J13" s="10"/>
      <c r="K13" s="10" t="str">
        <f>IF(Table116[[#This Row],[Type]]="Transportation", _xlfn.XLOOKUP(Table116[[#This Row],[Resource]], 'SI - Payload'!$A$10:$A$35,'SI - Payload'!$B$10:$B$35,"",0), "")</f>
        <v/>
      </c>
      <c r="L13" s="10" t="str">
        <f>IF(Table116[[#This Row],[Type]]="Transportation", "ton", "")</f>
        <v/>
      </c>
      <c r="M13" s="10"/>
      <c r="N13" s="10"/>
      <c r="O13" s="10" t="str">
        <f>Table116[[#This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IF(Table116[[#This Row],[Type]]="Co-product", "No", "")</f>
        <v/>
      </c>
      <c r="J14" s="10"/>
      <c r="K14" s="10" t="str">
        <f>IF(Table116[[#This Row],[Type]]="Transportation", _xlfn.XLOOKUP(Table116[[#This Row],[Resource]], 'SI - Payload'!$A$10:$A$35,'SI - Payload'!$B$10:$B$35,"",0), "")</f>
        <v/>
      </c>
      <c r="L14" s="10" t="str">
        <f>IF(Table116[[#This Row],[Type]]="Transportation", "ton", "")</f>
        <v/>
      </c>
      <c r="M14" s="10"/>
      <c r="N14" s="10"/>
      <c r="O14" s="10" t="str">
        <f>Table116[[#This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IF(Table116[[#This Row],[Type]]="Co-product", "No", "")</f>
        <v/>
      </c>
      <c r="J15" s="10"/>
      <c r="K15" s="10" t="str">
        <f>IF(Table116[[#This Row],[Type]]="Transportation", _xlfn.XLOOKUP(Table116[[#This Row],[Resource]], 'SI - Payload'!$A$10:$A$35,'SI - Payload'!$B$10:$B$35,"",0), "")</f>
        <v/>
      </c>
      <c r="L15" s="10" t="str">
        <f>IF(Table116[[#This Row],[Type]]="Transportation", "ton", "")</f>
        <v/>
      </c>
      <c r="M15" s="10"/>
      <c r="N15" s="10"/>
      <c r="O15" s="10" t="str">
        <f>Table116[[#This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IF(Table116[[#This Row],[Type]]="Co-product", "No", "")</f>
        <v/>
      </c>
      <c r="J16" s="10"/>
      <c r="K16" s="10" t="str">
        <f>IF(Table116[[#This Row],[Type]]="Transportation", _xlfn.XLOOKUP(Table116[[#This Row],[Resource]], 'SI - Payload'!$A$10:$A$35,'SI - Payload'!$B$10:$B$35,"",0), "")</f>
        <v/>
      </c>
      <c r="L16" s="10" t="str">
        <f>IF(Table116[[#This Row],[Type]]="Transportation", "ton", "")</f>
        <v/>
      </c>
      <c r="M16" s="10"/>
      <c r="N16" s="10"/>
      <c r="O16" s="10" t="str">
        <f>Table116[[#This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IF(Table116[[#This Row],[Type]]="Co-product", "No", "")</f>
        <v/>
      </c>
      <c r="J17" s="10"/>
      <c r="K17" s="10" t="str">
        <f>IF(Table116[[#This Row],[Type]]="Transportation", _xlfn.XLOOKUP(Table116[[#This Row],[Resource]], 'SI - Payload'!$A$10:$A$35,'SI - Payload'!$B$10:$B$35,"",0), "")</f>
        <v/>
      </c>
      <c r="L17" s="10" t="str">
        <f>IF(Table116[[#This Row],[Type]]="Transportation", "ton", "")</f>
        <v/>
      </c>
      <c r="M17" s="10"/>
      <c r="N17" s="10"/>
      <c r="O17" s="10" t="str">
        <f>Table116[[#This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IF(Table116[[#This Row],[Type]]="Co-product", "No", "")</f>
        <v/>
      </c>
      <c r="J18" s="10"/>
      <c r="K18" s="10" t="str">
        <f>IF(Table116[[#This Row],[Type]]="Transportation", _xlfn.XLOOKUP(Table116[[#This Row],[Resource]], 'SI - Payload'!$A$10:$A$35,'SI - Payload'!$B$10:$B$35,"",0), "")</f>
        <v/>
      </c>
      <c r="L18" s="10" t="str">
        <f>IF(Table116[[#This Row],[Type]]="Transportation", "ton", "")</f>
        <v/>
      </c>
      <c r="M18" s="10"/>
      <c r="N18" s="10"/>
      <c r="O18" s="10" t="str">
        <f>Table116[[#This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IF(Table116[[#This Row],[Type]]="Co-product", "No", "")</f>
        <v/>
      </c>
      <c r="J19" s="10"/>
      <c r="K19" s="10" t="str">
        <f>IF(Table116[[#This Row],[Type]]="Transportation", _xlfn.XLOOKUP(Table116[[#This Row],[Resource]], 'SI - Payload'!$A$10:$A$35,'SI - Payload'!$B$10:$B$35,"",0), "")</f>
        <v/>
      </c>
      <c r="L19" s="10" t="str">
        <f>IF(Table116[[#This Row],[Type]]="Transportation", "ton", "")</f>
        <v/>
      </c>
      <c r="M19" s="10"/>
      <c r="N19" s="10"/>
      <c r="O19" s="10" t="str">
        <f>Table116[[#This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IF(Table116[[#This Row],[Type]]="Co-product", "No", "")</f>
        <v/>
      </c>
      <c r="J20" s="10"/>
      <c r="K20" s="10" t="str">
        <f>IF(Table116[[#This Row],[Type]]="Transportation", _xlfn.XLOOKUP(Table116[[#This Row],[Resource]], 'SI - Payload'!$A$10:$A$35,'SI - Payload'!$B$10:$B$35,"",0), "")</f>
        <v/>
      </c>
      <c r="L20" s="10" t="str">
        <f>IF(Table116[[#This Row],[Type]]="Transportation", "ton", "")</f>
        <v/>
      </c>
      <c r="M20" s="10"/>
      <c r="N20" s="10"/>
      <c r="O20" s="10" t="str">
        <f>Table116[[#This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IF(Table116[[#This Row],[Type]]="Co-product", "No", "")</f>
        <v/>
      </c>
      <c r="J21" s="10"/>
      <c r="K21" s="10" t="str">
        <f>IF(Table116[[#This Row],[Type]]="Transportation", _xlfn.XLOOKUP(Table116[[#This Row],[Resource]], 'SI - Payload'!$A$10:$A$35,'SI - Payload'!$B$10:$B$35,"",0), "")</f>
        <v/>
      </c>
      <c r="L21" s="10" t="str">
        <f>IF(Table116[[#This Row],[Type]]="Transportation", "ton", "")</f>
        <v/>
      </c>
      <c r="M21" s="10"/>
      <c r="N21" s="10"/>
      <c r="O21" s="10" t="str">
        <f>Table116[[#This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IF(Table116[[#This Row],[Type]]="Co-product", "No", "")</f>
        <v/>
      </c>
      <c r="J22" s="10"/>
      <c r="K22" s="10" t="str">
        <f>IF(Table116[[#This Row],[Type]]="Transportation", _xlfn.XLOOKUP(Table116[[#This Row],[Resource]], 'SI - Payload'!$A$10:$A$35,'SI - Payload'!$B$10:$B$35,"",0), "")</f>
        <v/>
      </c>
      <c r="L22" s="10" t="str">
        <f>IF(Table116[[#This Row],[Type]]="Transportation", "ton", "")</f>
        <v/>
      </c>
      <c r="M22" s="10"/>
      <c r="N22" s="10"/>
      <c r="O22" s="10" t="str">
        <f>Table116[[#This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IF(Table116[[#This Row],[Type]]="Co-product", "No", "")</f>
        <v/>
      </c>
      <c r="J23" s="10"/>
      <c r="K23" s="10" t="str">
        <f>IF(Table116[[#This Row],[Type]]="Transportation", _xlfn.XLOOKUP(Table116[[#This Row],[Resource]], 'SI - Payload'!$A$10:$A$35,'SI - Payload'!$B$10:$B$35,"",0), "")</f>
        <v/>
      </c>
      <c r="L23" s="10" t="str">
        <f>IF(Table116[[#This Row],[Type]]="Transportation", "ton", "")</f>
        <v/>
      </c>
      <c r="M23" s="10"/>
      <c r="N23" s="10"/>
      <c r="O23" s="10" t="str">
        <f>Table116[[#This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IF(Table116[[#This Row],[Type]]="Co-product", "No", "")</f>
        <v/>
      </c>
      <c r="J24" s="10"/>
      <c r="K24" s="10" t="str">
        <f>IF(Table116[[#This Row],[Type]]="Transportation", _xlfn.XLOOKUP(Table116[[#This Row],[Resource]], 'SI - Payload'!$A$10:$A$35,'SI - Payload'!$B$10:$B$35,"",0), "")</f>
        <v/>
      </c>
      <c r="L24" s="10" t="str">
        <f>IF(Table116[[#This Row],[Type]]="Transportation", "ton", "")</f>
        <v/>
      </c>
      <c r="M24" s="10"/>
      <c r="N24" s="10"/>
      <c r="O24" s="10" t="str">
        <f>Table116[[#This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IF(Table116[[#This Row],[Type]]="Co-product", "No", "")</f>
        <v/>
      </c>
      <c r="J25" s="10"/>
      <c r="K25" s="10" t="str">
        <f>IF(Table116[[#This Row],[Type]]="Transportation", _xlfn.XLOOKUP(Table116[[#This Row],[Resource]], 'SI - Payload'!$A$10:$A$35,'SI - Payload'!$B$10:$B$35,"",0), "")</f>
        <v/>
      </c>
      <c r="L25" s="10" t="str">
        <f>IF(Table116[[#This Row],[Type]]="Transportation", "ton", "")</f>
        <v/>
      </c>
      <c r="M25" s="10"/>
      <c r="N25" s="10"/>
      <c r="O25" s="10" t="str">
        <f>Table116[[#This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IF(Table116[[#This Row],[Type]]="Co-product", "No", "")</f>
        <v/>
      </c>
      <c r="J26" s="10"/>
      <c r="K26" s="10" t="str">
        <f>IF(Table116[[#This Row],[Type]]="Transportation", _xlfn.XLOOKUP(Table116[[#This Row],[Resource]], 'SI - Payload'!$A$10:$A$35,'SI - Payload'!$B$10:$B$35,"",0), "")</f>
        <v/>
      </c>
      <c r="L26" s="10" t="str">
        <f>IF(Table116[[#This Row],[Type]]="Transportation", "ton", "")</f>
        <v/>
      </c>
      <c r="M26" s="10"/>
      <c r="N26" s="10"/>
      <c r="O26" s="10" t="str">
        <f>Table116[[#This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IF(Table116[[#This Row],[Type]]="Co-product", "No", "")</f>
        <v/>
      </c>
      <c r="J27" s="10"/>
      <c r="K27" s="10" t="str">
        <f>IF(Table116[[#This Row],[Type]]="Transportation", _xlfn.XLOOKUP(Table116[[#This Row],[Resource]], 'SI - Payload'!$A$10:$A$35,'SI - Payload'!$B$10:$B$35,"",0), "")</f>
        <v/>
      </c>
      <c r="L27" s="10" t="str">
        <f>IF(Table116[[#This Row],[Type]]="Transportation", "ton", "")</f>
        <v/>
      </c>
      <c r="M27" s="10"/>
      <c r="N27" s="10"/>
      <c r="O27" s="10" t="str">
        <f>Table116[[#This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IF(Table116[[#This Row],[Type]]="Co-product", "No", "")</f>
        <v/>
      </c>
      <c r="J28" s="10"/>
      <c r="K28" s="10" t="str">
        <f>IF(Table116[[#This Row],[Type]]="Transportation", _xlfn.XLOOKUP(Table116[[#This Row],[Resource]], 'SI - Payload'!$A$10:$A$35,'SI - Payload'!$B$10:$B$35,"",0), "")</f>
        <v/>
      </c>
      <c r="L28" s="10" t="str">
        <f>IF(Table116[[#This Row],[Type]]="Transportation", "ton", "")</f>
        <v/>
      </c>
      <c r="M28" s="10"/>
      <c r="N28" s="10"/>
      <c r="O28" s="10" t="str">
        <f>Table116[[#This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IF(Table116[[#This Row],[Type]]="Co-product", "No", "")</f>
        <v/>
      </c>
      <c r="J29" s="10"/>
      <c r="K29" s="10" t="str">
        <f>IF(Table116[[#This Row],[Type]]="Transportation", _xlfn.XLOOKUP(Table116[[#This Row],[Resource]], 'SI - Payload'!$A$10:$A$35,'SI - Payload'!$B$10:$B$35,"",0), "")</f>
        <v/>
      </c>
      <c r="L29" s="10" t="str">
        <f>IF(Table116[[#This Row],[Type]]="Transportation", "ton", "")</f>
        <v/>
      </c>
      <c r="M29" s="10"/>
      <c r="N29" s="10"/>
      <c r="O29" s="10" t="str">
        <f>Table116[[#This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IF(Table116[[#This Row],[Type]]="Co-product", "No", "")</f>
        <v/>
      </c>
      <c r="J30" s="10"/>
      <c r="K30" s="10" t="str">
        <f>IF(Table116[[#This Row],[Type]]="Transportation", _xlfn.XLOOKUP(Table116[[#This Row],[Resource]], 'SI - Payload'!$A$10:$A$35,'SI - Payload'!$B$10:$B$35,"",0), "")</f>
        <v/>
      </c>
      <c r="L30" s="10" t="str">
        <f>IF(Table116[[#This Row],[Type]]="Transportation", "ton", "")</f>
        <v/>
      </c>
      <c r="M30" s="10"/>
      <c r="N30" s="10"/>
      <c r="O30" s="10" t="str">
        <f>Table116[[#This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IF(Table116[[#This Row],[Type]]="Co-product", "No", "")</f>
        <v/>
      </c>
      <c r="J31" s="10"/>
      <c r="K31" s="10" t="str">
        <f>IF(Table116[[#This Row],[Type]]="Transportation", _xlfn.XLOOKUP(Table116[[#This Row],[Resource]], 'SI - Payload'!$A$10:$A$35,'SI - Payload'!$B$10:$B$35,"",0), "")</f>
        <v/>
      </c>
      <c r="L31" s="10" t="str">
        <f>IF(Table116[[#This Row],[Type]]="Transportation", "ton", "")</f>
        <v/>
      </c>
      <c r="M31" s="10"/>
      <c r="N31" s="10"/>
      <c r="O31" s="10" t="str">
        <f>Table116[[#This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IF(Table116[[#This Row],[Type]]="Co-product", "No", "")</f>
        <v/>
      </c>
      <c r="J32" s="10"/>
      <c r="K32" s="10" t="str">
        <f>IF(Table116[[#This Row],[Type]]="Transportation", _xlfn.XLOOKUP(Table116[[#This Row],[Resource]], 'SI - Payload'!$A$10:$A$35,'SI - Payload'!$B$10:$B$35,"",0), "")</f>
        <v/>
      </c>
      <c r="L32" s="10" t="str">
        <f>IF(Table116[[#This Row],[Type]]="Transportation", "ton", "")</f>
        <v/>
      </c>
      <c r="M32" s="10"/>
      <c r="N32" s="10"/>
      <c r="O32" s="10" t="str">
        <f>Table116[[#This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IF(Table116[[#This Row],[Type]]="Co-product", "No", "")</f>
        <v/>
      </c>
      <c r="J33" s="10"/>
      <c r="K33" s="10" t="str">
        <f>IF(Table116[[#This Row],[Type]]="Transportation", _xlfn.XLOOKUP(Table116[[#This Row],[Resource]], 'SI - Payload'!$A$10:$A$35,'SI - Payload'!$B$10:$B$35,"",0), "")</f>
        <v/>
      </c>
      <c r="L33" s="10" t="str">
        <f>IF(Table116[[#This Row],[Type]]="Transportation", "ton", "")</f>
        <v/>
      </c>
      <c r="M33" s="10"/>
      <c r="N33" s="10"/>
      <c r="O33" s="10" t="str">
        <f>Table116[[#This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IF(Table116[[#This Row],[Type]]="Co-product", "No", "")</f>
        <v/>
      </c>
      <c r="J34" s="10"/>
      <c r="K34" s="10" t="str">
        <f>IF(Table116[[#This Row],[Type]]="Transportation", _xlfn.XLOOKUP(Table116[[#This Row],[Resource]], 'SI - Payload'!$A$10:$A$35,'SI - Payload'!$B$10:$B$35,"",0), "")</f>
        <v/>
      </c>
      <c r="L34" s="10" t="str">
        <f>IF(Table116[[#This Row],[Type]]="Transportation", "ton", "")</f>
        <v/>
      </c>
      <c r="M34" s="10"/>
      <c r="N34" s="10"/>
      <c r="O34" s="10" t="str">
        <f>Table116[[#This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IF(Table116[[#This Row],[Type]]="Co-product", "No", "")</f>
        <v/>
      </c>
      <c r="J35" s="10"/>
      <c r="K35" s="10" t="str">
        <f>IF(Table116[[#This Row],[Type]]="Transportation", _xlfn.XLOOKUP(Table116[[#This Row],[Resource]], 'SI - Payload'!$A$10:$A$35,'SI - Payload'!$B$10:$B$35,"",0), "")</f>
        <v/>
      </c>
      <c r="L35" s="10" t="str">
        <f>IF(Table116[[#This Row],[Type]]="Transportation", "ton", "")</f>
        <v/>
      </c>
      <c r="M35" s="10"/>
      <c r="N35" s="10"/>
      <c r="O35" s="10" t="str">
        <f>Table116[[#This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IF(Table116[[#This Row],[Type]]="Co-product", "No", "")</f>
        <v/>
      </c>
      <c r="J36" s="10"/>
      <c r="K36" s="10" t="str">
        <f>IF(Table116[[#This Row],[Type]]="Transportation", _xlfn.XLOOKUP(Table116[[#This Row],[Resource]], 'SI - Payload'!$A$10:$A$35,'SI - Payload'!$B$10:$B$35,"",0), "")</f>
        <v/>
      </c>
      <c r="L36" s="10" t="str">
        <f>IF(Table116[[#This Row],[Type]]="Transportation", "ton", "")</f>
        <v/>
      </c>
      <c r="M36" s="10"/>
      <c r="N36" s="10"/>
      <c r="O36" s="10" t="str">
        <f>Table116[[#This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IF(Table116[[#This Row],[Type]]="Co-product", "No", "")</f>
        <v/>
      </c>
      <c r="J37" s="10"/>
      <c r="K37" s="10" t="str">
        <f>IF(Table116[[#This Row],[Type]]="Transportation", _xlfn.XLOOKUP(Table116[[#This Row],[Resource]], 'SI - Payload'!$A$10:$A$35,'SI - Payload'!$B$10:$B$35,"",0), "")</f>
        <v/>
      </c>
      <c r="L37" s="10" t="str">
        <f>IF(Table116[[#This Row],[Type]]="Transportation", "ton", "")</f>
        <v/>
      </c>
      <c r="M37" s="10"/>
      <c r="N37" s="10"/>
      <c r="O37" s="10" t="str">
        <f>Table116[[#This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IF(Table116[[#This Row],[Type]]="Co-product", "No", "")</f>
        <v/>
      </c>
      <c r="J38" s="10"/>
      <c r="K38" s="10" t="str">
        <f>IF(Table116[[#This Row],[Type]]="Transportation", _xlfn.XLOOKUP(Table116[[#This Row],[Resource]], 'SI - Payload'!$A$10:$A$35,'SI - Payload'!$B$10:$B$35,"",0), "")</f>
        <v/>
      </c>
      <c r="L38" s="10" t="str">
        <f>IF(Table116[[#This Row],[Type]]="Transportation", "ton", "")</f>
        <v/>
      </c>
      <c r="M38" s="10"/>
      <c r="N38" s="10"/>
      <c r="O38" s="10" t="str">
        <f>Table116[[#This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IF(Table116[[#This Row],[Type]]="Co-product", "No", "")</f>
        <v/>
      </c>
      <c r="J39" s="10"/>
      <c r="K39" s="10" t="str">
        <f>IF(Table116[[#This Row],[Type]]="Transportation", _xlfn.XLOOKUP(Table116[[#This Row],[Resource]], 'SI - Payload'!$A$10:$A$35,'SI - Payload'!$B$10:$B$35,"",0), "")</f>
        <v/>
      </c>
      <c r="L39" s="10" t="str">
        <f>IF(Table116[[#This Row],[Type]]="Transportation", "ton", "")</f>
        <v/>
      </c>
      <c r="M39" s="10"/>
      <c r="N39" s="10"/>
      <c r="O39" s="10" t="str">
        <f>Table116[[#This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IF(Table116[[#This Row],[Type]]="Co-product", "No", "")</f>
        <v/>
      </c>
      <c r="J40" s="10"/>
      <c r="K40" s="10" t="str">
        <f>IF(Table116[[#This Row],[Type]]="Transportation", _xlfn.XLOOKUP(Table116[[#This Row],[Resource]], 'SI - Payload'!$A$10:$A$35,'SI - Payload'!$B$10:$B$35,"",0), "")</f>
        <v/>
      </c>
      <c r="L40" s="10" t="str">
        <f>IF(Table116[[#This Row],[Type]]="Transportation", "ton", "")</f>
        <v/>
      </c>
      <c r="M40" s="10"/>
      <c r="N40" s="10"/>
      <c r="O40" s="10" t="str">
        <f>Table116[[#This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IF(Table116[[#This Row],[Type]]="Co-product", "No", "")</f>
        <v/>
      </c>
      <c r="J41" s="10"/>
      <c r="K41" s="10" t="str">
        <f>IF(Table116[[#This Row],[Type]]="Transportation", _xlfn.XLOOKUP(Table116[[#This Row],[Resource]], 'SI - Payload'!$A$10:$A$35,'SI - Payload'!$B$10:$B$35,"",0), "")</f>
        <v/>
      </c>
      <c r="L41" s="10" t="str">
        <f>IF(Table116[[#This Row],[Type]]="Transportation", "ton", "")</f>
        <v/>
      </c>
      <c r="M41" s="10"/>
      <c r="N41" s="10"/>
      <c r="O41" s="10" t="str">
        <f>Table116[[#This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IF(Table116[[#This Row],[Type]]="Co-product", "No", "")</f>
        <v/>
      </c>
      <c r="J42" s="10"/>
      <c r="K42" s="10" t="str">
        <f>IF(Table116[[#This Row],[Type]]="Transportation", _xlfn.XLOOKUP(Table116[[#This Row],[Resource]], 'SI - Payload'!$A$10:$A$35,'SI - Payload'!$B$10:$B$35,"",0), "")</f>
        <v/>
      </c>
      <c r="L42" s="10" t="str">
        <f>IF(Table116[[#This Row],[Type]]="Transportation", "ton", "")</f>
        <v/>
      </c>
      <c r="M42" s="10"/>
      <c r="N42" s="10"/>
      <c r="O42" s="10" t="str">
        <f>Table116[[#This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IF(Table116[[#This Row],[Type]]="Co-product", "No", "")</f>
        <v/>
      </c>
      <c r="J43" s="10"/>
      <c r="K43" s="10" t="str">
        <f>IF(Table116[[#This Row],[Type]]="Transportation", _xlfn.XLOOKUP(Table116[[#This Row],[Resource]], 'SI - Payload'!$A$10:$A$35,'SI - Payload'!$B$10:$B$35,"",0), "")</f>
        <v/>
      </c>
      <c r="L43" s="10" t="str">
        <f>IF(Table116[[#This Row],[Type]]="Transportation", "ton", "")</f>
        <v/>
      </c>
      <c r="M43" s="10"/>
      <c r="N43" s="10"/>
      <c r="O43" s="10" t="str">
        <f>Table116[[#This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IF(Table116[[#This Row],[Type]]="Co-product", "No", "")</f>
        <v/>
      </c>
      <c r="J44" s="10"/>
      <c r="K44" s="10" t="str">
        <f>IF(Table116[[#This Row],[Type]]="Transportation", _xlfn.XLOOKUP(Table116[[#This Row],[Resource]], 'SI - Payload'!$A$10:$A$35,'SI - Payload'!$B$10:$B$35,"",0), "")</f>
        <v/>
      </c>
      <c r="L44" s="10" t="str">
        <f>IF(Table116[[#This Row],[Type]]="Transportation", "ton", "")</f>
        <v/>
      </c>
      <c r="M44" s="10"/>
      <c r="N44" s="10"/>
      <c r="O44" s="10" t="str">
        <f>Table116[[#This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IF(Table116[[#This Row],[Type]]="Co-product", "No", "")</f>
        <v/>
      </c>
      <c r="J45" s="10"/>
      <c r="K45" s="10" t="str">
        <f>IF(Table116[[#This Row],[Type]]="Transportation", _xlfn.XLOOKUP(Table116[[#This Row],[Resource]], 'SI - Payload'!$A$10:$A$35,'SI - Payload'!$B$10:$B$35,"",0), "")</f>
        <v/>
      </c>
      <c r="L45" s="10" t="str">
        <f>IF(Table116[[#This Row],[Type]]="Transportation", "ton", "")</f>
        <v/>
      </c>
      <c r="M45" s="10"/>
      <c r="N45" s="10"/>
      <c r="O45" s="10" t="str">
        <f>Table116[[#This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IF(Table116[[#This Row],[Type]]="Co-product", "No", "")</f>
        <v/>
      </c>
      <c r="J46" s="10"/>
      <c r="K46" s="10" t="str">
        <f>IF(Table116[[#This Row],[Type]]="Transportation", _xlfn.XLOOKUP(Table116[[#This Row],[Resource]], 'SI - Payload'!$A$10:$A$35,'SI - Payload'!$B$10:$B$35,"",0), "")</f>
        <v/>
      </c>
      <c r="L46" s="10" t="str">
        <f>IF(Table116[[#This Row],[Type]]="Transportation", "ton", "")</f>
        <v/>
      </c>
      <c r="M46" s="10"/>
      <c r="N46" s="10"/>
      <c r="O46" s="10" t="str">
        <f>Table116[[#This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IF(Table116[[#This Row],[Type]]="Co-product", "No", "")</f>
        <v/>
      </c>
      <c r="J47" s="10"/>
      <c r="K47" s="10" t="str">
        <f>IF(Table116[[#This Row],[Type]]="Transportation", _xlfn.XLOOKUP(Table116[[#This Row],[Resource]], 'SI - Payload'!$A$10:$A$35,'SI - Payload'!$B$10:$B$35,"",0), "")</f>
        <v/>
      </c>
      <c r="L47" s="10" t="str">
        <f>IF(Table116[[#This Row],[Type]]="Transportation", "ton", "")</f>
        <v/>
      </c>
      <c r="M47" s="10"/>
      <c r="N47" s="10"/>
      <c r="O47" s="10" t="str">
        <f>Table116[[#This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IF(Table116[[#This Row],[Type]]="Co-product", "No", "")</f>
        <v/>
      </c>
      <c r="J48" s="10"/>
      <c r="K48" s="10" t="str">
        <f>IF(Table116[[#This Row],[Type]]="Transportation", _xlfn.XLOOKUP(Table116[[#This Row],[Resource]], 'SI - Payload'!$A$10:$A$35,'SI - Payload'!$B$10:$B$35,"",0), "")</f>
        <v/>
      </c>
      <c r="L48" s="10" t="str">
        <f>IF(Table116[[#This Row],[Type]]="Transportation", "ton", "")</f>
        <v/>
      </c>
      <c r="M48" s="10"/>
      <c r="N48" s="10"/>
      <c r="O48" s="10" t="str">
        <f>Table116[[#This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IF(Table116[[#This Row],[Type]]="Co-product", "No", "")</f>
        <v/>
      </c>
      <c r="J49" s="10"/>
      <c r="K49" s="10" t="str">
        <f>IF(Table116[[#This Row],[Type]]="Transportation", _xlfn.XLOOKUP(Table116[[#This Row],[Resource]], 'SI - Payload'!$A$10:$A$35,'SI - Payload'!$B$10:$B$35,"",0), "")</f>
        <v/>
      </c>
      <c r="L49" s="10" t="str">
        <f>IF(Table116[[#This Row],[Type]]="Transportation", "ton", "")</f>
        <v/>
      </c>
      <c r="M49" s="10"/>
      <c r="N49" s="10"/>
      <c r="O49" s="10" t="str">
        <f>Table116[[#This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IF(Table116[[#This Row],[Type]]="Co-product", "No", "")</f>
        <v/>
      </c>
      <c r="J50" s="10"/>
      <c r="K50" s="10" t="str">
        <f>IF(Table116[[#This Row],[Type]]="Transportation", _xlfn.XLOOKUP(Table116[[#This Row],[Resource]], 'SI - Payload'!$A$10:$A$35,'SI - Payload'!$B$10:$B$35,"",0), "")</f>
        <v/>
      </c>
      <c r="L50" s="10" t="str">
        <f>IF(Table116[[#This Row],[Type]]="Transportation", "ton", "")</f>
        <v/>
      </c>
      <c r="M50" s="10"/>
      <c r="N50" s="10"/>
      <c r="O50" s="10" t="str">
        <f>Table116[[#This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IF(Table116[[#This Row],[Type]]="Co-product", "No", "")</f>
        <v/>
      </c>
      <c r="J51" s="10"/>
      <c r="K51" s="10" t="str">
        <f>IF(Table116[[#This Row],[Type]]="Transportation", _xlfn.XLOOKUP(Table116[[#This Row],[Resource]], 'SI - Payload'!$A$10:$A$35,'SI - Payload'!$B$10:$B$35,"",0), "")</f>
        <v/>
      </c>
      <c r="L51" s="10" t="str">
        <f>IF(Table116[[#This Row],[Type]]="Transportation", "ton", "")</f>
        <v/>
      </c>
      <c r="M51" s="10"/>
      <c r="N51" s="10"/>
      <c r="O51" s="10" t="str">
        <f>Table116[[#This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IF(Table116[[#This Row],[Type]]="Co-product", "No", "")</f>
        <v/>
      </c>
      <c r="J52" s="10"/>
      <c r="K52" s="10" t="str">
        <f>IF(Table116[[#This Row],[Type]]="Transportation", _xlfn.XLOOKUP(Table116[[#This Row],[Resource]], 'SI - Payload'!$A$10:$A$35,'SI - Payload'!$B$10:$B$35,"",0), "")</f>
        <v/>
      </c>
      <c r="L52" s="10" t="str">
        <f>IF(Table116[[#This Row],[Type]]="Transportation", "ton", "")</f>
        <v/>
      </c>
      <c r="M52" s="10"/>
      <c r="N52" s="10"/>
      <c r="O52" s="10" t="str">
        <f>Table116[[#This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IF(Table116[[#This Row],[Type]]="Co-product", "No", "")</f>
        <v/>
      </c>
      <c r="J53" s="10"/>
      <c r="K53" s="10" t="str">
        <f>IF(Table116[[#This Row],[Type]]="Transportation", _xlfn.XLOOKUP(Table116[[#This Row],[Resource]], 'SI - Payload'!$A$10:$A$35,'SI - Payload'!$B$10:$B$35,"",0), "")</f>
        <v/>
      </c>
      <c r="L53" s="10" t="str">
        <f>IF(Table116[[#This Row],[Type]]="Transportation", "ton", "")</f>
        <v/>
      </c>
      <c r="M53" s="10"/>
      <c r="N53" s="10"/>
      <c r="O53" s="10" t="str">
        <f>Table116[[#This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IF(Table116[[#This Row],[Type]]="Co-product", "No", "")</f>
        <v/>
      </c>
      <c r="J54" s="10"/>
      <c r="K54" s="10" t="str">
        <f>IF(Table116[[#This Row],[Type]]="Transportation", _xlfn.XLOOKUP(Table116[[#This Row],[Resource]], 'SI - Payload'!$A$10:$A$35,'SI - Payload'!$B$10:$B$35,"",0), "")</f>
        <v/>
      </c>
      <c r="L54" s="10" t="str">
        <f>IF(Table116[[#This Row],[Type]]="Transportation", "ton", "")</f>
        <v/>
      </c>
      <c r="M54" s="10"/>
      <c r="N54" s="10"/>
      <c r="O54" s="10" t="str">
        <f>Table116[[#This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IF(Table116[[#This Row],[Type]]="Co-product", "No", "")</f>
        <v/>
      </c>
      <c r="J55" s="10"/>
      <c r="K55" s="10" t="str">
        <f>IF(Table116[[#This Row],[Type]]="Transportation", _xlfn.XLOOKUP(Table116[[#This Row],[Resource]], 'SI - Payload'!$A$10:$A$35,'SI - Payload'!$B$10:$B$35,"",0), "")</f>
        <v/>
      </c>
      <c r="L55" s="10" t="str">
        <f>IF(Table116[[#This Row],[Type]]="Transportation", "ton", "")</f>
        <v/>
      </c>
      <c r="M55" s="10"/>
      <c r="N55" s="10"/>
      <c r="O55" s="10" t="str">
        <f>Table116[[#This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IF(Table116[[#This Row],[Type]]="Co-product", "No", "")</f>
        <v/>
      </c>
      <c r="J56" s="10"/>
      <c r="K56" s="10" t="str">
        <f>IF(Table116[[#This Row],[Type]]="Transportation", _xlfn.XLOOKUP(Table116[[#This Row],[Resource]], 'SI - Payload'!$A$10:$A$35,'SI - Payload'!$B$10:$B$35,"",0), "")</f>
        <v/>
      </c>
      <c r="L56" s="10" t="str">
        <f>IF(Table116[[#This Row],[Type]]="Transportation", "ton", "")</f>
        <v/>
      </c>
      <c r="M56" s="10"/>
      <c r="N56" s="10"/>
      <c r="O56" s="10" t="str">
        <f>Table116[[#This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IF(Table116[[#This Row],[Type]]="Co-product", "No", "")</f>
        <v/>
      </c>
      <c r="J57" s="10"/>
      <c r="K57" s="10" t="str">
        <f>IF(Table116[[#This Row],[Type]]="Transportation", _xlfn.XLOOKUP(Table116[[#This Row],[Resource]], 'SI - Payload'!$A$10:$A$35,'SI - Payload'!$B$10:$B$35,"",0), "")</f>
        <v/>
      </c>
      <c r="L57" s="10" t="str">
        <f>IF(Table116[[#This Row],[Type]]="Transportation", "ton", "")</f>
        <v/>
      </c>
      <c r="M57" s="10"/>
      <c r="N57" s="10"/>
      <c r="O57" s="10" t="str">
        <f>Table116[[#This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IF(Table116[[#This Row],[Type]]="Co-product", "No", "")</f>
        <v/>
      </c>
      <c r="J58" s="10"/>
      <c r="K58" s="10" t="str">
        <f>IF(Table116[[#This Row],[Type]]="Transportation", _xlfn.XLOOKUP(Table116[[#This Row],[Resource]], 'SI - Payload'!$A$10:$A$35,'SI - Payload'!$B$10:$B$35,"",0), "")</f>
        <v/>
      </c>
      <c r="L58" s="10" t="str">
        <f>IF(Table116[[#This Row],[Type]]="Transportation", "ton", "")</f>
        <v/>
      </c>
      <c r="M58" s="10"/>
      <c r="N58" s="10"/>
      <c r="O58" s="10" t="str">
        <f>Table116[[#This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IF(Table116[[#This Row],[Type]]="Co-product", "No", "")</f>
        <v/>
      </c>
      <c r="J59" s="10"/>
      <c r="K59" s="10" t="str">
        <f>IF(Table116[[#This Row],[Type]]="Transportation", _xlfn.XLOOKUP(Table116[[#This Row],[Resource]], 'SI - Payload'!$A$10:$A$35,'SI - Payload'!$B$10:$B$35,"",0), "")</f>
        <v/>
      </c>
      <c r="L59" s="10" t="str">
        <f>IF(Table116[[#This Row],[Type]]="Transportation", "ton", "")</f>
        <v/>
      </c>
      <c r="M59" s="10"/>
      <c r="N59" s="10"/>
      <c r="O59" s="10" t="str">
        <f>Table116[[#This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IF(Table116[[#This Row],[Type]]="Co-product", "No", "")</f>
        <v/>
      </c>
      <c r="J60" s="10"/>
      <c r="K60" s="10" t="str">
        <f>IF(Table116[[#This Row],[Type]]="Transportation", _xlfn.XLOOKUP(Table116[[#This Row],[Resource]], 'SI - Payload'!$A$10:$A$35,'SI - Payload'!$B$10:$B$35,"",0), "")</f>
        <v/>
      </c>
      <c r="L60" s="10" t="str">
        <f>IF(Table116[[#This Row],[Type]]="Transportation", "ton", "")</f>
        <v/>
      </c>
      <c r="M60" s="10"/>
      <c r="N60" s="10"/>
      <c r="O60" s="10" t="str">
        <f>Table116[[#This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IF(Table116[[#This Row],[Type]]="Co-product", "No", "")</f>
        <v/>
      </c>
      <c r="J61" s="10"/>
      <c r="K61" s="10" t="str">
        <f>IF(Table116[[#This Row],[Type]]="Transportation", _xlfn.XLOOKUP(Table116[[#This Row],[Resource]], 'SI - Payload'!$A$10:$A$35,'SI - Payload'!$B$10:$B$35,"",0), "")</f>
        <v/>
      </c>
      <c r="L61" s="10" t="str">
        <f>IF(Table116[[#This Row],[Type]]="Transportation", "ton", "")</f>
        <v/>
      </c>
      <c r="M61" s="10"/>
      <c r="N61" s="10"/>
      <c r="O61" s="10" t="str">
        <f>Table116[[#This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IF(Table116[[#This Row],[Type]]="Co-product", "No", "")</f>
        <v/>
      </c>
      <c r="J62" s="10"/>
      <c r="K62" s="10" t="str">
        <f>IF(Table116[[#This Row],[Type]]="Transportation", _xlfn.XLOOKUP(Table116[[#This Row],[Resource]], 'SI - Payload'!$A$10:$A$35,'SI - Payload'!$B$10:$B$35,"",0), "")</f>
        <v/>
      </c>
      <c r="L62" s="10" t="str">
        <f>IF(Table116[[#This Row],[Type]]="Transportation", "ton", "")</f>
        <v/>
      </c>
      <c r="M62" s="10"/>
      <c r="N62" s="10"/>
      <c r="O62" s="10" t="str">
        <f>Table116[[#This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IF(Table116[[#This Row],[Type]]="Co-product", "No", "")</f>
        <v/>
      </c>
      <c r="J63" s="10"/>
      <c r="K63" s="10" t="str">
        <f>IF(Table116[[#This Row],[Type]]="Transportation", _xlfn.XLOOKUP(Table116[[#This Row],[Resource]], 'SI - Payload'!$A$10:$A$35,'SI - Payload'!$B$10:$B$35,"",0), "")</f>
        <v/>
      </c>
      <c r="L63" s="10" t="str">
        <f>IF(Table116[[#This Row],[Type]]="Transportation", "ton", "")</f>
        <v/>
      </c>
      <c r="M63" s="10"/>
      <c r="N63" s="10"/>
      <c r="O63" s="10" t="str">
        <f>Table116[[#This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IF(Table116[[#This Row],[Type]]="Co-product", "No", "")</f>
        <v/>
      </c>
      <c r="J64" s="10"/>
      <c r="K64" s="10" t="str">
        <f>IF(Table116[[#This Row],[Type]]="Transportation", _xlfn.XLOOKUP(Table116[[#This Row],[Resource]], 'SI - Payload'!$A$10:$A$35,'SI - Payload'!$B$10:$B$35,"",0), "")</f>
        <v/>
      </c>
      <c r="L64" s="10" t="str">
        <f>IF(Table116[[#This Row],[Type]]="Transportation", "ton", "")</f>
        <v/>
      </c>
      <c r="M64" s="10"/>
      <c r="N64" s="10"/>
      <c r="O64" s="10" t="str">
        <f>Table116[[#This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IF(Table116[[#This Row],[Type]]="Co-product", "No", "")</f>
        <v/>
      </c>
      <c r="J65" s="10"/>
      <c r="K65" s="10" t="str">
        <f>IF(Table116[[#This Row],[Type]]="Transportation", _xlfn.XLOOKUP(Table116[[#This Row],[Resource]], 'SI - Payload'!$A$10:$A$35,'SI - Payload'!$B$10:$B$35,"",0), "")</f>
        <v/>
      </c>
      <c r="L65" s="10" t="str">
        <f>IF(Table116[[#This Row],[Type]]="Transportation", "ton", "")</f>
        <v/>
      </c>
      <c r="M65" s="10"/>
      <c r="N65" s="10"/>
      <c r="O65" s="10" t="str">
        <f>Table116[[#This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IF(Table116[[#This Row],[Type]]="Co-product", "No", "")</f>
        <v/>
      </c>
      <c r="J66" s="10"/>
      <c r="K66" s="10" t="str">
        <f>IF(Table116[[#This Row],[Type]]="Transportation", _xlfn.XLOOKUP(Table116[[#This Row],[Resource]], 'SI - Payload'!$A$10:$A$35,'SI - Payload'!$B$10:$B$35,"",0), "")</f>
        <v/>
      </c>
      <c r="L66" s="10" t="str">
        <f>IF(Table116[[#This Row],[Type]]="Transportation", "ton", "")</f>
        <v/>
      </c>
      <c r="M66" s="10"/>
      <c r="N66" s="10"/>
      <c r="O66" s="10" t="str">
        <f>Table116[[#This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IF(Table116[[#This Row],[Type]]="Co-product", "No", "")</f>
        <v/>
      </c>
      <c r="J67" s="10"/>
      <c r="K67" s="10" t="str">
        <f>IF(Table116[[#This Row],[Type]]="Transportation", _xlfn.XLOOKUP(Table116[[#This Row],[Resource]], 'SI - Payload'!$A$10:$A$35,'SI - Payload'!$B$10:$B$35,"",0), "")</f>
        <v/>
      </c>
      <c r="L67" s="10" t="str">
        <f>IF(Table116[[#This Row],[Type]]="Transportation", "ton", "")</f>
        <v/>
      </c>
      <c r="M67" s="10"/>
      <c r="N67" s="10"/>
      <c r="O67" s="10" t="str">
        <f>Table116[[#This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IF(Table116[[#This Row],[Type]]="Co-product", "No", "")</f>
        <v/>
      </c>
      <c r="J68" s="10"/>
      <c r="K68" s="10" t="str">
        <f>IF(Table116[[#This Row],[Type]]="Transportation", _xlfn.XLOOKUP(Table116[[#This Row],[Resource]], 'SI - Payload'!$A$10:$A$35,'SI - Payload'!$B$10:$B$35,"",0), "")</f>
        <v/>
      </c>
      <c r="L68" s="10" t="str">
        <f>IF(Table116[[#This Row],[Type]]="Transportation", "ton", "")</f>
        <v/>
      </c>
      <c r="M68" s="10"/>
      <c r="N68" s="10"/>
      <c r="O68" s="10" t="str">
        <f>Table116[[#This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IF(Table116[[#This Row],[Type]]="Co-product", "No", "")</f>
        <v/>
      </c>
      <c r="J69" s="10"/>
      <c r="K69" s="10" t="str">
        <f>IF(Table116[[#This Row],[Type]]="Transportation", _xlfn.XLOOKUP(Table116[[#This Row],[Resource]], 'SI - Payload'!$A$10:$A$35,'SI - Payload'!$B$10:$B$35,"",0), "")</f>
        <v/>
      </c>
      <c r="L69" s="10" t="str">
        <f>IF(Table116[[#This Row],[Type]]="Transportation", "ton", "")</f>
        <v/>
      </c>
      <c r="M69" s="10"/>
      <c r="N69" s="10"/>
      <c r="O69" s="10" t="str">
        <f>Table116[[#This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IF(Table116[[#This Row],[Type]]="Co-product", "No", "")</f>
        <v/>
      </c>
      <c r="J70" s="10"/>
      <c r="K70" s="10" t="str">
        <f>IF(Table116[[#This Row],[Type]]="Transportation", _xlfn.XLOOKUP(Table116[[#This Row],[Resource]], 'SI - Payload'!$A$10:$A$35,'SI - Payload'!$B$10:$B$35,"",0), "")</f>
        <v/>
      </c>
      <c r="L70" s="10" t="str">
        <f>IF(Table116[[#This Row],[Type]]="Transportation", "ton", "")</f>
        <v/>
      </c>
      <c r="M70" s="10"/>
      <c r="N70" s="10"/>
      <c r="O70" s="10" t="str">
        <f>Table116[[#This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IF(Table116[[#This Row],[Type]]="Co-product", "No", "")</f>
        <v/>
      </c>
      <c r="J71" s="10"/>
      <c r="K71" s="10" t="str">
        <f>IF(Table116[[#This Row],[Type]]="Transportation", _xlfn.XLOOKUP(Table116[[#This Row],[Resource]], 'SI - Payload'!$A$10:$A$35,'SI - Payload'!$B$10:$B$35,"",0), "")</f>
        <v/>
      </c>
      <c r="L71" s="10" t="str">
        <f>IF(Table116[[#This Row],[Type]]="Transportation", "ton", "")</f>
        <v/>
      </c>
      <c r="M71" s="10"/>
      <c r="N71" s="10"/>
      <c r="O71" s="10" t="str">
        <f>Table116[[#This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IF(Table116[[#This Row],[Type]]="Co-product", "No", "")</f>
        <v/>
      </c>
      <c r="J72" s="10"/>
      <c r="K72" s="10" t="str">
        <f>IF(Table116[[#This Row],[Type]]="Transportation", _xlfn.XLOOKUP(Table116[[#This Row],[Resource]], 'SI - Payload'!$A$10:$A$35,'SI - Payload'!$B$10:$B$35,"",0), "")</f>
        <v/>
      </c>
      <c r="L72" s="10" t="str">
        <f>IF(Table116[[#This Row],[Type]]="Transportation", "ton", "")</f>
        <v/>
      </c>
      <c r="M72" s="10"/>
      <c r="N72" s="10"/>
      <c r="O72" s="10" t="str">
        <f>Table116[[#This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IF(Table116[[#This Row],[Type]]="Co-product", "No", "")</f>
        <v/>
      </c>
      <c r="J73" s="10"/>
      <c r="K73" s="10" t="str">
        <f>IF(Table116[[#This Row],[Type]]="Transportation", _xlfn.XLOOKUP(Table116[[#This Row],[Resource]], 'SI - Payload'!$A$10:$A$35,'SI - Payload'!$B$10:$B$35,"",0), "")</f>
        <v/>
      </c>
      <c r="L73" s="10" t="str">
        <f>IF(Table116[[#This Row],[Type]]="Transportation", "ton", "")</f>
        <v/>
      </c>
      <c r="M73" s="10"/>
      <c r="N73" s="10"/>
      <c r="O73" s="10" t="str">
        <f>Table116[[#This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IF(Table116[[#This Row],[Type]]="Co-product", "No", "")</f>
        <v/>
      </c>
      <c r="J74" s="10"/>
      <c r="K74" s="10" t="str">
        <f>IF(Table116[[#This Row],[Type]]="Transportation", _xlfn.XLOOKUP(Table116[[#This Row],[Resource]], 'SI - Payload'!$A$10:$A$35,'SI - Payload'!$B$10:$B$35,"",0), "")</f>
        <v/>
      </c>
      <c r="L74" s="10" t="str">
        <f>IF(Table116[[#This Row],[Type]]="Transportation", "ton", "")</f>
        <v/>
      </c>
      <c r="M74" s="10"/>
      <c r="N74" s="10"/>
      <c r="O74" s="10" t="str">
        <f>Table116[[#This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IF(Table116[[#This Row],[Type]]="Co-product", "No", "")</f>
        <v/>
      </c>
      <c r="J75" s="10"/>
      <c r="K75" s="10" t="str">
        <f>IF(Table116[[#This Row],[Type]]="Transportation", _xlfn.XLOOKUP(Table116[[#This Row],[Resource]], 'SI - Payload'!$A$10:$A$35,'SI - Payload'!$B$10:$B$35,"",0), "")</f>
        <v/>
      </c>
      <c r="L75" s="10" t="str">
        <f>IF(Table116[[#This Row],[Type]]="Transportation", "ton", "")</f>
        <v/>
      </c>
      <c r="M75" s="10"/>
      <c r="N75" s="10"/>
      <c r="O75" s="10" t="str">
        <f>Table116[[#This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IF(Table116[[#This Row],[Type]]="Co-product", "No", "")</f>
        <v/>
      </c>
      <c r="J76" s="10"/>
      <c r="K76" s="10" t="str">
        <f>IF(Table116[[#This Row],[Type]]="Transportation", _xlfn.XLOOKUP(Table116[[#This Row],[Resource]], 'SI - Payload'!$A$10:$A$35,'SI - Payload'!$B$10:$B$35,"",0), "")</f>
        <v/>
      </c>
      <c r="L76" s="10" t="str">
        <f>IF(Table116[[#This Row],[Type]]="Transportation", "ton", "")</f>
        <v/>
      </c>
      <c r="M76" s="10"/>
      <c r="N76" s="10"/>
      <c r="O76" s="10" t="str">
        <f>Table116[[#This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IF(Table116[[#This Row],[Type]]="Co-product", "No", "")</f>
        <v/>
      </c>
      <c r="J77" s="10"/>
      <c r="K77" s="10" t="str">
        <f>IF(Table116[[#This Row],[Type]]="Transportation", _xlfn.XLOOKUP(Table116[[#This Row],[Resource]], 'SI - Payload'!$A$10:$A$35,'SI - Payload'!$B$10:$B$35,"",0), "")</f>
        <v/>
      </c>
      <c r="L77" s="10" t="str">
        <f>IF(Table116[[#This Row],[Type]]="Transportation", "ton", "")</f>
        <v/>
      </c>
      <c r="M77" s="10"/>
      <c r="N77" s="10"/>
      <c r="O77" s="10" t="str">
        <f>Table116[[#This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IF(Table116[[#This Row],[Type]]="Co-product", "No", "")</f>
        <v/>
      </c>
      <c r="J78" s="10"/>
      <c r="K78" s="10" t="str">
        <f>IF(Table116[[#This Row],[Type]]="Transportation", _xlfn.XLOOKUP(Table116[[#This Row],[Resource]], 'SI - Payload'!$A$10:$A$35,'SI - Payload'!$B$10:$B$35,"",0), "")</f>
        <v/>
      </c>
      <c r="L78" s="10" t="str">
        <f>IF(Table116[[#This Row],[Type]]="Transportation", "ton", "")</f>
        <v/>
      </c>
      <c r="M78" s="10"/>
      <c r="N78" s="10"/>
      <c r="O78" s="10" t="str">
        <f>Table116[[#This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IF(Table116[[#This Row],[Type]]="Co-product", "No", "")</f>
        <v/>
      </c>
      <c r="J79" s="10"/>
      <c r="K79" s="10" t="str">
        <f>IF(Table116[[#This Row],[Type]]="Transportation", _xlfn.XLOOKUP(Table116[[#This Row],[Resource]], 'SI - Payload'!$A$10:$A$35,'SI - Payload'!$B$10:$B$35,"",0), "")</f>
        <v/>
      </c>
      <c r="L79" s="10" t="str">
        <f>IF(Table116[[#This Row],[Type]]="Transportation", "ton", "")</f>
        <v/>
      </c>
      <c r="M79" s="10"/>
      <c r="N79" s="10"/>
      <c r="O79" s="10" t="str">
        <f>Table116[[#This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IF(Table116[[#This Row],[Type]]="Co-product", "No", "")</f>
        <v/>
      </c>
      <c r="J80" s="10"/>
      <c r="K80" s="10" t="str">
        <f>IF(Table116[[#This Row],[Type]]="Transportation", _xlfn.XLOOKUP(Table116[[#This Row],[Resource]], 'SI - Payload'!$A$10:$A$35,'SI - Payload'!$B$10:$B$35,"",0), "")</f>
        <v/>
      </c>
      <c r="L80" s="10" t="str">
        <f>IF(Table116[[#This Row],[Type]]="Transportation", "ton", "")</f>
        <v/>
      </c>
      <c r="M80" s="10"/>
      <c r="N80" s="10"/>
      <c r="O80" s="10" t="str">
        <f>Table116[[#This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IF(Table116[[#This Row],[Type]]="Co-product", "No", "")</f>
        <v/>
      </c>
      <c r="J81" s="10"/>
      <c r="K81" s="10" t="str">
        <f>IF(Table116[[#This Row],[Type]]="Transportation", _xlfn.XLOOKUP(Table116[[#This Row],[Resource]], 'SI - Payload'!$A$10:$A$35,'SI - Payload'!$B$10:$B$35,"",0), "")</f>
        <v/>
      </c>
      <c r="L81" s="10" t="str">
        <f>IF(Table116[[#This Row],[Type]]="Transportation", "ton", "")</f>
        <v/>
      </c>
      <c r="M81" s="10"/>
      <c r="N81" s="10"/>
      <c r="O81" s="10" t="str">
        <f>Table116[[#This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IF(Table116[[#This Row],[Type]]="Co-product", "No", "")</f>
        <v/>
      </c>
      <c r="J82" s="10"/>
      <c r="K82" s="10" t="str">
        <f>IF(Table116[[#This Row],[Type]]="Transportation", _xlfn.XLOOKUP(Table116[[#This Row],[Resource]], 'SI - Payload'!$A$10:$A$35,'SI - Payload'!$B$10:$B$35,"",0), "")</f>
        <v/>
      </c>
      <c r="L82" s="10" t="str">
        <f>IF(Table116[[#This Row],[Type]]="Transportation", "ton", "")</f>
        <v/>
      </c>
      <c r="M82" s="10"/>
      <c r="N82" s="10"/>
      <c r="O82" s="10" t="str">
        <f>Table116[[#This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IF(Table116[[#This Row],[Type]]="Co-product", "No", "")</f>
        <v/>
      </c>
      <c r="J83" s="10"/>
      <c r="K83" s="10" t="str">
        <f>IF(Table116[[#This Row],[Type]]="Transportation", _xlfn.XLOOKUP(Table116[[#This Row],[Resource]], 'SI - Payload'!$A$10:$A$35,'SI - Payload'!$B$10:$B$35,"",0), "")</f>
        <v/>
      </c>
      <c r="L83" s="10" t="str">
        <f>IF(Table116[[#This Row],[Type]]="Transportation", "ton", "")</f>
        <v/>
      </c>
      <c r="M83" s="10"/>
      <c r="N83" s="10"/>
      <c r="O83" s="10" t="str">
        <f>Table116[[#This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IF(Table116[[#This Row],[Type]]="Co-product", "No", "")</f>
        <v/>
      </c>
      <c r="J84" s="10"/>
      <c r="K84" s="10" t="str">
        <f>IF(Table116[[#This Row],[Type]]="Transportation", _xlfn.XLOOKUP(Table116[[#This Row],[Resource]], 'SI - Payload'!$A$10:$A$35,'SI - Payload'!$B$10:$B$35,"",0), "")</f>
        <v/>
      </c>
      <c r="L84" s="10" t="str">
        <f>IF(Table116[[#This Row],[Type]]="Transportation", "ton", "")</f>
        <v/>
      </c>
      <c r="M84" s="10"/>
      <c r="N84" s="10"/>
      <c r="O84" s="10" t="str">
        <f>Table116[[#This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IF(Table116[[#This Row],[Type]]="Co-product", "No", "")</f>
        <v/>
      </c>
      <c r="J85" s="10"/>
      <c r="K85" s="10" t="str">
        <f>IF(Table116[[#This Row],[Type]]="Transportation", _xlfn.XLOOKUP(Table116[[#This Row],[Resource]], 'SI - Payload'!$A$10:$A$35,'SI - Payload'!$B$10:$B$35,"",0), "")</f>
        <v/>
      </c>
      <c r="L85" s="10" t="str">
        <f>IF(Table116[[#This Row],[Type]]="Transportation", "ton", "")</f>
        <v/>
      </c>
      <c r="M85" s="10"/>
      <c r="N85" s="10"/>
      <c r="O85" s="10" t="str">
        <f>Table116[[#This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IF(Table116[[#This Row],[Type]]="Co-product", "No", "")</f>
        <v/>
      </c>
      <c r="J86" s="10"/>
      <c r="K86" s="10" t="str">
        <f>IF(Table116[[#This Row],[Type]]="Transportation", _xlfn.XLOOKUP(Table116[[#This Row],[Resource]], 'SI - Payload'!$A$10:$A$35,'SI - Payload'!$B$10:$B$35,"",0), "")</f>
        <v/>
      </c>
      <c r="L86" s="10" t="str">
        <f>IF(Table116[[#This Row],[Type]]="Transportation", "ton", "")</f>
        <v/>
      </c>
      <c r="M86" s="10"/>
      <c r="N86" s="10"/>
      <c r="O86" s="10" t="str">
        <f>Table116[[#This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IF(Table116[[#This Row],[Type]]="Co-product", "No", "")</f>
        <v/>
      </c>
      <c r="J87" s="10"/>
      <c r="K87" s="10" t="str">
        <f>IF(Table116[[#This Row],[Type]]="Transportation", _xlfn.XLOOKUP(Table116[[#This Row],[Resource]], 'SI - Payload'!$A$10:$A$35,'SI - Payload'!$B$10:$B$35,"",0), "")</f>
        <v/>
      </c>
      <c r="L87" s="10" t="str">
        <f>IF(Table116[[#This Row],[Type]]="Transportation", "ton", "")</f>
        <v/>
      </c>
      <c r="M87" s="10"/>
      <c r="N87" s="10"/>
      <c r="O87" s="10" t="str">
        <f>Table116[[#This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IF(Table116[[#This Row],[Type]]="Co-product", "No", "")</f>
        <v/>
      </c>
      <c r="J88" s="10"/>
      <c r="K88" s="10" t="str">
        <f>IF(Table116[[#This Row],[Type]]="Transportation", _xlfn.XLOOKUP(Table116[[#This Row],[Resource]], 'SI - Payload'!$A$10:$A$35,'SI - Payload'!$B$10:$B$35,"",0), "")</f>
        <v/>
      </c>
      <c r="L88" s="10" t="str">
        <f>IF(Table116[[#This Row],[Type]]="Transportation", "ton", "")</f>
        <v/>
      </c>
      <c r="M88" s="10"/>
      <c r="N88" s="10"/>
      <c r="O88" s="10" t="str">
        <f>Table116[[#This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IF(Table116[[#This Row],[Type]]="Co-product", "No", "")</f>
        <v/>
      </c>
      <c r="J89" s="10"/>
      <c r="K89" s="10" t="str">
        <f>IF(Table116[[#This Row],[Type]]="Transportation", _xlfn.XLOOKUP(Table116[[#This Row],[Resource]], 'SI - Payload'!$A$10:$A$35,'SI - Payload'!$B$10:$B$35,"",0), "")</f>
        <v/>
      </c>
      <c r="L89" s="10" t="str">
        <f>IF(Table116[[#This Row],[Type]]="Transportation", "ton", "")</f>
        <v/>
      </c>
      <c r="M89" s="10"/>
      <c r="N89" s="10"/>
      <c r="O89" s="10" t="str">
        <f>Table116[[#This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IF(Table116[[#This Row],[Type]]="Co-product", "No", "")</f>
        <v/>
      </c>
      <c r="J90" s="10"/>
      <c r="K90" s="10" t="str">
        <f>IF(Table116[[#This Row],[Type]]="Transportation", _xlfn.XLOOKUP(Table116[[#This Row],[Resource]], 'SI - Payload'!$A$10:$A$35,'SI - Payload'!$B$10:$B$35,"",0), "")</f>
        <v/>
      </c>
      <c r="L90" s="10" t="str">
        <f>IF(Table116[[#This Row],[Type]]="Transportation", "ton", "")</f>
        <v/>
      </c>
      <c r="M90" s="10"/>
      <c r="N90" s="10"/>
      <c r="O90" s="10" t="str">
        <f>Table116[[#This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IF(Table116[[#This Row],[Type]]="Co-product", "No", "")</f>
        <v/>
      </c>
      <c r="J91" s="10"/>
      <c r="K91" s="10" t="str">
        <f>IF(Table116[[#This Row],[Type]]="Transportation", _xlfn.XLOOKUP(Table116[[#This Row],[Resource]], 'SI - Payload'!$A$10:$A$35,'SI - Payload'!$B$10:$B$35,"",0), "")</f>
        <v/>
      </c>
      <c r="L91" s="10" t="str">
        <f>IF(Table116[[#This Row],[Type]]="Transportation", "ton", "")</f>
        <v/>
      </c>
      <c r="M91" s="10"/>
      <c r="N91" s="10"/>
      <c r="O91" s="10" t="str">
        <f>Table116[[#This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IF(Table116[[#This Row],[Type]]="Co-product", "No", "")</f>
        <v/>
      </c>
      <c r="J92" s="10"/>
      <c r="K92" s="10" t="str">
        <f>IF(Table116[[#This Row],[Type]]="Transportation", _xlfn.XLOOKUP(Table116[[#This Row],[Resource]], 'SI - Payload'!$A$10:$A$35,'SI - Payload'!$B$10:$B$35,"",0), "")</f>
        <v/>
      </c>
      <c r="L92" s="10" t="str">
        <f>IF(Table116[[#This Row],[Type]]="Transportation", "ton", "")</f>
        <v/>
      </c>
      <c r="M92" s="10"/>
      <c r="N92" s="10"/>
      <c r="O92" s="10" t="str">
        <f>Table116[[#This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IF(Table116[[#This Row],[Type]]="Co-product", "No", "")</f>
        <v/>
      </c>
      <c r="J93" s="10"/>
      <c r="K93" s="10" t="str">
        <f>IF(Table116[[#This Row],[Type]]="Transportation", _xlfn.XLOOKUP(Table116[[#This Row],[Resource]], 'SI - Payload'!$A$10:$A$35,'SI - Payload'!$B$10:$B$35,"",0), "")</f>
        <v/>
      </c>
      <c r="L93" s="10" t="str">
        <f>IF(Table116[[#This Row],[Type]]="Transportation", "ton", "")</f>
        <v/>
      </c>
      <c r="M93" s="10"/>
      <c r="N93" s="10"/>
      <c r="O93" s="10" t="str">
        <f>Table116[[#This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IF(Table116[[#This Row],[Type]]="Co-product", "No", "")</f>
        <v/>
      </c>
      <c r="J94" s="10"/>
      <c r="K94" s="10" t="str">
        <f>IF(Table116[[#This Row],[Type]]="Transportation", _xlfn.XLOOKUP(Table116[[#This Row],[Resource]], 'SI - Payload'!$A$10:$A$35,'SI - Payload'!$B$10:$B$35,"",0), "")</f>
        <v/>
      </c>
      <c r="L94" s="10" t="str">
        <f>IF(Table116[[#This Row],[Type]]="Transportation", "ton", "")</f>
        <v/>
      </c>
      <c r="M94" s="10"/>
      <c r="N94" s="10"/>
      <c r="O94" s="10" t="str">
        <f>Table116[[#This Row],[Resource]]</f>
        <v/>
      </c>
      <c r="P94" s="10" t="str">
        <f>IF(_xlfn.XLOOKUP($O94,'SI - End Use'!$B$2:$B$51,'SI - End Use'!$C$2:$C$51, "")="", "", _xlfn.XLOOKUP($C94,'SI - End Use'!$B$2:$B$51,'SI - End Use'!$C$2:$C$51, ""))</f>
        <v/>
      </c>
      <c r="Q94" s="10"/>
      <c r="R94" s="10"/>
    </row>
    <row r="95" spans="1:18" x14ac:dyDescent="0.35">
      <c r="A95" s="10"/>
      <c r="B95" s="10"/>
      <c r="C95" s="27"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IF(Table116[[#This Row],[Type]]="Co-product", "No", "")</f>
        <v/>
      </c>
      <c r="J95" s="10"/>
      <c r="K95" s="10" t="str">
        <f>IF(Table116[[#This Row],[Type]]="Transportation", _xlfn.XLOOKUP(Table116[[#This Row],[Resource]], 'SI - Payload'!$A$10:$A$35,'SI - Payload'!$B$10:$B$35,"",0), "")</f>
        <v/>
      </c>
      <c r="L95" s="10" t="str">
        <f>IF(Table116[[#This Row],[Type]]="Transportation", "ton", "")</f>
        <v/>
      </c>
      <c r="M95" s="10"/>
      <c r="N95" s="10"/>
      <c r="O95" s="10" t="str">
        <f>Table116[[#This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IF(Table116[[#This Row],[Type]]="Co-product", "No", "")</f>
        <v/>
      </c>
      <c r="J96" s="10"/>
      <c r="K96" s="10" t="str">
        <f>IF(Table116[[#This Row],[Type]]="Transportation", _xlfn.XLOOKUP(Table116[[#This Row],[Resource]], 'SI - Payload'!$A$10:$A$35,'SI - Payload'!$B$10:$B$35,"",0), "")</f>
        <v/>
      </c>
      <c r="L96" s="10" t="str">
        <f>IF(Table116[[#This Row],[Type]]="Transportation", "ton", "")</f>
        <v/>
      </c>
      <c r="M96" s="10"/>
      <c r="N96" s="10"/>
      <c r="O96" s="27" t="str">
        <f>Table116[[#This Row],[Resource]]</f>
        <v/>
      </c>
      <c r="P96" s="27" t="str">
        <f>IF(_xlfn.XLOOKUP($O96,'SI - End Use'!$B$2:$B$51,'SI - End Use'!$C$2:$C$51, "")="", "", _xlfn.XLOOKUP($C96,'SI - End Use'!$B$2:$B$51,'SI - End Use'!$C$2:$C$51, ""))</f>
        <v/>
      </c>
      <c r="Q96" s="27"/>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IF(Table116[[#This Row],[Type]]="Co-product", "No", "")</f>
        <v/>
      </c>
      <c r="J97" s="10"/>
      <c r="K97" s="10" t="str">
        <f>IF(Table116[[#This Row],[Type]]="Transportation", _xlfn.XLOOKUP(Table116[[#This Row],[Resource]], 'SI - Payload'!$A$10:$A$35,'SI - Payload'!$B$10:$B$35,"",0), "")</f>
        <v/>
      </c>
      <c r="L97" s="10" t="str">
        <f>IF(Table116[[#This Row],[Type]]="Transportation", "ton", "")</f>
        <v/>
      </c>
      <c r="M97" s="10"/>
      <c r="N97" s="10"/>
      <c r="O97" s="27" t="str">
        <f>Table116[[#This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IF(Table116[[#This Row],[Type]]="Co-product", "No", "")</f>
        <v/>
      </c>
      <c r="J98" s="10"/>
      <c r="K98" s="10" t="str">
        <f>IF(Table116[[#This Row],[Type]]="Transportation", _xlfn.XLOOKUP(Table116[[#This Row],[Resource]], 'SI - Payload'!$A$10:$A$35,'SI - Payload'!$B$10:$B$35,"",0), "")</f>
        <v/>
      </c>
      <c r="L98" s="10" t="str">
        <f>IF(Table116[[#This Row],[Type]]="Transportation", "ton", "")</f>
        <v/>
      </c>
      <c r="M98" s="10"/>
      <c r="N98" s="10"/>
      <c r="O98" s="27" t="str">
        <f>Table116[[#This Row],[Resource]]</f>
        <v/>
      </c>
      <c r="P98" s="10" t="str">
        <f>IF(_xlfn.XLOOKUP($O98,'SI - End Use'!$B$2:$B$51,'SI - End Use'!$C$2:$C$51, "")="", "", _xlfn.XLOOKUP($C98,'SI - End Use'!$B$2:$B$51,'SI - End Use'!$C$2:$C$51, ""))</f>
        <v/>
      </c>
      <c r="Q98" s="10"/>
      <c r="R98" s="10"/>
    </row>
    <row r="99" spans="1:18" x14ac:dyDescent="0.35">
      <c r="A99" s="42"/>
      <c r="B99" s="26"/>
      <c r="C99" s="26" t="str">
        <f>_xlfn.XLOOKUP($B99,'SI - Resources'!$A$1:$H$1,'SI - Resources'!$A$2:$H$2, "")</f>
        <v/>
      </c>
      <c r="D99" s="28" t="str">
        <f>IF(_xlfn.XLOOKUP($C99,'SI - End Use'!$B$2:$B$51,'SI - End Use'!$C$2:$C$51, "")="", "", _xlfn.XLOOKUP($C99,'SI - End Use'!$B$2:$B$51,'SI - End Use'!$C$2:$C$51, ""))</f>
        <v/>
      </c>
      <c r="E99" s="40"/>
      <c r="F99" s="28" t="str" cm="1">
        <f t="array" ref="F99">IF($B99="Transportation",  'SI - Units'!$B$9:$B$9, _xlfn.XLOOKUP(_xlfn.XLOOKUP($C99,'SI - Units'!$B$24:$B$72,'SI - Units'!$C$24:$C$72, ""),'SI - Units'!$A$2:$A$8,'SI - Units'!$B$2:$B$8, ""))</f>
        <v/>
      </c>
      <c r="G99" s="41"/>
      <c r="H99" s="41"/>
      <c r="I99" s="44" t="str">
        <f>IF(Table116[[#This Row],[Type]]="Co-product", "No", "")</f>
        <v/>
      </c>
      <c r="J99" s="26"/>
      <c r="K99" s="26" t="str">
        <f>IF(Table116[[#This Row],[Type]]="Transportation", _xlfn.XLOOKUP(Table116[[#This Row],[Resource]], 'SI - Payload'!$A$10:$A$35,'SI - Payload'!$B$10:$B$35,"",0), "")</f>
        <v/>
      </c>
      <c r="L99" s="26" t="str">
        <f>IF(Table116[[#This Row],[Type]]="Transportation", "ton", "")</f>
        <v/>
      </c>
      <c r="M99" s="26"/>
      <c r="N99" s="26"/>
      <c r="O99" s="26" t="str">
        <f>Table116[[#This Row],[Resource]]</f>
        <v/>
      </c>
      <c r="P99" s="26" t="str">
        <f>IF(_xlfn.XLOOKUP($O99,'SI - End Use'!$B$2:$B$51,'SI - End Use'!$C$2:$C$51, "")="", "", _xlfn.XLOOKUP($C99,'SI - End Use'!$B$2:$B$51,'SI - End Use'!$C$2:$C$51,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Use'!$B$2:$B$51,'SI - End Use'!$C$2:$N$51)</xm:f>
          </x14:formula1>
          <xm:sqref>P5:P99</xm:sqref>
        </x14:dataValidation>
        <x14:dataValidation type="list" allowBlank="1" showInputMessage="1" xr:uid="{975D0F62-8785-4F06-8784-AAD0009EB9FF}">
          <x14:formula1>
            <xm:f>_xlfn.XLOOKUP($C5,'SI - End Use'!$B$2:$B$51,'SI - End Use'!$C$2:$N$51)</xm:f>
          </x14:formula1>
          <xm:sqref>D5:D99</xm:sqref>
        </x14:dataValidation>
        <x14:dataValidation type="list" allowBlank="1" showInputMessage="1" showErrorMessage="1" xr:uid="{3F37D08A-FBB1-4508-8ADA-B8CC7BD8768A}">
          <x14:formula1>
            <xm:f>_xlfn.XLOOKUP(_xlfn.XLOOKUP(#REF!,'SI - Units'!$B$24:$B$72,'SI - Units'!$C$24:$C$72),'SI - Units'!$A$2:$A$8,'SI - Units'!$B$2:$R$8)</xm:f>
          </x14:formula1>
          <xm:sqref>F4</xm:sqref>
        </x14:dataValidation>
        <x14:dataValidation type="list" allowBlank="1" showInputMessage="1" showErrorMessage="1" xr:uid="{08276C32-7248-419B-BF79-8F4904443F43}">
          <x14:formula1>
            <xm:f>IF($B5="Transportation",  'SI - Units'!$B$9:$E$9, _xlfn.XLOOKUP(_xlfn.XLOOKUP($C5,'SI - Units'!$B$24:$B$72,'SI - Units'!$C$24:$C$72),'SI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Units'!$B$24:$B$72,'SI - Units'!$C$24:$C$72),'SI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topLeftCell="C1" workbookViewId="0">
      <pane ySplit="4" topLeftCell="A5" activePane="bottomLeft" state="frozen"/>
      <selection pane="bottomLeft" activeCell="K6" sqref="K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268</v>
      </c>
      <c r="I5" s="43" t="str">
        <f>IF(Table114[[#This Row],[Type]]="Co-product", "No", "")</f>
        <v/>
      </c>
      <c r="J5" s="10"/>
      <c r="K5" s="89"/>
      <c r="L5" s="10" t="str">
        <f>IF(Table114[[#This Row],[Type]]="Transportation", "ton", "")</f>
        <v/>
      </c>
      <c r="M5" s="10"/>
      <c r="N5" s="10"/>
      <c r="O5" s="10" t="str">
        <f>Table114[[#This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91">
        <f>'INL Data'!B15</f>
        <v>51.7</v>
      </c>
      <c r="F6" s="27" t="str" cm="1">
        <f t="array" ref="F6">IF($B6="Transportation",  'SI - Units'!$B$9:$B$9, _xlfn.XLOOKUP(_xlfn.XLOOKUP($C6,'SI - Units'!$B$24:$B$72,'SI - Units'!$C$24:$C$72, ""),'SI - Units'!$A$2:$A$8,'SI - Units'!$B$2:$B$8, ""))</f>
        <v>mi</v>
      </c>
      <c r="G6" s="39">
        <f>'INL Data'!G15</f>
        <v>0.11409999999999999</v>
      </c>
      <c r="H6" s="39"/>
      <c r="I6" s="43" t="str">
        <f>IF(Table114[[#This Row],[Type]]="Co-product", "No", "")</f>
        <v/>
      </c>
      <c r="J6" s="10"/>
      <c r="K6" s="89">
        <f>'INL Data'!C15</f>
        <v>20.889521999999999</v>
      </c>
      <c r="L6" s="10" t="s">
        <v>11</v>
      </c>
      <c r="M6" s="10"/>
      <c r="N6" s="10"/>
      <c r="O6" s="10" t="str">
        <f>Table114[[#This Row],[Resource]]</f>
        <v>Corn Stover</v>
      </c>
      <c r="P6" s="10" t="str">
        <f>IF(_xlfn.XLOOKUP($O6,'SI - End Use'!$B$2:$B$51,'SI - End Use'!$C$2:$C$51, "")="", "", _xlfn.XLOOKUP($C6,'SI - End Use'!$B$2:$B$51,'SI - End Use'!$C$2:$C$51, ""))</f>
        <v/>
      </c>
      <c r="Q6" s="10"/>
      <c r="R6" s="10"/>
    </row>
    <row r="7" spans="1:18" x14ac:dyDescent="0.35">
      <c r="A7" s="10" t="s">
        <v>119</v>
      </c>
      <c r="B7" s="10" t="s">
        <v>39</v>
      </c>
      <c r="C7" s="10" t="str">
        <f>_xlfn.XLOOKUP($B7,'SI - Resources'!$A$1:$H$1,'SI - Resources'!$A$2:$H$2, "")</f>
        <v>Corn Stover</v>
      </c>
      <c r="D7" s="27" t="str">
        <f>IF(_xlfn.XLOOKUP($C7,'SI - End Use'!$B$2:$B$51,'SI - End Use'!$C$2:$C$51, "")="", "", _xlfn.XLOOKUP($C7,'SI - End Use'!$B$2:$B$51,'SI - End Use'!$C$2:$C$51, ""))</f>
        <v/>
      </c>
      <c r="E7" s="91">
        <f>1-'INL Data'!H15</f>
        <v>1</v>
      </c>
      <c r="F7" s="27" t="s">
        <v>11</v>
      </c>
      <c r="G7" s="39"/>
      <c r="H7" s="39"/>
      <c r="I7" s="43" t="str">
        <f>IF(Table114[[#This Row],[Type]]="Co-product", "No", "")</f>
        <v/>
      </c>
      <c r="J7" s="10"/>
      <c r="K7" s="89"/>
      <c r="L7" s="10" t="str">
        <f>IF(Table114[[#This Row],[Type]]="Transportation", "ton", "")</f>
        <v/>
      </c>
      <c r="M7" s="10"/>
      <c r="N7" s="10"/>
      <c r="O7" s="10" t="str">
        <f>Table114[[#This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IF(Table114[[#This Row],[Type]]="Co-product", "No", "")</f>
        <v/>
      </c>
      <c r="J8" s="10"/>
      <c r="K8" s="89"/>
      <c r="L8" s="10" t="str">
        <f>IF(Table114[[#This Row],[Type]]="Transportation", "ton", "")</f>
        <v/>
      </c>
      <c r="M8" s="10"/>
      <c r="N8" s="10"/>
      <c r="O8" s="10" t="str">
        <f>Table114[[#This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IF(Table114[[#This Row],[Type]]="Co-product", "No", "")</f>
        <v/>
      </c>
      <c r="J9" s="10"/>
      <c r="K9" s="89"/>
      <c r="L9" s="10" t="str">
        <f>IF(Table114[[#This Row],[Type]]="Transportation", "ton", "")</f>
        <v/>
      </c>
      <c r="M9" s="10"/>
      <c r="N9" s="10"/>
      <c r="O9" s="10" t="str">
        <f>Table114[[#This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IF(Table114[[#This Row],[Type]]="Co-product", "No", "")</f>
        <v/>
      </c>
      <c r="J10" s="10"/>
      <c r="K10" s="89"/>
      <c r="L10" s="10" t="str">
        <f>IF(Table114[[#This Row],[Type]]="Transportation", "ton", "")</f>
        <v/>
      </c>
      <c r="M10" s="10"/>
      <c r="N10" s="10"/>
      <c r="O10" s="10" t="str">
        <f>Table114[[#This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IF(Table114[[#This Row],[Type]]="Co-product", "No", "")</f>
        <v/>
      </c>
      <c r="J11" s="10"/>
      <c r="K11" s="89"/>
      <c r="L11" s="10" t="str">
        <f>IF(Table114[[#This Row],[Type]]="Transportation", "ton", "")</f>
        <v/>
      </c>
      <c r="M11" s="10"/>
      <c r="N11" s="10"/>
      <c r="O11" s="10" t="str">
        <f>Table114[[#This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IF(Table114[[#This Row],[Type]]="Co-product", "No", "")</f>
        <v/>
      </c>
      <c r="J12" s="10"/>
      <c r="K12" s="89"/>
      <c r="L12" s="10" t="str">
        <f>IF(Table114[[#This Row],[Type]]="Transportation", "ton", "")</f>
        <v/>
      </c>
      <c r="M12" s="10"/>
      <c r="N12" s="10"/>
      <c r="O12" s="10" t="str">
        <f>Table114[[#This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IF(Table114[[#This Row],[Type]]="Co-product", "No", "")</f>
        <v/>
      </c>
      <c r="J13" s="10"/>
      <c r="K13" s="89"/>
      <c r="L13" s="10" t="str">
        <f>IF(Table114[[#This Row],[Type]]="Transportation", "ton", "")</f>
        <v/>
      </c>
      <c r="M13" s="10"/>
      <c r="N13" s="10"/>
      <c r="O13" s="10" t="str">
        <f>Table114[[#This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IF(Table114[[#This Row],[Type]]="Co-product", "No", "")</f>
        <v/>
      </c>
      <c r="J14" s="10"/>
      <c r="K14" s="89"/>
      <c r="L14" s="10" t="str">
        <f>IF(Table114[[#This Row],[Type]]="Transportation", "ton", "")</f>
        <v/>
      </c>
      <c r="M14" s="10"/>
      <c r="N14" s="10"/>
      <c r="O14" s="10" t="str">
        <f>Table114[[#This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IF(Table114[[#This Row],[Type]]="Co-product", "No", "")</f>
        <v/>
      </c>
      <c r="J15" s="10"/>
      <c r="K15" s="89"/>
      <c r="L15" s="10" t="str">
        <f>IF(Table114[[#This Row],[Type]]="Transportation", "ton", "")</f>
        <v/>
      </c>
      <c r="M15" s="10"/>
      <c r="N15" s="10"/>
      <c r="O15" s="10" t="str">
        <f>Table114[[#This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IF(Table114[[#This Row],[Type]]="Co-product", "No", "")</f>
        <v/>
      </c>
      <c r="J16" s="10"/>
      <c r="K16" s="89"/>
      <c r="L16" s="10" t="str">
        <f>IF(Table114[[#This Row],[Type]]="Transportation", "ton", "")</f>
        <v/>
      </c>
      <c r="M16" s="10"/>
      <c r="N16" s="10"/>
      <c r="O16" s="10" t="str">
        <f>Table114[[#This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IF(Table114[[#This Row],[Type]]="Co-product", "No", "")</f>
        <v/>
      </c>
      <c r="J17" s="10"/>
      <c r="K17" s="89"/>
      <c r="L17" s="10" t="str">
        <f>IF(Table114[[#This Row],[Type]]="Transportation", "ton", "")</f>
        <v/>
      </c>
      <c r="M17" s="10"/>
      <c r="N17" s="10"/>
      <c r="O17" s="10" t="str">
        <f>Table114[[#This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IF(Table114[[#This Row],[Type]]="Co-product", "No", "")</f>
        <v/>
      </c>
      <c r="J18" s="10"/>
      <c r="K18" s="89"/>
      <c r="L18" s="10" t="str">
        <f>IF(Table114[[#This Row],[Type]]="Transportation", "ton", "")</f>
        <v/>
      </c>
      <c r="M18" s="10"/>
      <c r="N18" s="10"/>
      <c r="O18" s="10" t="str">
        <f>Table114[[#This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IF(Table114[[#This Row],[Type]]="Co-product", "No", "")</f>
        <v/>
      </c>
      <c r="J19" s="10"/>
      <c r="K19" s="89"/>
      <c r="L19" s="10" t="str">
        <f>IF(Table114[[#This Row],[Type]]="Transportation", "ton", "")</f>
        <v/>
      </c>
      <c r="M19" s="10"/>
      <c r="N19" s="10"/>
      <c r="O19" s="10" t="str">
        <f>Table114[[#This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IF(Table114[[#This Row],[Type]]="Co-product", "No", "")</f>
        <v/>
      </c>
      <c r="J20" s="10"/>
      <c r="K20" s="89"/>
      <c r="L20" s="10" t="str">
        <f>IF(Table114[[#This Row],[Type]]="Transportation", "ton", "")</f>
        <v/>
      </c>
      <c r="M20" s="10"/>
      <c r="N20" s="10"/>
      <c r="O20" s="10" t="str">
        <f>Table114[[#This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IF(Table114[[#This Row],[Type]]="Co-product", "No", "")</f>
        <v/>
      </c>
      <c r="J21" s="10"/>
      <c r="K21" s="89"/>
      <c r="L21" s="10" t="str">
        <f>IF(Table114[[#This Row],[Type]]="Transportation", "ton", "")</f>
        <v/>
      </c>
      <c r="M21" s="10"/>
      <c r="N21" s="10"/>
      <c r="O21" s="10" t="str">
        <f>Table114[[#This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IF(Table114[[#This Row],[Type]]="Co-product", "No", "")</f>
        <v/>
      </c>
      <c r="J22" s="10"/>
      <c r="K22" s="89"/>
      <c r="L22" s="10" t="str">
        <f>IF(Table114[[#This Row],[Type]]="Transportation", "ton", "")</f>
        <v/>
      </c>
      <c r="M22" s="10"/>
      <c r="N22" s="10"/>
      <c r="O22" s="10" t="str">
        <f>Table114[[#This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IF(Table114[[#This Row],[Type]]="Co-product", "No", "")</f>
        <v/>
      </c>
      <c r="J23" s="10"/>
      <c r="K23" s="89"/>
      <c r="L23" s="10" t="str">
        <f>IF(Table114[[#This Row],[Type]]="Transportation", "ton", "")</f>
        <v/>
      </c>
      <c r="M23" s="10"/>
      <c r="N23" s="10"/>
      <c r="O23" s="10" t="str">
        <f>Table114[[#This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IF(Table114[[#This Row],[Type]]="Co-product", "No", "")</f>
        <v/>
      </c>
      <c r="J24" s="10"/>
      <c r="K24" s="89"/>
      <c r="L24" s="10" t="str">
        <f>IF(Table114[[#This Row],[Type]]="Transportation", "ton", "")</f>
        <v/>
      </c>
      <c r="M24" s="10"/>
      <c r="N24" s="10"/>
      <c r="O24" s="10" t="str">
        <f>Table114[[#This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IF(Table114[[#This Row],[Type]]="Co-product", "No", "")</f>
        <v/>
      </c>
      <c r="J25" s="10"/>
      <c r="K25" s="89"/>
      <c r="L25" s="10" t="str">
        <f>IF(Table114[[#This Row],[Type]]="Transportation", "ton", "")</f>
        <v/>
      </c>
      <c r="M25" s="10"/>
      <c r="N25" s="10"/>
      <c r="O25" s="10" t="str">
        <f>Table114[[#This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IF(Table114[[#This Row],[Type]]="Co-product", "No", "")</f>
        <v/>
      </c>
      <c r="J26" s="10"/>
      <c r="K26" s="89"/>
      <c r="L26" s="10" t="str">
        <f>IF(Table114[[#This Row],[Type]]="Transportation", "ton", "")</f>
        <v/>
      </c>
      <c r="M26" s="10"/>
      <c r="N26" s="10"/>
      <c r="O26" s="10" t="str">
        <f>Table114[[#This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IF(Table114[[#This Row],[Type]]="Co-product", "No", "")</f>
        <v/>
      </c>
      <c r="J27" s="10"/>
      <c r="K27" s="89"/>
      <c r="L27" s="10" t="str">
        <f>IF(Table114[[#This Row],[Type]]="Transportation", "ton", "")</f>
        <v/>
      </c>
      <c r="M27" s="10"/>
      <c r="N27" s="10"/>
      <c r="O27" s="10" t="str">
        <f>Table114[[#This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IF(Table114[[#This Row],[Type]]="Co-product", "No", "")</f>
        <v/>
      </c>
      <c r="J28" s="10"/>
      <c r="K28" s="89"/>
      <c r="L28" s="10" t="str">
        <f>IF(Table114[[#This Row],[Type]]="Transportation", "ton", "")</f>
        <v/>
      </c>
      <c r="M28" s="10"/>
      <c r="N28" s="10"/>
      <c r="O28" s="10" t="str">
        <f>Table114[[#This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IF(Table114[[#This Row],[Type]]="Co-product", "No", "")</f>
        <v/>
      </c>
      <c r="J29" s="10"/>
      <c r="K29" s="89"/>
      <c r="L29" s="10" t="str">
        <f>IF(Table114[[#This Row],[Type]]="Transportation", "ton", "")</f>
        <v/>
      </c>
      <c r="M29" s="10"/>
      <c r="N29" s="10"/>
      <c r="O29" s="10" t="str">
        <f>Table114[[#This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IF(Table114[[#This Row],[Type]]="Co-product", "No", "")</f>
        <v/>
      </c>
      <c r="J30" s="10"/>
      <c r="K30" s="89"/>
      <c r="L30" s="10" t="str">
        <f>IF(Table114[[#This Row],[Type]]="Transportation", "ton", "")</f>
        <v/>
      </c>
      <c r="M30" s="10"/>
      <c r="N30" s="10"/>
      <c r="O30" s="10" t="str">
        <f>Table114[[#This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IF(Table114[[#This Row],[Type]]="Co-product", "No", "")</f>
        <v/>
      </c>
      <c r="J31" s="10"/>
      <c r="K31" s="89"/>
      <c r="L31" s="10" t="str">
        <f>IF(Table114[[#This Row],[Type]]="Transportation", "ton", "")</f>
        <v/>
      </c>
      <c r="M31" s="10"/>
      <c r="N31" s="10"/>
      <c r="O31" s="10" t="str">
        <f>Table114[[#This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IF(Table114[[#This Row],[Type]]="Co-product", "No", "")</f>
        <v/>
      </c>
      <c r="J32" s="10"/>
      <c r="K32" s="89"/>
      <c r="L32" s="10" t="str">
        <f>IF(Table114[[#This Row],[Type]]="Transportation", "ton", "")</f>
        <v/>
      </c>
      <c r="M32" s="10"/>
      <c r="N32" s="10"/>
      <c r="O32" s="10" t="str">
        <f>Table114[[#This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IF(Table114[[#This Row],[Type]]="Co-product", "No", "")</f>
        <v/>
      </c>
      <c r="J33" s="10"/>
      <c r="K33" s="89"/>
      <c r="L33" s="10" t="str">
        <f>IF(Table114[[#This Row],[Type]]="Transportation", "ton", "")</f>
        <v/>
      </c>
      <c r="M33" s="10"/>
      <c r="N33" s="10"/>
      <c r="O33" s="10" t="str">
        <f>Table114[[#This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IF(Table114[[#This Row],[Type]]="Co-product", "No", "")</f>
        <v/>
      </c>
      <c r="J34" s="10"/>
      <c r="K34" s="89"/>
      <c r="L34" s="10" t="str">
        <f>IF(Table114[[#This Row],[Type]]="Transportation", "ton", "")</f>
        <v/>
      </c>
      <c r="M34" s="10"/>
      <c r="N34" s="10"/>
      <c r="O34" s="10" t="str">
        <f>Table114[[#This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IF(Table114[[#This Row],[Type]]="Co-product", "No", "")</f>
        <v/>
      </c>
      <c r="J35" s="10"/>
      <c r="K35" s="89"/>
      <c r="L35" s="10" t="str">
        <f>IF(Table114[[#This Row],[Type]]="Transportation", "ton", "")</f>
        <v/>
      </c>
      <c r="M35" s="10"/>
      <c r="N35" s="10"/>
      <c r="O35" s="10" t="str">
        <f>Table114[[#This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IF(Table114[[#This Row],[Type]]="Co-product", "No", "")</f>
        <v/>
      </c>
      <c r="J36" s="10"/>
      <c r="K36" s="89"/>
      <c r="L36" s="10" t="str">
        <f>IF(Table114[[#This Row],[Type]]="Transportation", "ton", "")</f>
        <v/>
      </c>
      <c r="M36" s="10"/>
      <c r="N36" s="10"/>
      <c r="O36" s="10" t="str">
        <f>Table114[[#This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IF(Table114[[#This Row],[Type]]="Co-product", "No", "")</f>
        <v/>
      </c>
      <c r="J37" s="10"/>
      <c r="K37" s="89"/>
      <c r="L37" s="10" t="str">
        <f>IF(Table114[[#This Row],[Type]]="Transportation", "ton", "")</f>
        <v/>
      </c>
      <c r="M37" s="10"/>
      <c r="N37" s="10"/>
      <c r="O37" s="10" t="str">
        <f>Table114[[#This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IF(Table114[[#This Row],[Type]]="Co-product", "No", "")</f>
        <v/>
      </c>
      <c r="J38" s="10"/>
      <c r="K38" s="89"/>
      <c r="L38" s="10" t="str">
        <f>IF(Table114[[#This Row],[Type]]="Transportation", "ton", "")</f>
        <v/>
      </c>
      <c r="M38" s="10"/>
      <c r="N38" s="10"/>
      <c r="O38" s="10" t="str">
        <f>Table114[[#This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IF(Table114[[#This Row],[Type]]="Co-product", "No", "")</f>
        <v/>
      </c>
      <c r="J39" s="10"/>
      <c r="K39" s="89"/>
      <c r="L39" s="10" t="str">
        <f>IF(Table114[[#This Row],[Type]]="Transportation", "ton", "")</f>
        <v/>
      </c>
      <c r="M39" s="10"/>
      <c r="N39" s="10"/>
      <c r="O39" s="10" t="str">
        <f>Table114[[#This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IF(Table114[[#This Row],[Type]]="Co-product", "No", "")</f>
        <v/>
      </c>
      <c r="J40" s="10"/>
      <c r="K40" s="89"/>
      <c r="L40" s="10" t="str">
        <f>IF(Table114[[#This Row],[Type]]="Transportation", "ton", "")</f>
        <v/>
      </c>
      <c r="M40" s="10"/>
      <c r="N40" s="10"/>
      <c r="O40" s="10" t="str">
        <f>Table114[[#This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IF(Table114[[#This Row],[Type]]="Co-product", "No", "")</f>
        <v/>
      </c>
      <c r="J41" s="10"/>
      <c r="K41" s="89"/>
      <c r="L41" s="10" t="str">
        <f>IF(Table114[[#This Row],[Type]]="Transportation", "ton", "")</f>
        <v/>
      </c>
      <c r="M41" s="10"/>
      <c r="N41" s="10"/>
      <c r="O41" s="10" t="str">
        <f>Table114[[#This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IF(Table114[[#This Row],[Type]]="Co-product", "No", "")</f>
        <v/>
      </c>
      <c r="J42" s="10"/>
      <c r="K42" s="89"/>
      <c r="L42" s="10" t="str">
        <f>IF(Table114[[#This Row],[Type]]="Transportation", "ton", "")</f>
        <v/>
      </c>
      <c r="M42" s="10"/>
      <c r="N42" s="10"/>
      <c r="O42" s="10" t="str">
        <f>Table114[[#This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IF(Table114[[#This Row],[Type]]="Co-product", "No", "")</f>
        <v/>
      </c>
      <c r="J43" s="10"/>
      <c r="K43" s="89"/>
      <c r="L43" s="10" t="str">
        <f>IF(Table114[[#This Row],[Type]]="Transportation", "ton", "")</f>
        <v/>
      </c>
      <c r="M43" s="10"/>
      <c r="N43" s="10"/>
      <c r="O43" s="10" t="str">
        <f>Table114[[#This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IF(Table114[[#This Row],[Type]]="Co-product", "No", "")</f>
        <v/>
      </c>
      <c r="J44" s="10"/>
      <c r="K44" s="89"/>
      <c r="L44" s="10" t="str">
        <f>IF(Table114[[#This Row],[Type]]="Transportation", "ton", "")</f>
        <v/>
      </c>
      <c r="M44" s="10"/>
      <c r="N44" s="10"/>
      <c r="O44" s="10" t="str">
        <f>Table114[[#This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IF(Table114[[#This Row],[Type]]="Co-product", "No", "")</f>
        <v/>
      </c>
      <c r="J45" s="10"/>
      <c r="K45" s="89"/>
      <c r="L45" s="10" t="str">
        <f>IF(Table114[[#This Row],[Type]]="Transportation", "ton", "")</f>
        <v/>
      </c>
      <c r="M45" s="10"/>
      <c r="N45" s="10"/>
      <c r="O45" s="10" t="str">
        <f>Table114[[#This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IF(Table114[[#This Row],[Type]]="Co-product", "No", "")</f>
        <v/>
      </c>
      <c r="J46" s="10"/>
      <c r="K46" s="89"/>
      <c r="L46" s="10" t="str">
        <f>IF(Table114[[#This Row],[Type]]="Transportation", "ton", "")</f>
        <v/>
      </c>
      <c r="M46" s="10"/>
      <c r="N46" s="10"/>
      <c r="O46" s="10" t="str">
        <f>Table114[[#This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IF(Table114[[#This Row],[Type]]="Co-product", "No", "")</f>
        <v/>
      </c>
      <c r="J47" s="10"/>
      <c r="K47" s="89"/>
      <c r="L47" s="10" t="str">
        <f>IF(Table114[[#This Row],[Type]]="Transportation", "ton", "")</f>
        <v/>
      </c>
      <c r="M47" s="10"/>
      <c r="N47" s="10"/>
      <c r="O47" s="10" t="str">
        <f>Table114[[#This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IF(Table114[[#This Row],[Type]]="Co-product", "No", "")</f>
        <v/>
      </c>
      <c r="J48" s="10"/>
      <c r="K48" s="89"/>
      <c r="L48" s="10" t="str">
        <f>IF(Table114[[#This Row],[Type]]="Transportation", "ton", "")</f>
        <v/>
      </c>
      <c r="M48" s="10"/>
      <c r="N48" s="10"/>
      <c r="O48" s="10" t="str">
        <f>Table114[[#This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IF(Table114[[#This Row],[Type]]="Co-product", "No", "")</f>
        <v/>
      </c>
      <c r="J49" s="10"/>
      <c r="K49" s="89"/>
      <c r="L49" s="10" t="str">
        <f>IF(Table114[[#This Row],[Type]]="Transportation", "ton", "")</f>
        <v/>
      </c>
      <c r="M49" s="10"/>
      <c r="N49" s="10"/>
      <c r="O49" s="10" t="str">
        <f>Table114[[#This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IF(Table114[[#This Row],[Type]]="Co-product", "No", "")</f>
        <v/>
      </c>
      <c r="J50" s="10"/>
      <c r="K50" s="89"/>
      <c r="L50" s="10" t="str">
        <f>IF(Table114[[#This Row],[Type]]="Transportation", "ton", "")</f>
        <v/>
      </c>
      <c r="M50" s="10"/>
      <c r="N50" s="10"/>
      <c r="O50" s="10" t="str">
        <f>Table114[[#This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IF(Table114[[#This Row],[Type]]="Co-product", "No", "")</f>
        <v/>
      </c>
      <c r="J51" s="10"/>
      <c r="K51" s="89"/>
      <c r="L51" s="10" t="str">
        <f>IF(Table114[[#This Row],[Type]]="Transportation", "ton", "")</f>
        <v/>
      </c>
      <c r="M51" s="10"/>
      <c r="N51" s="10"/>
      <c r="O51" s="10" t="str">
        <f>Table114[[#This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IF(Table114[[#This Row],[Type]]="Co-product", "No", "")</f>
        <v/>
      </c>
      <c r="J52" s="10"/>
      <c r="K52" s="89"/>
      <c r="L52" s="10" t="str">
        <f>IF(Table114[[#This Row],[Type]]="Transportation", "ton", "")</f>
        <v/>
      </c>
      <c r="M52" s="10"/>
      <c r="N52" s="10"/>
      <c r="O52" s="10" t="str">
        <f>Table114[[#This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IF(Table114[[#This Row],[Type]]="Co-product", "No", "")</f>
        <v/>
      </c>
      <c r="J53" s="10"/>
      <c r="K53" s="89"/>
      <c r="L53" s="10" t="str">
        <f>IF(Table114[[#This Row],[Type]]="Transportation", "ton", "")</f>
        <v/>
      </c>
      <c r="M53" s="10"/>
      <c r="N53" s="10"/>
      <c r="O53" s="10" t="str">
        <f>Table114[[#This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IF(Table114[[#This Row],[Type]]="Co-product", "No", "")</f>
        <v/>
      </c>
      <c r="J54" s="10"/>
      <c r="K54" s="89"/>
      <c r="L54" s="10" t="str">
        <f>IF(Table114[[#This Row],[Type]]="Transportation", "ton", "")</f>
        <v/>
      </c>
      <c r="M54" s="10"/>
      <c r="N54" s="10"/>
      <c r="O54" s="10" t="str">
        <f>Table114[[#This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IF(Table114[[#This Row],[Type]]="Co-product", "No", "")</f>
        <v/>
      </c>
      <c r="J55" s="10"/>
      <c r="K55" s="89"/>
      <c r="L55" s="10" t="str">
        <f>IF(Table114[[#This Row],[Type]]="Transportation", "ton", "")</f>
        <v/>
      </c>
      <c r="M55" s="10"/>
      <c r="N55" s="10"/>
      <c r="O55" s="10" t="str">
        <f>Table114[[#This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IF(Table114[[#This Row],[Type]]="Co-product", "No", "")</f>
        <v/>
      </c>
      <c r="J56" s="10"/>
      <c r="K56" s="89"/>
      <c r="L56" s="10" t="str">
        <f>IF(Table114[[#This Row],[Type]]="Transportation", "ton", "")</f>
        <v/>
      </c>
      <c r="M56" s="10"/>
      <c r="N56" s="10"/>
      <c r="O56" s="10" t="str">
        <f>Table114[[#This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IF(Table114[[#This Row],[Type]]="Co-product", "No", "")</f>
        <v/>
      </c>
      <c r="J57" s="10"/>
      <c r="K57" s="89"/>
      <c r="L57" s="10" t="str">
        <f>IF(Table114[[#This Row],[Type]]="Transportation", "ton", "")</f>
        <v/>
      </c>
      <c r="M57" s="10"/>
      <c r="N57" s="10"/>
      <c r="O57" s="10" t="str">
        <f>Table114[[#This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IF(Table114[[#This Row],[Type]]="Co-product", "No", "")</f>
        <v/>
      </c>
      <c r="J58" s="10"/>
      <c r="K58" s="89"/>
      <c r="L58" s="10" t="str">
        <f>IF(Table114[[#This Row],[Type]]="Transportation", "ton", "")</f>
        <v/>
      </c>
      <c r="M58" s="10"/>
      <c r="N58" s="10"/>
      <c r="O58" s="10" t="str">
        <f>Table114[[#This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IF(Table114[[#This Row],[Type]]="Co-product", "No", "")</f>
        <v/>
      </c>
      <c r="J59" s="10"/>
      <c r="K59" s="89"/>
      <c r="L59" s="10" t="str">
        <f>IF(Table114[[#This Row],[Type]]="Transportation", "ton", "")</f>
        <v/>
      </c>
      <c r="M59" s="10"/>
      <c r="N59" s="10"/>
      <c r="O59" s="10" t="str">
        <f>Table114[[#This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IF(Table114[[#This Row],[Type]]="Co-product", "No", "")</f>
        <v/>
      </c>
      <c r="J60" s="10"/>
      <c r="K60" s="89"/>
      <c r="L60" s="10" t="str">
        <f>IF(Table114[[#This Row],[Type]]="Transportation", "ton", "")</f>
        <v/>
      </c>
      <c r="M60" s="10"/>
      <c r="N60" s="10"/>
      <c r="O60" s="10" t="str">
        <f>Table114[[#This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IF(Table114[[#This Row],[Type]]="Co-product", "No", "")</f>
        <v/>
      </c>
      <c r="J61" s="10"/>
      <c r="K61" s="89"/>
      <c r="L61" s="10" t="str">
        <f>IF(Table114[[#This Row],[Type]]="Transportation", "ton", "")</f>
        <v/>
      </c>
      <c r="M61" s="10"/>
      <c r="N61" s="10"/>
      <c r="O61" s="10" t="str">
        <f>Table114[[#This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IF(Table114[[#This Row],[Type]]="Co-product", "No", "")</f>
        <v/>
      </c>
      <c r="J62" s="10"/>
      <c r="K62" s="89"/>
      <c r="L62" s="10" t="str">
        <f>IF(Table114[[#This Row],[Type]]="Transportation", "ton", "")</f>
        <v/>
      </c>
      <c r="M62" s="10"/>
      <c r="N62" s="10"/>
      <c r="O62" s="10" t="str">
        <f>Table114[[#This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IF(Table114[[#This Row],[Type]]="Co-product", "No", "")</f>
        <v/>
      </c>
      <c r="J63" s="10"/>
      <c r="K63" s="89"/>
      <c r="L63" s="10" t="str">
        <f>IF(Table114[[#This Row],[Type]]="Transportation", "ton", "")</f>
        <v/>
      </c>
      <c r="M63" s="10"/>
      <c r="N63" s="10"/>
      <c r="O63" s="10" t="str">
        <f>Table114[[#This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IF(Table114[[#This Row],[Type]]="Co-product", "No", "")</f>
        <v/>
      </c>
      <c r="J64" s="10"/>
      <c r="K64" s="89"/>
      <c r="L64" s="10" t="str">
        <f>IF(Table114[[#This Row],[Type]]="Transportation", "ton", "")</f>
        <v/>
      </c>
      <c r="M64" s="10"/>
      <c r="N64" s="10"/>
      <c r="O64" s="10" t="str">
        <f>Table114[[#This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IF(Table114[[#This Row],[Type]]="Co-product", "No", "")</f>
        <v/>
      </c>
      <c r="J65" s="10"/>
      <c r="K65" s="89"/>
      <c r="L65" s="10" t="str">
        <f>IF(Table114[[#This Row],[Type]]="Transportation", "ton", "")</f>
        <v/>
      </c>
      <c r="M65" s="10"/>
      <c r="N65" s="10"/>
      <c r="O65" s="10" t="str">
        <f>Table114[[#This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IF(Table114[[#This Row],[Type]]="Co-product", "No", "")</f>
        <v/>
      </c>
      <c r="J66" s="10"/>
      <c r="K66" s="89"/>
      <c r="L66" s="10" t="str">
        <f>IF(Table114[[#This Row],[Type]]="Transportation", "ton", "")</f>
        <v/>
      </c>
      <c r="M66" s="10"/>
      <c r="N66" s="10"/>
      <c r="O66" s="10" t="str">
        <f>Table114[[#This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IF(Table114[[#This Row],[Type]]="Co-product", "No", "")</f>
        <v/>
      </c>
      <c r="J67" s="10"/>
      <c r="K67" s="89"/>
      <c r="L67" s="10" t="str">
        <f>IF(Table114[[#This Row],[Type]]="Transportation", "ton", "")</f>
        <v/>
      </c>
      <c r="M67" s="10"/>
      <c r="N67" s="10"/>
      <c r="O67" s="10" t="str">
        <f>Table114[[#This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IF(Table114[[#This Row],[Type]]="Co-product", "No", "")</f>
        <v/>
      </c>
      <c r="J68" s="10"/>
      <c r="K68" s="89"/>
      <c r="L68" s="10" t="str">
        <f>IF(Table114[[#This Row],[Type]]="Transportation", "ton", "")</f>
        <v/>
      </c>
      <c r="M68" s="10"/>
      <c r="N68" s="10"/>
      <c r="O68" s="10" t="str">
        <f>Table114[[#This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IF(Table114[[#This Row],[Type]]="Co-product", "No", "")</f>
        <v/>
      </c>
      <c r="J69" s="10"/>
      <c r="K69" s="89"/>
      <c r="L69" s="10" t="str">
        <f>IF(Table114[[#This Row],[Type]]="Transportation", "ton", "")</f>
        <v/>
      </c>
      <c r="M69" s="10"/>
      <c r="N69" s="10"/>
      <c r="O69" s="10" t="str">
        <f>Table114[[#This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IF(Table114[[#This Row],[Type]]="Co-product", "No", "")</f>
        <v/>
      </c>
      <c r="J70" s="10"/>
      <c r="K70" s="89"/>
      <c r="L70" s="10" t="str">
        <f>IF(Table114[[#This Row],[Type]]="Transportation", "ton", "")</f>
        <v/>
      </c>
      <c r="M70" s="10"/>
      <c r="N70" s="10"/>
      <c r="O70" s="10" t="str">
        <f>Table114[[#This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IF(Table114[[#This Row],[Type]]="Co-product", "No", "")</f>
        <v/>
      </c>
      <c r="J71" s="10"/>
      <c r="K71" s="89"/>
      <c r="L71" s="10" t="str">
        <f>IF(Table114[[#This Row],[Type]]="Transportation", "ton", "")</f>
        <v/>
      </c>
      <c r="M71" s="10"/>
      <c r="N71" s="10"/>
      <c r="O71" s="10" t="str">
        <f>Table114[[#This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IF(Table114[[#This Row],[Type]]="Co-product", "No", "")</f>
        <v/>
      </c>
      <c r="J72" s="10"/>
      <c r="K72" s="89"/>
      <c r="L72" s="10" t="str">
        <f>IF(Table114[[#This Row],[Type]]="Transportation", "ton", "")</f>
        <v/>
      </c>
      <c r="M72" s="10"/>
      <c r="N72" s="10"/>
      <c r="O72" s="10" t="str">
        <f>Table114[[#This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IF(Table114[[#This Row],[Type]]="Co-product", "No", "")</f>
        <v/>
      </c>
      <c r="J73" s="10"/>
      <c r="K73" s="89"/>
      <c r="L73" s="10" t="str">
        <f>IF(Table114[[#This Row],[Type]]="Transportation", "ton", "")</f>
        <v/>
      </c>
      <c r="M73" s="10"/>
      <c r="N73" s="10"/>
      <c r="O73" s="10" t="str">
        <f>Table114[[#This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IF(Table114[[#This Row],[Type]]="Co-product", "No", "")</f>
        <v/>
      </c>
      <c r="J74" s="10"/>
      <c r="K74" s="89"/>
      <c r="L74" s="10" t="str">
        <f>IF(Table114[[#This Row],[Type]]="Transportation", "ton", "")</f>
        <v/>
      </c>
      <c r="M74" s="10"/>
      <c r="N74" s="10"/>
      <c r="O74" s="10" t="str">
        <f>Table114[[#This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IF(Table114[[#This Row],[Type]]="Co-product", "No", "")</f>
        <v/>
      </c>
      <c r="J75" s="10"/>
      <c r="K75" s="89"/>
      <c r="L75" s="10" t="str">
        <f>IF(Table114[[#This Row],[Type]]="Transportation", "ton", "")</f>
        <v/>
      </c>
      <c r="M75" s="10"/>
      <c r="N75" s="10"/>
      <c r="O75" s="10" t="str">
        <f>Table114[[#This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IF(Table114[[#This Row],[Type]]="Co-product", "No", "")</f>
        <v/>
      </c>
      <c r="J76" s="10"/>
      <c r="K76" s="89"/>
      <c r="L76" s="10" t="str">
        <f>IF(Table114[[#This Row],[Type]]="Transportation", "ton", "")</f>
        <v/>
      </c>
      <c r="M76" s="10"/>
      <c r="N76" s="10"/>
      <c r="O76" s="10" t="str">
        <f>Table114[[#This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IF(Table114[[#This Row],[Type]]="Co-product", "No", "")</f>
        <v/>
      </c>
      <c r="J77" s="10"/>
      <c r="K77" s="89"/>
      <c r="L77" s="10" t="str">
        <f>IF(Table114[[#This Row],[Type]]="Transportation", "ton", "")</f>
        <v/>
      </c>
      <c r="M77" s="10"/>
      <c r="N77" s="10"/>
      <c r="O77" s="10" t="str">
        <f>Table114[[#This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IF(Table114[[#This Row],[Type]]="Co-product", "No", "")</f>
        <v/>
      </c>
      <c r="J78" s="10"/>
      <c r="K78" s="89"/>
      <c r="L78" s="10" t="str">
        <f>IF(Table114[[#This Row],[Type]]="Transportation", "ton", "")</f>
        <v/>
      </c>
      <c r="M78" s="10"/>
      <c r="N78" s="10"/>
      <c r="O78" s="10" t="str">
        <f>Table114[[#This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IF(Table114[[#This Row],[Type]]="Co-product", "No", "")</f>
        <v/>
      </c>
      <c r="J79" s="10"/>
      <c r="K79" s="89"/>
      <c r="L79" s="10" t="str">
        <f>IF(Table114[[#This Row],[Type]]="Transportation", "ton", "")</f>
        <v/>
      </c>
      <c r="M79" s="10"/>
      <c r="N79" s="10"/>
      <c r="O79" s="10" t="str">
        <f>Table114[[#This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IF(Table114[[#This Row],[Type]]="Co-product", "No", "")</f>
        <v/>
      </c>
      <c r="J80" s="10"/>
      <c r="K80" s="89"/>
      <c r="L80" s="10" t="str">
        <f>IF(Table114[[#This Row],[Type]]="Transportation", "ton", "")</f>
        <v/>
      </c>
      <c r="M80" s="10"/>
      <c r="N80" s="10"/>
      <c r="O80" s="10" t="str">
        <f>Table114[[#This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IF(Table114[[#This Row],[Type]]="Co-product", "No", "")</f>
        <v/>
      </c>
      <c r="J81" s="10"/>
      <c r="K81" s="89"/>
      <c r="L81" s="10" t="str">
        <f>IF(Table114[[#This Row],[Type]]="Transportation", "ton", "")</f>
        <v/>
      </c>
      <c r="M81" s="10"/>
      <c r="N81" s="10"/>
      <c r="O81" s="10" t="str">
        <f>Table114[[#This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IF(Table114[[#This Row],[Type]]="Co-product", "No", "")</f>
        <v/>
      </c>
      <c r="J82" s="10"/>
      <c r="K82" s="89"/>
      <c r="L82" s="10" t="str">
        <f>IF(Table114[[#This Row],[Type]]="Transportation", "ton", "")</f>
        <v/>
      </c>
      <c r="M82" s="10"/>
      <c r="N82" s="10"/>
      <c r="O82" s="10" t="str">
        <f>Table114[[#This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IF(Table114[[#This Row],[Type]]="Co-product", "No", "")</f>
        <v/>
      </c>
      <c r="J83" s="10"/>
      <c r="K83" s="89"/>
      <c r="L83" s="10" t="str">
        <f>IF(Table114[[#This Row],[Type]]="Transportation", "ton", "")</f>
        <v/>
      </c>
      <c r="M83" s="10"/>
      <c r="N83" s="10"/>
      <c r="O83" s="10" t="str">
        <f>Table114[[#This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IF(Table114[[#This Row],[Type]]="Co-product", "No", "")</f>
        <v/>
      </c>
      <c r="J84" s="10"/>
      <c r="K84" s="89"/>
      <c r="L84" s="10" t="str">
        <f>IF(Table114[[#This Row],[Type]]="Transportation", "ton", "")</f>
        <v/>
      </c>
      <c r="M84" s="10"/>
      <c r="N84" s="10"/>
      <c r="O84" s="10" t="str">
        <f>Table114[[#This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IF(Table114[[#This Row],[Type]]="Co-product", "No", "")</f>
        <v/>
      </c>
      <c r="J85" s="10"/>
      <c r="K85" s="89"/>
      <c r="L85" s="10" t="str">
        <f>IF(Table114[[#This Row],[Type]]="Transportation", "ton", "")</f>
        <v/>
      </c>
      <c r="M85" s="10"/>
      <c r="N85" s="10"/>
      <c r="O85" s="10" t="str">
        <f>Table114[[#This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IF(Table114[[#This Row],[Type]]="Co-product", "No", "")</f>
        <v/>
      </c>
      <c r="J86" s="10"/>
      <c r="K86" s="89"/>
      <c r="L86" s="10" t="str">
        <f>IF(Table114[[#This Row],[Type]]="Transportation", "ton", "")</f>
        <v/>
      </c>
      <c r="M86" s="10"/>
      <c r="N86" s="10"/>
      <c r="O86" s="10" t="str">
        <f>Table114[[#This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IF(Table114[[#This Row],[Type]]="Co-product", "No", "")</f>
        <v/>
      </c>
      <c r="J87" s="10"/>
      <c r="K87" s="89"/>
      <c r="L87" s="10" t="str">
        <f>IF(Table114[[#This Row],[Type]]="Transportation", "ton", "")</f>
        <v/>
      </c>
      <c r="M87" s="10"/>
      <c r="N87" s="10"/>
      <c r="O87" s="10" t="str">
        <f>Table114[[#This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IF(Table114[[#This Row],[Type]]="Co-product", "No", "")</f>
        <v/>
      </c>
      <c r="J88" s="10"/>
      <c r="K88" s="89"/>
      <c r="L88" s="10" t="str">
        <f>IF(Table114[[#This Row],[Type]]="Transportation", "ton", "")</f>
        <v/>
      </c>
      <c r="M88" s="10"/>
      <c r="N88" s="10"/>
      <c r="O88" s="10" t="str">
        <f>Table114[[#This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IF(Table114[[#This Row],[Type]]="Co-product", "No", "")</f>
        <v/>
      </c>
      <c r="J89" s="10"/>
      <c r="K89" s="89"/>
      <c r="L89" s="10" t="str">
        <f>IF(Table114[[#This Row],[Type]]="Transportation", "ton", "")</f>
        <v/>
      </c>
      <c r="M89" s="10"/>
      <c r="N89" s="10"/>
      <c r="O89" s="10" t="str">
        <f>Table114[[#This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IF(Table114[[#This Row],[Type]]="Co-product", "No", "")</f>
        <v/>
      </c>
      <c r="J90" s="10"/>
      <c r="K90" s="89"/>
      <c r="L90" s="10" t="str">
        <f>IF(Table114[[#This Row],[Type]]="Transportation", "ton", "")</f>
        <v/>
      </c>
      <c r="M90" s="10"/>
      <c r="N90" s="10"/>
      <c r="O90" s="10" t="str">
        <f>Table114[[#This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IF(Table114[[#This Row],[Type]]="Co-product", "No", "")</f>
        <v/>
      </c>
      <c r="J91" s="10"/>
      <c r="K91" s="89"/>
      <c r="L91" s="10" t="str">
        <f>IF(Table114[[#This Row],[Type]]="Transportation", "ton", "")</f>
        <v/>
      </c>
      <c r="M91" s="10"/>
      <c r="N91" s="10"/>
      <c r="O91" s="10" t="str">
        <f>Table114[[#This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IF(Table114[[#This Row],[Type]]="Co-product", "No", "")</f>
        <v/>
      </c>
      <c r="J92" s="10"/>
      <c r="K92" s="89"/>
      <c r="L92" s="10" t="str">
        <f>IF(Table114[[#This Row],[Type]]="Transportation", "ton", "")</f>
        <v/>
      </c>
      <c r="M92" s="10"/>
      <c r="N92" s="10"/>
      <c r="O92" s="10" t="str">
        <f>Table114[[#This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IF(Table114[[#This Row],[Type]]="Co-product", "No", "")</f>
        <v/>
      </c>
      <c r="J93" s="10"/>
      <c r="K93" s="89"/>
      <c r="L93" s="10" t="str">
        <f>IF(Table114[[#This Row],[Type]]="Transportation", "ton", "")</f>
        <v/>
      </c>
      <c r="M93" s="10"/>
      <c r="N93" s="10"/>
      <c r="O93" s="10" t="str">
        <f>Table114[[#This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IF(Table114[[#This Row],[Type]]="Co-product", "No", "")</f>
        <v/>
      </c>
      <c r="J94" s="10"/>
      <c r="K94" s="89"/>
      <c r="L94" s="10" t="str">
        <f>IF(Table114[[#This Row],[Type]]="Transportation", "ton", "")</f>
        <v/>
      </c>
      <c r="M94" s="10"/>
      <c r="N94" s="10"/>
      <c r="O94" s="10" t="str">
        <f>Table114[[#This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IF(Table114[[#This Row],[Type]]="Co-product", "No", "")</f>
        <v/>
      </c>
      <c r="J95" s="10"/>
      <c r="K95" s="89"/>
      <c r="L95" s="10" t="str">
        <f>IF(Table114[[#This Row],[Type]]="Transportation", "ton", "")</f>
        <v/>
      </c>
      <c r="M95" s="10"/>
      <c r="N95" s="10"/>
      <c r="O95" s="10" t="str">
        <f>Table114[[#This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IF(Table114[[#This Row],[Type]]="Co-product", "No", "")</f>
        <v/>
      </c>
      <c r="J96" s="10"/>
      <c r="K96" s="89"/>
      <c r="L96" s="10" t="str">
        <f>IF(Table114[[#This Row],[Type]]="Transportation", "ton", "")</f>
        <v/>
      </c>
      <c r="M96" s="10"/>
      <c r="N96" s="10"/>
      <c r="O96" s="10" t="str">
        <f>Table114[[#This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IF(Table114[[#This Row],[Type]]="Co-product", "No", "")</f>
        <v/>
      </c>
      <c r="J97" s="10"/>
      <c r="K97" s="89"/>
      <c r="L97" s="10" t="str">
        <f>IF(Table114[[#This Row],[Type]]="Transportation", "ton", "")</f>
        <v/>
      </c>
      <c r="M97" s="10"/>
      <c r="N97" s="10"/>
      <c r="O97" s="27" t="str">
        <f>Table114[[#This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IF(Table114[[#This Row],[Type]]="Co-product", "No", "")</f>
        <v/>
      </c>
      <c r="J98" s="10"/>
      <c r="K98" s="89"/>
      <c r="L98" s="10" t="str">
        <f>IF(Table114[[#This Row],[Type]]="Transportation", "ton", "")</f>
        <v/>
      </c>
      <c r="M98" s="10"/>
      <c r="N98" s="10"/>
      <c r="O98" s="27" t="str">
        <f>Table114[[#This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IF(Table114[[#This Row],[Type]]="Co-product", "No", "")</f>
        <v/>
      </c>
      <c r="J99" s="10"/>
      <c r="K99" s="89"/>
      <c r="L99" s="10" t="str">
        <f>IF(Table114[[#This Row],[Type]]="Transportation", "ton", "")</f>
        <v/>
      </c>
      <c r="M99" s="10"/>
      <c r="N99" s="10"/>
      <c r="O99" s="27" t="str">
        <f>Table114[[#This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IF(Table114[[#This Row],[Type]]="Co-product", "No", "")</f>
        <v/>
      </c>
      <c r="J100" s="26"/>
      <c r="K100" s="90"/>
      <c r="L100" s="26" t="str">
        <f>IF(Table114[[#This Row],[Type]]="Transportation", "ton", "")</f>
        <v/>
      </c>
      <c r="M100" s="26"/>
      <c r="N100" s="26"/>
      <c r="O100" s="26" t="str">
        <f>Table114[[#This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Use'!$B$2:$B$51,'SI - End Use'!$C$2:$N$51)</xm:f>
          </x14:formula1>
          <xm:sqref>P5:P100</xm:sqref>
        </x14:dataValidation>
        <x14:dataValidation type="list" allowBlank="1" showInputMessage="1" xr:uid="{5F6D6C85-70E9-4909-9B57-19D8E14E197D}">
          <x14:formula1>
            <xm:f>_xlfn.XLOOKUP($C5,'SI - End Use'!$B$2:$B$51,'SI - End Use'!$C$2:$N$51)</xm:f>
          </x14:formula1>
          <xm:sqref>D5:D100</xm:sqref>
        </x14:dataValidation>
        <x14:dataValidation type="list" allowBlank="1" showInputMessage="1" showErrorMessage="1" xr:uid="{B76BAB4E-7C95-41E0-9EE3-98248DE3E48B}">
          <x14:formula1>
            <xm:f>IF($B5="Transportation",  'SI - Units'!$B$9:$E$9, _xlfn.XLOOKUP(_xlfn.XLOOKUP($C5,'SI - Units'!$B$24:$B$72,'SI - Units'!$C$24:$C$72),'SI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Units'!$B$24:$B$72,'SI - Units'!$C$24:$C$72),'SI - Units'!$A$13:$A$19,'SI - Units'!$B$13:$R$19))</xm:f>
          </x14:formula1>
          <xm:sqref>N5:N100</xm:sqref>
        </x14:dataValidation>
        <x14:dataValidation type="list" allowBlank="1" showInputMessage="1" showErrorMessage="1" xr:uid="{6C98CDC0-C17C-4D81-8106-210EF01B57F1}">
          <x14:formula1>
            <xm:f>_xlfn.XLOOKUP(_xlfn.XLOOKUP(#REF!,'SI - Units'!$B$24:$B$72,'SI - Units'!$C$24:$C$72),'SI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workbookViewId="0">
      <pane ySplit="4" topLeftCell="A5" activePane="bottomLeft" state="frozen"/>
      <selection pane="bottomLeft" activeCell="B29" sqref="B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150</v>
      </c>
    </row>
    <row r="2" spans="1:18" x14ac:dyDescent="0.35">
      <c r="A2" s="24" t="s">
        <v>121</v>
      </c>
      <c r="B2" s="24"/>
      <c r="C2" s="25" t="s">
        <v>147</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70" t="s">
        <v>39</v>
      </c>
      <c r="C5" s="70" t="s">
        <v>33</v>
      </c>
      <c r="D5" s="70"/>
      <c r="E5" s="71">
        <v>104166.667</v>
      </c>
      <c r="F5" s="70" t="s">
        <v>62</v>
      </c>
      <c r="G5" s="72">
        <v>0.2</v>
      </c>
      <c r="H5" s="72" t="s">
        <v>247</v>
      </c>
      <c r="I5" s="43" t="str">
        <f>IF(Table115[[#This Row],[Type]]="Co-product", "No", "")</f>
        <v/>
      </c>
      <c r="J5" s="70" t="s">
        <v>90</v>
      </c>
      <c r="K5" s="10" t="str">
        <f>IF(Table115[[#This Row],[Type]]="Transportation", _xlfn.XLOOKUP(Table115[[#This Row],[Resource]], 'SI - Payload'!$A$10:$A$35,'SI - Payload'!$B$10:$B$35,"",0), "")</f>
        <v/>
      </c>
      <c r="L5" s="10" t="str">
        <f>IF(Table115[[#This Row],[Type]]="Transportation", "ton", "")</f>
        <v/>
      </c>
      <c r="M5" s="10"/>
      <c r="N5" s="10"/>
      <c r="O5" s="10" t="str">
        <f>Table115[[#This Row],[Resource]]</f>
        <v>Corn Stover</v>
      </c>
      <c r="P5" s="10" t="str">
        <f>IF(_xlfn.XLOOKUP($O5,'SI - End Use'!$B$2:$B$51,'SI - End Use'!$C$2:$C$51, "")="", "", _xlfn.XLOOKUP($C5,'SI - End Use'!$B$2:$B$51,'SI - End Use'!$C$2:$C$51, ""))</f>
        <v/>
      </c>
      <c r="Q5" s="10"/>
      <c r="R5" s="10"/>
    </row>
    <row r="6" spans="1:18" x14ac:dyDescent="0.35">
      <c r="A6" s="73" t="s">
        <v>0</v>
      </c>
      <c r="B6" s="73" t="s">
        <v>38</v>
      </c>
      <c r="C6" s="73" t="s">
        <v>111</v>
      </c>
      <c r="D6" s="73"/>
      <c r="E6" s="23">
        <v>10521.436400000001</v>
      </c>
      <c r="F6" s="73" t="s">
        <v>62</v>
      </c>
      <c r="G6" s="74">
        <v>7.0000000000000007E-2</v>
      </c>
      <c r="H6" s="74"/>
      <c r="I6" s="43" t="str">
        <f>IF(Table115[[#This Row],[Type]]="Co-product", "No", "")</f>
        <v/>
      </c>
      <c r="J6" s="73" t="s">
        <v>89</v>
      </c>
      <c r="K6" s="10" t="str">
        <f>IF(Table115[[#This Row],[Type]]="Transportation", _xlfn.XLOOKUP(Table115[[#This Row],[Resource]], 'SI - Payload'!$A$10:$A$35,'SI - Payload'!$B$10:$B$35,"",0), "")</f>
        <v/>
      </c>
      <c r="L6" s="10" t="str">
        <f>IF(Table115[[#This Row],[Type]]="Transportation", "ton", "")</f>
        <v/>
      </c>
      <c r="M6" s="10"/>
      <c r="N6" s="10"/>
      <c r="O6" s="10" t="str">
        <f>Table115[[#This Row],[Resource]]</f>
        <v>Sulfuric Acid</v>
      </c>
      <c r="P6" s="10" t="str">
        <f>IF(_xlfn.XLOOKUP($O6,'SI - End Use'!$B$2:$B$51,'SI - End Use'!$C$2:$C$51, "")="", "", _xlfn.XLOOKUP($C6,'SI - End Use'!$B$2:$B$51,'SI - End Use'!$C$2:$C$51, ""))</f>
        <v/>
      </c>
      <c r="Q6" s="10"/>
      <c r="R6" s="10"/>
    </row>
    <row r="7" spans="1:18" x14ac:dyDescent="0.35">
      <c r="A7" s="70" t="s">
        <v>0</v>
      </c>
      <c r="B7" s="70" t="s">
        <v>38</v>
      </c>
      <c r="C7" s="70" t="s">
        <v>13</v>
      </c>
      <c r="D7" s="70"/>
      <c r="E7" s="71">
        <v>1582</v>
      </c>
      <c r="F7" s="70" t="s">
        <v>62</v>
      </c>
      <c r="G7" s="70"/>
      <c r="H7" s="70"/>
      <c r="I7" s="43" t="str">
        <f>IF(Table115[[#This Row],[Type]]="Co-product", "No", "")</f>
        <v/>
      </c>
      <c r="J7" s="70" t="s">
        <v>89</v>
      </c>
      <c r="K7" s="10" t="str">
        <f>IF(Table115[[#This Row],[Type]]="Transportation", _xlfn.XLOOKUP(Table115[[#This Row],[Resource]], 'SI - Payload'!$A$10:$A$35,'SI - Payload'!$B$10:$B$35,"",0), "")</f>
        <v/>
      </c>
      <c r="L7" s="10" t="str">
        <f>IF(Table115[[#This Row],[Type]]="Transportation", "ton", "")</f>
        <v/>
      </c>
      <c r="M7" s="10"/>
      <c r="N7" s="10"/>
      <c r="O7" s="10" t="str">
        <f>Table115[[#This Row],[Resource]]</f>
        <v>Caustic</v>
      </c>
      <c r="P7" s="10" t="str">
        <f>IF(_xlfn.XLOOKUP($O7,'SI - End Use'!$B$2:$B$51,'SI - End Use'!$C$2:$C$51, "")="", "", _xlfn.XLOOKUP($C7,'SI - End Use'!$B$2:$B$51,'SI - End Use'!$C$2:$C$51, ""))</f>
        <v/>
      </c>
      <c r="Q7" s="10"/>
      <c r="R7" s="10"/>
    </row>
    <row r="8" spans="1:18" x14ac:dyDescent="0.35">
      <c r="A8" s="73" t="s">
        <v>0</v>
      </c>
      <c r="B8" s="73" t="s">
        <v>38</v>
      </c>
      <c r="C8" s="73" t="s">
        <v>13</v>
      </c>
      <c r="D8" s="73" t="s">
        <v>251</v>
      </c>
      <c r="E8" s="23">
        <v>2000</v>
      </c>
      <c r="F8" s="73" t="s">
        <v>62</v>
      </c>
      <c r="G8" s="73"/>
      <c r="H8" s="73"/>
      <c r="I8" s="43" t="str">
        <f>IF(Table115[[#This Row],[Type]]="Co-product", "No", "")</f>
        <v/>
      </c>
      <c r="J8" s="73" t="s">
        <v>90</v>
      </c>
      <c r="K8" s="10" t="str">
        <f>IF(Table115[[#This Row],[Type]]="Transportation", _xlfn.XLOOKUP(Table115[[#This Row],[Resource]], 'SI - Payload'!$A$10:$A$35,'SI - Payload'!$B$10:$B$35,"",0), "")</f>
        <v/>
      </c>
      <c r="L8" s="10" t="str">
        <f>IF(Table115[[#This Row],[Type]]="Transportation", "ton", "")</f>
        <v/>
      </c>
      <c r="M8" s="10"/>
      <c r="N8" s="10"/>
      <c r="O8" s="10" t="str">
        <f>Table115[[#This Row],[Resource]]</f>
        <v>Caustic</v>
      </c>
      <c r="P8" s="10" t="str">
        <f>IF(_xlfn.XLOOKUP($O8,'SI - End Use'!$B$2:$B$51,'SI - End Use'!$C$2:$C$51, "")="", "", _xlfn.XLOOKUP($C8,'SI - End Use'!$B$2:$B$51,'SI - End Use'!$C$2:$C$51, ""))</f>
        <v/>
      </c>
      <c r="Q8" s="10"/>
      <c r="R8" s="10"/>
    </row>
    <row r="9" spans="1:18" x14ac:dyDescent="0.35">
      <c r="A9" s="70" t="s">
        <v>0</v>
      </c>
      <c r="B9" s="70" t="s">
        <v>38</v>
      </c>
      <c r="C9" s="70" t="s">
        <v>26</v>
      </c>
      <c r="D9" s="70" t="s">
        <v>32</v>
      </c>
      <c r="E9" s="71">
        <v>6666.6666699999996</v>
      </c>
      <c r="F9" s="70" t="s">
        <v>62</v>
      </c>
      <c r="G9" s="70"/>
      <c r="H9" s="70"/>
      <c r="I9" s="43" t="str">
        <f>IF(Table115[[#This Row],[Type]]="Co-product", "No", "")</f>
        <v/>
      </c>
      <c r="J9" s="70" t="s">
        <v>90</v>
      </c>
      <c r="K9" s="10" t="str">
        <f>IF(Table115[[#This Row],[Type]]="Transportation", _xlfn.XLOOKUP(Table115[[#This Row],[Resource]], 'SI - Payload'!$A$10:$A$35,'SI - Payload'!$B$10:$B$35,"",0), "")</f>
        <v/>
      </c>
      <c r="L9" s="10" t="str">
        <f>IF(Table115[[#This Row],[Type]]="Transportation", "ton", "")</f>
        <v/>
      </c>
      <c r="M9" s="10"/>
      <c r="N9" s="10"/>
      <c r="O9" s="10" t="str">
        <f>Table115[[#This Row],[Resource]]</f>
        <v>Sodium carbonate</v>
      </c>
      <c r="P9" s="10" t="str">
        <f>IF(_xlfn.XLOOKUP($O9,'SI - End Use'!$B$2:$B$51,'SI - End Use'!$C$2:$C$51, "")="", "", _xlfn.XLOOKUP($C9,'SI - End Use'!$B$2:$B$51,'SI - End Use'!$C$2:$C$51, ""))</f>
        <v>Use</v>
      </c>
      <c r="Q9" s="10"/>
      <c r="R9" s="10"/>
    </row>
    <row r="10" spans="1:18" x14ac:dyDescent="0.35">
      <c r="A10" s="73" t="s">
        <v>0</v>
      </c>
      <c r="B10" s="73" t="s">
        <v>38</v>
      </c>
      <c r="C10" s="73" t="s">
        <v>14</v>
      </c>
      <c r="D10" s="73" t="s">
        <v>251</v>
      </c>
      <c r="E10" s="23">
        <v>62</v>
      </c>
      <c r="F10" s="73" t="s">
        <v>62</v>
      </c>
      <c r="G10" s="73"/>
      <c r="H10" s="73"/>
      <c r="I10" s="43" t="str">
        <f>IF(Table115[[#This Row],[Type]]="Co-product", "No", "")</f>
        <v/>
      </c>
      <c r="J10" s="73" t="s">
        <v>246</v>
      </c>
      <c r="K10" s="10" t="str">
        <f>IF(Table115[[#This Row],[Type]]="Transportation", _xlfn.XLOOKUP(Table115[[#This Row],[Resource]], 'SI - Payload'!$A$10:$A$35,'SI - Payload'!$B$10:$B$35,"",0), "")</f>
        <v/>
      </c>
      <c r="L10" s="10" t="str">
        <f>IF(Table115[[#This Row],[Type]]="Transportation", "ton", "")</f>
        <v/>
      </c>
      <c r="M10" s="10"/>
      <c r="N10" s="10"/>
      <c r="O10" s="10" t="str">
        <f>Table115[[#This Row],[Resource]]</f>
        <v>Ammonia</v>
      </c>
      <c r="P10" s="10" t="str">
        <f>IF(_xlfn.XLOOKUP($O10,'SI - End Use'!$B$2:$B$51,'SI - End Use'!$C$2:$C$51, "")="", "", _xlfn.XLOOKUP($C10,'SI - End Use'!$B$2:$B$51,'SI - End Use'!$C$2:$C$51, ""))</f>
        <v/>
      </c>
      <c r="Q10" s="10"/>
      <c r="R10" s="10"/>
    </row>
    <row r="11" spans="1:18" x14ac:dyDescent="0.35">
      <c r="A11" s="70" t="s">
        <v>0</v>
      </c>
      <c r="B11" s="70" t="s">
        <v>38</v>
      </c>
      <c r="C11" s="70" t="s">
        <v>14</v>
      </c>
      <c r="D11" s="70" t="s">
        <v>251</v>
      </c>
      <c r="E11" s="71">
        <v>17</v>
      </c>
      <c r="F11" s="70" t="s">
        <v>62</v>
      </c>
      <c r="G11" s="70"/>
      <c r="H11" s="70"/>
      <c r="I11" s="43" t="str">
        <f>IF(Table115[[#This Row],[Type]]="Co-product", "No", "")</f>
        <v/>
      </c>
      <c r="J11" s="70" t="s">
        <v>89</v>
      </c>
      <c r="K11" s="10" t="str">
        <f>IF(Table115[[#This Row],[Type]]="Transportation", _xlfn.XLOOKUP(Table115[[#This Row],[Resource]], 'SI - Payload'!$A$10:$A$35,'SI - Payload'!$B$10:$B$35,"",0), "")</f>
        <v/>
      </c>
      <c r="L11" s="10" t="str">
        <f>IF(Table115[[#This Row],[Type]]="Transportation", "ton", "")</f>
        <v/>
      </c>
      <c r="M11" s="10"/>
      <c r="N11" s="10"/>
      <c r="O11" s="10" t="str">
        <f>Table115[[#This Row],[Resource]]</f>
        <v>Ammonia</v>
      </c>
      <c r="P11" s="10" t="str">
        <f>IF(_xlfn.XLOOKUP($O11,'SI - End Use'!$B$2:$B$51,'SI - End Use'!$C$2:$C$51, "")="", "", _xlfn.XLOOKUP($C11,'SI - End Use'!$B$2:$B$51,'SI - End Use'!$C$2:$C$51, ""))</f>
        <v/>
      </c>
      <c r="Q11" s="10"/>
      <c r="R11" s="10"/>
    </row>
    <row r="12" spans="1:18" x14ac:dyDescent="0.35">
      <c r="A12" s="73" t="s">
        <v>0</v>
      </c>
      <c r="B12" s="73" t="s">
        <v>38</v>
      </c>
      <c r="C12" s="73" t="s">
        <v>14</v>
      </c>
      <c r="D12" s="73" t="s">
        <v>251</v>
      </c>
      <c r="E12" s="23">
        <v>2110.0486116671268</v>
      </c>
      <c r="F12" s="73" t="s">
        <v>62</v>
      </c>
      <c r="G12" s="73"/>
      <c r="H12" s="73"/>
      <c r="I12" s="43" t="str">
        <f>IF(Table115[[#This Row],[Type]]="Co-product", "No", "")</f>
        <v/>
      </c>
      <c r="J12" s="73" t="s">
        <v>90</v>
      </c>
      <c r="K12" s="10" t="str">
        <f>IF(Table115[[#This Row],[Type]]="Transportation", _xlfn.XLOOKUP(Table115[[#This Row],[Resource]], 'SI - Payload'!$A$10:$A$35,'SI - Payload'!$B$10:$B$35,"",0), "")</f>
        <v/>
      </c>
      <c r="L12" s="10" t="str">
        <f>IF(Table115[[#This Row],[Type]]="Transportation", "ton", "")</f>
        <v/>
      </c>
      <c r="M12" s="10"/>
      <c r="N12" s="10"/>
      <c r="O12" s="10" t="str">
        <f>Table115[[#This Row],[Resource]]</f>
        <v>Ammonia</v>
      </c>
      <c r="P12" s="10" t="str">
        <f>IF(_xlfn.XLOOKUP($O12,'SI - End Use'!$B$2:$B$51,'SI - End Use'!$C$2:$C$51, "")="", "", _xlfn.XLOOKUP($C12,'SI - End Use'!$B$2:$B$51,'SI - End Use'!$C$2:$C$51, ""))</f>
        <v/>
      </c>
      <c r="Q12" s="10"/>
      <c r="R12" s="10"/>
    </row>
    <row r="13" spans="1:18" x14ac:dyDescent="0.35">
      <c r="A13" s="70" t="s">
        <v>0</v>
      </c>
      <c r="B13" s="70" t="s">
        <v>38</v>
      </c>
      <c r="C13" s="70" t="s">
        <v>19</v>
      </c>
      <c r="D13" s="70" t="s">
        <v>251</v>
      </c>
      <c r="E13" s="71">
        <v>1311.6449</v>
      </c>
      <c r="F13" s="70" t="s">
        <v>62</v>
      </c>
      <c r="G13" s="70"/>
      <c r="H13" s="70"/>
      <c r="I13" s="43" t="str">
        <f>IF(Table115[[#This Row],[Type]]="Co-product", "No", "")</f>
        <v/>
      </c>
      <c r="J13" s="70" t="s">
        <v>246</v>
      </c>
      <c r="K13" s="10" t="str">
        <f>IF(Table115[[#This Row],[Type]]="Transportation", _xlfn.XLOOKUP(Table115[[#This Row],[Resource]], 'SI - Payload'!$A$10:$A$35,'SI - Payload'!$B$10:$B$35,"",0), "")</f>
        <v/>
      </c>
      <c r="L13" s="10" t="str">
        <f>IF(Table115[[#This Row],[Type]]="Transportation", "ton", "")</f>
        <v/>
      </c>
      <c r="M13" s="10"/>
      <c r="N13" s="10"/>
      <c r="O13" s="10" t="str">
        <f>Table115[[#This Row],[Resource]]</f>
        <v>Glucose</v>
      </c>
      <c r="P13" s="10" t="str">
        <f>IF(_xlfn.XLOOKUP($O13,'SI - End Use'!$B$2:$B$51,'SI - End Use'!$C$2:$C$51, "")="", "", _xlfn.XLOOKUP($C13,'SI - End Use'!$B$2:$B$51,'SI - End Use'!$C$2:$C$51, ""))</f>
        <v/>
      </c>
      <c r="Q13" s="10"/>
      <c r="R13" s="10"/>
    </row>
    <row r="14" spans="1:18" x14ac:dyDescent="0.35">
      <c r="A14" s="73" t="s">
        <v>0</v>
      </c>
      <c r="B14" s="73" t="s">
        <v>38</v>
      </c>
      <c r="C14" s="73" t="s">
        <v>15</v>
      </c>
      <c r="D14" s="73" t="s">
        <v>251</v>
      </c>
      <c r="E14" s="23">
        <v>918.3483933</v>
      </c>
      <c r="F14" s="73" t="s">
        <v>62</v>
      </c>
      <c r="G14" s="73"/>
      <c r="H14" s="73"/>
      <c r="I14" s="43" t="str">
        <f>IF(Table115[[#This Row],[Type]]="Co-product", "No", "")</f>
        <v/>
      </c>
      <c r="J14" s="73" t="s">
        <v>246</v>
      </c>
      <c r="K14" s="10" t="str">
        <f>IF(Table115[[#This Row],[Type]]="Transportation", _xlfn.XLOOKUP(Table115[[#This Row],[Resource]], 'SI - Payload'!$A$10:$A$35,'SI - Payload'!$B$10:$B$35,"",0), "")</f>
        <v/>
      </c>
      <c r="L14" s="10" t="str">
        <f>IF(Table115[[#This Row],[Type]]="Transportation", "ton", "")</f>
        <v/>
      </c>
      <c r="M14" s="10"/>
      <c r="N14" s="10"/>
      <c r="O14" s="10" t="str">
        <f>Table115[[#This Row],[Resource]]</f>
        <v>Corn Steep Liquor</v>
      </c>
      <c r="P14" s="10" t="str">
        <f>IF(_xlfn.XLOOKUP($O14,'SI - End Use'!$B$2:$B$51,'SI - End Use'!$C$2:$C$51, "")="", "", _xlfn.XLOOKUP($C14,'SI - End Use'!$B$2:$B$51,'SI - End Use'!$C$2:$C$51, ""))</f>
        <v/>
      </c>
      <c r="Q14" s="10"/>
      <c r="R14" s="10"/>
    </row>
    <row r="15" spans="1:18" x14ac:dyDescent="0.35">
      <c r="A15" s="70" t="s">
        <v>0</v>
      </c>
      <c r="B15" s="70" t="s">
        <v>38</v>
      </c>
      <c r="C15" s="70" t="s">
        <v>17</v>
      </c>
      <c r="D15" s="70" t="s">
        <v>251</v>
      </c>
      <c r="E15" s="71">
        <v>7.2460908700000006</v>
      </c>
      <c r="F15" s="70" t="s">
        <v>62</v>
      </c>
      <c r="G15" s="70"/>
      <c r="H15" s="70"/>
      <c r="I15" s="43" t="str">
        <f>IF(Table115[[#This Row],[Type]]="Co-product", "No", "")</f>
        <v/>
      </c>
      <c r="J15" s="70" t="s">
        <v>246</v>
      </c>
      <c r="K15" s="10" t="str">
        <f>IF(Table115[[#This Row],[Type]]="Transportation", _xlfn.XLOOKUP(Table115[[#This Row],[Resource]], 'SI - Payload'!$A$10:$A$35,'SI - Payload'!$B$10:$B$35,"",0), "")</f>
        <v/>
      </c>
      <c r="L15" s="10" t="str">
        <f>IF(Table115[[#This Row],[Type]]="Transportation", "ton", "")</f>
        <v/>
      </c>
      <c r="M15" s="10"/>
      <c r="N15" s="10"/>
      <c r="O15" s="10" t="str">
        <f>Table115[[#This Row],[Resource]]</f>
        <v>Corn oil</v>
      </c>
      <c r="P15" s="10" t="str">
        <f>IF(_xlfn.XLOOKUP($O15,'SI - End Use'!$B$2:$B$51,'SI - End Use'!$C$2:$C$51, "")="", "", _xlfn.XLOOKUP($C15,'SI - End Use'!$B$2:$B$51,'SI - End Use'!$C$2:$C$51, ""))</f>
        <v/>
      </c>
      <c r="Q15" s="10"/>
      <c r="R15" s="10"/>
    </row>
    <row r="16" spans="1:18" x14ac:dyDescent="0.35">
      <c r="A16" s="73" t="s">
        <v>0</v>
      </c>
      <c r="B16" s="73" t="s">
        <v>38</v>
      </c>
      <c r="C16" s="73" t="s">
        <v>20</v>
      </c>
      <c r="D16" s="73" t="s">
        <v>251</v>
      </c>
      <c r="E16" s="23">
        <v>36.535699700000002</v>
      </c>
      <c r="F16" s="73" t="s">
        <v>62</v>
      </c>
      <c r="G16" s="73"/>
      <c r="H16" s="73"/>
      <c r="I16" s="43" t="str">
        <f>IF(Table115[[#This Row],[Type]]="Co-product", "No", "")</f>
        <v/>
      </c>
      <c r="J16" s="73" t="s">
        <v>246</v>
      </c>
      <c r="K16" s="10" t="str">
        <f>IF(Table115[[#This Row],[Type]]="Transportation", _xlfn.XLOOKUP(Table115[[#This Row],[Resource]], 'SI - Payload'!$A$10:$A$35,'SI - Payload'!$B$10:$B$35,"",0), "")</f>
        <v/>
      </c>
      <c r="L16" s="10" t="str">
        <f>IF(Table115[[#This Row],[Type]]="Transportation", "ton", "")</f>
        <v/>
      </c>
      <c r="M16" s="10"/>
      <c r="N16" s="10"/>
      <c r="O16" s="10" t="str">
        <f>Table115[[#This Row],[Resource]]</f>
        <v>Host nutrients</v>
      </c>
      <c r="P16" s="10" t="str">
        <f>IF(_xlfn.XLOOKUP($O16,'SI - End Use'!$B$2:$B$51,'SI - End Use'!$C$2:$C$51, "")="", "", _xlfn.XLOOKUP($C16,'SI - End Use'!$B$2:$B$51,'SI - End Use'!$C$2:$C$51, ""))</f>
        <v/>
      </c>
      <c r="Q16" s="10"/>
      <c r="R16" s="10"/>
    </row>
    <row r="17" spans="1:18" x14ac:dyDescent="0.35">
      <c r="A17" s="70" t="s">
        <v>0</v>
      </c>
      <c r="B17" s="70" t="s">
        <v>38</v>
      </c>
      <c r="C17" s="70" t="s">
        <v>21</v>
      </c>
      <c r="D17" s="70" t="s">
        <v>251</v>
      </c>
      <c r="E17" s="71">
        <v>8.9047192000000006</v>
      </c>
      <c r="F17" s="70" t="s">
        <v>62</v>
      </c>
      <c r="G17" s="70"/>
      <c r="H17" s="70"/>
      <c r="I17" s="43" t="str">
        <f>IF(Table115[[#This Row],[Type]]="Co-product", "No", "")</f>
        <v/>
      </c>
      <c r="J17" s="70" t="s">
        <v>246</v>
      </c>
      <c r="K17" s="10" t="str">
        <f>IF(Table115[[#This Row],[Type]]="Transportation", _xlfn.XLOOKUP(Table115[[#This Row],[Resource]], 'SI - Payload'!$A$10:$A$35,'SI - Payload'!$B$10:$B$35,"",0), "")</f>
        <v/>
      </c>
      <c r="L17" s="10" t="str">
        <f>IF(Table115[[#This Row],[Type]]="Transportation", "ton", "")</f>
        <v/>
      </c>
      <c r="M17" s="10"/>
      <c r="N17" s="10"/>
      <c r="O17" s="10" t="str">
        <f>Table115[[#This Row],[Resource]]</f>
        <v>Sulfur Dioxide</v>
      </c>
      <c r="P17" s="10" t="str">
        <f>IF(_xlfn.XLOOKUP($O17,'SI - End Use'!$B$2:$B$51,'SI - End Use'!$C$2:$C$51, "")="", "", _xlfn.XLOOKUP($C17,'SI - End Use'!$B$2:$B$51,'SI - End Use'!$C$2:$C$51, ""))</f>
        <v/>
      </c>
      <c r="Q17" s="10"/>
      <c r="R17" s="10"/>
    </row>
    <row r="18" spans="1:18" x14ac:dyDescent="0.35">
      <c r="A18" s="73" t="s">
        <v>0</v>
      </c>
      <c r="B18" s="73" t="s">
        <v>38</v>
      </c>
      <c r="C18" s="73" t="s">
        <v>16</v>
      </c>
      <c r="D18" s="73" t="s">
        <v>251</v>
      </c>
      <c r="E18" s="23">
        <v>102.55750299710999</v>
      </c>
      <c r="F18" s="73" t="s">
        <v>62</v>
      </c>
      <c r="G18" s="73"/>
      <c r="H18" s="73"/>
      <c r="I18" s="43" t="str">
        <f>IF(Table115[[#This Row],[Type]]="Co-product", "No", "")</f>
        <v/>
      </c>
      <c r="J18" s="73" t="s">
        <v>246</v>
      </c>
      <c r="K18" s="10" t="str">
        <f>IF(Table115[[#This Row],[Type]]="Transportation", _xlfn.XLOOKUP(Table115[[#This Row],[Resource]], 'SI - Payload'!$A$10:$A$35,'SI - Payload'!$B$10:$B$35,"",0), "")</f>
        <v/>
      </c>
      <c r="L18" s="10" t="str">
        <f>IF(Table115[[#This Row],[Type]]="Transportation", "ton", "")</f>
        <v/>
      </c>
      <c r="M18" s="10"/>
      <c r="N18" s="10"/>
      <c r="O18" s="10" t="str">
        <f>Table115[[#This Row],[Resource]]</f>
        <v>Diammonium Phosphate</v>
      </c>
      <c r="P18" s="10" t="str">
        <f>IF(_xlfn.XLOOKUP($O18,'SI - End Use'!$B$2:$B$51,'SI - End Use'!$C$2:$C$51, "")="", "", _xlfn.XLOOKUP($C18,'SI - End Use'!$B$2:$B$51,'SI - End Use'!$C$2:$C$51, ""))</f>
        <v/>
      </c>
      <c r="Q18" s="10"/>
      <c r="R18" s="10"/>
    </row>
    <row r="19" spans="1:18" x14ac:dyDescent="0.35">
      <c r="A19" s="70" t="s">
        <v>0</v>
      </c>
      <c r="B19" s="70" t="s">
        <v>38</v>
      </c>
      <c r="C19" s="70" t="s">
        <v>18</v>
      </c>
      <c r="D19" s="70" t="s">
        <v>251</v>
      </c>
      <c r="E19" s="71">
        <v>435.59718999999996</v>
      </c>
      <c r="F19" s="70" t="s">
        <v>62</v>
      </c>
      <c r="G19" s="70"/>
      <c r="H19" s="70"/>
      <c r="I19" s="43" t="str">
        <f>IF(Table115[[#This Row],[Type]]="Co-product", "No", "")</f>
        <v/>
      </c>
      <c r="J19" s="70" t="s">
        <v>246</v>
      </c>
      <c r="K19" s="10" t="str">
        <f>IF(Table115[[#This Row],[Type]]="Transportation", _xlfn.XLOOKUP(Table115[[#This Row],[Resource]], 'SI - Payload'!$A$10:$A$35,'SI - Payload'!$B$10:$B$35,"",0), "")</f>
        <v/>
      </c>
      <c r="L19" s="10" t="str">
        <f>IF(Table115[[#This Row],[Type]]="Transportation", "ton", "")</f>
        <v/>
      </c>
      <c r="M19" s="10"/>
      <c r="N19" s="10"/>
      <c r="O19" s="10" t="str">
        <f>Table115[[#This Row],[Resource]]</f>
        <v>Flocculant</v>
      </c>
      <c r="P19" s="10" t="str">
        <f>IF(_xlfn.XLOOKUP($O19,'SI - End Use'!$B$2:$B$51,'SI - End Use'!$C$2:$C$51, "")="", "", _xlfn.XLOOKUP($C19,'SI - End Use'!$B$2:$B$51,'SI - End Use'!$C$2:$C$51, ""))</f>
        <v/>
      </c>
      <c r="Q19" s="10"/>
      <c r="R19" s="10"/>
    </row>
    <row r="20" spans="1:18" x14ac:dyDescent="0.35">
      <c r="A20" s="73" t="s">
        <v>0</v>
      </c>
      <c r="B20" s="10" t="s">
        <v>272</v>
      </c>
      <c r="C20" s="73" t="s">
        <v>22</v>
      </c>
      <c r="D20" s="73" t="s">
        <v>251</v>
      </c>
      <c r="E20" s="23">
        <v>864.97422300000005</v>
      </c>
      <c r="F20" s="73" t="s">
        <v>62</v>
      </c>
      <c r="G20" s="73"/>
      <c r="H20" s="73"/>
      <c r="I20" s="43" t="str">
        <f>IF(Table115[[#This Row],[Type]]="Co-product", "No", "")</f>
        <v/>
      </c>
      <c r="J20" s="73" t="s">
        <v>246</v>
      </c>
      <c r="K20" s="10" t="str">
        <f>IF(Table115[[#This Row],[Type]]="Transportation", _xlfn.XLOOKUP(Table115[[#This Row],[Resource]], 'SI - Payload'!$A$10:$A$35,'SI - Payload'!$B$10:$B$35,"",0), "")</f>
        <v/>
      </c>
      <c r="L20" s="10" t="str">
        <f>IF(Table115[[#This Row],[Type]]="Transportation", "ton", "")</f>
        <v/>
      </c>
      <c r="M20" s="10"/>
      <c r="N20" s="10"/>
      <c r="O20" s="10" t="str">
        <f>Table115[[#This Row],[Resource]]</f>
        <v>Hydrogen</v>
      </c>
      <c r="P20" s="10" t="str">
        <f>IF(_xlfn.XLOOKUP($O20,'SI - End Use'!$B$2:$B$51,'SI - End Use'!$C$2:$C$51, "")="", "", _xlfn.XLOOKUP($C20,'SI - End Use'!$B$2:$B$51,'SI - End Use'!$C$2:$C$51, ""))</f>
        <v/>
      </c>
      <c r="Q20" s="10"/>
      <c r="R20" s="10"/>
    </row>
    <row r="21" spans="1:18" x14ac:dyDescent="0.35">
      <c r="A21" s="70" t="s">
        <v>0</v>
      </c>
      <c r="B21" s="70" t="s">
        <v>38</v>
      </c>
      <c r="C21" s="70" t="s">
        <v>37</v>
      </c>
      <c r="D21" s="70" t="s">
        <v>251</v>
      </c>
      <c r="E21" s="71">
        <v>0.54659266399999995</v>
      </c>
      <c r="F21" s="70" t="s">
        <v>62</v>
      </c>
      <c r="G21" s="70"/>
      <c r="H21" s="70"/>
      <c r="I21" s="43" t="str">
        <f>IF(Table115[[#This Row],[Type]]="Co-product", "No", "")</f>
        <v/>
      </c>
      <c r="J21" s="70" t="s">
        <v>90</v>
      </c>
      <c r="K21" s="10" t="str">
        <f>IF(Table115[[#This Row],[Type]]="Transportation", _xlfn.XLOOKUP(Table115[[#This Row],[Resource]], 'SI - Payload'!$A$10:$A$35,'SI - Payload'!$B$10:$B$35,"",0), "")</f>
        <v/>
      </c>
      <c r="L21" s="10" t="str">
        <f>IF(Table115[[#This Row],[Type]]="Transportation", "ton", "")</f>
        <v/>
      </c>
      <c r="M21" s="10"/>
      <c r="N21" s="10"/>
      <c r="O21" s="10" t="str">
        <f>Table115[[#This Row],[Resource]]</f>
        <v>Boiler Chemicals</v>
      </c>
      <c r="P21" s="10" t="str">
        <f>IF(_xlfn.XLOOKUP($O21,'SI - End Use'!$B$2:$B$51,'SI - End Use'!$C$2:$C$51, "")="", "", _xlfn.XLOOKUP($C21,'SI - End Use'!$B$2:$B$51,'SI - End Use'!$C$2:$C$51, ""))</f>
        <v/>
      </c>
      <c r="Q21" s="10"/>
      <c r="R21" s="10"/>
    </row>
    <row r="22" spans="1:18" x14ac:dyDescent="0.35">
      <c r="A22" s="73" t="s">
        <v>0</v>
      </c>
      <c r="B22" s="73" t="s">
        <v>38</v>
      </c>
      <c r="C22" s="73" t="s">
        <v>23</v>
      </c>
      <c r="D22" s="73" t="s">
        <v>251</v>
      </c>
      <c r="E22" s="23">
        <v>183.150814</v>
      </c>
      <c r="F22" s="73" t="s">
        <v>62</v>
      </c>
      <c r="G22" s="73"/>
      <c r="H22" s="73"/>
      <c r="I22" s="43" t="str">
        <f>IF(Table115[[#This Row],[Type]]="Co-product", "No", "")</f>
        <v/>
      </c>
      <c r="J22" s="73" t="s">
        <v>90</v>
      </c>
      <c r="K22" s="10" t="str">
        <f>IF(Table115[[#This Row],[Type]]="Transportation", _xlfn.XLOOKUP(Table115[[#This Row],[Resource]], 'SI - Payload'!$A$10:$A$35,'SI - Payload'!$B$10:$B$35,"",0), "")</f>
        <v/>
      </c>
      <c r="L22" s="10" t="str">
        <f>IF(Table115[[#This Row],[Type]]="Transportation", "ton", "")</f>
        <v/>
      </c>
      <c r="M22" s="10"/>
      <c r="N22" s="10"/>
      <c r="O22" s="10" t="str">
        <f>Table115[[#This Row],[Resource]]</f>
        <v>FGD Lime</v>
      </c>
      <c r="P22" s="10" t="str">
        <f>IF(_xlfn.XLOOKUP($O22,'SI - End Use'!$B$2:$B$51,'SI - End Use'!$C$2:$C$51, "")="", "", _xlfn.XLOOKUP($C22,'SI - End Use'!$B$2:$B$51,'SI - End Use'!$C$2:$C$51, ""))</f>
        <v/>
      </c>
      <c r="Q22" s="10"/>
      <c r="R22" s="10"/>
    </row>
    <row r="23" spans="1:18" x14ac:dyDescent="0.35">
      <c r="A23" s="73" t="s">
        <v>0</v>
      </c>
      <c r="B23" s="70" t="s">
        <v>38</v>
      </c>
      <c r="C23" s="70" t="s">
        <v>25</v>
      </c>
      <c r="D23" s="70" t="s">
        <v>251</v>
      </c>
      <c r="E23" s="71">
        <v>1.27822462</v>
      </c>
      <c r="F23" s="70" t="s">
        <v>62</v>
      </c>
      <c r="G23" s="70"/>
      <c r="H23" s="70"/>
      <c r="I23" s="43" t="str">
        <f>IF(Table115[[#This Row],[Type]]="Co-product", "No", "")</f>
        <v/>
      </c>
      <c r="J23" s="70" t="s">
        <v>90</v>
      </c>
      <c r="K23" s="10" t="str">
        <f>IF(Table115[[#This Row],[Type]]="Transportation", _xlfn.XLOOKUP(Table115[[#This Row],[Resource]], 'SI - Payload'!$A$10:$A$35,'SI - Payload'!$B$10:$B$35,"",0), "")</f>
        <v/>
      </c>
      <c r="L23" s="10" t="str">
        <f>IF(Table115[[#This Row],[Type]]="Transportation", "ton", "")</f>
        <v/>
      </c>
      <c r="M23" s="10"/>
      <c r="N23" s="10"/>
      <c r="O23" s="10" t="str">
        <f>Table115[[#This Row],[Resource]]</f>
        <v>Cooling Tower Chemicals</v>
      </c>
      <c r="P23" s="10" t="str">
        <f>IF(_xlfn.XLOOKUP($O23,'SI - End Use'!$B$2:$B$51,'SI - End Use'!$C$2:$C$51, "")="", "", _xlfn.XLOOKUP($C23,'SI - End Use'!$B$2:$B$51,'SI - End Use'!$C$2:$C$51, ""))</f>
        <v/>
      </c>
      <c r="Q23" s="10"/>
      <c r="R23" s="10"/>
    </row>
    <row r="24" spans="1:18" x14ac:dyDescent="0.35">
      <c r="A24" s="73" t="s">
        <v>0</v>
      </c>
      <c r="B24" s="73" t="s">
        <v>29</v>
      </c>
      <c r="C24" s="73" t="s">
        <v>29</v>
      </c>
      <c r="D24" s="73" t="s">
        <v>251</v>
      </c>
      <c r="E24" s="23">
        <v>150469.15700000001</v>
      </c>
      <c r="F24" s="73" t="s">
        <v>62</v>
      </c>
      <c r="G24" s="73"/>
      <c r="H24" s="73"/>
      <c r="I24" s="43" t="str">
        <f>IF(Table115[[#This Row],[Type]]="Co-product", "No", "")</f>
        <v/>
      </c>
      <c r="J24" s="73" t="s">
        <v>90</v>
      </c>
      <c r="K24" s="10" t="str">
        <f>IF(Table115[[#This Row],[Type]]="Transportation", _xlfn.XLOOKUP(Table115[[#This Row],[Resource]], 'SI - Payload'!$A$10:$A$35,'SI - Payload'!$B$10:$B$35,"",0), "")</f>
        <v/>
      </c>
      <c r="L24" s="10" t="str">
        <f>IF(Table115[[#This Row],[Type]]="Transportation", "ton", "")</f>
        <v/>
      </c>
      <c r="M24" s="10"/>
      <c r="N24" s="10"/>
      <c r="O24" s="10" t="str">
        <f>Table115[[#This Row],[Resource]]</f>
        <v>Water</v>
      </c>
      <c r="P24" s="10" t="str">
        <f>IF(_xlfn.XLOOKUP($O24,'SI - End Use'!$B$2:$B$51,'SI - End Use'!$C$2:$C$51, "")="", "", _xlfn.XLOOKUP($C24,'SI - End Use'!$B$2:$B$51,'SI - End Use'!$C$2:$C$51, ""))</f>
        <v/>
      </c>
      <c r="Q24" s="10"/>
      <c r="R24" s="10"/>
    </row>
    <row r="25" spans="1:18" x14ac:dyDescent="0.35">
      <c r="A25" s="73" t="s">
        <v>0</v>
      </c>
      <c r="B25" s="10" t="s">
        <v>272</v>
      </c>
      <c r="C25" s="70" t="s">
        <v>24</v>
      </c>
      <c r="D25" s="70" t="s">
        <v>31</v>
      </c>
      <c r="E25" s="71">
        <v>6400</v>
      </c>
      <c r="F25" s="70" t="s">
        <v>62</v>
      </c>
      <c r="G25" s="70"/>
      <c r="H25" s="70"/>
      <c r="I25" s="43" t="str">
        <f>IF(Table115[[#This Row],[Type]]="Co-product", "No", "")</f>
        <v/>
      </c>
      <c r="J25" s="70" t="s">
        <v>90</v>
      </c>
      <c r="K25" s="10" t="str">
        <f>IF(Table115[[#This Row],[Type]]="Transportation", _xlfn.XLOOKUP(Table115[[#This Row],[Resource]], 'SI - Payload'!$A$10:$A$35,'SI - Payload'!$B$10:$B$35,"",0), "")</f>
        <v/>
      </c>
      <c r="L25" s="10" t="str">
        <f>IF(Table115[[#This Row],[Type]]="Transportation", "ton", "")</f>
        <v/>
      </c>
      <c r="M25" s="10"/>
      <c r="N25" s="10"/>
      <c r="O25" s="10" t="str">
        <f>Table115[[#This Row],[Resource]]</f>
        <v>Natural Gas</v>
      </c>
      <c r="P25" s="10" t="str">
        <f>IF(_xlfn.XLOOKUP($O25,'SI - End Use'!$B$2:$B$51,'SI - End Use'!$C$2:$C$51, "")="", "", _xlfn.XLOOKUP($C25,'SI - End Use'!$B$2:$B$51,'SI - End Use'!$C$2:$C$51, ""))</f>
        <v>Utility/ Industrial Boiler (&gt;100 mmBtu/hr input)</v>
      </c>
      <c r="Q25" s="10"/>
      <c r="R25" s="10"/>
    </row>
    <row r="26" spans="1:18" x14ac:dyDescent="0.35">
      <c r="A26" s="73" t="s">
        <v>0</v>
      </c>
      <c r="B26" s="73" t="s">
        <v>3</v>
      </c>
      <c r="C26" s="73" t="s">
        <v>3</v>
      </c>
      <c r="D26" s="73" t="s">
        <v>10</v>
      </c>
      <c r="E26" s="23">
        <v>17904</v>
      </c>
      <c r="F26" s="73" t="s">
        <v>72</v>
      </c>
      <c r="G26" s="73"/>
      <c r="H26" s="73"/>
      <c r="I26" s="43" t="str">
        <f>IF(Table115[[#This Row],[Type]]="Co-product", "No", "")</f>
        <v/>
      </c>
      <c r="J26" s="73" t="s">
        <v>246</v>
      </c>
      <c r="K26" s="10" t="str">
        <f>IF(Table115[[#This Row],[Type]]="Transportation", _xlfn.XLOOKUP(Table115[[#This Row],[Resource]], 'SI - Payload'!$A$10:$A$35,'SI - Payload'!$B$10:$B$35,"",0), "")</f>
        <v/>
      </c>
      <c r="L26" s="10" t="str">
        <f>IF(Table115[[#This Row],[Type]]="Transportation", "ton", "")</f>
        <v/>
      </c>
      <c r="M26" s="10"/>
      <c r="N26" s="10"/>
      <c r="O26" s="10" t="str">
        <f>Table115[[#This Row],[Resource]]</f>
        <v>Electricity</v>
      </c>
      <c r="P26" s="10" t="str">
        <f>IF(_xlfn.XLOOKUP($O26,'SI - End Use'!$B$2:$B$51,'SI - End Use'!$C$2:$C$51, "")="", "", _xlfn.XLOOKUP($C26,'SI - End Use'!$B$2:$B$51,'SI - End Use'!$C$2:$C$51, ""))</f>
        <v>U.S. Mix</v>
      </c>
      <c r="Q26" s="10"/>
      <c r="R26" s="10"/>
    </row>
    <row r="27" spans="1:18" x14ac:dyDescent="0.35">
      <c r="A27" s="73" t="s">
        <v>0</v>
      </c>
      <c r="B27" s="73" t="s">
        <v>3</v>
      </c>
      <c r="C27" s="73" t="s">
        <v>3</v>
      </c>
      <c r="D27" s="73" t="s">
        <v>10</v>
      </c>
      <c r="E27" s="23">
        <v>3303</v>
      </c>
      <c r="F27" s="73" t="s">
        <v>72</v>
      </c>
      <c r="G27" s="73"/>
      <c r="H27" s="73"/>
      <c r="I27" s="43" t="str">
        <f>IF(Table115[[#This Row],[Type]]="Co-product", "No", "")</f>
        <v/>
      </c>
      <c r="J27" s="73" t="s">
        <v>89</v>
      </c>
      <c r="K27" s="10" t="str">
        <f>IF(Table115[[#This Row],[Type]]="Transportation", _xlfn.XLOOKUP(Table115[[#This Row],[Resource]], 'SI - Payload'!$A$10:$A$35,'SI - Payload'!$B$10:$B$35,"",0), "")</f>
        <v/>
      </c>
      <c r="L27" s="10" t="str">
        <f>IF(Table115[[#This Row],[Type]]="Transportation", "ton", "")</f>
        <v/>
      </c>
      <c r="M27" s="10"/>
      <c r="N27" s="10"/>
      <c r="O27" s="10" t="str">
        <f>Table115[[#This Row],[Resource]]</f>
        <v>Electricity</v>
      </c>
      <c r="P27" s="10" t="str">
        <f>IF(_xlfn.XLOOKUP($O27,'SI - End Use'!$B$2:$B$51,'SI - End Use'!$C$2:$C$51, "")="", "", _xlfn.XLOOKUP($C27,'SI - End Use'!$B$2:$B$51,'SI - End Use'!$C$2:$C$51, ""))</f>
        <v>U.S. Mix</v>
      </c>
      <c r="Q27" s="10"/>
      <c r="R27" s="10"/>
    </row>
    <row r="28" spans="1:18" x14ac:dyDescent="0.35">
      <c r="A28" s="73" t="s">
        <v>0</v>
      </c>
      <c r="B28" s="73" t="s">
        <v>3</v>
      </c>
      <c r="C28" s="73" t="s">
        <v>3</v>
      </c>
      <c r="D28" s="73" t="s">
        <v>10</v>
      </c>
      <c r="E28" s="23">
        <v>19865.607596999995</v>
      </c>
      <c r="F28" s="73" t="s">
        <v>72</v>
      </c>
      <c r="G28" s="73"/>
      <c r="H28" s="73"/>
      <c r="I28" s="43" t="str">
        <f>IF(Table115[[#This Row],[Type]]="Co-product", "No", "")</f>
        <v/>
      </c>
      <c r="J28" s="73" t="s">
        <v>90</v>
      </c>
      <c r="K28" s="10" t="str">
        <f>IF(Table115[[#This Row],[Type]]="Transportation", _xlfn.XLOOKUP(Table115[[#This Row],[Resource]], 'SI - Payload'!$A$10:$A$35,'SI - Payload'!$B$10:$B$35,"",0), "")</f>
        <v/>
      </c>
      <c r="L28" s="10" t="str">
        <f>IF(Table115[[#This Row],[Type]]="Transportation", "ton", "")</f>
        <v/>
      </c>
      <c r="M28" s="10"/>
      <c r="N28" s="10"/>
      <c r="O28" s="10" t="str">
        <f>Table115[[#This Row],[Resource]]</f>
        <v>Electricity</v>
      </c>
      <c r="P28" s="10" t="str">
        <f>IF(_xlfn.XLOOKUP($O28,'SI - End Use'!$B$2:$B$51,'SI - End Use'!$C$2:$C$51, "")="", "", _xlfn.XLOOKUP($C28,'SI - End Use'!$B$2:$B$51,'SI - End Use'!$C$2:$C$51, ""))</f>
        <v>U.S. Mix</v>
      </c>
      <c r="Q28" s="10"/>
      <c r="R28" s="10"/>
    </row>
    <row r="29" spans="1:18" x14ac:dyDescent="0.35">
      <c r="A29" s="73" t="s">
        <v>119</v>
      </c>
      <c r="B29" s="10" t="s">
        <v>272</v>
      </c>
      <c r="C29" s="73" t="s">
        <v>75</v>
      </c>
      <c r="D29" s="73" t="s">
        <v>253</v>
      </c>
      <c r="E29" s="23">
        <v>456.83276908311399</v>
      </c>
      <c r="F29" s="73" t="s">
        <v>74</v>
      </c>
      <c r="G29" s="73"/>
      <c r="H29" s="73"/>
      <c r="I29" s="43" t="str">
        <f>IF(Table115[[#This Row],[Type]]="Co-product", "No", "")</f>
        <v/>
      </c>
      <c r="J29" s="73" t="s">
        <v>246</v>
      </c>
      <c r="K29" s="10" t="str">
        <f>IF(Table115[[#This Row],[Type]]="Transportation", _xlfn.XLOOKUP(Table115[[#This Row],[Resource]], 'SI - Payload'!$A$10:$A$35,'SI - Payload'!$B$10:$B$35,"",0), "")</f>
        <v/>
      </c>
      <c r="L29" s="10" t="str">
        <f>IF(Table115[[#This Row],[Type]]="Transportation", "ton", "")</f>
        <v/>
      </c>
      <c r="M29" s="10">
        <v>21.535015935911794</v>
      </c>
      <c r="N29" s="10" t="s">
        <v>250</v>
      </c>
      <c r="O29" s="10" t="s">
        <v>2</v>
      </c>
      <c r="P29" s="10" t="s">
        <v>87</v>
      </c>
      <c r="Q29" s="10"/>
      <c r="R29" s="10"/>
    </row>
    <row r="30" spans="1:18" x14ac:dyDescent="0.35">
      <c r="A30" s="73" t="s">
        <v>89</v>
      </c>
      <c r="B30" s="73" t="s">
        <v>38</v>
      </c>
      <c r="C30" s="73" t="s">
        <v>53</v>
      </c>
      <c r="D30" s="10" t="s">
        <v>55</v>
      </c>
      <c r="E30" s="23">
        <v>1968.0218600000001</v>
      </c>
      <c r="F30" s="73" t="s">
        <v>62</v>
      </c>
      <c r="G30" s="39"/>
      <c r="H30" s="39"/>
      <c r="I30" s="43" t="str">
        <f>IF(Table115[[#This Row],[Type]]="Co-product", "No", "")</f>
        <v>No</v>
      </c>
      <c r="J30" s="73" t="s">
        <v>89</v>
      </c>
      <c r="K30" s="10" t="str">
        <f>IF(Table115[[#This Row],[Type]]="Transportation", _xlfn.XLOOKUP(Table115[[#This Row],[Resource]], 'SI - Payload'!$A$10:$A$35,'SI - Payload'!$B$10:$B$35,"",0), "")</f>
        <v/>
      </c>
      <c r="L30" s="10" t="str">
        <f>IF(Table115[[#This Row],[Type]]="Transportation", "ton", "")</f>
        <v/>
      </c>
      <c r="M30" s="10">
        <v>1.8739390198196608</v>
      </c>
      <c r="N30" s="10" t="s">
        <v>249</v>
      </c>
      <c r="O30" s="10" t="s">
        <v>248</v>
      </c>
      <c r="P30" s="10"/>
      <c r="Q30" s="10"/>
      <c r="R30" s="10"/>
    </row>
    <row r="31" spans="1:18" x14ac:dyDescent="0.35">
      <c r="A31" s="10" t="s">
        <v>89</v>
      </c>
      <c r="B31" s="10" t="s">
        <v>38</v>
      </c>
      <c r="C31" s="10" t="s">
        <v>30</v>
      </c>
      <c r="D31" s="27" t="str">
        <f>IF(_xlfn.XLOOKUP($C31,'SI - End Use'!$B$2:$B$51,'SI - End Use'!$C$2:$C$51, "")="", "", _xlfn.XLOOKUP($C31,'SI - End Use'!$B$2:$B$51,'SI - End Use'!$C$2:$C$51, ""))</f>
        <v/>
      </c>
      <c r="E31" s="23">
        <v>13810.361000000001</v>
      </c>
      <c r="F31" s="27" t="str" cm="1">
        <f t="array" ref="F31">IF($B31="Transportation",  'SI - Units'!$B$9:$B$9, _xlfn.XLOOKUP(_xlfn.XLOOKUP($C31,'SI - Units'!$B$24:$B$72,'SI - Units'!$C$24:$C$72, ""),'SI - Units'!$A$2:$A$8,'SI - Units'!$B$2:$B$8, ""))</f>
        <v>kg</v>
      </c>
      <c r="G31" s="39"/>
      <c r="H31" s="39"/>
      <c r="I31" s="43" t="s">
        <v>147</v>
      </c>
      <c r="J31" s="10" t="s">
        <v>90</v>
      </c>
      <c r="K31" s="10" t="str">
        <f>IF(Table115[[#This Row],[Type]]="Transportation", _xlfn.XLOOKUP(Table115[[#This Row],[Resource]], 'SI - Payload'!$A$10:$A$35,'SI - Payload'!$B$10:$B$35,"",0), "")</f>
        <v/>
      </c>
      <c r="L31" s="10" t="str">
        <f>IF(Table115[[#This Row],[Type]]="Transportation", "ton", "")</f>
        <v/>
      </c>
      <c r="M31" s="10"/>
      <c r="N31" s="10"/>
      <c r="O31" s="10" t="str">
        <f>Table115[[#This Row],[Resource]]</f>
        <v>Sodium sulfate salt</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75"/>
      <c r="F32" s="27" t="str" cm="1">
        <f t="array" ref="F32">IF($B32="Transportation",  'SI - Units'!$B$9:$B$9, _xlfn.XLOOKUP(_xlfn.XLOOKUP($C32,'SI - Units'!$B$24:$B$72,'SI - Units'!$C$24:$C$72, ""),'SI - Units'!$A$2:$A$8,'SI - Units'!$B$2:$B$8, ""))</f>
        <v/>
      </c>
      <c r="G32" s="39"/>
      <c r="H32" s="39"/>
      <c r="I32" s="43" t="str">
        <f>IF(Table115[[#This Row],[Type]]="Co-product", "No", "")</f>
        <v/>
      </c>
      <c r="J32" s="10"/>
      <c r="K32" s="10" t="str">
        <f>IF(Table115[[#This Row],[Type]]="Transportation", _xlfn.XLOOKUP(Table115[[#This Row],[Resource]], 'SI - Payload'!$A$10:$A$35,'SI - Payload'!$B$10:$B$35,"",0), "")</f>
        <v/>
      </c>
      <c r="L32" s="10" t="str">
        <f>IF(Table115[[#This Row],[Type]]="Transportation", "ton", "")</f>
        <v/>
      </c>
      <c r="M32" s="10"/>
      <c r="N32" s="10"/>
      <c r="O32" s="10" t="str">
        <f>Table115[[#This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IF(Table115[[#This Row],[Type]]="Co-product", "No", "")</f>
        <v/>
      </c>
      <c r="J33" s="10"/>
      <c r="K33" s="10" t="str">
        <f>IF(Table115[[#This Row],[Type]]="Transportation", _xlfn.XLOOKUP(Table115[[#This Row],[Resource]], 'SI - Payload'!$A$10:$A$35,'SI - Payload'!$B$10:$B$35,"",0), "")</f>
        <v/>
      </c>
      <c r="L33" s="10" t="str">
        <f>IF(Table115[[#This Row],[Type]]="Transportation", "ton", "")</f>
        <v/>
      </c>
      <c r="M33" s="10"/>
      <c r="N33" s="10"/>
      <c r="O33" s="10" t="str">
        <f>Table115[[#This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IF(Table115[[#This Row],[Type]]="Co-product", "No", "")</f>
        <v/>
      </c>
      <c r="J34" s="10"/>
      <c r="K34" s="10" t="str">
        <f>IF(Table115[[#This Row],[Type]]="Transportation", _xlfn.XLOOKUP(Table115[[#This Row],[Resource]], 'SI - Payload'!$A$10:$A$35,'SI - Payload'!$B$10:$B$35,"",0), "")</f>
        <v/>
      </c>
      <c r="L34" s="10" t="str">
        <f>IF(Table115[[#This Row],[Type]]="Transportation", "ton", "")</f>
        <v/>
      </c>
      <c r="M34" s="10"/>
      <c r="N34" s="10"/>
      <c r="O34" s="10" t="str">
        <f>Table115[[#This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IF(Table115[[#This Row],[Type]]="Co-product", "No", "")</f>
        <v/>
      </c>
      <c r="J35" s="10"/>
      <c r="K35" s="10" t="str">
        <f>IF(Table115[[#This Row],[Type]]="Transportation", _xlfn.XLOOKUP(Table115[[#This Row],[Resource]], 'SI - Payload'!$A$10:$A$35,'SI - Payload'!$B$10:$B$35,"",0), "")</f>
        <v/>
      </c>
      <c r="L35" s="10" t="str">
        <f>IF(Table115[[#This Row],[Type]]="Transportation", "ton", "")</f>
        <v/>
      </c>
      <c r="M35" s="10"/>
      <c r="N35" s="10"/>
      <c r="O35" s="10" t="str">
        <f>Table115[[#This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IF(Table115[[#This Row],[Type]]="Co-product", "No", "")</f>
        <v/>
      </c>
      <c r="J36" s="10"/>
      <c r="K36" s="10" t="str">
        <f>IF(Table115[[#This Row],[Type]]="Transportation", _xlfn.XLOOKUP(Table115[[#This Row],[Resource]], 'SI - Payload'!$A$10:$A$35,'SI - Payload'!$B$10:$B$35,"",0), "")</f>
        <v/>
      </c>
      <c r="L36" s="10" t="str">
        <f>IF(Table115[[#This Row],[Type]]="Transportation", "ton", "")</f>
        <v/>
      </c>
      <c r="M36" s="10"/>
      <c r="N36" s="10"/>
      <c r="O36" s="10" t="str">
        <f>Table115[[#This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IF(Table115[[#This Row],[Type]]="Co-product", "No", "")</f>
        <v/>
      </c>
      <c r="J37" s="10"/>
      <c r="K37" s="10" t="str">
        <f>IF(Table115[[#This Row],[Type]]="Transportation", _xlfn.XLOOKUP(Table115[[#This Row],[Resource]], 'SI - Payload'!$A$10:$A$35,'SI - Payload'!$B$10:$B$35,"",0), "")</f>
        <v/>
      </c>
      <c r="L37" s="10" t="str">
        <f>IF(Table115[[#This Row],[Type]]="Transportation", "ton", "")</f>
        <v/>
      </c>
      <c r="M37" s="10"/>
      <c r="N37" s="10"/>
      <c r="O37" s="10" t="str">
        <f>Table115[[#This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IF(Table115[[#This Row],[Type]]="Co-product", "No", "")</f>
        <v/>
      </c>
      <c r="J38" s="10"/>
      <c r="K38" s="10" t="str">
        <f>IF(Table115[[#This Row],[Type]]="Transportation", _xlfn.XLOOKUP(Table115[[#This Row],[Resource]], 'SI - Payload'!$A$10:$A$35,'SI - Payload'!$B$10:$B$35,"",0), "")</f>
        <v/>
      </c>
      <c r="L38" s="10" t="str">
        <f>IF(Table115[[#This Row],[Type]]="Transportation", "ton", "")</f>
        <v/>
      </c>
      <c r="M38" s="10"/>
      <c r="N38" s="10"/>
      <c r="O38" s="10" t="str">
        <f>Table115[[#This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IF(Table115[[#This Row],[Type]]="Co-product", "No", "")</f>
        <v/>
      </c>
      <c r="J39" s="10"/>
      <c r="K39" s="10" t="str">
        <f>IF(Table115[[#This Row],[Type]]="Transportation", _xlfn.XLOOKUP(Table115[[#This Row],[Resource]], 'SI - Payload'!$A$10:$A$35,'SI - Payload'!$B$10:$B$35,"",0), "")</f>
        <v/>
      </c>
      <c r="L39" s="10" t="str">
        <f>IF(Table115[[#This Row],[Type]]="Transportation", "ton", "")</f>
        <v/>
      </c>
      <c r="M39" s="10"/>
      <c r="N39" s="10"/>
      <c r="O39" s="10" t="str">
        <f>Table115[[#This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IF(Table115[[#This Row],[Type]]="Co-product", "No", "")</f>
        <v/>
      </c>
      <c r="J40" s="10"/>
      <c r="K40" s="10" t="str">
        <f>IF(Table115[[#This Row],[Type]]="Transportation", _xlfn.XLOOKUP(Table115[[#This Row],[Resource]], 'SI - Payload'!$A$10:$A$35,'SI - Payload'!$B$10:$B$35,"",0), "")</f>
        <v/>
      </c>
      <c r="L40" s="10" t="str">
        <f>IF(Table115[[#This Row],[Type]]="Transportation", "ton", "")</f>
        <v/>
      </c>
      <c r="M40" s="10"/>
      <c r="N40" s="10"/>
      <c r="O40" s="10" t="str">
        <f>Table115[[#This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IF(Table115[[#This Row],[Type]]="Co-product", "No", "")</f>
        <v/>
      </c>
      <c r="J41" s="10"/>
      <c r="K41" s="10" t="str">
        <f>IF(Table115[[#This Row],[Type]]="Transportation", _xlfn.XLOOKUP(Table115[[#This Row],[Resource]], 'SI - Payload'!$A$10:$A$35,'SI - Payload'!$B$10:$B$35,"",0), "")</f>
        <v/>
      </c>
      <c r="L41" s="10" t="str">
        <f>IF(Table115[[#This Row],[Type]]="Transportation", "ton", "")</f>
        <v/>
      </c>
      <c r="M41" s="10"/>
      <c r="N41" s="10"/>
      <c r="O41" s="10" t="str">
        <f>Table115[[#This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IF(Table115[[#This Row],[Type]]="Co-product", "No", "")</f>
        <v/>
      </c>
      <c r="J42" s="10"/>
      <c r="K42" s="10" t="str">
        <f>IF(Table115[[#This Row],[Type]]="Transportation", _xlfn.XLOOKUP(Table115[[#This Row],[Resource]], 'SI - Payload'!$A$10:$A$35,'SI - Payload'!$B$10:$B$35,"",0), "")</f>
        <v/>
      </c>
      <c r="L42" s="10" t="str">
        <f>IF(Table115[[#This Row],[Type]]="Transportation", "ton", "")</f>
        <v/>
      </c>
      <c r="M42" s="10"/>
      <c r="N42" s="10"/>
      <c r="O42" s="10" t="str">
        <f>Table115[[#This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IF(Table115[[#This Row],[Type]]="Co-product", "No", "")</f>
        <v/>
      </c>
      <c r="J43" s="10"/>
      <c r="K43" s="10" t="str">
        <f>IF(Table115[[#This Row],[Type]]="Transportation", _xlfn.XLOOKUP(Table115[[#This Row],[Resource]], 'SI - Payload'!$A$10:$A$35,'SI - Payload'!$B$10:$B$35,"",0), "")</f>
        <v/>
      </c>
      <c r="L43" s="10" t="str">
        <f>IF(Table115[[#This Row],[Type]]="Transportation", "ton", "")</f>
        <v/>
      </c>
      <c r="M43" s="10"/>
      <c r="N43" s="10"/>
      <c r="O43" s="10" t="str">
        <f>Table115[[#This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IF(Table115[[#This Row],[Type]]="Co-product", "No", "")</f>
        <v/>
      </c>
      <c r="J44" s="10"/>
      <c r="K44" s="10" t="str">
        <f>IF(Table115[[#This Row],[Type]]="Transportation", _xlfn.XLOOKUP(Table115[[#This Row],[Resource]], 'SI - Payload'!$A$10:$A$35,'SI - Payload'!$B$10:$B$35,"",0), "")</f>
        <v/>
      </c>
      <c r="L44" s="10" t="str">
        <f>IF(Table115[[#This Row],[Type]]="Transportation", "ton", "")</f>
        <v/>
      </c>
      <c r="M44" s="10"/>
      <c r="N44" s="10"/>
      <c r="O44" s="10" t="str">
        <f>Table115[[#This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IF(Table115[[#This Row],[Type]]="Co-product", "No", "")</f>
        <v/>
      </c>
      <c r="J45" s="10"/>
      <c r="K45" s="10" t="str">
        <f>IF(Table115[[#This Row],[Type]]="Transportation", _xlfn.XLOOKUP(Table115[[#This Row],[Resource]], 'SI - Payload'!$A$10:$A$35,'SI - Payload'!$B$10:$B$35,"",0), "")</f>
        <v/>
      </c>
      <c r="L45" s="10" t="str">
        <f>IF(Table115[[#This Row],[Type]]="Transportation", "ton", "")</f>
        <v/>
      </c>
      <c r="M45" s="10"/>
      <c r="N45" s="10"/>
      <c r="O45" s="10" t="str">
        <f>Table115[[#This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IF(Table115[[#This Row],[Type]]="Co-product", "No", "")</f>
        <v/>
      </c>
      <c r="J46" s="10"/>
      <c r="K46" s="10" t="str">
        <f>IF(Table115[[#This Row],[Type]]="Transportation", _xlfn.XLOOKUP(Table115[[#This Row],[Resource]], 'SI - Payload'!$A$10:$A$35,'SI - Payload'!$B$10:$B$35,"",0), "")</f>
        <v/>
      </c>
      <c r="L46" s="10" t="str">
        <f>IF(Table115[[#This Row],[Type]]="Transportation", "ton", "")</f>
        <v/>
      </c>
      <c r="M46" s="10"/>
      <c r="N46" s="10"/>
      <c r="O46" s="10" t="str">
        <f>Table115[[#This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IF(Table115[[#This Row],[Type]]="Co-product", "No", "")</f>
        <v/>
      </c>
      <c r="J47" s="10"/>
      <c r="K47" s="10" t="str">
        <f>IF(Table115[[#This Row],[Type]]="Transportation", _xlfn.XLOOKUP(Table115[[#This Row],[Resource]], 'SI - Payload'!$A$10:$A$35,'SI - Payload'!$B$10:$B$35,"",0), "")</f>
        <v/>
      </c>
      <c r="L47" s="10" t="str">
        <f>IF(Table115[[#This Row],[Type]]="Transportation", "ton", "")</f>
        <v/>
      </c>
      <c r="M47" s="10"/>
      <c r="N47" s="10"/>
      <c r="O47" s="10" t="str">
        <f>Table115[[#This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IF(Table115[[#This Row],[Type]]="Co-product", "No", "")</f>
        <v/>
      </c>
      <c r="J48" s="10"/>
      <c r="K48" s="10" t="str">
        <f>IF(Table115[[#This Row],[Type]]="Transportation", _xlfn.XLOOKUP(Table115[[#This Row],[Resource]], 'SI - Payload'!$A$10:$A$35,'SI - Payload'!$B$10:$B$35,"",0), "")</f>
        <v/>
      </c>
      <c r="L48" s="10" t="str">
        <f>IF(Table115[[#This Row],[Type]]="Transportation", "ton", "")</f>
        <v/>
      </c>
      <c r="M48" s="10"/>
      <c r="N48" s="10"/>
      <c r="O48" s="10" t="str">
        <f>Table115[[#This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IF(Table115[[#This Row],[Type]]="Co-product", "No", "")</f>
        <v/>
      </c>
      <c r="J49" s="10"/>
      <c r="K49" s="10" t="str">
        <f>IF(Table115[[#This Row],[Type]]="Transportation", _xlfn.XLOOKUP(Table115[[#This Row],[Resource]], 'SI - Payload'!$A$10:$A$35,'SI - Payload'!$B$10:$B$35,"",0), "")</f>
        <v/>
      </c>
      <c r="L49" s="10" t="str">
        <f>IF(Table115[[#This Row],[Type]]="Transportation", "ton", "")</f>
        <v/>
      </c>
      <c r="M49" s="10"/>
      <c r="N49" s="10"/>
      <c r="O49" s="10" t="str">
        <f>Table115[[#This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IF(Table115[[#This Row],[Type]]="Co-product", "No", "")</f>
        <v/>
      </c>
      <c r="J50" s="10"/>
      <c r="K50" s="10" t="str">
        <f>IF(Table115[[#This Row],[Type]]="Transportation", _xlfn.XLOOKUP(Table115[[#This Row],[Resource]], 'SI - Payload'!$A$10:$A$35,'SI - Payload'!$B$10:$B$35,"",0), "")</f>
        <v/>
      </c>
      <c r="L50" s="10" t="str">
        <f>IF(Table115[[#This Row],[Type]]="Transportation", "ton", "")</f>
        <v/>
      </c>
      <c r="M50" s="10"/>
      <c r="N50" s="10"/>
      <c r="O50" s="10" t="str">
        <f>Table115[[#This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IF(Table115[[#This Row],[Type]]="Co-product", "No", "")</f>
        <v/>
      </c>
      <c r="J51" s="10"/>
      <c r="K51" s="10" t="str">
        <f>IF(Table115[[#This Row],[Type]]="Transportation", _xlfn.XLOOKUP(Table115[[#This Row],[Resource]], 'SI - Payload'!$A$10:$A$35,'SI - Payload'!$B$10:$B$35,"",0), "")</f>
        <v/>
      </c>
      <c r="L51" s="10" t="str">
        <f>IF(Table115[[#This Row],[Type]]="Transportation", "ton", "")</f>
        <v/>
      </c>
      <c r="M51" s="10"/>
      <c r="N51" s="10"/>
      <c r="O51" s="10" t="str">
        <f>Table115[[#This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IF(Table115[[#This Row],[Type]]="Co-product", "No", "")</f>
        <v/>
      </c>
      <c r="J52" s="10"/>
      <c r="K52" s="10" t="str">
        <f>IF(Table115[[#This Row],[Type]]="Transportation", _xlfn.XLOOKUP(Table115[[#This Row],[Resource]], 'SI - Payload'!$A$10:$A$35,'SI - Payload'!$B$10:$B$35,"",0), "")</f>
        <v/>
      </c>
      <c r="L52" s="10" t="str">
        <f>IF(Table115[[#This Row],[Type]]="Transportation", "ton", "")</f>
        <v/>
      </c>
      <c r="M52" s="10"/>
      <c r="N52" s="10"/>
      <c r="O52" s="10" t="str">
        <f>Table115[[#This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IF(Table115[[#This Row],[Type]]="Co-product", "No", "")</f>
        <v/>
      </c>
      <c r="J53" s="10"/>
      <c r="K53" s="10" t="str">
        <f>IF(Table115[[#This Row],[Type]]="Transportation", _xlfn.XLOOKUP(Table115[[#This Row],[Resource]], 'SI - Payload'!$A$10:$A$35,'SI - Payload'!$B$10:$B$35,"",0), "")</f>
        <v/>
      </c>
      <c r="L53" s="10" t="str">
        <f>IF(Table115[[#This Row],[Type]]="Transportation", "ton", "")</f>
        <v/>
      </c>
      <c r="M53" s="10"/>
      <c r="N53" s="10"/>
      <c r="O53" s="10" t="str">
        <f>Table115[[#This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IF(Table115[[#This Row],[Type]]="Co-product", "No", "")</f>
        <v/>
      </c>
      <c r="J54" s="10"/>
      <c r="K54" s="10" t="str">
        <f>IF(Table115[[#This Row],[Type]]="Transportation", _xlfn.XLOOKUP(Table115[[#This Row],[Resource]], 'SI - Payload'!$A$10:$A$35,'SI - Payload'!$B$10:$B$35,"",0), "")</f>
        <v/>
      </c>
      <c r="L54" s="10" t="str">
        <f>IF(Table115[[#This Row],[Type]]="Transportation", "ton", "")</f>
        <v/>
      </c>
      <c r="M54" s="10"/>
      <c r="N54" s="10"/>
      <c r="O54" s="10" t="str">
        <f>Table115[[#This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IF(Table115[[#This Row],[Type]]="Co-product", "No", "")</f>
        <v/>
      </c>
      <c r="J55" s="10"/>
      <c r="K55" s="10" t="str">
        <f>IF(Table115[[#This Row],[Type]]="Transportation", _xlfn.XLOOKUP(Table115[[#This Row],[Resource]], 'SI - Payload'!$A$10:$A$35,'SI - Payload'!$B$10:$B$35,"",0), "")</f>
        <v/>
      </c>
      <c r="L55" s="10" t="str">
        <f>IF(Table115[[#This Row],[Type]]="Transportation", "ton", "")</f>
        <v/>
      </c>
      <c r="M55" s="10"/>
      <c r="N55" s="10"/>
      <c r="O55" s="10" t="str">
        <f>Table115[[#This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IF(Table115[[#This Row],[Type]]="Co-product", "No", "")</f>
        <v/>
      </c>
      <c r="J56" s="10"/>
      <c r="K56" s="10" t="str">
        <f>IF(Table115[[#This Row],[Type]]="Transportation", _xlfn.XLOOKUP(Table115[[#This Row],[Resource]], 'SI - Payload'!$A$10:$A$35,'SI - Payload'!$B$10:$B$35,"",0), "")</f>
        <v/>
      </c>
      <c r="L56" s="10" t="str">
        <f>IF(Table115[[#This Row],[Type]]="Transportation", "ton", "")</f>
        <v/>
      </c>
      <c r="M56" s="10"/>
      <c r="N56" s="10"/>
      <c r="O56" s="10" t="str">
        <f>Table115[[#This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IF(Table115[[#This Row],[Type]]="Co-product", "No", "")</f>
        <v/>
      </c>
      <c r="J57" s="10"/>
      <c r="K57" s="10" t="str">
        <f>IF(Table115[[#This Row],[Type]]="Transportation", _xlfn.XLOOKUP(Table115[[#This Row],[Resource]], 'SI - Payload'!$A$10:$A$35,'SI - Payload'!$B$10:$B$35,"",0), "")</f>
        <v/>
      </c>
      <c r="L57" s="10" t="str">
        <f>IF(Table115[[#This Row],[Type]]="Transportation", "ton", "")</f>
        <v/>
      </c>
      <c r="M57" s="10"/>
      <c r="N57" s="10"/>
      <c r="O57" s="10" t="str">
        <f>Table115[[#This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IF(Table115[[#This Row],[Type]]="Co-product", "No", "")</f>
        <v/>
      </c>
      <c r="J58" s="10"/>
      <c r="K58" s="10" t="str">
        <f>IF(Table115[[#This Row],[Type]]="Transportation", _xlfn.XLOOKUP(Table115[[#This Row],[Resource]], 'SI - Payload'!$A$10:$A$35,'SI - Payload'!$B$10:$B$35,"",0), "")</f>
        <v/>
      </c>
      <c r="L58" s="10" t="str">
        <f>IF(Table115[[#This Row],[Type]]="Transportation", "ton", "")</f>
        <v/>
      </c>
      <c r="M58" s="10"/>
      <c r="N58" s="10"/>
      <c r="O58" s="10" t="str">
        <f>Table115[[#This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IF(Table115[[#This Row],[Type]]="Co-product", "No", "")</f>
        <v/>
      </c>
      <c r="J59" s="10"/>
      <c r="K59" s="10" t="str">
        <f>IF(Table115[[#This Row],[Type]]="Transportation", _xlfn.XLOOKUP(Table115[[#This Row],[Resource]], 'SI - Payload'!$A$10:$A$35,'SI - Payload'!$B$10:$B$35,"",0), "")</f>
        <v/>
      </c>
      <c r="L59" s="10" t="str">
        <f>IF(Table115[[#This Row],[Type]]="Transportation", "ton", "")</f>
        <v/>
      </c>
      <c r="M59" s="10"/>
      <c r="N59" s="10"/>
      <c r="O59" s="10" t="str">
        <f>Table115[[#This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IF(Table115[[#This Row],[Type]]="Co-product", "No", "")</f>
        <v/>
      </c>
      <c r="J60" s="10"/>
      <c r="K60" s="10" t="str">
        <f>IF(Table115[[#This Row],[Type]]="Transportation", _xlfn.XLOOKUP(Table115[[#This Row],[Resource]], 'SI - Payload'!$A$10:$A$35,'SI - Payload'!$B$10:$B$35,"",0), "")</f>
        <v/>
      </c>
      <c r="L60" s="10" t="str">
        <f>IF(Table115[[#This Row],[Type]]="Transportation", "ton", "")</f>
        <v/>
      </c>
      <c r="M60" s="10"/>
      <c r="N60" s="10"/>
      <c r="O60" s="10" t="str">
        <f>Table115[[#This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IF(Table115[[#This Row],[Type]]="Co-product", "No", "")</f>
        <v/>
      </c>
      <c r="J61" s="10"/>
      <c r="K61" s="10" t="str">
        <f>IF(Table115[[#This Row],[Type]]="Transportation", _xlfn.XLOOKUP(Table115[[#This Row],[Resource]], 'SI - Payload'!$A$10:$A$35,'SI - Payload'!$B$10:$B$35,"",0), "")</f>
        <v/>
      </c>
      <c r="L61" s="10" t="str">
        <f>IF(Table115[[#This Row],[Type]]="Transportation", "ton", "")</f>
        <v/>
      </c>
      <c r="M61" s="10"/>
      <c r="N61" s="10"/>
      <c r="O61" s="10" t="str">
        <f>Table115[[#This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IF(Table115[[#This Row],[Type]]="Co-product", "No", "")</f>
        <v/>
      </c>
      <c r="J62" s="10"/>
      <c r="K62" s="10" t="str">
        <f>IF(Table115[[#This Row],[Type]]="Transportation", _xlfn.XLOOKUP(Table115[[#This Row],[Resource]], 'SI - Payload'!$A$10:$A$35,'SI - Payload'!$B$10:$B$35,"",0), "")</f>
        <v/>
      </c>
      <c r="L62" s="10" t="str">
        <f>IF(Table115[[#This Row],[Type]]="Transportation", "ton", "")</f>
        <v/>
      </c>
      <c r="M62" s="10"/>
      <c r="N62" s="10"/>
      <c r="O62" s="10" t="str">
        <f>Table115[[#This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IF(Table115[[#This Row],[Type]]="Co-product", "No", "")</f>
        <v/>
      </c>
      <c r="J63" s="10"/>
      <c r="K63" s="10" t="str">
        <f>IF(Table115[[#This Row],[Type]]="Transportation", _xlfn.XLOOKUP(Table115[[#This Row],[Resource]], 'SI - Payload'!$A$10:$A$35,'SI - Payload'!$B$10:$B$35,"",0), "")</f>
        <v/>
      </c>
      <c r="L63" s="10" t="str">
        <f>IF(Table115[[#This Row],[Type]]="Transportation", "ton", "")</f>
        <v/>
      </c>
      <c r="M63" s="10"/>
      <c r="N63" s="10"/>
      <c r="O63" s="10" t="str">
        <f>Table115[[#This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IF(Table115[[#This Row],[Type]]="Co-product", "No", "")</f>
        <v/>
      </c>
      <c r="J64" s="10"/>
      <c r="K64" s="10" t="str">
        <f>IF(Table115[[#This Row],[Type]]="Transportation", _xlfn.XLOOKUP(Table115[[#This Row],[Resource]], 'SI - Payload'!$A$10:$A$35,'SI - Payload'!$B$10:$B$35,"",0), "")</f>
        <v/>
      </c>
      <c r="L64" s="10" t="str">
        <f>IF(Table115[[#This Row],[Type]]="Transportation", "ton", "")</f>
        <v/>
      </c>
      <c r="M64" s="10"/>
      <c r="N64" s="10"/>
      <c r="O64" s="10" t="str">
        <f>Table115[[#This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IF(Table115[[#This Row],[Type]]="Co-product", "No", "")</f>
        <v/>
      </c>
      <c r="J65" s="10"/>
      <c r="K65" s="10" t="str">
        <f>IF(Table115[[#This Row],[Type]]="Transportation", _xlfn.XLOOKUP(Table115[[#This Row],[Resource]], 'SI - Payload'!$A$10:$A$35,'SI - Payload'!$B$10:$B$35,"",0), "")</f>
        <v/>
      </c>
      <c r="L65" s="10" t="str">
        <f>IF(Table115[[#This Row],[Type]]="Transportation", "ton", "")</f>
        <v/>
      </c>
      <c r="M65" s="10"/>
      <c r="N65" s="10"/>
      <c r="O65" s="10" t="str">
        <f>Table115[[#This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IF(Table115[[#This Row],[Type]]="Co-product", "No", "")</f>
        <v/>
      </c>
      <c r="J66" s="10"/>
      <c r="K66" s="10" t="str">
        <f>IF(Table115[[#This Row],[Type]]="Transportation", _xlfn.XLOOKUP(Table115[[#This Row],[Resource]], 'SI - Payload'!$A$10:$A$35,'SI - Payload'!$B$10:$B$35,"",0), "")</f>
        <v/>
      </c>
      <c r="L66" s="10" t="str">
        <f>IF(Table115[[#This Row],[Type]]="Transportation", "ton", "")</f>
        <v/>
      </c>
      <c r="M66" s="10"/>
      <c r="N66" s="10"/>
      <c r="O66" s="10" t="str">
        <f>Table115[[#This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IF(Table115[[#This Row],[Type]]="Co-product", "No", "")</f>
        <v/>
      </c>
      <c r="J67" s="10"/>
      <c r="K67" s="10" t="str">
        <f>IF(Table115[[#This Row],[Type]]="Transportation", _xlfn.XLOOKUP(Table115[[#This Row],[Resource]], 'SI - Payload'!$A$10:$A$35,'SI - Payload'!$B$10:$B$35,"",0), "")</f>
        <v/>
      </c>
      <c r="L67" s="10" t="str">
        <f>IF(Table115[[#This Row],[Type]]="Transportation", "ton", "")</f>
        <v/>
      </c>
      <c r="M67" s="10"/>
      <c r="N67" s="10"/>
      <c r="O67" s="10" t="str">
        <f>Table115[[#This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IF(Table115[[#This Row],[Type]]="Co-product", "No", "")</f>
        <v/>
      </c>
      <c r="J68" s="10"/>
      <c r="K68" s="10" t="str">
        <f>IF(Table115[[#This Row],[Type]]="Transportation", _xlfn.XLOOKUP(Table115[[#This Row],[Resource]], 'SI - Payload'!$A$10:$A$35,'SI - Payload'!$B$10:$B$35,"",0), "")</f>
        <v/>
      </c>
      <c r="L68" s="10" t="str">
        <f>IF(Table115[[#This Row],[Type]]="Transportation", "ton", "")</f>
        <v/>
      </c>
      <c r="M68" s="10"/>
      <c r="N68" s="10"/>
      <c r="O68" s="10" t="str">
        <f>Table115[[#This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IF(Table115[[#This Row],[Type]]="Co-product", "No", "")</f>
        <v/>
      </c>
      <c r="J69" s="10"/>
      <c r="K69" s="10" t="str">
        <f>IF(Table115[[#This Row],[Type]]="Transportation", _xlfn.XLOOKUP(Table115[[#This Row],[Resource]], 'SI - Payload'!$A$10:$A$35,'SI - Payload'!$B$10:$B$35,"",0), "")</f>
        <v/>
      </c>
      <c r="L69" s="10" t="str">
        <f>IF(Table115[[#This Row],[Type]]="Transportation", "ton", "")</f>
        <v/>
      </c>
      <c r="M69" s="10"/>
      <c r="N69" s="10"/>
      <c r="O69" s="10" t="str">
        <f>Table115[[#This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IF(Table115[[#This Row],[Type]]="Co-product", "No", "")</f>
        <v/>
      </c>
      <c r="J70" s="10"/>
      <c r="K70" s="10" t="str">
        <f>IF(Table115[[#This Row],[Type]]="Transportation", _xlfn.XLOOKUP(Table115[[#This Row],[Resource]], 'SI - Payload'!$A$10:$A$35,'SI - Payload'!$B$10:$B$35,"",0), "")</f>
        <v/>
      </c>
      <c r="L70" s="10" t="str">
        <f>IF(Table115[[#This Row],[Type]]="Transportation", "ton", "")</f>
        <v/>
      </c>
      <c r="M70" s="10"/>
      <c r="N70" s="10"/>
      <c r="O70" s="10" t="str">
        <f>Table115[[#This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IF(Table115[[#This Row],[Type]]="Co-product", "No", "")</f>
        <v/>
      </c>
      <c r="J71" s="10"/>
      <c r="K71" s="10" t="str">
        <f>IF(Table115[[#This Row],[Type]]="Transportation", _xlfn.XLOOKUP(Table115[[#This Row],[Resource]], 'SI - Payload'!$A$10:$A$35,'SI - Payload'!$B$10:$B$35,"",0), "")</f>
        <v/>
      </c>
      <c r="L71" s="10" t="str">
        <f>IF(Table115[[#This Row],[Type]]="Transportation", "ton", "")</f>
        <v/>
      </c>
      <c r="M71" s="10"/>
      <c r="N71" s="10"/>
      <c r="O71" s="10" t="str">
        <f>Table115[[#This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IF(Table115[[#This Row],[Type]]="Co-product", "No", "")</f>
        <v/>
      </c>
      <c r="J72" s="10"/>
      <c r="K72" s="10" t="str">
        <f>IF(Table115[[#This Row],[Type]]="Transportation", _xlfn.XLOOKUP(Table115[[#This Row],[Resource]], 'SI - Payload'!$A$10:$A$35,'SI - Payload'!$B$10:$B$35,"",0), "")</f>
        <v/>
      </c>
      <c r="L72" s="10" t="str">
        <f>IF(Table115[[#This Row],[Type]]="Transportation", "ton", "")</f>
        <v/>
      </c>
      <c r="M72" s="10"/>
      <c r="N72" s="10"/>
      <c r="O72" s="10" t="str">
        <f>Table115[[#This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IF(Table115[[#This Row],[Type]]="Co-product", "No", "")</f>
        <v/>
      </c>
      <c r="J73" s="10"/>
      <c r="K73" s="10" t="str">
        <f>IF(Table115[[#This Row],[Type]]="Transportation", _xlfn.XLOOKUP(Table115[[#This Row],[Resource]], 'SI - Payload'!$A$10:$A$35,'SI - Payload'!$B$10:$B$35,"",0), "")</f>
        <v/>
      </c>
      <c r="L73" s="10" t="str">
        <f>IF(Table115[[#This Row],[Type]]="Transportation", "ton", "")</f>
        <v/>
      </c>
      <c r="M73" s="10"/>
      <c r="N73" s="10"/>
      <c r="O73" s="10" t="str">
        <f>Table115[[#This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IF(Table115[[#This Row],[Type]]="Co-product", "No", "")</f>
        <v/>
      </c>
      <c r="J74" s="10"/>
      <c r="K74" s="10" t="str">
        <f>IF(Table115[[#This Row],[Type]]="Transportation", _xlfn.XLOOKUP(Table115[[#This Row],[Resource]], 'SI - Payload'!$A$10:$A$35,'SI - Payload'!$B$10:$B$35,"",0), "")</f>
        <v/>
      </c>
      <c r="L74" s="10" t="str">
        <f>IF(Table115[[#This Row],[Type]]="Transportation", "ton", "")</f>
        <v/>
      </c>
      <c r="M74" s="10"/>
      <c r="N74" s="10"/>
      <c r="O74" s="10" t="str">
        <f>Table115[[#This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IF(Table115[[#This Row],[Type]]="Co-product", "No", "")</f>
        <v/>
      </c>
      <c r="J75" s="10"/>
      <c r="K75" s="10" t="str">
        <f>IF(Table115[[#This Row],[Type]]="Transportation", _xlfn.XLOOKUP(Table115[[#This Row],[Resource]], 'SI - Payload'!$A$10:$A$35,'SI - Payload'!$B$10:$B$35,"",0), "")</f>
        <v/>
      </c>
      <c r="L75" s="10" t="str">
        <f>IF(Table115[[#This Row],[Type]]="Transportation", "ton", "")</f>
        <v/>
      </c>
      <c r="M75" s="10"/>
      <c r="N75" s="10"/>
      <c r="O75" s="10" t="str">
        <f>Table115[[#This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IF(Table115[[#This Row],[Type]]="Co-product", "No", "")</f>
        <v/>
      </c>
      <c r="J76" s="10"/>
      <c r="K76" s="10" t="str">
        <f>IF(Table115[[#This Row],[Type]]="Transportation", _xlfn.XLOOKUP(Table115[[#This Row],[Resource]], 'SI - Payload'!$A$10:$A$35,'SI - Payload'!$B$10:$B$35,"",0), "")</f>
        <v/>
      </c>
      <c r="L76" s="10" t="str">
        <f>IF(Table115[[#This Row],[Type]]="Transportation", "ton", "")</f>
        <v/>
      </c>
      <c r="M76" s="10"/>
      <c r="N76" s="10"/>
      <c r="O76" s="10" t="str">
        <f>Table115[[#This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IF(Table115[[#This Row],[Type]]="Co-product", "No", "")</f>
        <v/>
      </c>
      <c r="J77" s="10"/>
      <c r="K77" s="10" t="str">
        <f>IF(Table115[[#This Row],[Type]]="Transportation", _xlfn.XLOOKUP(Table115[[#This Row],[Resource]], 'SI - Payload'!$A$10:$A$35,'SI - Payload'!$B$10:$B$35,"",0), "")</f>
        <v/>
      </c>
      <c r="L77" s="10" t="str">
        <f>IF(Table115[[#This Row],[Type]]="Transportation", "ton", "")</f>
        <v/>
      </c>
      <c r="M77" s="10"/>
      <c r="N77" s="10"/>
      <c r="O77" s="10" t="str">
        <f>Table115[[#This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IF(Table115[[#This Row],[Type]]="Co-product", "No", "")</f>
        <v/>
      </c>
      <c r="J78" s="10"/>
      <c r="K78" s="10" t="str">
        <f>IF(Table115[[#This Row],[Type]]="Transportation", _xlfn.XLOOKUP(Table115[[#This Row],[Resource]], 'SI - Payload'!$A$10:$A$35,'SI - Payload'!$B$10:$B$35,"",0), "")</f>
        <v/>
      </c>
      <c r="L78" s="10" t="str">
        <f>IF(Table115[[#This Row],[Type]]="Transportation", "ton", "")</f>
        <v/>
      </c>
      <c r="M78" s="10"/>
      <c r="N78" s="10"/>
      <c r="O78" s="10" t="str">
        <f>Table115[[#This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IF(Table115[[#This Row],[Type]]="Co-product", "No", "")</f>
        <v/>
      </c>
      <c r="J79" s="10"/>
      <c r="K79" s="10" t="str">
        <f>IF(Table115[[#This Row],[Type]]="Transportation", _xlfn.XLOOKUP(Table115[[#This Row],[Resource]], 'SI - Payload'!$A$10:$A$35,'SI - Payload'!$B$10:$B$35,"",0), "")</f>
        <v/>
      </c>
      <c r="L79" s="10" t="str">
        <f>IF(Table115[[#This Row],[Type]]="Transportation", "ton", "")</f>
        <v/>
      </c>
      <c r="M79" s="10"/>
      <c r="N79" s="10"/>
      <c r="O79" s="10" t="str">
        <f>Table115[[#This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IF(Table115[[#This Row],[Type]]="Co-product", "No", "")</f>
        <v/>
      </c>
      <c r="J80" s="10"/>
      <c r="K80" s="10" t="str">
        <f>IF(Table115[[#This Row],[Type]]="Transportation", _xlfn.XLOOKUP(Table115[[#This Row],[Resource]], 'SI - Payload'!$A$10:$A$35,'SI - Payload'!$B$10:$B$35,"",0), "")</f>
        <v/>
      </c>
      <c r="L80" s="10" t="str">
        <f>IF(Table115[[#This Row],[Type]]="Transportation", "ton", "")</f>
        <v/>
      </c>
      <c r="M80" s="10"/>
      <c r="N80" s="10"/>
      <c r="O80" s="10" t="str">
        <f>Table115[[#This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IF(Table115[[#This Row],[Type]]="Co-product", "No", "")</f>
        <v/>
      </c>
      <c r="J81" s="10"/>
      <c r="K81" s="10" t="str">
        <f>IF(Table115[[#This Row],[Type]]="Transportation", _xlfn.XLOOKUP(Table115[[#This Row],[Resource]], 'SI - Payload'!$A$10:$A$35,'SI - Payload'!$B$10:$B$35,"",0), "")</f>
        <v/>
      </c>
      <c r="L81" s="10" t="str">
        <f>IF(Table115[[#This Row],[Type]]="Transportation", "ton", "")</f>
        <v/>
      </c>
      <c r="M81" s="10"/>
      <c r="N81" s="10"/>
      <c r="O81" s="10" t="str">
        <f>Table115[[#This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IF(Table115[[#This Row],[Type]]="Co-product", "No", "")</f>
        <v/>
      </c>
      <c r="J82" s="10"/>
      <c r="K82" s="10" t="str">
        <f>IF(Table115[[#This Row],[Type]]="Transportation", _xlfn.XLOOKUP(Table115[[#This Row],[Resource]], 'SI - Payload'!$A$10:$A$35,'SI - Payload'!$B$10:$B$35,"",0), "")</f>
        <v/>
      </c>
      <c r="L82" s="10" t="str">
        <f>IF(Table115[[#This Row],[Type]]="Transportation", "ton", "")</f>
        <v/>
      </c>
      <c r="M82" s="10"/>
      <c r="N82" s="10"/>
      <c r="O82" s="10" t="str">
        <f>Table115[[#This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IF(Table115[[#This Row],[Type]]="Co-product", "No", "")</f>
        <v/>
      </c>
      <c r="J83" s="10"/>
      <c r="K83" s="10" t="str">
        <f>IF(Table115[[#This Row],[Type]]="Transportation", _xlfn.XLOOKUP(Table115[[#This Row],[Resource]], 'SI - Payload'!$A$10:$A$35,'SI - Payload'!$B$10:$B$35,"",0), "")</f>
        <v/>
      </c>
      <c r="L83" s="10" t="str">
        <f>IF(Table115[[#This Row],[Type]]="Transportation", "ton", "")</f>
        <v/>
      </c>
      <c r="M83" s="10"/>
      <c r="N83" s="10"/>
      <c r="O83" s="10" t="str">
        <f>Table115[[#This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IF(Table115[[#This Row],[Type]]="Co-product", "No", "")</f>
        <v/>
      </c>
      <c r="J84" s="10"/>
      <c r="K84" s="10" t="str">
        <f>IF(Table115[[#This Row],[Type]]="Transportation", _xlfn.XLOOKUP(Table115[[#This Row],[Resource]], 'SI - Payload'!$A$10:$A$35,'SI - Payload'!$B$10:$B$35,"",0), "")</f>
        <v/>
      </c>
      <c r="L84" s="10" t="str">
        <f>IF(Table115[[#This Row],[Type]]="Transportation", "ton", "")</f>
        <v/>
      </c>
      <c r="M84" s="10"/>
      <c r="N84" s="10"/>
      <c r="O84" s="10" t="str">
        <f>Table115[[#This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IF(Table115[[#This Row],[Type]]="Co-product", "No", "")</f>
        <v/>
      </c>
      <c r="J85" s="10"/>
      <c r="K85" s="10" t="str">
        <f>IF(Table115[[#This Row],[Type]]="Transportation", _xlfn.XLOOKUP(Table115[[#This Row],[Resource]], 'SI - Payload'!$A$10:$A$35,'SI - Payload'!$B$10:$B$35,"",0), "")</f>
        <v/>
      </c>
      <c r="L85" s="10" t="str">
        <f>IF(Table115[[#This Row],[Type]]="Transportation", "ton", "")</f>
        <v/>
      </c>
      <c r="M85" s="10"/>
      <c r="N85" s="10"/>
      <c r="O85" s="10" t="str">
        <f>Table115[[#This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IF(Table115[[#This Row],[Type]]="Co-product", "No", "")</f>
        <v/>
      </c>
      <c r="J86" s="10"/>
      <c r="K86" s="10" t="str">
        <f>IF(Table115[[#This Row],[Type]]="Transportation", _xlfn.XLOOKUP(Table115[[#This Row],[Resource]], 'SI - Payload'!$A$10:$A$35,'SI - Payload'!$B$10:$B$35,"",0), "")</f>
        <v/>
      </c>
      <c r="L86" s="10" t="str">
        <f>IF(Table115[[#This Row],[Type]]="Transportation", "ton", "")</f>
        <v/>
      </c>
      <c r="M86" s="10"/>
      <c r="N86" s="10"/>
      <c r="O86" s="10" t="str">
        <f>Table115[[#This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IF(Table115[[#This Row],[Type]]="Co-product", "No", "")</f>
        <v/>
      </c>
      <c r="J87" s="10"/>
      <c r="K87" s="10" t="str">
        <f>IF(Table115[[#This Row],[Type]]="Transportation", _xlfn.XLOOKUP(Table115[[#This Row],[Resource]], 'SI - Payload'!$A$10:$A$35,'SI - Payload'!$B$10:$B$35,"",0), "")</f>
        <v/>
      </c>
      <c r="L87" s="10" t="str">
        <f>IF(Table115[[#This Row],[Type]]="Transportation", "ton", "")</f>
        <v/>
      </c>
      <c r="M87" s="10"/>
      <c r="N87" s="10"/>
      <c r="O87" s="10" t="str">
        <f>Table115[[#This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IF(Table115[[#This Row],[Type]]="Co-product", "No", "")</f>
        <v/>
      </c>
      <c r="J88" s="10"/>
      <c r="K88" s="10" t="str">
        <f>IF(Table115[[#This Row],[Type]]="Transportation", _xlfn.XLOOKUP(Table115[[#This Row],[Resource]], 'SI - Payload'!$A$10:$A$35,'SI - Payload'!$B$10:$B$35,"",0), "")</f>
        <v/>
      </c>
      <c r="L88" s="10" t="str">
        <f>IF(Table115[[#This Row],[Type]]="Transportation", "ton", "")</f>
        <v/>
      </c>
      <c r="M88" s="10"/>
      <c r="N88" s="10"/>
      <c r="O88" s="10" t="str">
        <f>Table115[[#This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IF(Table115[[#This Row],[Type]]="Co-product", "No", "")</f>
        <v/>
      </c>
      <c r="J89" s="10"/>
      <c r="K89" s="10" t="str">
        <f>IF(Table115[[#This Row],[Type]]="Transportation", _xlfn.XLOOKUP(Table115[[#This Row],[Resource]], 'SI - Payload'!$A$10:$A$35,'SI - Payload'!$B$10:$B$35,"",0), "")</f>
        <v/>
      </c>
      <c r="L89" s="10" t="str">
        <f>IF(Table115[[#This Row],[Type]]="Transportation", "ton", "")</f>
        <v/>
      </c>
      <c r="M89" s="10"/>
      <c r="N89" s="10"/>
      <c r="O89" s="10" t="str">
        <f>Table115[[#This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IF(Table115[[#This Row],[Type]]="Co-product", "No", "")</f>
        <v/>
      </c>
      <c r="J90" s="10"/>
      <c r="K90" s="10" t="str">
        <f>IF(Table115[[#This Row],[Type]]="Transportation", _xlfn.XLOOKUP(Table115[[#This Row],[Resource]], 'SI - Payload'!$A$10:$A$35,'SI - Payload'!$B$10:$B$35,"",0), "")</f>
        <v/>
      </c>
      <c r="L90" s="10" t="str">
        <f>IF(Table115[[#This Row],[Type]]="Transportation", "ton", "")</f>
        <v/>
      </c>
      <c r="M90" s="10"/>
      <c r="N90" s="10"/>
      <c r="O90" s="10" t="str">
        <f>Table115[[#This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IF(Table115[[#This Row],[Type]]="Co-product", "No", "")</f>
        <v/>
      </c>
      <c r="J91" s="10"/>
      <c r="K91" s="10" t="str">
        <f>IF(Table115[[#This Row],[Type]]="Transportation", _xlfn.XLOOKUP(Table115[[#This Row],[Resource]], 'SI - Payload'!$A$10:$A$35,'SI - Payload'!$B$10:$B$35,"",0), "")</f>
        <v/>
      </c>
      <c r="L91" s="10" t="str">
        <f>IF(Table115[[#This Row],[Type]]="Transportation", "ton", "")</f>
        <v/>
      </c>
      <c r="M91" s="10"/>
      <c r="N91" s="10"/>
      <c r="O91" s="10" t="str">
        <f>Table115[[#This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IF(Table115[[#This Row],[Type]]="Co-product", "No", "")</f>
        <v/>
      </c>
      <c r="J92" s="10"/>
      <c r="K92" s="10" t="str">
        <f>IF(Table115[[#This Row],[Type]]="Transportation", _xlfn.XLOOKUP(Table115[[#This Row],[Resource]], 'SI - Payload'!$A$10:$A$35,'SI - Payload'!$B$10:$B$35,"",0), "")</f>
        <v/>
      </c>
      <c r="L92" s="10" t="str">
        <f>IF(Table115[[#This Row],[Type]]="Transportation", "ton", "")</f>
        <v/>
      </c>
      <c r="M92" s="10"/>
      <c r="N92" s="10"/>
      <c r="O92" s="10" t="str">
        <f>Table115[[#This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IF(Table115[[#This Row],[Type]]="Co-product", "No", "")</f>
        <v/>
      </c>
      <c r="J93" s="10"/>
      <c r="K93" s="10" t="str">
        <f>IF(Table115[[#This Row],[Type]]="Transportation", _xlfn.XLOOKUP(Table115[[#This Row],[Resource]], 'SI - Payload'!$A$10:$A$35,'SI - Payload'!$B$10:$B$35,"",0), "")</f>
        <v/>
      </c>
      <c r="L93" s="10" t="str">
        <f>IF(Table115[[#This Row],[Type]]="Transportation", "ton", "")</f>
        <v/>
      </c>
      <c r="M93" s="10"/>
      <c r="N93" s="10"/>
      <c r="O93" s="10" t="str">
        <f>Table115[[#This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IF(Table115[[#This Row],[Type]]="Co-product", "No", "")</f>
        <v/>
      </c>
      <c r="J94" s="10"/>
      <c r="K94" s="10" t="str">
        <f>IF(Table115[[#This Row],[Type]]="Transportation", _xlfn.XLOOKUP(Table115[[#This Row],[Resource]], 'SI - Payload'!$A$10:$A$35,'SI - Payload'!$B$10:$B$35,"",0), "")</f>
        <v/>
      </c>
      <c r="L94" s="10" t="str">
        <f>IF(Table115[[#This Row],[Type]]="Transportation", "ton", "")</f>
        <v/>
      </c>
      <c r="M94" s="10"/>
      <c r="N94" s="10"/>
      <c r="O94" s="10" t="str">
        <f>Table115[[#This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IF(Table115[[#This Row],[Type]]="Co-product", "No", "")</f>
        <v/>
      </c>
      <c r="J95" s="10"/>
      <c r="K95" s="10" t="str">
        <f>IF(Table115[[#This Row],[Type]]="Transportation", _xlfn.XLOOKUP(Table115[[#This Row],[Resource]], 'SI - Payload'!$A$10:$A$35,'SI - Payload'!$B$10:$B$35,"",0), "")</f>
        <v/>
      </c>
      <c r="L95" s="10" t="str">
        <f>IF(Table115[[#This Row],[Type]]="Transportation", "ton", "")</f>
        <v/>
      </c>
      <c r="M95" s="10"/>
      <c r="N95" s="10"/>
      <c r="O95" s="10" t="str">
        <f>Table115[[#This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IF(Table115[[#This Row],[Type]]="Co-product", "No", "")</f>
        <v/>
      </c>
      <c r="J96" s="10"/>
      <c r="K96" s="10" t="str">
        <f>IF(Table115[[#This Row],[Type]]="Transportation", _xlfn.XLOOKUP(Table115[[#This Row],[Resource]], 'SI - Payload'!$A$10:$A$35,'SI - Payload'!$B$10:$B$35,"",0), "")</f>
        <v/>
      </c>
      <c r="L96" s="10" t="str">
        <f>IF(Table115[[#This Row],[Type]]="Transportation", "ton", "")</f>
        <v/>
      </c>
      <c r="M96" s="10"/>
      <c r="N96" s="10"/>
      <c r="O96" s="10" t="str">
        <f>Table115[[#This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IF(Table115[[#This Row],[Type]]="Co-product", "No", "")</f>
        <v/>
      </c>
      <c r="J97" s="10"/>
      <c r="K97" s="10" t="str">
        <f>IF(Table115[[#This Row],[Type]]="Transportation", _xlfn.XLOOKUP(Table115[[#This Row],[Resource]], 'SI - Payload'!$A$10:$A$35,'SI - Payload'!$B$10:$B$35,"",0), "")</f>
        <v/>
      </c>
      <c r="L97" s="10" t="str">
        <f>IF(Table115[[#This Row],[Type]]="Transportation", "ton", "")</f>
        <v/>
      </c>
      <c r="M97" s="10"/>
      <c r="N97" s="10"/>
      <c r="O97" s="27" t="str">
        <f>Table115[[#This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IF(Table115[[#This Row],[Type]]="Co-product", "No", "")</f>
        <v/>
      </c>
      <c r="J98" s="10"/>
      <c r="K98" s="10" t="str">
        <f>IF(Table115[[#This Row],[Type]]="Transportation", _xlfn.XLOOKUP(Table115[[#This Row],[Resource]], 'SI - Payload'!$A$10:$A$35,'SI - Payload'!$B$10:$B$35,"",0), "")</f>
        <v/>
      </c>
      <c r="L98" s="10" t="str">
        <f>IF(Table115[[#This Row],[Type]]="Transportation", "ton", "")</f>
        <v/>
      </c>
      <c r="M98" s="10"/>
      <c r="N98" s="10"/>
      <c r="O98" s="27" t="str">
        <f>Table115[[#This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IF(Table115[[#This Row],[Type]]="Co-product", "No", "")</f>
        <v/>
      </c>
      <c r="J99" s="10"/>
      <c r="K99" s="10" t="str">
        <f>IF(Table115[[#This Row],[Type]]="Transportation", _xlfn.XLOOKUP(Table115[[#This Row],[Resource]], 'SI - Payload'!$A$10:$A$35,'SI - Payload'!$B$10:$B$35,"",0), "")</f>
        <v/>
      </c>
      <c r="L99" s="10" t="str">
        <f>IF(Table115[[#This Row],[Type]]="Transportation", "ton", "")</f>
        <v/>
      </c>
      <c r="M99" s="10"/>
      <c r="N99" s="10"/>
      <c r="O99" s="27" t="str">
        <f>Table115[[#This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IF(Table115[[#This Row],[Type]]="Co-product", "No", "")</f>
        <v/>
      </c>
      <c r="J100" s="26"/>
      <c r="K100" s="26" t="str">
        <f>IF(Table115[[#This Row],[Type]]="Transportation", _xlfn.XLOOKUP(Table115[[#This Row],[Resource]], 'SI - Payload'!$A$10:$A$35,'SI - Payload'!$B$10:$B$35,"",0), "")</f>
        <v/>
      </c>
      <c r="L100" s="26" t="str">
        <f>IF(Table115[[#This Row],[Type]]="Transportation", "ton", "")</f>
        <v/>
      </c>
      <c r="M100" s="26"/>
      <c r="N100" s="26"/>
      <c r="O100" s="26" t="str">
        <f>Table115[[#This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Resources'!$A$1:$H$1,INDIRECT("Resource"))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Resources'!$A$1:$H$1</xm:f>
          </x14:formula1>
          <xm:sqref>B31:B100 B29 B25 B20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Use'!$B$2:$B$51,'SI - End Use'!$C$2:$N$51)</xm:f>
          </x14:formula1>
          <xm:sqref>P5:P100 D30</xm:sqref>
        </x14:dataValidation>
        <x14:dataValidation type="list" allowBlank="1" showInputMessage="1" xr:uid="{96341945-2C59-4741-99DA-D2FF20BF46EA}">
          <x14:formula1>
            <xm:f>_xlfn.XLOOKUP($C31,'SI - End Use'!$B$2:$B$51,'SI - End Use'!$C$2:$N$51)</xm:f>
          </x14:formula1>
          <xm:sqref>D31:D100</xm:sqref>
        </x14:dataValidation>
        <x14:dataValidation type="list" allowBlank="1" showInputMessage="1" showErrorMessage="1" xr:uid="{83B588AF-1EB5-4E26-94B9-F6C9F2C13BD0}">
          <x14:formula1>
            <xm:f>IF($B31="Transportation",  'SI - Units'!$B$9:$E$9, _xlfn.XLOOKUP(_xlfn.XLOOKUP($C31,'SI - Units'!$B$24:$B$72,'SI - Units'!$C$24:$C$72),'SI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Units'!$B$24:$B$72,'SI - Units'!$C$24:$C$72),'SI - Units'!$A$13:$A$19,'SI - Units'!$B$13:$R$19))</xm:f>
          </x14:formula1>
          <xm:sqref>N5:N100</xm:sqref>
        </x14:dataValidation>
        <x14:dataValidation type="list" allowBlank="1" showInputMessage="1" showErrorMessage="1" xr:uid="{6BA18916-D1D7-459D-8F2F-D2569EE02782}">
          <x14:formula1>
            <xm:f>_xlfn.XLOOKUP(_xlfn.XLOOKUP(#REF!,'SI - Units'!$B$24:$B$72,'SI - Units'!$C$24:$C$72),'SI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c r="B5" s="10"/>
      <c r="C5" s="10" t="str">
        <f>_xlfn.XLOOKUP($B5,'SI - Resources'!$A$1:$H$1,'SI - Resources'!$A$2:$H$2,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Resources'!$A$1:$H$1,'SI - Resources'!$A$2:$H$2,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Resources'!$A$1:$H$1,'SI - Resources'!$A$2:$H$2,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topLeftCell="A10" workbookViewId="0">
      <selection activeCell="D33" sqref="D33"/>
    </sheetView>
  </sheetViews>
  <sheetFormatPr defaultRowHeight="14.5" x14ac:dyDescent="0.35"/>
  <cols>
    <col min="1" max="1" width="25" bestFit="1" customWidth="1"/>
  </cols>
  <sheetData>
    <row r="1" spans="1:78" ht="65.5" x14ac:dyDescent="0.35">
      <c r="A1" s="45" t="s">
        <v>162</v>
      </c>
      <c r="B1" s="46" t="s">
        <v>163</v>
      </c>
      <c r="C1" s="46" t="s">
        <v>164</v>
      </c>
      <c r="D1" s="46" t="s">
        <v>2</v>
      </c>
      <c r="E1" s="46" t="s">
        <v>165</v>
      </c>
      <c r="F1" s="46" t="s">
        <v>166</v>
      </c>
      <c r="G1" s="46" t="s">
        <v>167</v>
      </c>
      <c r="H1" s="46" t="s">
        <v>168</v>
      </c>
      <c r="I1" s="46" t="s">
        <v>169</v>
      </c>
      <c r="J1" s="46" t="s">
        <v>170</v>
      </c>
      <c r="K1" s="46" t="s">
        <v>171</v>
      </c>
      <c r="L1" s="46" t="s">
        <v>172</v>
      </c>
      <c r="M1" s="46" t="s">
        <v>173</v>
      </c>
      <c r="N1" s="46" t="s">
        <v>174</v>
      </c>
      <c r="O1" s="46" t="s">
        <v>175</v>
      </c>
      <c r="P1" s="46" t="s">
        <v>176</v>
      </c>
      <c r="Q1" s="46" t="s">
        <v>177</v>
      </c>
      <c r="R1" s="46" t="s">
        <v>178</v>
      </c>
      <c r="S1" s="46" t="s">
        <v>179</v>
      </c>
      <c r="T1" s="46" t="s">
        <v>180</v>
      </c>
      <c r="U1" s="46" t="s">
        <v>181</v>
      </c>
      <c r="V1" s="46" t="s">
        <v>182</v>
      </c>
      <c r="W1" s="46" t="s">
        <v>75</v>
      </c>
      <c r="X1" s="46" t="s">
        <v>183</v>
      </c>
      <c r="Y1" s="46" t="s">
        <v>184</v>
      </c>
      <c r="Z1" s="46" t="s">
        <v>185</v>
      </c>
      <c r="AA1" s="46" t="s">
        <v>186</v>
      </c>
      <c r="AB1" s="46" t="s">
        <v>187</v>
      </c>
      <c r="AC1" s="46" t="s">
        <v>188</v>
      </c>
      <c r="AD1" s="46" t="s">
        <v>189</v>
      </c>
      <c r="AE1" s="46" t="s">
        <v>190</v>
      </c>
      <c r="AF1" s="46" t="s">
        <v>191</v>
      </c>
      <c r="AG1" s="46" t="s">
        <v>192</v>
      </c>
      <c r="AH1" s="46" t="s">
        <v>193</v>
      </c>
      <c r="AI1" s="46" t="s">
        <v>194</v>
      </c>
      <c r="AJ1" s="46" t="s">
        <v>195</v>
      </c>
      <c r="AK1" s="46" t="s">
        <v>196</v>
      </c>
      <c r="AL1" s="46" t="s">
        <v>197</v>
      </c>
      <c r="AM1" s="46" t="s">
        <v>198</v>
      </c>
      <c r="AN1" s="46" t="s">
        <v>199</v>
      </c>
      <c r="AO1" s="46" t="s">
        <v>200</v>
      </c>
      <c r="AP1" s="46" t="s">
        <v>201</v>
      </c>
      <c r="AQ1" s="46" t="s">
        <v>202</v>
      </c>
      <c r="AR1" s="46" t="s">
        <v>203</v>
      </c>
      <c r="AS1" s="46" t="s">
        <v>204</v>
      </c>
      <c r="AT1" s="46" t="s">
        <v>205</v>
      </c>
      <c r="AU1" s="46" t="s">
        <v>206</v>
      </c>
      <c r="AV1" s="46" t="s">
        <v>207</v>
      </c>
      <c r="AW1" s="46" t="s">
        <v>208</v>
      </c>
      <c r="AX1" s="46" t="s">
        <v>209</v>
      </c>
      <c r="AY1" s="46" t="s">
        <v>210</v>
      </c>
      <c r="AZ1" s="46" t="s">
        <v>211</v>
      </c>
      <c r="BA1" s="46" t="s">
        <v>212</v>
      </c>
      <c r="BB1" s="46" t="s">
        <v>213</v>
      </c>
      <c r="BC1" s="46" t="s">
        <v>15</v>
      </c>
      <c r="BD1" s="46" t="s">
        <v>214</v>
      </c>
      <c r="BE1" s="46" t="s">
        <v>215</v>
      </c>
      <c r="BF1" s="46" t="s">
        <v>19</v>
      </c>
      <c r="BG1" s="46" t="s">
        <v>216</v>
      </c>
      <c r="BH1" s="46" t="s">
        <v>217</v>
      </c>
      <c r="BI1" s="46" t="s">
        <v>218</v>
      </c>
      <c r="BJ1" s="46" t="s">
        <v>219</v>
      </c>
      <c r="BK1" s="46" t="s">
        <v>220</v>
      </c>
      <c r="BL1" s="46" t="s">
        <v>221</v>
      </c>
      <c r="BM1" s="46" t="s">
        <v>222</v>
      </c>
      <c r="BN1" s="46" t="s">
        <v>223</v>
      </c>
      <c r="BO1" s="46" t="s">
        <v>224</v>
      </c>
      <c r="BP1" s="46" t="s">
        <v>225</v>
      </c>
      <c r="BQ1" s="46" t="s">
        <v>226</v>
      </c>
      <c r="BR1" s="46" t="s">
        <v>227</v>
      </c>
      <c r="BS1" s="46" t="s">
        <v>228</v>
      </c>
      <c r="BT1" s="46" t="s">
        <v>229</v>
      </c>
      <c r="BU1" s="46" t="s">
        <v>230</v>
      </c>
      <c r="BV1" s="46" t="s">
        <v>231</v>
      </c>
      <c r="BW1" s="46" t="s">
        <v>232</v>
      </c>
      <c r="BX1" s="46" t="s">
        <v>233</v>
      </c>
      <c r="BY1" s="46" t="s">
        <v>234</v>
      </c>
      <c r="BZ1" s="47" t="s">
        <v>235</v>
      </c>
    </row>
    <row r="2" spans="1:78" x14ac:dyDescent="0.35">
      <c r="A2" s="48" t="s">
        <v>236</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237</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238</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239</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33</v>
      </c>
      <c r="B10" s="68">
        <f>AC4</f>
        <v>15</v>
      </c>
    </row>
    <row r="11" spans="1:78" x14ac:dyDescent="0.35">
      <c r="A11" t="s">
        <v>2</v>
      </c>
      <c r="B11" s="68">
        <f>D4</f>
        <v>25</v>
      </c>
    </row>
    <row r="12" spans="1:78" x14ac:dyDescent="0.35">
      <c r="A12" t="s">
        <v>22</v>
      </c>
      <c r="B12" s="68">
        <f>Q4</f>
        <v>0.4</v>
      </c>
    </row>
    <row r="13" spans="1:78" x14ac:dyDescent="0.35">
      <c r="A13" t="s">
        <v>75</v>
      </c>
      <c r="B13" s="68">
        <f>W4</f>
        <v>25</v>
      </c>
    </row>
    <row r="14" spans="1:78" x14ac:dyDescent="0.35">
      <c r="A14" t="s">
        <v>13</v>
      </c>
      <c r="B14" s="68">
        <f>$Y$4</f>
        <v>22.5</v>
      </c>
    </row>
    <row r="15" spans="1:78" x14ac:dyDescent="0.35">
      <c r="A15" t="s">
        <v>14</v>
      </c>
      <c r="B15" s="68">
        <f t="shared" ref="B15:B35" si="0">$Y$4</f>
        <v>22.5</v>
      </c>
    </row>
    <row r="16" spans="1:78" x14ac:dyDescent="0.35">
      <c r="A16" t="s">
        <v>15</v>
      </c>
      <c r="B16" s="68">
        <f t="shared" si="0"/>
        <v>22.5</v>
      </c>
    </row>
    <row r="17" spans="1:2" x14ac:dyDescent="0.35">
      <c r="A17" t="s">
        <v>16</v>
      </c>
      <c r="B17" s="68">
        <f t="shared" si="0"/>
        <v>22.5</v>
      </c>
    </row>
    <row r="18" spans="1:2" x14ac:dyDescent="0.35">
      <c r="A18" t="s">
        <v>17</v>
      </c>
      <c r="B18" s="68">
        <f t="shared" si="0"/>
        <v>22.5</v>
      </c>
    </row>
    <row r="19" spans="1:2" x14ac:dyDescent="0.35">
      <c r="A19" t="s">
        <v>18</v>
      </c>
      <c r="B19" s="68">
        <f t="shared" si="0"/>
        <v>22.5</v>
      </c>
    </row>
    <row r="20" spans="1:2" x14ac:dyDescent="0.35">
      <c r="A20" t="s">
        <v>19</v>
      </c>
      <c r="B20" s="68">
        <f t="shared" si="0"/>
        <v>22.5</v>
      </c>
    </row>
    <row r="21" spans="1:2" x14ac:dyDescent="0.35">
      <c r="A21" t="s">
        <v>112</v>
      </c>
      <c r="B21" s="68">
        <f t="shared" si="0"/>
        <v>22.5</v>
      </c>
    </row>
    <row r="22" spans="1:2" x14ac:dyDescent="0.35">
      <c r="A22" t="s">
        <v>111</v>
      </c>
      <c r="B22" s="68">
        <f t="shared" si="0"/>
        <v>22.5</v>
      </c>
    </row>
    <row r="23" spans="1:2" x14ac:dyDescent="0.35">
      <c r="A23" t="s">
        <v>21</v>
      </c>
      <c r="B23" s="68">
        <f t="shared" si="0"/>
        <v>22.5</v>
      </c>
    </row>
    <row r="24" spans="1:2" x14ac:dyDescent="0.35">
      <c r="A24" t="s">
        <v>37</v>
      </c>
      <c r="B24" s="68">
        <f t="shared" si="0"/>
        <v>22.5</v>
      </c>
    </row>
    <row r="25" spans="1:2" x14ac:dyDescent="0.35">
      <c r="A25" t="s">
        <v>23</v>
      </c>
      <c r="B25" s="68">
        <f t="shared" si="0"/>
        <v>22.5</v>
      </c>
    </row>
    <row r="26" spans="1:2" x14ac:dyDescent="0.35">
      <c r="A26" t="s">
        <v>25</v>
      </c>
      <c r="B26" s="68">
        <f t="shared" si="0"/>
        <v>22.5</v>
      </c>
    </row>
    <row r="27" spans="1:2" x14ac:dyDescent="0.35">
      <c r="A27" t="s">
        <v>26</v>
      </c>
      <c r="B27" s="68">
        <f t="shared" si="0"/>
        <v>22.5</v>
      </c>
    </row>
    <row r="28" spans="1:2" x14ac:dyDescent="0.35">
      <c r="A28" t="s">
        <v>30</v>
      </c>
      <c r="B28" s="68">
        <f t="shared" si="0"/>
        <v>22.5</v>
      </c>
    </row>
    <row r="29" spans="1:2" x14ac:dyDescent="0.35">
      <c r="A29" t="s">
        <v>21</v>
      </c>
      <c r="B29" s="68">
        <f t="shared" si="0"/>
        <v>22.5</v>
      </c>
    </row>
    <row r="30" spans="1:2" x14ac:dyDescent="0.35">
      <c r="A30" t="s">
        <v>20</v>
      </c>
      <c r="B30" s="68">
        <f t="shared" si="0"/>
        <v>22.5</v>
      </c>
    </row>
    <row r="31" spans="1:2" x14ac:dyDescent="0.35">
      <c r="A31" t="s">
        <v>37</v>
      </c>
      <c r="B31" s="68">
        <f t="shared" si="0"/>
        <v>22.5</v>
      </c>
    </row>
    <row r="32" spans="1:2" x14ac:dyDescent="0.35">
      <c r="A32" t="s">
        <v>25</v>
      </c>
      <c r="B32" s="68">
        <f t="shared" si="0"/>
        <v>22.5</v>
      </c>
    </row>
    <row r="33" spans="1:2" x14ac:dyDescent="0.35">
      <c r="A33" t="s">
        <v>281</v>
      </c>
      <c r="B33" s="68">
        <v>23</v>
      </c>
    </row>
    <row r="34" spans="1:2" x14ac:dyDescent="0.35">
      <c r="A34" t="s">
        <v>283</v>
      </c>
      <c r="B34" s="68">
        <v>23</v>
      </c>
    </row>
    <row r="35" spans="1:2" x14ac:dyDescent="0.35">
      <c r="A35" t="s">
        <v>53</v>
      </c>
      <c r="B35" s="68">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22" workbookViewId="0">
      <selection activeCell="C56" sqref="C56"/>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272</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7" t="s">
        <v>75</v>
      </c>
      <c r="C6" s="9" t="s">
        <v>87</v>
      </c>
      <c r="D6" s="9" t="s">
        <v>252</v>
      </c>
      <c r="E6" s="9" t="s">
        <v>253</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t="s">
        <v>50</v>
      </c>
      <c r="C8" t="s">
        <v>32</v>
      </c>
      <c r="D8"/>
      <c r="E8"/>
    </row>
    <row r="9" spans="1:14" x14ac:dyDescent="0.35">
      <c r="B9" t="s">
        <v>51</v>
      </c>
      <c r="C9" t="s">
        <v>54</v>
      </c>
      <c r="D9"/>
      <c r="E9"/>
    </row>
    <row r="10" spans="1:14" x14ac:dyDescent="0.35">
      <c r="B10" t="s">
        <v>52</v>
      </c>
      <c r="C10" t="s">
        <v>55</v>
      </c>
      <c r="D10"/>
      <c r="E10"/>
    </row>
    <row r="11" spans="1:14" x14ac:dyDescent="0.35">
      <c r="B11" s="5" t="s">
        <v>13</v>
      </c>
      <c r="C11" s="5"/>
      <c r="D11" s="5"/>
      <c r="E11"/>
    </row>
    <row r="12" spans="1:14" x14ac:dyDescent="0.35">
      <c r="B12" s="5" t="s">
        <v>14</v>
      </c>
      <c r="C12" s="5"/>
      <c r="D12" s="5"/>
      <c r="E12"/>
    </row>
    <row r="13" spans="1:14" x14ac:dyDescent="0.35">
      <c r="B13" s="5" t="s">
        <v>15</v>
      </c>
      <c r="C13" s="5"/>
      <c r="D13" s="5"/>
      <c r="E13"/>
    </row>
    <row r="14" spans="1:14" x14ac:dyDescent="0.35">
      <c r="B14" s="5" t="s">
        <v>16</v>
      </c>
      <c r="C14" s="5"/>
      <c r="D14" s="5"/>
      <c r="E14"/>
    </row>
    <row r="15" spans="1:14" x14ac:dyDescent="0.35">
      <c r="B15" s="5" t="s">
        <v>17</v>
      </c>
      <c r="C15" s="5"/>
      <c r="D15" s="5"/>
      <c r="E15"/>
    </row>
    <row r="16" spans="1:14" x14ac:dyDescent="0.35">
      <c r="B16" s="5" t="s">
        <v>18</v>
      </c>
      <c r="C16" s="5"/>
      <c r="D16" s="5"/>
      <c r="E16"/>
    </row>
    <row r="17" spans="2:5" x14ac:dyDescent="0.35">
      <c r="B17" s="5" t="s">
        <v>19</v>
      </c>
      <c r="C17" s="5"/>
      <c r="D17" s="5"/>
      <c r="E17"/>
    </row>
    <row r="18" spans="2:5" x14ac:dyDescent="0.35">
      <c r="B18" s="5" t="s">
        <v>20</v>
      </c>
      <c r="C18" s="5"/>
      <c r="D18" s="5"/>
      <c r="E18"/>
    </row>
    <row r="19" spans="2:5" x14ac:dyDescent="0.35">
      <c r="B19" s="5" t="s">
        <v>21</v>
      </c>
      <c r="C19" s="5"/>
      <c r="D19" s="5"/>
      <c r="E19"/>
    </row>
    <row r="20" spans="2:5" x14ac:dyDescent="0.35">
      <c r="B20" s="5" t="s">
        <v>111</v>
      </c>
      <c r="C20" s="5"/>
      <c r="D20" s="5"/>
      <c r="E20"/>
    </row>
    <row r="21" spans="2:5" x14ac:dyDescent="0.35">
      <c r="B21" s="5" t="s">
        <v>37</v>
      </c>
      <c r="C21" s="5"/>
      <c r="D21" s="5"/>
      <c r="E21"/>
    </row>
    <row r="22" spans="2:5" x14ac:dyDescent="0.35">
      <c r="B22" s="5" t="s">
        <v>23</v>
      </c>
      <c r="C22" s="5"/>
      <c r="D22" s="5"/>
      <c r="E22"/>
    </row>
    <row r="23" spans="2:5" x14ac:dyDescent="0.35">
      <c r="B23" s="5" t="s">
        <v>25</v>
      </c>
      <c r="C23" s="5"/>
      <c r="D23" s="5"/>
      <c r="E23"/>
    </row>
    <row r="24" spans="2:5" x14ac:dyDescent="0.35">
      <c r="B24" s="5" t="s">
        <v>30</v>
      </c>
      <c r="C24" s="5"/>
      <c r="D24" s="5"/>
      <c r="E24"/>
    </row>
    <row r="25" spans="2:5" x14ac:dyDescent="0.35">
      <c r="B25" t="s">
        <v>21</v>
      </c>
      <c r="C25" s="5"/>
      <c r="D25" s="5"/>
      <c r="E25"/>
    </row>
    <row r="26" spans="2:5" x14ac:dyDescent="0.35">
      <c r="B26" t="s">
        <v>20</v>
      </c>
      <c r="C26" s="5"/>
      <c r="D26" s="5"/>
      <c r="E26"/>
    </row>
    <row r="27" spans="2:5" x14ac:dyDescent="0.35">
      <c r="B27" t="s">
        <v>37</v>
      </c>
      <c r="C27" s="5"/>
      <c r="D27" s="5"/>
      <c r="E27"/>
    </row>
    <row r="28" spans="2:5" x14ac:dyDescent="0.35">
      <c r="B28" t="s">
        <v>25</v>
      </c>
      <c r="C28" s="5"/>
      <c r="D28" s="5"/>
      <c r="E28"/>
    </row>
    <row r="29" spans="2:5" x14ac:dyDescent="0.35">
      <c r="B29" t="s">
        <v>53</v>
      </c>
      <c r="C29" t="s">
        <v>55</v>
      </c>
      <c r="D29" s="5"/>
      <c r="E29"/>
    </row>
    <row r="30" spans="2:5" x14ac:dyDescent="0.35">
      <c r="B30" t="s">
        <v>273</v>
      </c>
      <c r="C30" s="5"/>
      <c r="D30" s="5"/>
      <c r="E30"/>
    </row>
    <row r="31" spans="2:5" x14ac:dyDescent="0.35">
      <c r="B31" t="s">
        <v>274</v>
      </c>
      <c r="C31" s="5"/>
      <c r="D31" s="5"/>
      <c r="E31"/>
    </row>
    <row r="32" spans="2:5" x14ac:dyDescent="0.35">
      <c r="B32" t="s">
        <v>275</v>
      </c>
      <c r="C32" s="5"/>
      <c r="D32" s="5"/>
      <c r="E32"/>
    </row>
    <row r="33" spans="1:5" x14ac:dyDescent="0.35">
      <c r="B33" t="s">
        <v>276</v>
      </c>
      <c r="C33" s="5"/>
      <c r="D33" s="5"/>
      <c r="E33"/>
    </row>
    <row r="34" spans="1:5" x14ac:dyDescent="0.35">
      <c r="B34" t="s">
        <v>277</v>
      </c>
      <c r="C34" s="5"/>
      <c r="D34" s="5"/>
      <c r="E34"/>
    </row>
    <row r="35" spans="1:5" x14ac:dyDescent="0.35">
      <c r="B35" t="s">
        <v>278</v>
      </c>
      <c r="C35" s="5"/>
      <c r="D35" s="5"/>
      <c r="E35"/>
    </row>
    <row r="36" spans="1:5" x14ac:dyDescent="0.35">
      <c r="A36" s="4" t="s">
        <v>295</v>
      </c>
      <c r="B36" t="s">
        <v>296</v>
      </c>
      <c r="C36" s="5"/>
      <c r="D36" s="5"/>
      <c r="E36"/>
    </row>
    <row r="37" spans="1:5" x14ac:dyDescent="0.35">
      <c r="A37" s="4" t="s">
        <v>280</v>
      </c>
      <c r="B37" t="s">
        <v>282</v>
      </c>
      <c r="C37" s="5"/>
      <c r="D37" s="5"/>
      <c r="E37"/>
    </row>
    <row r="38" spans="1:5" x14ac:dyDescent="0.35">
      <c r="B38" t="s">
        <v>284</v>
      </c>
      <c r="C38" s="5"/>
      <c r="D38" s="5"/>
      <c r="E38"/>
    </row>
    <row r="39" spans="1:5" x14ac:dyDescent="0.35">
      <c r="B39" t="s">
        <v>285</v>
      </c>
      <c r="C39" s="5"/>
      <c r="D39" s="5"/>
      <c r="E39"/>
    </row>
    <row r="40" spans="1:5" x14ac:dyDescent="0.35">
      <c r="B40" t="s">
        <v>286</v>
      </c>
      <c r="C40" s="5"/>
      <c r="D40" s="5"/>
      <c r="E40"/>
    </row>
    <row r="41" spans="1:5" x14ac:dyDescent="0.35">
      <c r="B41" t="s">
        <v>287</v>
      </c>
      <c r="C41" s="5"/>
      <c r="D41" s="5"/>
      <c r="E41"/>
    </row>
    <row r="42" spans="1:5" x14ac:dyDescent="0.35">
      <c r="B42" t="s">
        <v>288</v>
      </c>
      <c r="C42" s="5"/>
      <c r="D42" s="5"/>
      <c r="E42"/>
    </row>
    <row r="43" spans="1:5" x14ac:dyDescent="0.35">
      <c r="B43" t="s">
        <v>289</v>
      </c>
      <c r="C43" s="5"/>
      <c r="D43" s="5"/>
      <c r="E43"/>
    </row>
    <row r="44" spans="1:5" x14ac:dyDescent="0.35">
      <c r="B44" t="s">
        <v>290</v>
      </c>
      <c r="C44" s="5"/>
      <c r="D44" s="5"/>
      <c r="E44"/>
    </row>
    <row r="45" spans="1:5" x14ac:dyDescent="0.35">
      <c r="B45" t="s">
        <v>291</v>
      </c>
      <c r="C45" s="5"/>
      <c r="D45" s="5"/>
      <c r="E45"/>
    </row>
    <row r="46" spans="1:5" x14ac:dyDescent="0.35">
      <c r="B46" t="s">
        <v>292</v>
      </c>
      <c r="C46" s="5"/>
      <c r="D46" s="5"/>
      <c r="E46"/>
    </row>
    <row r="47" spans="1:5" x14ac:dyDescent="0.35">
      <c r="B47" t="s">
        <v>293</v>
      </c>
      <c r="C47" s="5"/>
      <c r="D47" s="5"/>
      <c r="E47"/>
    </row>
    <row r="48" spans="1:5" x14ac:dyDescent="0.35">
      <c r="B48" t="s">
        <v>294</v>
      </c>
      <c r="C48" s="5"/>
      <c r="D48" s="5"/>
      <c r="E48"/>
    </row>
    <row r="49" spans="1:5" x14ac:dyDescent="0.35">
      <c r="A49" s="4" t="s">
        <v>279</v>
      </c>
      <c r="B49" t="s">
        <v>281</v>
      </c>
      <c r="C49" s="5"/>
      <c r="D49" s="5"/>
      <c r="E49"/>
    </row>
    <row r="50" spans="1:5" x14ac:dyDescent="0.35">
      <c r="A50" s="4"/>
      <c r="B50" t="s">
        <v>283</v>
      </c>
      <c r="C50" s="5"/>
      <c r="D50" s="5"/>
      <c r="E50"/>
    </row>
    <row r="51" spans="1:5" x14ac:dyDescent="0.35">
      <c r="A51" s="4" t="s">
        <v>29</v>
      </c>
      <c r="B51" t="s">
        <v>29</v>
      </c>
      <c r="C51" s="5"/>
      <c r="D51" s="5"/>
      <c r="E5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dimension ref="A1:H15"/>
  <sheetViews>
    <sheetView workbookViewId="0">
      <selection activeCell="E5" sqref="E5"/>
    </sheetView>
  </sheetViews>
  <sheetFormatPr defaultRowHeight="14.5" x14ac:dyDescent="0.35"/>
  <cols>
    <col min="1" max="1" width="20.54296875" bestFit="1" customWidth="1"/>
    <col min="8" max="8" width="14.1796875" bestFit="1" customWidth="1"/>
  </cols>
  <sheetData>
    <row r="1" spans="1:8" x14ac:dyDescent="0.35">
      <c r="A1" s="76"/>
      <c r="B1" s="96" t="s">
        <v>254</v>
      </c>
      <c r="C1" s="96"/>
      <c r="D1" s="77" t="s">
        <v>255</v>
      </c>
      <c r="E1" s="77" t="s">
        <v>256</v>
      </c>
      <c r="F1" s="77" t="s">
        <v>257</v>
      </c>
      <c r="G1" s="77" t="s">
        <v>262</v>
      </c>
      <c r="H1" s="77" t="s">
        <v>270</v>
      </c>
    </row>
    <row r="2" spans="1:8" x14ac:dyDescent="0.35">
      <c r="A2" s="77" t="s">
        <v>258</v>
      </c>
      <c r="B2" s="95">
        <v>89.04</v>
      </c>
      <c r="C2" s="95"/>
      <c r="D2" s="78">
        <v>1</v>
      </c>
      <c r="E2" s="79"/>
      <c r="F2" s="79"/>
      <c r="G2" s="80">
        <v>0.3</v>
      </c>
      <c r="H2" s="80">
        <v>0</v>
      </c>
    </row>
    <row r="3" spans="1:8" x14ac:dyDescent="0.35">
      <c r="A3" s="77" t="s">
        <v>259</v>
      </c>
      <c r="B3" s="97">
        <v>23.19</v>
      </c>
      <c r="C3" s="98"/>
      <c r="D3" s="81"/>
      <c r="E3" s="82">
        <v>1</v>
      </c>
      <c r="F3" s="81"/>
      <c r="G3" s="83">
        <v>0.2</v>
      </c>
      <c r="H3" s="83">
        <v>8.7999999999999995E-2</v>
      </c>
    </row>
    <row r="4" spans="1:8" x14ac:dyDescent="0.35">
      <c r="A4" s="77"/>
      <c r="B4" s="79"/>
      <c r="C4" s="79"/>
      <c r="D4" s="79"/>
      <c r="E4" s="79"/>
      <c r="F4" s="79"/>
      <c r="G4" s="79"/>
      <c r="H4" s="79"/>
    </row>
    <row r="5" spans="1:8" x14ac:dyDescent="0.35">
      <c r="A5" s="77"/>
      <c r="B5" s="84" t="s">
        <v>260</v>
      </c>
      <c r="C5" s="84" t="s">
        <v>261</v>
      </c>
      <c r="D5" s="84" t="s">
        <v>255</v>
      </c>
      <c r="E5" s="84" t="s">
        <v>256</v>
      </c>
      <c r="F5" s="84" t="s">
        <v>257</v>
      </c>
      <c r="G5" s="84" t="s">
        <v>262</v>
      </c>
      <c r="H5" s="77" t="s">
        <v>270</v>
      </c>
    </row>
    <row r="6" spans="1:8" x14ac:dyDescent="0.35">
      <c r="A6" s="77" t="s">
        <v>263</v>
      </c>
      <c r="B6" s="85">
        <v>34.840000000000003</v>
      </c>
      <c r="C6" s="79">
        <v>17.684999999999999</v>
      </c>
      <c r="D6" s="78">
        <v>1</v>
      </c>
      <c r="E6" s="81"/>
      <c r="F6" s="81"/>
      <c r="G6" s="86">
        <v>0.2</v>
      </c>
      <c r="H6" s="86">
        <v>0</v>
      </c>
    </row>
    <row r="7" spans="1:8" x14ac:dyDescent="0.35">
      <c r="A7" s="76"/>
      <c r="B7" s="79"/>
      <c r="C7" s="78"/>
      <c r="D7" s="78"/>
      <c r="E7" s="79"/>
      <c r="F7" s="79"/>
      <c r="G7" s="79"/>
      <c r="H7" s="79"/>
    </row>
    <row r="8" spans="1:8" x14ac:dyDescent="0.35">
      <c r="A8" s="76"/>
      <c r="B8" s="99" t="s">
        <v>264</v>
      </c>
      <c r="C8" s="99"/>
      <c r="D8" s="84" t="s">
        <v>255</v>
      </c>
      <c r="E8" s="84" t="s">
        <v>256</v>
      </c>
      <c r="F8" s="84" t="s">
        <v>257</v>
      </c>
      <c r="G8" s="84" t="s">
        <v>262</v>
      </c>
      <c r="H8" s="77" t="s">
        <v>270</v>
      </c>
    </row>
    <row r="9" spans="1:8" x14ac:dyDescent="0.35">
      <c r="A9" s="77" t="s">
        <v>265</v>
      </c>
      <c r="B9" s="95">
        <v>10.92</v>
      </c>
      <c r="C9" s="95"/>
      <c r="D9" s="79"/>
      <c r="E9" s="78">
        <v>1</v>
      </c>
      <c r="F9" s="79"/>
      <c r="G9" s="86">
        <v>0.11409999999999999</v>
      </c>
      <c r="H9" s="86">
        <v>8.1557678177810455E-2</v>
      </c>
    </row>
    <row r="10" spans="1:8" x14ac:dyDescent="0.35">
      <c r="A10" s="77" t="s">
        <v>266</v>
      </c>
      <c r="B10" s="95">
        <v>289.14999999999998</v>
      </c>
      <c r="C10" s="95"/>
      <c r="D10" s="79"/>
      <c r="E10" s="78">
        <v>1</v>
      </c>
      <c r="F10" s="79"/>
      <c r="G10" s="86">
        <v>0.11409999999999999</v>
      </c>
      <c r="H10" s="86">
        <v>0.02</v>
      </c>
    </row>
    <row r="11" spans="1:8" x14ac:dyDescent="0.35">
      <c r="A11" s="77" t="s">
        <v>267</v>
      </c>
      <c r="B11" s="95">
        <v>7.72</v>
      </c>
      <c r="C11" s="95"/>
      <c r="D11" s="87">
        <v>0.89500000000000002</v>
      </c>
      <c r="E11" s="87">
        <f>1-D11</f>
        <v>0.10499999999999998</v>
      </c>
      <c r="F11" s="79"/>
      <c r="G11" s="86">
        <v>0.11409999999999999</v>
      </c>
      <c r="H11" s="86">
        <v>0</v>
      </c>
    </row>
    <row r="12" spans="1:8" x14ac:dyDescent="0.35">
      <c r="A12" s="77" t="s">
        <v>268</v>
      </c>
      <c r="B12" s="95">
        <v>0</v>
      </c>
      <c r="C12" s="95"/>
      <c r="D12" s="79"/>
      <c r="E12" s="78">
        <v>1</v>
      </c>
      <c r="F12" s="79"/>
      <c r="G12" s="86">
        <v>0.11409999999999999</v>
      </c>
      <c r="H12" s="86">
        <v>0</v>
      </c>
    </row>
    <row r="13" spans="1:8" x14ac:dyDescent="0.35">
      <c r="A13" s="76"/>
      <c r="B13" s="79"/>
      <c r="C13" s="79"/>
      <c r="D13" s="79"/>
      <c r="E13" s="79"/>
      <c r="F13" s="79"/>
      <c r="G13" s="79"/>
      <c r="H13" s="79"/>
    </row>
    <row r="14" spans="1:8" x14ac:dyDescent="0.35">
      <c r="A14" s="77"/>
      <c r="B14" s="84" t="s">
        <v>260</v>
      </c>
      <c r="C14" s="84" t="s">
        <v>261</v>
      </c>
      <c r="D14" s="84" t="s">
        <v>255</v>
      </c>
      <c r="E14" s="84" t="s">
        <v>256</v>
      </c>
      <c r="F14" s="84" t="s">
        <v>257</v>
      </c>
      <c r="G14" s="84" t="s">
        <v>262</v>
      </c>
      <c r="H14" s="77" t="s">
        <v>270</v>
      </c>
    </row>
    <row r="15" spans="1:8" x14ac:dyDescent="0.35">
      <c r="A15" s="77" t="s">
        <v>269</v>
      </c>
      <c r="B15" s="88">
        <v>51.7</v>
      </c>
      <c r="C15" s="88">
        <v>20.889521999999999</v>
      </c>
      <c r="D15" s="78">
        <v>1</v>
      </c>
      <c r="E15" s="79"/>
      <c r="F15" s="79"/>
      <c r="G15" s="80">
        <v>0.11409999999999999</v>
      </c>
      <c r="H15" s="80">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8"/>
  <sheetViews>
    <sheetView workbookViewId="0">
      <selection activeCell="J19" sqref="J19"/>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272</v>
      </c>
      <c r="C1" s="4" t="s">
        <v>3</v>
      </c>
      <c r="D1" s="4" t="s">
        <v>38</v>
      </c>
      <c r="E1" s="4" t="s">
        <v>29</v>
      </c>
      <c r="F1" s="4" t="s">
        <v>34</v>
      </c>
      <c r="G1" s="4" t="s">
        <v>279</v>
      </c>
      <c r="H1" s="4" t="s">
        <v>280</v>
      </c>
    </row>
    <row r="2" spans="1:8" x14ac:dyDescent="0.35">
      <c r="A2" s="2" t="s">
        <v>33</v>
      </c>
      <c r="B2" s="2" t="s">
        <v>2</v>
      </c>
      <c r="C2" s="2" t="s">
        <v>3</v>
      </c>
      <c r="D2" s="2" t="s">
        <v>13</v>
      </c>
      <c r="E2" t="s">
        <v>29</v>
      </c>
      <c r="F2" t="s">
        <v>33</v>
      </c>
      <c r="G2" t="s">
        <v>281</v>
      </c>
      <c r="H2" t="s">
        <v>282</v>
      </c>
    </row>
    <row r="3" spans="1:8" x14ac:dyDescent="0.35">
      <c r="B3" s="3" t="s">
        <v>24</v>
      </c>
      <c r="D3" s="3" t="s">
        <v>14</v>
      </c>
      <c r="F3" t="s">
        <v>281</v>
      </c>
      <c r="G3" t="s">
        <v>283</v>
      </c>
      <c r="H3" t="s">
        <v>284</v>
      </c>
    </row>
    <row r="4" spans="1:8" x14ac:dyDescent="0.35">
      <c r="B4" s="3" t="s">
        <v>22</v>
      </c>
      <c r="C4" s="3"/>
      <c r="D4" s="3" t="s">
        <v>15</v>
      </c>
      <c r="F4" t="s">
        <v>283</v>
      </c>
      <c r="H4" t="s">
        <v>285</v>
      </c>
    </row>
    <row r="5" spans="1:8" x14ac:dyDescent="0.35">
      <c r="B5" t="s">
        <v>75</v>
      </c>
      <c r="C5" s="3"/>
      <c r="D5" s="3" t="s">
        <v>16</v>
      </c>
      <c r="H5" t="s">
        <v>286</v>
      </c>
    </row>
    <row r="6" spans="1:8" x14ac:dyDescent="0.35">
      <c r="D6" s="3" t="s">
        <v>17</v>
      </c>
      <c r="H6" t="s">
        <v>287</v>
      </c>
    </row>
    <row r="7" spans="1:8" x14ac:dyDescent="0.35">
      <c r="D7" s="3" t="s">
        <v>18</v>
      </c>
      <c r="H7" t="s">
        <v>288</v>
      </c>
    </row>
    <row r="8" spans="1:8" x14ac:dyDescent="0.35">
      <c r="D8" s="3" t="s">
        <v>19</v>
      </c>
      <c r="H8" t="s">
        <v>289</v>
      </c>
    </row>
    <row r="9" spans="1:8" x14ac:dyDescent="0.35">
      <c r="D9" s="3" t="s">
        <v>112</v>
      </c>
      <c r="H9" t="s">
        <v>290</v>
      </c>
    </row>
    <row r="10" spans="1:8" x14ac:dyDescent="0.35">
      <c r="D10" s="3" t="s">
        <v>111</v>
      </c>
      <c r="H10" t="s">
        <v>291</v>
      </c>
    </row>
    <row r="11" spans="1:8" x14ac:dyDescent="0.35">
      <c r="D11" s="3" t="s">
        <v>21</v>
      </c>
      <c r="H11" t="s">
        <v>292</v>
      </c>
    </row>
    <row r="12" spans="1:8" x14ac:dyDescent="0.35">
      <c r="D12" s="3" t="s">
        <v>37</v>
      </c>
      <c r="H12" t="s">
        <v>293</v>
      </c>
    </row>
    <row r="13" spans="1:8" x14ac:dyDescent="0.35">
      <c r="D13" s="3" t="s">
        <v>23</v>
      </c>
      <c r="H13" t="s">
        <v>294</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248</v>
      </c>
    </row>
    <row r="22" spans="4:4" x14ac:dyDescent="0.35">
      <c r="D22" s="14" t="s">
        <v>53</v>
      </c>
    </row>
    <row r="23" spans="4:4" x14ac:dyDescent="0.35">
      <c r="D23" s="14" t="s">
        <v>273</v>
      </c>
    </row>
    <row r="24" spans="4:4" x14ac:dyDescent="0.35">
      <c r="D24" s="14" t="s">
        <v>274</v>
      </c>
    </row>
    <row r="25" spans="4:4" x14ac:dyDescent="0.35">
      <c r="D25" s="14" t="s">
        <v>275</v>
      </c>
    </row>
    <row r="26" spans="4:4" x14ac:dyDescent="0.35">
      <c r="D26" s="14" t="s">
        <v>276</v>
      </c>
    </row>
    <row r="27" spans="4:4" x14ac:dyDescent="0.35">
      <c r="D27" s="14" t="s">
        <v>277</v>
      </c>
    </row>
    <row r="28" spans="4:4" x14ac:dyDescent="0.35">
      <c r="D28" s="14" t="s">
        <v>278</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abSelected="1" workbookViewId="0">
      <selection activeCell="M2" sqref="M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297</v>
      </c>
      <c r="N2" s="7" t="s">
        <v>28</v>
      </c>
      <c r="O2" s="7" t="s">
        <v>67</v>
      </c>
      <c r="P2" s="7" t="s">
        <v>66</v>
      </c>
      <c r="Q2" s="7" t="s">
        <v>65</v>
      </c>
      <c r="R2" s="7" t="s">
        <v>64</v>
      </c>
    </row>
    <row r="3" spans="1:19" x14ac:dyDescent="0.35">
      <c r="A3" t="s">
        <v>57</v>
      </c>
      <c r="B3" s="21" t="s">
        <v>62</v>
      </c>
      <c r="C3" s="21" t="s">
        <v>63</v>
      </c>
      <c r="D3" s="21" t="s">
        <v>27</v>
      </c>
      <c r="E3" s="21" t="s">
        <v>11</v>
      </c>
      <c r="F3" s="5" t="s">
        <v>297</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297</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297</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156</v>
      </c>
      <c r="B10" s="5" t="s">
        <v>11</v>
      </c>
      <c r="C10" s="5" t="s">
        <v>297</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295</v>
      </c>
      <c r="B25" t="s">
        <v>296</v>
      </c>
      <c r="C25" s="5" t="s">
        <v>60</v>
      </c>
      <c r="G25" s="19"/>
      <c r="H25" s="19"/>
      <c r="I25" s="19"/>
      <c r="J25" s="19"/>
    </row>
    <row r="26" spans="1:23" x14ac:dyDescent="0.35">
      <c r="A26" s="17" t="s">
        <v>272</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4" t="s">
        <v>38</v>
      </c>
      <c r="B32" t="s">
        <v>13</v>
      </c>
      <c r="C32" t="s">
        <v>60</v>
      </c>
    </row>
    <row r="33" spans="1:3" x14ac:dyDescent="0.35">
      <c r="A33" s="4"/>
      <c r="B33" s="92" t="s">
        <v>14</v>
      </c>
      <c r="C33" t="s">
        <v>60</v>
      </c>
    </row>
    <row r="34" spans="1:3" x14ac:dyDescent="0.35">
      <c r="A34" s="4"/>
      <c r="B34" s="92" t="s">
        <v>15</v>
      </c>
      <c r="C34" t="s">
        <v>60</v>
      </c>
    </row>
    <row r="35" spans="1:3" x14ac:dyDescent="0.35">
      <c r="A35" s="4"/>
      <c r="B35" s="92" t="s">
        <v>16</v>
      </c>
      <c r="C35" t="s">
        <v>60</v>
      </c>
    </row>
    <row r="36" spans="1:3" x14ac:dyDescent="0.35">
      <c r="A36" s="4"/>
      <c r="B36" s="92" t="s">
        <v>17</v>
      </c>
      <c r="C36" t="s">
        <v>60</v>
      </c>
    </row>
    <row r="37" spans="1:3" x14ac:dyDescent="0.35">
      <c r="A37" s="4"/>
      <c r="B37" s="92" t="s">
        <v>18</v>
      </c>
      <c r="C37" t="s">
        <v>60</v>
      </c>
    </row>
    <row r="38" spans="1:3" x14ac:dyDescent="0.35">
      <c r="A38" s="4"/>
      <c r="B38" s="92" t="s">
        <v>19</v>
      </c>
      <c r="C38" t="s">
        <v>60</v>
      </c>
    </row>
    <row r="39" spans="1:3" x14ac:dyDescent="0.35">
      <c r="A39" s="4"/>
      <c r="B39" s="92" t="s">
        <v>20</v>
      </c>
      <c r="C39" t="s">
        <v>60</v>
      </c>
    </row>
    <row r="40" spans="1:3" x14ac:dyDescent="0.35">
      <c r="A40" s="4"/>
      <c r="B40" s="92" t="s">
        <v>21</v>
      </c>
      <c r="C40" t="s">
        <v>60</v>
      </c>
    </row>
    <row r="41" spans="1:3" x14ac:dyDescent="0.35">
      <c r="A41" s="4"/>
      <c r="B41" s="92" t="s">
        <v>111</v>
      </c>
      <c r="C41" t="s">
        <v>60</v>
      </c>
    </row>
    <row r="42" spans="1:3" x14ac:dyDescent="0.35">
      <c r="A42" s="4"/>
      <c r="B42" s="92" t="s">
        <v>37</v>
      </c>
      <c r="C42" t="s">
        <v>60</v>
      </c>
    </row>
    <row r="43" spans="1:3" x14ac:dyDescent="0.35">
      <c r="A43" s="4"/>
      <c r="B43" s="92" t="s">
        <v>23</v>
      </c>
      <c r="C43" t="s">
        <v>60</v>
      </c>
    </row>
    <row r="44" spans="1:3" x14ac:dyDescent="0.35">
      <c r="A44" s="4"/>
      <c r="B44" s="92" t="s">
        <v>25</v>
      </c>
      <c r="C44" t="s">
        <v>60</v>
      </c>
    </row>
    <row r="45" spans="1:3" x14ac:dyDescent="0.35">
      <c r="A45" s="4"/>
      <c r="B45" t="s">
        <v>26</v>
      </c>
      <c r="C45" t="s">
        <v>60</v>
      </c>
    </row>
    <row r="46" spans="1:3" x14ac:dyDescent="0.35">
      <c r="A46" s="4"/>
      <c r="B46" t="s">
        <v>30</v>
      </c>
      <c r="C46" t="s">
        <v>60</v>
      </c>
    </row>
    <row r="47" spans="1:3" x14ac:dyDescent="0.35">
      <c r="B47" t="s">
        <v>21</v>
      </c>
      <c r="C47" t="s">
        <v>60</v>
      </c>
    </row>
    <row r="48" spans="1:3" x14ac:dyDescent="0.35">
      <c r="B48" t="s">
        <v>20</v>
      </c>
      <c r="C48" t="s">
        <v>60</v>
      </c>
    </row>
    <row r="49" spans="1:3" x14ac:dyDescent="0.35">
      <c r="B49" t="s">
        <v>37</v>
      </c>
      <c r="C49" t="s">
        <v>60</v>
      </c>
    </row>
    <row r="50" spans="1:3" x14ac:dyDescent="0.35">
      <c r="B50" t="s">
        <v>25</v>
      </c>
      <c r="C50" t="s">
        <v>60</v>
      </c>
    </row>
    <row r="51" spans="1:3" x14ac:dyDescent="0.35">
      <c r="B51" t="s">
        <v>53</v>
      </c>
      <c r="C51" t="s">
        <v>60</v>
      </c>
    </row>
    <row r="52" spans="1:3" x14ac:dyDescent="0.35">
      <c r="B52" t="s">
        <v>273</v>
      </c>
      <c r="C52" t="s">
        <v>60</v>
      </c>
    </row>
    <row r="53" spans="1:3" x14ac:dyDescent="0.35">
      <c r="B53" t="s">
        <v>274</v>
      </c>
      <c r="C53" t="s">
        <v>60</v>
      </c>
    </row>
    <row r="54" spans="1:3" x14ac:dyDescent="0.35">
      <c r="B54" t="s">
        <v>275</v>
      </c>
      <c r="C54" t="s">
        <v>60</v>
      </c>
    </row>
    <row r="55" spans="1:3" x14ac:dyDescent="0.35">
      <c r="B55" t="s">
        <v>276</v>
      </c>
      <c r="C55" t="s">
        <v>60</v>
      </c>
    </row>
    <row r="56" spans="1:3" x14ac:dyDescent="0.35">
      <c r="B56" t="s">
        <v>277</v>
      </c>
      <c r="C56" t="s">
        <v>60</v>
      </c>
    </row>
    <row r="57" spans="1:3" x14ac:dyDescent="0.35">
      <c r="B57" t="s">
        <v>278</v>
      </c>
      <c r="C57" t="s">
        <v>60</v>
      </c>
    </row>
    <row r="58" spans="1:3" x14ac:dyDescent="0.35">
      <c r="A58" s="4" t="s">
        <v>280</v>
      </c>
      <c r="B58" t="s">
        <v>282</v>
      </c>
      <c r="C58" t="s">
        <v>60</v>
      </c>
    </row>
    <row r="59" spans="1:3" x14ac:dyDescent="0.35">
      <c r="B59" t="s">
        <v>284</v>
      </c>
      <c r="C59" t="s">
        <v>60</v>
      </c>
    </row>
    <row r="60" spans="1:3" x14ac:dyDescent="0.35">
      <c r="B60" t="s">
        <v>285</v>
      </c>
      <c r="C60" t="s">
        <v>60</v>
      </c>
    </row>
    <row r="61" spans="1:3" x14ac:dyDescent="0.35">
      <c r="B61" t="s">
        <v>286</v>
      </c>
      <c r="C61" t="s">
        <v>60</v>
      </c>
    </row>
    <row r="62" spans="1:3" x14ac:dyDescent="0.35">
      <c r="B62" t="s">
        <v>287</v>
      </c>
      <c r="C62" t="s">
        <v>60</v>
      </c>
    </row>
    <row r="63" spans="1:3" x14ac:dyDescent="0.35">
      <c r="B63" t="s">
        <v>288</v>
      </c>
      <c r="C63" t="s">
        <v>60</v>
      </c>
    </row>
    <row r="64" spans="1:3" x14ac:dyDescent="0.35">
      <c r="B64" t="s">
        <v>289</v>
      </c>
      <c r="C64" t="s">
        <v>60</v>
      </c>
    </row>
    <row r="65" spans="1:3" x14ac:dyDescent="0.35">
      <c r="B65" t="s">
        <v>290</v>
      </c>
      <c r="C65" t="s">
        <v>60</v>
      </c>
    </row>
    <row r="66" spans="1:3" x14ac:dyDescent="0.35">
      <c r="B66" t="s">
        <v>291</v>
      </c>
      <c r="C66" t="s">
        <v>60</v>
      </c>
    </row>
    <row r="67" spans="1:3" x14ac:dyDescent="0.35">
      <c r="B67" t="s">
        <v>292</v>
      </c>
      <c r="C67" t="s">
        <v>60</v>
      </c>
    </row>
    <row r="68" spans="1:3" x14ac:dyDescent="0.35">
      <c r="B68" t="s">
        <v>293</v>
      </c>
      <c r="C68" t="s">
        <v>60</v>
      </c>
    </row>
    <row r="69" spans="1:3" x14ac:dyDescent="0.35">
      <c r="B69" t="s">
        <v>294</v>
      </c>
      <c r="C69" t="s">
        <v>60</v>
      </c>
    </row>
    <row r="70" spans="1:3" x14ac:dyDescent="0.35">
      <c r="A70" s="4" t="s">
        <v>279</v>
      </c>
      <c r="B70" t="s">
        <v>281</v>
      </c>
      <c r="C70" t="s">
        <v>60</v>
      </c>
    </row>
    <row r="71" spans="1:3" x14ac:dyDescent="0.35">
      <c r="A71" s="4"/>
      <c r="B71" t="s">
        <v>283</v>
      </c>
      <c r="C71" t="s">
        <v>60</v>
      </c>
    </row>
    <row r="72" spans="1:3" x14ac:dyDescent="0.35">
      <c r="A72" s="4" t="s">
        <v>29</v>
      </c>
      <c r="B72" t="s">
        <v>29</v>
      </c>
      <c r="C72"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118</v>
      </c>
      <c r="B1" s="4" t="s">
        <v>6</v>
      </c>
      <c r="C1" s="4" t="s">
        <v>146</v>
      </c>
      <c r="D1" s="4" t="s">
        <v>148</v>
      </c>
    </row>
    <row r="2" spans="1:4" x14ac:dyDescent="0.35">
      <c r="B2" t="s">
        <v>0</v>
      </c>
      <c r="D2" t="s">
        <v>149</v>
      </c>
    </row>
    <row r="3" spans="1:4" x14ac:dyDescent="0.35">
      <c r="A3" t="s">
        <v>90</v>
      </c>
      <c r="B3" t="s">
        <v>144</v>
      </c>
      <c r="C3" t="s">
        <v>147</v>
      </c>
      <c r="D3" t="s">
        <v>153</v>
      </c>
    </row>
    <row r="4" spans="1:4" x14ac:dyDescent="0.35">
      <c r="A4" t="s">
        <v>119</v>
      </c>
      <c r="B4" t="s">
        <v>119</v>
      </c>
      <c r="C4" t="s">
        <v>122</v>
      </c>
      <c r="D4" t="s">
        <v>154</v>
      </c>
    </row>
    <row r="5" spans="1:4" x14ac:dyDescent="0.35">
      <c r="A5" t="s">
        <v>89</v>
      </c>
      <c r="B5" t="s">
        <v>89</v>
      </c>
      <c r="D5" t="s">
        <v>155</v>
      </c>
    </row>
    <row r="6" spans="1:4" x14ac:dyDescent="0.35">
      <c r="D6" t="s">
        <v>150</v>
      </c>
    </row>
    <row r="7" spans="1:4" x14ac:dyDescent="0.35">
      <c r="D7" t="s">
        <v>151</v>
      </c>
    </row>
    <row r="8" spans="1:4" x14ac:dyDescent="0.35">
      <c r="D8" t="s">
        <v>152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2022-06-23T03:17:11Z</dcterms:modified>
</cp:coreProperties>
</file>